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JECUCION" sheetId="1" r:id="rId5"/>
    <sheet state="visible" name="FORMULARIO" sheetId="2" r:id="rId6"/>
    <sheet state="visible" name="RESUMEN" sheetId="3" r:id="rId7"/>
    <sheet state="visible" name="TD" sheetId="4" r:id="rId8"/>
    <sheet state="visible" name="INVERSION INICIAL" sheetId="5" r:id="rId9"/>
    <sheet state="visible" name="GASTOS FIJOS" sheetId="6" r:id="rId10"/>
    <sheet state="visible" name="OPERACION" sheetId="7" r:id="rId11"/>
    <sheet state="visible" name="CRONOGRAMA" sheetId="8" r:id="rId12"/>
    <sheet state="visible" name="COMPRAS" sheetId="9" r:id="rId13"/>
    <sheet state="visible" name="IMPRESION" sheetId="10" r:id="rId14"/>
    <sheet state="visible" name="MAESTRA" sheetId="11" r:id="rId15"/>
    <sheet state="visible" name="PARAM" sheetId="12" r:id="rId16"/>
    <sheet state="hidden" name="Copia de COMPRAS" sheetId="13" r:id="rId17"/>
    <sheet state="hidden" name="DATOS BORRADOR" sheetId="14" r:id="rId18"/>
  </sheets>
  <definedNames>
    <definedName hidden="1" localSheetId="1" name="_xlnm._FilterDatabase">FORMULARIO!$A$1:$L$140</definedName>
    <definedName hidden="1" localSheetId="4" name="_xlnm._FilterDatabase">'INVERSION INICIAL'!$A$2:$M$44</definedName>
    <definedName hidden="1" localSheetId="5" name="_xlnm._FilterDatabase">'GASTOS FIJOS'!$A$2:$M$50</definedName>
    <definedName hidden="1" localSheetId="10" name="_xlnm._FilterDatabase">MAESTRA!$A$3:$L$1014</definedName>
    <definedName hidden="1" localSheetId="12" name="_xlnm._FilterDatabase">'Copia de COMPRAS'!$A$2:$U$1013</definedName>
  </definedNames>
  <calcPr/>
  <pivotCaches>
    <pivotCache cacheId="0" r:id="rId19"/>
    <pivotCache cacheId="1" r:id="rId20"/>
  </pivotCaches>
</workbook>
</file>

<file path=xl/sharedStrings.xml><?xml version="1.0" encoding="utf-8"?>
<sst xmlns="http://schemas.openxmlformats.org/spreadsheetml/2006/main" count="15157" uniqueCount="2083">
  <si>
    <t>PERSONA REGISTRA GASTO</t>
  </si>
  <si>
    <t>SUM de Valor</t>
  </si>
  <si>
    <t>TIPO</t>
  </si>
  <si>
    <t>Tipo de gasto</t>
  </si>
  <si>
    <t>VALOR EJECUTADO</t>
  </si>
  <si>
    <t>%% VAL</t>
  </si>
  <si>
    <t>PRESUPUESTO</t>
  </si>
  <si>
    <t>DIFERENCIA</t>
  </si>
  <si>
    <t>MAURICIO GARZON</t>
  </si>
  <si>
    <t>Inversión Inicial</t>
  </si>
  <si>
    <t>Mercancia</t>
  </si>
  <si>
    <t>ANTONIO RENTERIA</t>
  </si>
  <si>
    <t>Arreglos locativos</t>
  </si>
  <si>
    <t>YENI GARZON</t>
  </si>
  <si>
    <t>Maniquies</t>
  </si>
  <si>
    <t>DIANA PAOLA GARZON</t>
  </si>
  <si>
    <t>Arriendo</t>
  </si>
  <si>
    <t>Mostradores</t>
  </si>
  <si>
    <t>Suma total</t>
  </si>
  <si>
    <t>Iluminacion</t>
  </si>
  <si>
    <t>Insumos</t>
  </si>
  <si>
    <t>Camaras</t>
  </si>
  <si>
    <t>Caja registradora</t>
  </si>
  <si>
    <t>Computador</t>
  </si>
  <si>
    <t>Aviso</t>
  </si>
  <si>
    <t>Sistema POS</t>
  </si>
  <si>
    <t>Comida</t>
  </si>
  <si>
    <t>Movilidad</t>
  </si>
  <si>
    <t>Gasolina</t>
  </si>
  <si>
    <t>Seguridad</t>
  </si>
  <si>
    <t>Legalización</t>
  </si>
  <si>
    <t>Gastos</t>
  </si>
  <si>
    <t>Vestier</t>
  </si>
  <si>
    <t>Compra talonarios, bombas, pecera, tropo, fomi</t>
  </si>
  <si>
    <t>Gastos Variables de Operación</t>
  </si>
  <si>
    <t>Envio mercancia</t>
  </si>
  <si>
    <t>Marca temporal</t>
  </si>
  <si>
    <t>Clase ingreso</t>
  </si>
  <si>
    <t>Columna 3</t>
  </si>
  <si>
    <t>Fecha</t>
  </si>
  <si>
    <t>Nombre</t>
  </si>
  <si>
    <t>Detalle</t>
  </si>
  <si>
    <t>Valor</t>
  </si>
  <si>
    <t>Forma de pago</t>
  </si>
  <si>
    <t>Subir soporte</t>
  </si>
  <si>
    <t>Arriendo inicial</t>
  </si>
  <si>
    <t>Valor de arriendo inicial</t>
  </si>
  <si>
    <t>Transferencia (Tarjeta Debito, Nequi, Daviplata, Cuentas de ahorro)</t>
  </si>
  <si>
    <t xml:space="preserve">Compra de computador nuevo </t>
  </si>
  <si>
    <t>Creacion de dominio</t>
  </si>
  <si>
    <t>Creación de dominio de Be</t>
  </si>
  <si>
    <t>https://drive.google.com/open?id=1Pe-Fi_o_UFjPbPbIxoMPnZJBSe1y5oRH</t>
  </si>
  <si>
    <t>Otros</t>
  </si>
  <si>
    <t xml:space="preserve">Desayuno </t>
  </si>
  <si>
    <t>Desayuno</t>
  </si>
  <si>
    <t>Vidrios vitrinas entrada</t>
  </si>
  <si>
    <t>Pago la mitad de los vidrios de la vitrina</t>
  </si>
  <si>
    <t>https://drive.google.com/open?id=18Tfd1glS8YpXxHSYGLsg2fCpZQFm9sym</t>
  </si>
  <si>
    <t>Matrícula Mercantil (Cámara de Comercio)</t>
  </si>
  <si>
    <t>Cámara de comercio Chapinero</t>
  </si>
  <si>
    <t>Certificado CCB Chapinero</t>
  </si>
  <si>
    <t xml:space="preserve">Desayuno de Yeni y diana </t>
  </si>
  <si>
    <t>Efectivo</t>
  </si>
  <si>
    <t>Impresión contrato de arriendo</t>
  </si>
  <si>
    <t>inversion inicial</t>
  </si>
  <si>
    <t>Pago de autenticación</t>
  </si>
  <si>
    <t>saldo por ejecutar</t>
  </si>
  <si>
    <t>Almuerzos</t>
  </si>
  <si>
    <t>Almuerzos de todos</t>
  </si>
  <si>
    <t>Parqueadero</t>
  </si>
  <si>
    <t>Parqueadero carro tio</t>
  </si>
  <si>
    <t>Pago de arriendo y depósito 50%</t>
  </si>
  <si>
    <t>Camaras de seguridad</t>
  </si>
  <si>
    <t>Gasolina Carro</t>
  </si>
  <si>
    <t>Gasolina de transporte para las compras</t>
  </si>
  <si>
    <t>Parqueadero Carro</t>
  </si>
  <si>
    <t>Parqueadero del carro para las compras iniciales</t>
  </si>
  <si>
    <t>Decoracion, Pintura, Vestier en Drywall</t>
  </si>
  <si>
    <t>Pago de adecuaciones de infraestructura</t>
  </si>
  <si>
    <t>https://drive.google.com/open?id=1EsJ-NhcYdHfpSVqCXea9LeKCY3UJ10of</t>
  </si>
  <si>
    <t>Cremallera para Flauta, Flautas para Exhibicion, Ganchera tripode, Ganchos de madera, Maniquies cuerpo Completo, Maniquies medio cuerpo, Cortina Negra</t>
  </si>
  <si>
    <t xml:space="preserve">2 barra u de 120, 3 barra sencilla de 120, 4 barra de 120 con malla, 40 flautas para barra, 6 Parales de 3 MTS, 200 gancho pinza, 400 gancho cromo, 1 silla de 2 puesto, 1 burro cascada, 2 hombre, 2 dama, 1 niño 10 blanco, 9 rieles, 3 cortinas negras, 14 barra sencilla de 150, 8 barra u de 150, 1 tabla de 150, 1 burro sencillo negro, 1 la de 6 puestos, 1 palo Chino </t>
  </si>
  <si>
    <t>Mostrador</t>
  </si>
  <si>
    <t>Cachucheras</t>
  </si>
  <si>
    <t>Camisetas Colombia, España y Portugal 2</t>
  </si>
  <si>
    <t>Tarjeta de Credito</t>
  </si>
  <si>
    <t>Iluminacion interna y externa</t>
  </si>
  <si>
    <t>40 spot de 20 w, 20 riel de 1 MTS, 3 bombillas para Vestier, 2 reflectores, 15 MTS duplex, 4 MTS luz neón</t>
  </si>
  <si>
    <t>Pintura</t>
  </si>
  <si>
    <t>Aerosol y tornillos</t>
  </si>
  <si>
    <t>Vinilo amarillo</t>
  </si>
  <si>
    <t>Implementos de aseo</t>
  </si>
  <si>
    <t>Escoba, recogedor</t>
  </si>
  <si>
    <t>Decoracion</t>
  </si>
  <si>
    <t>Varillas, brocas tornillos</t>
  </si>
  <si>
    <t xml:space="preserve">Canales y amarres </t>
  </si>
  <si>
    <t xml:space="preserve">Parales y cinta </t>
  </si>
  <si>
    <t>Jabón rey, vasos, gaseosa</t>
  </si>
  <si>
    <t>Pilas láser Anderson</t>
  </si>
  <si>
    <t xml:space="preserve">Aseo </t>
  </si>
  <si>
    <t>Candados</t>
  </si>
  <si>
    <t xml:space="preserve">Candados comprados a la sra Berna </t>
  </si>
  <si>
    <t>Candados egret dorado</t>
  </si>
  <si>
    <t>Inversión inicial</t>
  </si>
  <si>
    <t>Alimentación con Jonathan</t>
  </si>
  <si>
    <t>Pantalones de hombre</t>
  </si>
  <si>
    <t>Pantalones sudadera</t>
  </si>
  <si>
    <t>Blusas mujer</t>
  </si>
  <si>
    <t>Gasolina carro</t>
  </si>
  <si>
    <t xml:space="preserve">Parqueadero </t>
  </si>
  <si>
    <t>Desayuno con Jonathan</t>
  </si>
  <si>
    <t>Tiqueteadora</t>
  </si>
  <si>
    <t>Combo impresora, pistola y dos impresoras</t>
  </si>
  <si>
    <t>Llaves de ingreso</t>
  </si>
  <si>
    <t xml:space="preserve">Ángulos y Parales </t>
  </si>
  <si>
    <t>Papeleria</t>
  </si>
  <si>
    <t>Cinta ancha transparente</t>
  </si>
  <si>
    <t>Envío a Santander de Quilichao</t>
  </si>
  <si>
    <t>Envío por inter rapidísimo camiseta Colombia m pago por Addi a Jonathan</t>
  </si>
  <si>
    <t>Camisetas y conjuntos de fútbol</t>
  </si>
  <si>
    <t>Goldtex Bermudas caballero y shorts dama</t>
  </si>
  <si>
    <t>Confecciones perfect chaquetas caballero</t>
  </si>
  <si>
    <t>Dannystyless</t>
  </si>
  <si>
    <t>Gorras Colombia</t>
  </si>
  <si>
    <t>Bolsos, canguros</t>
  </si>
  <si>
    <t>Canilleras y medias futbolera</t>
  </si>
  <si>
    <t>R Treik jean dama</t>
  </si>
  <si>
    <t>Chaqueta caballero</t>
  </si>
  <si>
    <t>Oversize</t>
  </si>
  <si>
    <t xml:space="preserve">Chaquetas dama </t>
  </si>
  <si>
    <t>Bicicleteros, leggins algodón y básicas</t>
  </si>
  <si>
    <t xml:space="preserve">Vidrios entrada </t>
  </si>
  <si>
    <t>Llaveros balón y cajas de Colombia</t>
  </si>
  <si>
    <t>Cinta malla y canaleta, se le pegó a mi papá 20 mil</t>
  </si>
  <si>
    <t>Accesorios divas</t>
  </si>
  <si>
    <t>Cajas y bolsas de tela</t>
  </si>
  <si>
    <t>Camisetas estampadas con brillos</t>
  </si>
  <si>
    <t>Pantalón y faldas</t>
  </si>
  <si>
    <t>Ropa deportiva</t>
  </si>
  <si>
    <t>Sacos de lana</t>
  </si>
  <si>
    <t>Camisas de hombre</t>
  </si>
  <si>
    <t>Faldas y ropa deportiva</t>
  </si>
  <si>
    <t>Vestidos</t>
  </si>
  <si>
    <t>Variedades, maquillaje, caimanes</t>
  </si>
  <si>
    <t>Copia llaves</t>
  </si>
  <si>
    <t>Vestier en Drywall</t>
  </si>
  <si>
    <t>Cinta filo, cinta malla, duplex</t>
  </si>
  <si>
    <t>Conjuntos camisetas de fútbol</t>
  </si>
  <si>
    <t>Portalón dama gamuza, punto Roma, mariposa</t>
  </si>
  <si>
    <t>Sacos y batas dama tejidos</t>
  </si>
  <si>
    <t xml:space="preserve">Chaquetas paño </t>
  </si>
  <si>
    <t>Chaqueta gamuza corta</t>
  </si>
  <si>
    <t xml:space="preserve">Polo seda fría </t>
  </si>
  <si>
    <t>Blusas dama</t>
  </si>
  <si>
    <t>Baggie</t>
  </si>
  <si>
    <t>Paral</t>
  </si>
  <si>
    <t xml:space="preserve">Chaqueta jean caballero y dama </t>
  </si>
  <si>
    <t>Sistema Pos de TiendaNube</t>
  </si>
  <si>
    <t>Pago primer mes de tiendanube</t>
  </si>
  <si>
    <t>https://drive.google.com/open?id=1KVoJUEsH4TipZPrn3uSiA6bMyiFXObFK</t>
  </si>
  <si>
    <t xml:space="preserve">Splash y brillos </t>
  </si>
  <si>
    <t>compra madera para el mostrador principal</t>
  </si>
  <si>
    <t>https://drive.google.com/open?id=1nEzNsAAx89ntwK90vCVMCugxPf68Yuxz</t>
  </si>
  <si>
    <t>parqueadero compra</t>
  </si>
  <si>
    <t>pago parqueadero realizacion de compras en la mañana</t>
  </si>
  <si>
    <t>parqueadero compras tarde 06-06-2026</t>
  </si>
  <si>
    <t>pago parqueadero compras en la tarde del 06-06-2026</t>
  </si>
  <si>
    <t>Aviso, tarjetas presentacion (abono)</t>
  </si>
  <si>
    <t xml:space="preserve">compra para aviso y terjeta presentacion </t>
  </si>
  <si>
    <t>sensor y multitoma de Corriente</t>
  </si>
  <si>
    <t>compra de sensores y  multitoma de corriente</t>
  </si>
  <si>
    <t>Almuerzos del dia para compras realizadas</t>
  </si>
  <si>
    <t>Pago de almuesrzos en el dia para compras realizadas 06-06-2026</t>
  </si>
  <si>
    <t>Rieles Negro</t>
  </si>
  <si>
    <t>compra de 3 Rieles Negros</t>
  </si>
  <si>
    <t>correas, billeteras y regalo padre</t>
  </si>
  <si>
    <t>Compra de las correas, billetaras y regalos de padre para hombre</t>
  </si>
  <si>
    <t>Pintura, Estuco, rodillo, brocha y Lijas</t>
  </si>
  <si>
    <t>Compra insumos para arreglos locativos del almacen</t>
  </si>
  <si>
    <t>Gasolina movilizacion</t>
  </si>
  <si>
    <t>Pago Gasolina para movilizarse</t>
  </si>
  <si>
    <t>Accesorios ferretería y electricidad</t>
  </si>
  <si>
    <t>https://drive.google.com/open?id=1eyAHJovCapDyrYNCxyMsyv-hgWZvWSVn</t>
  </si>
  <si>
    <t>Compra ese llanti mantenimiento pisos y limpiador para vidrios</t>
  </si>
  <si>
    <t>https://drive.google.com/open?id=1RCCZmEjKdFZMyBoCAP-oRNoU1WK59LIZ</t>
  </si>
  <si>
    <t>Sonido, percheros y aerosoles</t>
  </si>
  <si>
    <t>https://drive.google.com/open?id=1Dy1Mn5ynd2Hmz1NZzIZq63hJv-dGKDlg</t>
  </si>
  <si>
    <t>Papel termico</t>
  </si>
  <si>
    <t>https://drive.google.com/open?id=1-LgHetWEsePIrhYpAmRMZX9E4ItSvwLa</t>
  </si>
  <si>
    <t>Antena antiurto</t>
  </si>
  <si>
    <t>Compra de antena antiurto</t>
  </si>
  <si>
    <t>abono de vidrios vitrinas internas y espejos</t>
  </si>
  <si>
    <t>Compra de bolsas topo sencillo collares y rubana</t>
  </si>
  <si>
    <t>https://drive.google.com/open?id=1_gU_T7RSuX8dUKYuauO34G_KqFvmFTvW</t>
  </si>
  <si>
    <t xml:space="preserve">Combos Splash caballero </t>
  </si>
  <si>
    <t>Compra de buzos</t>
  </si>
  <si>
    <t>https://drive.google.com/open?id=1IxgbJT2wOaLqZpEGZ2vAb3d95HCk0pQj</t>
  </si>
  <si>
    <t>Compré camiseta oversize</t>
  </si>
  <si>
    <t>https://drive.google.com/open?id=1iS-otFFp43T2jrgjWOPBuyOoZtiK6xva</t>
  </si>
  <si>
    <t>https://drive.google.com/open?id=1MwxsvrWu7SA5rU6MAiWqdvPunsxd8KkB</t>
  </si>
  <si>
    <t>Equipo Bold</t>
  </si>
  <si>
    <t>Bold</t>
  </si>
  <si>
    <t>Compra camisa Galleta polo (9)</t>
  </si>
  <si>
    <t>Compra  xl  - 2xl. Cant (2),  S - M - L cant (6)</t>
  </si>
  <si>
    <t>Prendas surtidas $10000 cant(40)</t>
  </si>
  <si>
    <t>Compra buzos col cant(6)</t>
  </si>
  <si>
    <t>Pago gasolina camioneta para compras 10-06-2026</t>
  </si>
  <si>
    <t>Compra blusas(3), blusa pepa(5), pepa chinilla(3), pepa buso(15)</t>
  </si>
  <si>
    <t xml:space="preserve">Compra camisetas </t>
  </si>
  <si>
    <t>Rollos de papel impresora</t>
  </si>
  <si>
    <t>Compra rollos de de papel impresora</t>
  </si>
  <si>
    <t xml:space="preserve">Pago final aviso </t>
  </si>
  <si>
    <t>Acarreo madera</t>
  </si>
  <si>
    <t>Tapete bienvenido</t>
  </si>
  <si>
    <t>Rollos de etiquetas</t>
  </si>
  <si>
    <t>Saldo, vidrios y espejos</t>
  </si>
  <si>
    <t>Decoración Colombia, bombas y demás</t>
  </si>
  <si>
    <t>Soportes para madera</t>
  </si>
  <si>
    <t>Agenda</t>
  </si>
  <si>
    <t>Compra utencilios</t>
  </si>
  <si>
    <t>Compra de accesorios necesarios para el aseo del almacen</t>
  </si>
  <si>
    <t>Compra madera mostradores y punto de venta</t>
  </si>
  <si>
    <t>https://drive.google.com/open?id=15PK0pRY6QHAWofQcFx2lrhMGIXoMyrUi</t>
  </si>
  <si>
    <t>Compra de productos de limpieza, perchero para escobas y otros.</t>
  </si>
  <si>
    <t>https://drive.google.com/open?id=1azQiSPONPWu8GKx5x-7Qz1oa05D-olyw</t>
  </si>
  <si>
    <t>Compra de tornillos para madera, soporte para vestier y fresa recta para madera</t>
  </si>
  <si>
    <t>https://drive.google.com/open?id=1pER4L5VUSlqIPL0ZEKMUtnMKDnlAYB0N</t>
  </si>
  <si>
    <t>Compra de Vasos</t>
  </si>
  <si>
    <t>https://drive.google.com/open?id=1qCjoemtjGFTUJAgdBvcmSg58EM4GViOL</t>
  </si>
  <si>
    <t>Extintor</t>
  </si>
  <si>
    <t>Extintores y nueve avisos de señalización</t>
  </si>
  <si>
    <t>https://drive.google.com/open?id=1DUFJx-19Aq5ixeIUL1HSqpPrAcPbKzXC</t>
  </si>
  <si>
    <t>Botiquin, Extintor</t>
  </si>
  <si>
    <t>Compra extintor y botiquín puesto por Mauricio Garzón</t>
  </si>
  <si>
    <t>Canecas</t>
  </si>
  <si>
    <t>Canica verde y caneca blanca y caneca negra tú estás por Mauricio garzón qué haces señorita</t>
  </si>
  <si>
    <t>Sillas</t>
  </si>
  <si>
    <t>Tres sillas de madera</t>
  </si>
  <si>
    <t>Mercancía inicial puesta por Mauricio garzón</t>
  </si>
  <si>
    <t>https://drive.google.com/open?id=134mb89NTwmNRgjOhKO2hJ_cJtYZKJ3lf</t>
  </si>
  <si>
    <t>Papel higiénico y toallas de papel</t>
  </si>
  <si>
    <t xml:space="preserve">Compra mercancía </t>
  </si>
  <si>
    <t>Compra de mercancia</t>
  </si>
  <si>
    <t>Compra de mercncia</t>
  </si>
  <si>
    <t>Estante</t>
  </si>
  <si>
    <t>Foamy escachado</t>
  </si>
  <si>
    <t>Compra mercancia</t>
  </si>
  <si>
    <t>Categoría</t>
  </si>
  <si>
    <t>Valor (COP)</t>
  </si>
  <si>
    <t>INV INICIAL</t>
  </si>
  <si>
    <t>INV ADICION</t>
  </si>
  <si>
    <t>INV OPCION</t>
  </si>
  <si>
    <t>DINERO</t>
  </si>
  <si>
    <t>INVERSIÓN INICIAL</t>
  </si>
  <si>
    <t>Gancheras</t>
  </si>
  <si>
    <t>TOTAL INVERSIÓN</t>
  </si>
  <si>
    <t>Ventas</t>
  </si>
  <si>
    <t>INVERSION SOCIOS</t>
  </si>
  <si>
    <t>GASTOS FIJOS</t>
  </si>
  <si>
    <t>Arriendo Local</t>
  </si>
  <si>
    <t>Internet</t>
  </si>
  <si>
    <t>Administración</t>
  </si>
  <si>
    <t>Sueldo administrador</t>
  </si>
  <si>
    <t>Sueldo auxiliar</t>
  </si>
  <si>
    <t>TOTAL GASTOS FIJOS</t>
  </si>
  <si>
    <t>VARIABLES DE OPERACIÓN</t>
  </si>
  <si>
    <t>Precio Ticket Promedio</t>
  </si>
  <si>
    <t>Días Abierto al Mes</t>
  </si>
  <si>
    <t>Horario: Lunes a Domingo 9:00 am-8:00 pm</t>
  </si>
  <si>
    <t>Ventas Diarias Estimadas</t>
  </si>
  <si>
    <t>NOMINA</t>
  </si>
  <si>
    <t>Empleados</t>
  </si>
  <si>
    <t>Valor nomina auxiliar</t>
  </si>
  <si>
    <t>Valor nomina administrador</t>
  </si>
  <si>
    <t>GASTOS VARIABLES</t>
  </si>
  <si>
    <t>Luz</t>
  </si>
  <si>
    <t>Agua</t>
  </si>
  <si>
    <t>Consumibles</t>
  </si>
  <si>
    <t>TOTAL GASTOS VARIABLES</t>
  </si>
  <si>
    <t>PROYECCIÓN MENSUAL</t>
  </si>
  <si>
    <t>Ventas mensuales</t>
  </si>
  <si>
    <t>INGRESOS</t>
  </si>
  <si>
    <t>Ingresos Totales</t>
  </si>
  <si>
    <t>EGRESOS</t>
  </si>
  <si>
    <t>Gastos fijos mensuales</t>
  </si>
  <si>
    <t>Gastos variables mensuales</t>
  </si>
  <si>
    <t>Utilidad Neta Mensual</t>
  </si>
  <si>
    <t>Accionistas</t>
  </si>
  <si>
    <t>Utilidad Neta Mensual/Accionistas</t>
  </si>
  <si>
    <t>INDICADORES</t>
  </si>
  <si>
    <t>Punto de Equilibrio $ Ventas mes</t>
  </si>
  <si>
    <t>Punto de Equilibrio $ Ventas dia</t>
  </si>
  <si>
    <t>Punto de Equilibrio # Ventas dia</t>
  </si>
  <si>
    <t>ROI (Meses de recuperación)</t>
  </si>
  <si>
    <t>SUM de Valor Total</t>
  </si>
  <si>
    <t>Alarma antihurto</t>
  </si>
  <si>
    <t>Pin antihurto</t>
  </si>
  <si>
    <t>Piso</t>
  </si>
  <si>
    <t>Botiquin</t>
  </si>
  <si>
    <t>Escobas y traperos</t>
  </si>
  <si>
    <t>Señalizacion</t>
  </si>
  <si>
    <t>Concepto de Uso de Suelo</t>
  </si>
  <si>
    <t>Registro Único Tributario (RUT)</t>
  </si>
  <si>
    <t>Burro</t>
  </si>
  <si>
    <t>Cremallera para Flauta</t>
  </si>
  <si>
    <t>Flautas para Exhibicion</t>
  </si>
  <si>
    <t>Ganchera tripode</t>
  </si>
  <si>
    <t>Ganchos de madera</t>
  </si>
  <si>
    <t>Maniquies cuerpo Completo</t>
  </si>
  <si>
    <t>Maniquies medio cuerpo</t>
  </si>
  <si>
    <t>Mesa para Jeans</t>
  </si>
  <si>
    <t>Mercancia inicial</t>
  </si>
  <si>
    <t>Mercancia Mauricio</t>
  </si>
  <si>
    <t>Cambio de guardas</t>
  </si>
  <si>
    <t>Cortina Negra</t>
  </si>
  <si>
    <t>Especificacion</t>
  </si>
  <si>
    <t>Cantidad</t>
  </si>
  <si>
    <t>Valor Total</t>
  </si>
  <si>
    <t>Fuente</t>
  </si>
  <si>
    <t>Link</t>
  </si>
  <si>
    <t>Clase</t>
  </si>
  <si>
    <t>Valor 1</t>
  </si>
  <si>
    <t>Valor Total 2</t>
  </si>
  <si>
    <t>Fuente 2</t>
  </si>
  <si>
    <t>INVERSION INICIAL</t>
  </si>
  <si>
    <t>PANTALON DAMA</t>
  </si>
  <si>
    <t>INVENTARIOS SIN PAGAR</t>
  </si>
  <si>
    <t>Mostrador Principal (Punto de Pago)</t>
  </si>
  <si>
    <t>Maniquies Blancos cuerpo Completo</t>
  </si>
  <si>
    <t>Maniquies plasticos para Exhibicion</t>
  </si>
  <si>
    <t>https://www.homecenter.com.co/homecenter-co/product/878775/set-de-15-piezas-ganchos-de-ropa-madera-natural/878775/</t>
  </si>
  <si>
    <t>Arreglo de aviso nuevo y reutilizacion del que se tiene</t>
  </si>
  <si>
    <t>Combo Impresora 58mm + Lector Codigo X-718 + Cajon Monede</t>
  </si>
  <si>
    <t>Equipo Bold moderno</t>
  </si>
  <si>
    <t>Registro Único Tributario (RUT) costo 0</t>
  </si>
  <si>
    <t>Matrícula Mercantil (Cámara de Comercio de Bogota)</t>
  </si>
  <si>
    <t>Secretaría Distrital de Planeación (Se consulta en línea), Es el documento más crítico antes de firmar el contrato de arrendamiento. Certifica que en esa dirección específica de Suba está permitido operar un "Lavadero de Vehículos". Si el suelo es estrictamente residencial, no te dejarán abrir.Costo: $0 (Gratuito, se descarga por internet con el CHIP del predio)</t>
  </si>
  <si>
    <t>Jabon piso, limpiavidrios, ambientador</t>
  </si>
  <si>
    <t>Salida de emergencia</t>
  </si>
  <si>
    <t>Esferos, tablas, impresiones, libro</t>
  </si>
  <si>
    <t>Sistema de camaras</t>
  </si>
  <si>
    <t>Alarma Pin Etiqueta Am Antihurto Tienda Ropa X 1000 Unds</t>
  </si>
  <si>
    <t>https://www.homecenter.com.co/homecenter-co/category/cat10662/candados/?kid=dis_adi_1435635&amp;gad_source=1&amp;gad_campaignid=23795319996&amp;gbraid=0AAAAADt6wnoJ5ATpOuCvWSc2VjYD7ZXkR&amp;gclid=CjwKCAjw8uTQBhAdEiwAVvtJyoKJyojXEy2y_DjK7sS4mNBKn8yVvvttGfSm34YsEuaMp2Dz6lf3hBoCyjQQAvD_BwE</t>
  </si>
  <si>
    <t>Pintura Blanca</t>
  </si>
  <si>
    <t>Pintura Amarilla</t>
  </si>
  <si>
    <t>Piso Laminado</t>
  </si>
  <si>
    <t>INVERSION OPCIONAL</t>
  </si>
  <si>
    <t>2 Vidrios vitrinas entrada de 83 cm en vidrio de seguridad de 8 mm</t>
  </si>
  <si>
    <t>Telefono</t>
  </si>
  <si>
    <t>Tarea/observacion</t>
  </si>
  <si>
    <t>Valor 2</t>
  </si>
  <si>
    <t>Arriendo Local 25 metros cuadrados</t>
  </si>
  <si>
    <t>Internet de 900 megas</t>
  </si>
  <si>
    <t>Internet de 900 megas movistar</t>
  </si>
  <si>
    <t>https://solucionesmovilyhogar.com/hogar?gad_source=1&amp;gad_campaignid=22638574230&amp;gbraid=0AAAAA-JBuZhpF13EfpX-c8woTOOPZEJRZ&amp;gclid=CjwKCAjwtIfPBhAzEiwAv9RTJoUE7cL_c3ZNPoNtGFPMOVhliD3aVdMV2p4zjMf7SFBtoiGfyQi0dxoCfigQAvD_BwE</t>
  </si>
  <si>
    <t>Sueldo 7 horas auxiliar tarde</t>
  </si>
  <si>
    <t>Sueldo 3 horas administrador mañana</t>
  </si>
  <si>
    <t>Mauricio Garzon</t>
  </si>
  <si>
    <t>Horario: Lunes a Viernes 10:00 am-9:00 pm Sabado-Domingo 9 am-8:30 pm</t>
  </si>
  <si>
    <t>Ventas diarias estimadas</t>
  </si>
  <si>
    <t>Ventas mensuales estimadas</t>
  </si>
  <si>
    <t>Volumen</t>
  </si>
  <si>
    <t>Valor Unt</t>
  </si>
  <si>
    <t>Gasto: 0.5 kWh de energía por moto.</t>
  </si>
  <si>
    <t>Gasto: 60 Litros por moto. 0,06 m3</t>
  </si>
  <si>
    <t>ok</t>
  </si>
  <si>
    <t xml:space="preserve">RUT </t>
  </si>
  <si>
    <t>nombre</t>
  </si>
  <si>
    <t>tienda.Be casual</t>
  </si>
  <si>
    <t>Vístete para ser tú mismo.</t>
  </si>
  <si>
    <t>Comodidad que se nota. Estilo que se siente.</t>
  </si>
  <si>
    <t>dirección</t>
  </si>
  <si>
    <t>Calle 132 # 92-32</t>
  </si>
  <si>
    <t>celular</t>
  </si>
  <si>
    <t>correo</t>
  </si>
  <si>
    <t>ventas@tiendabecasual.com</t>
  </si>
  <si>
    <t xml:space="preserve">CCB </t>
  </si>
  <si>
    <t>monto</t>
  </si>
  <si>
    <t>2 millones</t>
  </si>
  <si>
    <t xml:space="preserve">CCTV </t>
  </si>
  <si>
    <t>Facturación</t>
  </si>
  <si>
    <t xml:space="preserve">sistema POS </t>
  </si>
  <si>
    <t>Medios de pago</t>
  </si>
  <si>
    <t>Nequi</t>
  </si>
  <si>
    <t>Mauricio</t>
  </si>
  <si>
    <t>Daviplata</t>
  </si>
  <si>
    <t>Diana</t>
  </si>
  <si>
    <t>Addi</t>
  </si>
  <si>
    <t>Yeni</t>
  </si>
  <si>
    <t xml:space="preserve">Sistecredito </t>
  </si>
  <si>
    <t>cuenta ahorros</t>
  </si>
  <si>
    <t>aviso</t>
  </si>
  <si>
    <t>tipo de letra del nombre</t>
  </si>
  <si>
    <t>Montserrat Black o Futura Bold</t>
  </si>
  <si>
    <t>monserrat</t>
  </si>
  <si>
    <t>colores del nombre</t>
  </si>
  <si>
    <t>Negro, Gris y Amarillo</t>
  </si>
  <si>
    <t xml:space="preserve">vidrios </t>
  </si>
  <si>
    <t>pintura</t>
  </si>
  <si>
    <t>madera</t>
  </si>
  <si>
    <t>luces</t>
  </si>
  <si>
    <t xml:space="preserve">maniquíes </t>
  </si>
  <si>
    <t>ganchos</t>
  </si>
  <si>
    <t>Vestier cortinas</t>
  </si>
  <si>
    <t>tubos y soporte de tubos</t>
  </si>
  <si>
    <t>escoba</t>
  </si>
  <si>
    <t>recogedor</t>
  </si>
  <si>
    <t>trapero</t>
  </si>
  <si>
    <t>toallas</t>
  </si>
  <si>
    <t>desinfectante</t>
  </si>
  <si>
    <t>jabón rey</t>
  </si>
  <si>
    <t>Movistar 500 megas ok</t>
  </si>
  <si>
    <t>PANTALON CABALLERO</t>
  </si>
  <si>
    <t>TEJIDO</t>
  </si>
  <si>
    <t>CHAQUETA DAMA</t>
  </si>
  <si>
    <t>MODA OVERSIZE</t>
  </si>
  <si>
    <t>SUDADERAS</t>
  </si>
  <si>
    <t>CHAQUETA CABALLERO</t>
  </si>
  <si>
    <t>BOLSOS</t>
  </si>
  <si>
    <t>CAMISETA POLO CABALLERO</t>
  </si>
  <si>
    <t>PANTALONETAS</t>
  </si>
  <si>
    <t>BLUSAS</t>
  </si>
  <si>
    <t>CHAQUETA MUJER</t>
  </si>
  <si>
    <t>CAMISA DAMA</t>
  </si>
  <si>
    <t>LEGGING</t>
  </si>
  <si>
    <t>CAMISETAS NIÑO</t>
  </si>
  <si>
    <t>MEDIAS</t>
  </si>
  <si>
    <t>ACCESORIOS</t>
  </si>
  <si>
    <t>BIKER</t>
  </si>
  <si>
    <t>FECHA INGRESO</t>
  </si>
  <si>
    <t>SKU</t>
  </si>
  <si>
    <t>CODIGO DE BARRAS</t>
  </si>
  <si>
    <t>NOMBRE COMPLETO</t>
  </si>
  <si>
    <t>PROVEEDOR-MARCA</t>
  </si>
  <si>
    <t>CANTIDAD COMPRA</t>
  </si>
  <si>
    <t>VALOR UNT</t>
  </si>
  <si>
    <t xml:space="preserve">VALOR TOTAL COMPRA </t>
  </si>
  <si>
    <t>PRECIO DE VENTA</t>
  </si>
  <si>
    <t>% MARGEN</t>
  </si>
  <si>
    <t>VALOR TOTAL VENTA</t>
  </si>
  <si>
    <t>1143</t>
  </si>
  <si>
    <t>R TREIK</t>
  </si>
  <si>
    <t>1142</t>
  </si>
  <si>
    <t>1152</t>
  </si>
  <si>
    <t>1146</t>
  </si>
  <si>
    <t>1156</t>
  </si>
  <si>
    <t>1114</t>
  </si>
  <si>
    <t>1145</t>
  </si>
  <si>
    <t>1125</t>
  </si>
  <si>
    <t>1123</t>
  </si>
  <si>
    <t>1122</t>
  </si>
  <si>
    <t>1155</t>
  </si>
  <si>
    <t>1151</t>
  </si>
  <si>
    <t>1113</t>
  </si>
  <si>
    <t>1115</t>
  </si>
  <si>
    <t>1111</t>
  </si>
  <si>
    <t>614531</t>
  </si>
  <si>
    <t>LUZMAR</t>
  </si>
  <si>
    <t>4311626</t>
  </si>
  <si>
    <t>4311618</t>
  </si>
  <si>
    <t>431165</t>
  </si>
  <si>
    <t>4411632</t>
  </si>
  <si>
    <t>526616</t>
  </si>
  <si>
    <t>GOLDTEX</t>
  </si>
  <si>
    <t>526612</t>
  </si>
  <si>
    <t>526613</t>
  </si>
  <si>
    <t>526614</t>
  </si>
  <si>
    <t>526615</t>
  </si>
  <si>
    <t>527515</t>
  </si>
  <si>
    <t>527512</t>
  </si>
  <si>
    <t>527514</t>
  </si>
  <si>
    <t>527513</t>
  </si>
  <si>
    <t>4125131</t>
  </si>
  <si>
    <t>417431</t>
  </si>
  <si>
    <t>5112131</t>
  </si>
  <si>
    <t>1212110</t>
  </si>
  <si>
    <t/>
  </si>
  <si>
    <t>4711600</t>
  </si>
  <si>
    <t>46100</t>
  </si>
  <si>
    <t>46200</t>
  </si>
  <si>
    <t>1438630</t>
  </si>
  <si>
    <t>GORRAS LOS ANGELES</t>
  </si>
  <si>
    <t>14327530</t>
  </si>
  <si>
    <t>1532540</t>
  </si>
  <si>
    <t>BALU BAGS</t>
  </si>
  <si>
    <t>161480</t>
  </si>
  <si>
    <t>161720</t>
  </si>
  <si>
    <t>171460</t>
  </si>
  <si>
    <t>221030</t>
  </si>
  <si>
    <t>171570</t>
  </si>
  <si>
    <t>183130</t>
  </si>
  <si>
    <t>1921180</t>
  </si>
  <si>
    <t>201540</t>
  </si>
  <si>
    <t>203130</t>
  </si>
  <si>
    <t>20100</t>
  </si>
  <si>
    <t>1831320</t>
  </si>
  <si>
    <t>1712150</t>
  </si>
  <si>
    <t>1712710</t>
  </si>
  <si>
    <t>1711820</t>
  </si>
  <si>
    <t>1832740</t>
  </si>
  <si>
    <t>17100</t>
  </si>
  <si>
    <t>171730</t>
  </si>
  <si>
    <t>213860</t>
  </si>
  <si>
    <t>-</t>
  </si>
  <si>
    <t>48300</t>
  </si>
  <si>
    <t>49300</t>
  </si>
  <si>
    <t>2221910</t>
  </si>
  <si>
    <t>502620</t>
  </si>
  <si>
    <t>502600</t>
  </si>
  <si>
    <t>502610</t>
  </si>
  <si>
    <t>2321910</t>
  </si>
  <si>
    <t>222630</t>
  </si>
  <si>
    <t>232630</t>
  </si>
  <si>
    <t>2221780</t>
  </si>
  <si>
    <t>2321780</t>
  </si>
  <si>
    <t>2221330</t>
  </si>
  <si>
    <t>8118130</t>
  </si>
  <si>
    <t>ROSE GARCIA</t>
  </si>
  <si>
    <t>8111230</t>
  </si>
  <si>
    <t>613430</t>
  </si>
  <si>
    <t>51126330</t>
  </si>
  <si>
    <t>715030</t>
  </si>
  <si>
    <t>AKKA SPORT</t>
  </si>
  <si>
    <t>7110830</t>
  </si>
  <si>
    <t>521030</t>
  </si>
  <si>
    <t>2414931</t>
  </si>
  <si>
    <t>DANNSTYLES</t>
  </si>
  <si>
    <t>24125531</t>
  </si>
  <si>
    <t>24125631</t>
  </si>
  <si>
    <t>24113431</t>
  </si>
  <si>
    <t>24118331</t>
  </si>
  <si>
    <t>242331</t>
  </si>
  <si>
    <t>24216531</t>
  </si>
  <si>
    <t>2422640</t>
  </si>
  <si>
    <t>242760</t>
  </si>
  <si>
    <t>242770</t>
  </si>
  <si>
    <t>2422650</t>
  </si>
  <si>
    <t>2422590</t>
  </si>
  <si>
    <t>2118432</t>
  </si>
  <si>
    <t>CREACION DINS CENTROLANDIA</t>
  </si>
  <si>
    <t>2118430</t>
  </si>
  <si>
    <t>2124032</t>
  </si>
  <si>
    <t>2124030</t>
  </si>
  <si>
    <t>2113730</t>
  </si>
  <si>
    <t>2113732</t>
  </si>
  <si>
    <t>25215332</t>
  </si>
  <si>
    <t>KBU DENIM JACKETS</t>
  </si>
  <si>
    <t>25215325</t>
  </si>
  <si>
    <t>25215323</t>
  </si>
  <si>
    <t>25215425</t>
  </si>
  <si>
    <t>25215423</t>
  </si>
  <si>
    <t>25215432</t>
  </si>
  <si>
    <t>25115325</t>
  </si>
  <si>
    <t>25115323</t>
  </si>
  <si>
    <t>25115432</t>
  </si>
  <si>
    <t>25115423</t>
  </si>
  <si>
    <t>25115425</t>
  </si>
  <si>
    <t>25115527</t>
  </si>
  <si>
    <t>25115525</t>
  </si>
  <si>
    <t>11395</t>
  </si>
  <si>
    <t>CONFECCIONES GROWTH</t>
  </si>
  <si>
    <t>11394</t>
  </si>
  <si>
    <t>11392</t>
  </si>
  <si>
    <t>11393</t>
  </si>
  <si>
    <t>11406</t>
  </si>
  <si>
    <t>1119127</t>
  </si>
  <si>
    <t>1119125</t>
  </si>
  <si>
    <t>1119123</t>
  </si>
  <si>
    <t>1119132</t>
  </si>
  <si>
    <t>123913</t>
  </si>
  <si>
    <t>123914</t>
  </si>
  <si>
    <t>123915</t>
  </si>
  <si>
    <t>102023</t>
  </si>
  <si>
    <t>HHR ELIECER HERNANDEZ</t>
  </si>
  <si>
    <t>10215223</t>
  </si>
  <si>
    <t>102025</t>
  </si>
  <si>
    <t>10215225</t>
  </si>
  <si>
    <t>102027</t>
  </si>
  <si>
    <t>102032</t>
  </si>
  <si>
    <t>3811430</t>
  </si>
  <si>
    <t>SAMA</t>
  </si>
  <si>
    <t>615230</t>
  </si>
  <si>
    <t>6118430</t>
  </si>
  <si>
    <t>612430</t>
  </si>
  <si>
    <t>3814730</t>
  </si>
  <si>
    <t>38119930</t>
  </si>
  <si>
    <t>11121625</t>
  </si>
  <si>
    <t>DRAGMA</t>
  </si>
  <si>
    <t>11121627</t>
  </si>
  <si>
    <t>11222032</t>
  </si>
  <si>
    <t>11222027</t>
  </si>
  <si>
    <t>11222025</t>
  </si>
  <si>
    <t>11222023</t>
  </si>
  <si>
    <t>11210827</t>
  </si>
  <si>
    <t>11210825</t>
  </si>
  <si>
    <t>11210823</t>
  </si>
  <si>
    <t>11210832</t>
  </si>
  <si>
    <t>11221827</t>
  </si>
  <si>
    <t>11221825</t>
  </si>
  <si>
    <t>11221823</t>
  </si>
  <si>
    <t>11221832</t>
  </si>
  <si>
    <t>211974</t>
  </si>
  <si>
    <t>R&amp;D</t>
  </si>
  <si>
    <t>211975</t>
  </si>
  <si>
    <t>211973</t>
  </si>
  <si>
    <t>911371</t>
  </si>
  <si>
    <t>911372</t>
  </si>
  <si>
    <t>911374</t>
  </si>
  <si>
    <t>911373</t>
  </si>
  <si>
    <t>25113725</t>
  </si>
  <si>
    <t>MODA FEMENINA</t>
  </si>
  <si>
    <t>25113723</t>
  </si>
  <si>
    <t>25120525</t>
  </si>
  <si>
    <t>MARTINA BENDITA</t>
  </si>
  <si>
    <t>25120523</t>
  </si>
  <si>
    <t>2314534</t>
  </si>
  <si>
    <t>MADRUGON</t>
  </si>
  <si>
    <t>2314532</t>
  </si>
  <si>
    <t>2314523</t>
  </si>
  <si>
    <t>2314530</t>
  </si>
  <si>
    <t>2327625</t>
  </si>
  <si>
    <t>2314525</t>
  </si>
  <si>
    <t>2327623</t>
  </si>
  <si>
    <t>2327632</t>
  </si>
  <si>
    <t>231625</t>
  </si>
  <si>
    <t>231632</t>
  </si>
  <si>
    <t>231623</t>
  </si>
  <si>
    <t>41320230</t>
  </si>
  <si>
    <t>IMPERIO DE LA MODA</t>
  </si>
  <si>
    <t>26320230</t>
  </si>
  <si>
    <t>11220227</t>
  </si>
  <si>
    <t>11220225</t>
  </si>
  <si>
    <t>11220223</t>
  </si>
  <si>
    <t>26110430</t>
  </si>
  <si>
    <t>26210930</t>
  </si>
  <si>
    <t>26210830</t>
  </si>
  <si>
    <t>26213130</t>
  </si>
  <si>
    <t>26218530</t>
  </si>
  <si>
    <t>25221923</t>
  </si>
  <si>
    <t>NOVA W 78</t>
  </si>
  <si>
    <t>25221932</t>
  </si>
  <si>
    <t xml:space="preserve">NOVA W 78 </t>
  </si>
  <si>
    <t>25221925</t>
  </si>
  <si>
    <t>25217532</t>
  </si>
  <si>
    <t>25217523</t>
  </si>
  <si>
    <t>25217525</t>
  </si>
  <si>
    <t>252725</t>
  </si>
  <si>
    <t>CONFECCIONES PERFECT</t>
  </si>
  <si>
    <t>252723</t>
  </si>
  <si>
    <t>252732</t>
  </si>
  <si>
    <t>25221630</t>
  </si>
  <si>
    <t xml:space="preserve">CONFECCIONES PERFECT </t>
  </si>
  <si>
    <t>25214330</t>
  </si>
  <si>
    <t>25214332</t>
  </si>
  <si>
    <t>2526825</t>
  </si>
  <si>
    <t>2526823</t>
  </si>
  <si>
    <t>2526833</t>
  </si>
  <si>
    <t>4124632</t>
  </si>
  <si>
    <t>FIT STYLE</t>
  </si>
  <si>
    <t>4124630</t>
  </si>
  <si>
    <t xml:space="preserve">FIT STYLE </t>
  </si>
  <si>
    <t>417130</t>
  </si>
  <si>
    <t>26112230</t>
  </si>
  <si>
    <t>9124330</t>
  </si>
  <si>
    <t>9124332</t>
  </si>
  <si>
    <t>25120430</t>
  </si>
  <si>
    <t>25127732</t>
  </si>
  <si>
    <t>25127730</t>
  </si>
  <si>
    <t>4125230</t>
  </si>
  <si>
    <t>44116732</t>
  </si>
  <si>
    <t>IMPORTADO</t>
  </si>
  <si>
    <t>44116730</t>
  </si>
  <si>
    <t>31630</t>
  </si>
  <si>
    <t>31632</t>
  </si>
  <si>
    <t>44116930</t>
  </si>
  <si>
    <t>11211328</t>
  </si>
  <si>
    <t>11211324</t>
  </si>
  <si>
    <t>3112630</t>
  </si>
  <si>
    <t>35211429</t>
  </si>
  <si>
    <t>35211424</t>
  </si>
  <si>
    <t>44125023</t>
  </si>
  <si>
    <t>44116823</t>
  </si>
  <si>
    <t>26211529</t>
  </si>
  <si>
    <t>26211524</t>
  </si>
  <si>
    <t>44116623</t>
  </si>
  <si>
    <t>53110230</t>
  </si>
  <si>
    <t>541030</t>
  </si>
  <si>
    <t>39125830</t>
  </si>
  <si>
    <t>TEJIDOS HERAS</t>
  </si>
  <si>
    <t>39118030</t>
  </si>
  <si>
    <t>TEJIDOS GERAS</t>
  </si>
  <si>
    <t>3919730</t>
  </si>
  <si>
    <t xml:space="preserve">TEJIDOS GERAS </t>
  </si>
  <si>
    <t>39123130</t>
  </si>
  <si>
    <t>26123630</t>
  </si>
  <si>
    <t>SAMBA</t>
  </si>
  <si>
    <t>26110830</t>
  </si>
  <si>
    <t xml:space="preserve">SAMBA </t>
  </si>
  <si>
    <t>111830</t>
  </si>
  <si>
    <t>371930</t>
  </si>
  <si>
    <t>1111030</t>
  </si>
  <si>
    <t>3711030</t>
  </si>
  <si>
    <t>11124830</t>
  </si>
  <si>
    <t>27314631</t>
  </si>
  <si>
    <t>DEPORTES</t>
  </si>
  <si>
    <t>27412731</t>
  </si>
  <si>
    <t>2746531</t>
  </si>
  <si>
    <t>27412431</t>
  </si>
  <si>
    <t>2736931</t>
  </si>
  <si>
    <t>24312431</t>
  </si>
  <si>
    <t>24313531</t>
  </si>
  <si>
    <t>25124232</t>
  </si>
  <si>
    <t xml:space="preserve">KING 7 ECUATORIANOS </t>
  </si>
  <si>
    <t>25124225</t>
  </si>
  <si>
    <t>25124227</t>
  </si>
  <si>
    <t>25124223</t>
  </si>
  <si>
    <t>25120027</t>
  </si>
  <si>
    <t>25120032</t>
  </si>
  <si>
    <t>25120023</t>
  </si>
  <si>
    <t>25120025</t>
  </si>
  <si>
    <t>11666</t>
  </si>
  <si>
    <t xml:space="preserve">R TREIK </t>
  </si>
  <si>
    <t>11665</t>
  </si>
  <si>
    <t>11663</t>
  </si>
  <si>
    <t>11662</t>
  </si>
  <si>
    <t>11664</t>
  </si>
  <si>
    <t>1153</t>
  </si>
  <si>
    <t>35211328</t>
  </si>
  <si>
    <t>2832531</t>
  </si>
  <si>
    <t>DIVAS</t>
  </si>
  <si>
    <t>2832631</t>
  </si>
  <si>
    <t>2832731</t>
  </si>
  <si>
    <t>2832831</t>
  </si>
  <si>
    <t>2832931</t>
  </si>
  <si>
    <t>2833031</t>
  </si>
  <si>
    <t>2833131</t>
  </si>
  <si>
    <t>29321331</t>
  </si>
  <si>
    <t>29319231</t>
  </si>
  <si>
    <t>29311731</t>
  </si>
  <si>
    <t>29311631</t>
  </si>
  <si>
    <t>3037931</t>
  </si>
  <si>
    <t>3038031</t>
  </si>
  <si>
    <t>3038131</t>
  </si>
  <si>
    <t>3038231</t>
  </si>
  <si>
    <t>3038331</t>
  </si>
  <si>
    <t>3038431</t>
  </si>
  <si>
    <t>3038531</t>
  </si>
  <si>
    <t>31322431</t>
  </si>
  <si>
    <t>31322531</t>
  </si>
  <si>
    <t>31322631</t>
  </si>
  <si>
    <t>31322731</t>
  </si>
  <si>
    <t>31322831</t>
  </si>
  <si>
    <t>31322931</t>
  </si>
  <si>
    <t>32326731</t>
  </si>
  <si>
    <t>32326831</t>
  </si>
  <si>
    <t>32326931</t>
  </si>
  <si>
    <t>34310531</t>
  </si>
  <si>
    <t>34310631</t>
  </si>
  <si>
    <t>34310731</t>
  </si>
  <si>
    <t>3439831</t>
  </si>
  <si>
    <t>3439931</t>
  </si>
  <si>
    <t>34310031</t>
  </si>
  <si>
    <t>34310131</t>
  </si>
  <si>
    <t>3436731</t>
  </si>
  <si>
    <t>34313931</t>
  </si>
  <si>
    <t>34324131</t>
  </si>
  <si>
    <t>34323331</t>
  </si>
  <si>
    <t>34323431</t>
  </si>
  <si>
    <t>34323531</t>
  </si>
  <si>
    <t>33327831</t>
  </si>
  <si>
    <t>33327931</t>
  </si>
  <si>
    <t>33328031</t>
  </si>
  <si>
    <t>33328131</t>
  </si>
  <si>
    <t>33328231</t>
  </si>
  <si>
    <t>36312331</t>
  </si>
  <si>
    <t>32326631</t>
  </si>
  <si>
    <t>46223031</t>
  </si>
  <si>
    <t>2639327</t>
  </si>
  <si>
    <t>ATHLETIC BODEGA MEDELLÍN</t>
  </si>
  <si>
    <t>2631925</t>
  </si>
  <si>
    <t>2631923</t>
  </si>
  <si>
    <t>2631932</t>
  </si>
  <si>
    <t>2631827</t>
  </si>
  <si>
    <t>2631825</t>
  </si>
  <si>
    <t>2631823</t>
  </si>
  <si>
    <t>2631832</t>
  </si>
  <si>
    <t>2632127</t>
  </si>
  <si>
    <t>2632125</t>
  </si>
  <si>
    <t>2632123</t>
  </si>
  <si>
    <t>2632132</t>
  </si>
  <si>
    <t>2632134</t>
  </si>
  <si>
    <t>2632327</t>
  </si>
  <si>
    <t>2632325</t>
  </si>
  <si>
    <t>2632323</t>
  </si>
  <si>
    <t>2632332</t>
  </si>
  <si>
    <t>11324927</t>
  </si>
  <si>
    <t>11324925</t>
  </si>
  <si>
    <t>11324923</t>
  </si>
  <si>
    <t>11324932</t>
  </si>
  <si>
    <t>1116</t>
  </si>
  <si>
    <t>1112</t>
  </si>
  <si>
    <t>512395</t>
  </si>
  <si>
    <t>512396</t>
  </si>
  <si>
    <t>512394</t>
  </si>
  <si>
    <t>512393</t>
  </si>
  <si>
    <t>1128727</t>
  </si>
  <si>
    <t>ADIDAS</t>
  </si>
  <si>
    <t>1128725</t>
  </si>
  <si>
    <t>1128723</t>
  </si>
  <si>
    <t>1128732</t>
  </si>
  <si>
    <t>1128734</t>
  </si>
  <si>
    <t>114887</t>
  </si>
  <si>
    <t>114888</t>
  </si>
  <si>
    <t>114889</t>
  </si>
  <si>
    <t>1148810</t>
  </si>
  <si>
    <t>1148811</t>
  </si>
  <si>
    <t>1148812</t>
  </si>
  <si>
    <t>1128827</t>
  </si>
  <si>
    <t>1128825</t>
  </si>
  <si>
    <t>1128823</t>
  </si>
  <si>
    <t>1128832</t>
  </si>
  <si>
    <t>1128834</t>
  </si>
  <si>
    <t>1118727</t>
  </si>
  <si>
    <t>1118725</t>
  </si>
  <si>
    <t>1118723</t>
  </si>
  <si>
    <t>1118732</t>
  </si>
  <si>
    <t>11215027</t>
  </si>
  <si>
    <t>11215025</t>
  </si>
  <si>
    <t>11215023</t>
  </si>
  <si>
    <t>11215032</t>
  </si>
  <si>
    <t>4025127</t>
  </si>
  <si>
    <t>DRI-FIT</t>
  </si>
  <si>
    <t>4025125</t>
  </si>
  <si>
    <t>4025123</t>
  </si>
  <si>
    <t>4025132</t>
  </si>
  <si>
    <t>4025134</t>
  </si>
  <si>
    <t>40222327</t>
  </si>
  <si>
    <t>PUMA</t>
  </si>
  <si>
    <t>40222325</t>
  </si>
  <si>
    <t>40222323</t>
  </si>
  <si>
    <t>40222332</t>
  </si>
  <si>
    <t>1123827</t>
  </si>
  <si>
    <t>NIKE</t>
  </si>
  <si>
    <t>1123825</t>
  </si>
  <si>
    <t>1123823</t>
  </si>
  <si>
    <t>1123832</t>
  </si>
  <si>
    <t>1123732</t>
  </si>
  <si>
    <t>1123723</t>
  </si>
  <si>
    <t>11222227</t>
  </si>
  <si>
    <t>11222225</t>
  </si>
  <si>
    <t>11222223</t>
  </si>
  <si>
    <t>11222232</t>
  </si>
  <si>
    <t>11222234</t>
  </si>
  <si>
    <t>40215127</t>
  </si>
  <si>
    <t>40215125</t>
  </si>
  <si>
    <t>40215123</t>
  </si>
  <si>
    <t>40215132</t>
  </si>
  <si>
    <t>4021525</t>
  </si>
  <si>
    <t>4021523</t>
  </si>
  <si>
    <t>4021527</t>
  </si>
  <si>
    <t>4021532</t>
  </si>
  <si>
    <t>40218732</t>
  </si>
  <si>
    <t>40218725</t>
  </si>
  <si>
    <t>40218727</t>
  </si>
  <si>
    <t>11221723</t>
  </si>
  <si>
    <t>PETRO AZUL</t>
  </si>
  <si>
    <t>11221725</t>
  </si>
  <si>
    <t>11221727</t>
  </si>
  <si>
    <t>11221732</t>
  </si>
  <si>
    <t>11117030</t>
  </si>
  <si>
    <t>26117130</t>
  </si>
  <si>
    <t>11126230</t>
  </si>
  <si>
    <t>1116430</t>
  </si>
  <si>
    <t>1112030</t>
  </si>
  <si>
    <t>38117230</t>
  </si>
  <si>
    <t>37117430</t>
  </si>
  <si>
    <t>37117330</t>
  </si>
  <si>
    <t>37127330</t>
  </si>
  <si>
    <t>26319427</t>
  </si>
  <si>
    <t>CREACIONES DANNY - - CLEOTILDE</t>
  </si>
  <si>
    <t>26319425</t>
  </si>
  <si>
    <t>26319423</t>
  </si>
  <si>
    <t>26319432</t>
  </si>
  <si>
    <t>39124730</t>
  </si>
  <si>
    <t>ECUATORIANOS</t>
  </si>
  <si>
    <t>26120730</t>
  </si>
  <si>
    <t>6112530</t>
  </si>
  <si>
    <t>619430</t>
  </si>
  <si>
    <t>2619030</t>
  </si>
  <si>
    <t>2617030</t>
  </si>
  <si>
    <t>1112227</t>
  </si>
  <si>
    <t>RED-PLAY 21</t>
  </si>
  <si>
    <t>1112225</t>
  </si>
  <si>
    <t>1112223</t>
  </si>
  <si>
    <t>1112232</t>
  </si>
  <si>
    <t>1111727</t>
  </si>
  <si>
    <t>1111725</t>
  </si>
  <si>
    <t>1111723</t>
  </si>
  <si>
    <t>1111732</t>
  </si>
  <si>
    <t>11224827</t>
  </si>
  <si>
    <t>11224825</t>
  </si>
  <si>
    <t>11224823</t>
  </si>
  <si>
    <t>11224832</t>
  </si>
  <si>
    <t>55120327</t>
  </si>
  <si>
    <t>55120325</t>
  </si>
  <si>
    <t>55120323</t>
  </si>
  <si>
    <t>55127227</t>
  </si>
  <si>
    <t>55127225</t>
  </si>
  <si>
    <t>55127223</t>
  </si>
  <si>
    <t>11212827</t>
  </si>
  <si>
    <t>11212823</t>
  </si>
  <si>
    <t>11212825</t>
  </si>
  <si>
    <t>11212832</t>
  </si>
  <si>
    <t>40212932</t>
  </si>
  <si>
    <t>40212923</t>
  </si>
  <si>
    <t>40212925</t>
  </si>
  <si>
    <t>40212927</t>
  </si>
  <si>
    <t>40214732</t>
  </si>
  <si>
    <t>40214723</t>
  </si>
  <si>
    <t>40214725</t>
  </si>
  <si>
    <t>40214727</t>
  </si>
  <si>
    <t>4023332</t>
  </si>
  <si>
    <t>4023323</t>
  </si>
  <si>
    <t>4023325</t>
  </si>
  <si>
    <t>4023327</t>
  </si>
  <si>
    <t>2529234</t>
  </si>
  <si>
    <t>MAURICIO</t>
  </si>
  <si>
    <t>25214021</t>
  </si>
  <si>
    <t>25214022</t>
  </si>
  <si>
    <t>25215932</t>
  </si>
  <si>
    <t>25220134</t>
  </si>
  <si>
    <t>25226023</t>
  </si>
  <si>
    <t>MAURICIO-THE NORTH FACE</t>
  </si>
  <si>
    <t>2511134</t>
  </si>
  <si>
    <t>MAURICIO-COLUMBIA</t>
  </si>
  <si>
    <t>2511220</t>
  </si>
  <si>
    <t>40217925</t>
  </si>
  <si>
    <t>MAURICIO-PUMA</t>
  </si>
  <si>
    <t>40217923</t>
  </si>
  <si>
    <t>4024432</t>
  </si>
  <si>
    <t>MAURICIO-NIKE</t>
  </si>
  <si>
    <t>4024425</t>
  </si>
  <si>
    <t>4024427</t>
  </si>
  <si>
    <t>4024434</t>
  </si>
  <si>
    <t>4023532</t>
  </si>
  <si>
    <t>4023523</t>
  </si>
  <si>
    <t>4023525</t>
  </si>
  <si>
    <t>4023527</t>
  </si>
  <si>
    <t>40216321</t>
  </si>
  <si>
    <t>MAURICIO-NBA</t>
  </si>
  <si>
    <t>40216320</t>
  </si>
  <si>
    <t>4025619</t>
  </si>
  <si>
    <t>4025621</t>
  </si>
  <si>
    <t>11115727</t>
  </si>
  <si>
    <t>MAURICIO-ADIDAS</t>
  </si>
  <si>
    <t>11115725</t>
  </si>
  <si>
    <t>11115723</t>
  </si>
  <si>
    <t>11115732</t>
  </si>
  <si>
    <t>11214927</t>
  </si>
  <si>
    <t>11214925</t>
  </si>
  <si>
    <t>40227032</t>
  </si>
  <si>
    <t>40227027</t>
  </si>
  <si>
    <t>40223827</t>
  </si>
  <si>
    <t>40214823</t>
  </si>
  <si>
    <t>40214825</t>
  </si>
  <si>
    <t>40217627</t>
  </si>
  <si>
    <t xml:space="preserve">MAURICIO-ADIDAS </t>
  </si>
  <si>
    <t>40217623</t>
  </si>
  <si>
    <t>40217727</t>
  </si>
  <si>
    <t>40217723</t>
  </si>
  <si>
    <t>1123632</t>
  </si>
  <si>
    <t>11218832</t>
  </si>
  <si>
    <t>11218823</t>
  </si>
  <si>
    <t>11218923</t>
  </si>
  <si>
    <t>11219032</t>
  </si>
  <si>
    <t>4124325</t>
  </si>
  <si>
    <t>4124332</t>
  </si>
  <si>
    <t>41223225</t>
  </si>
  <si>
    <t>41223223</t>
  </si>
  <si>
    <t>4128925</t>
  </si>
  <si>
    <t>1215612</t>
  </si>
  <si>
    <t>1215613</t>
  </si>
  <si>
    <t>1215614</t>
  </si>
  <si>
    <t>1215615</t>
  </si>
  <si>
    <t>1215616</t>
  </si>
  <si>
    <t>4226612</t>
  </si>
  <si>
    <t>4226613</t>
  </si>
  <si>
    <t>4226614</t>
  </si>
  <si>
    <t>4226615</t>
  </si>
  <si>
    <t>4226616</t>
  </si>
  <si>
    <t>42223712</t>
  </si>
  <si>
    <t>42223713</t>
  </si>
  <si>
    <t>42223714</t>
  </si>
  <si>
    <t>42223715</t>
  </si>
  <si>
    <t>42223716</t>
  </si>
  <si>
    <t>42215812</t>
  </si>
  <si>
    <t>42215813</t>
  </si>
  <si>
    <t>42215814</t>
  </si>
  <si>
    <t>42215815</t>
  </si>
  <si>
    <t>42215816</t>
  </si>
  <si>
    <t>127812</t>
  </si>
  <si>
    <t>127813</t>
  </si>
  <si>
    <t>127814</t>
  </si>
  <si>
    <t>127815</t>
  </si>
  <si>
    <t>127816</t>
  </si>
  <si>
    <t>5611930</t>
  </si>
  <si>
    <t>LOS POLACOS (DEISY)</t>
  </si>
  <si>
    <t>5711200</t>
  </si>
  <si>
    <t>571950</t>
  </si>
  <si>
    <t>5712080</t>
  </si>
  <si>
    <t>5812060</t>
  </si>
  <si>
    <t>3111110</t>
  </si>
  <si>
    <t>591550</t>
  </si>
  <si>
    <t>6011030</t>
  </si>
  <si>
    <t>611410</t>
  </si>
  <si>
    <t>471590</t>
  </si>
  <si>
    <t>6211410</t>
  </si>
  <si>
    <t>631420</t>
  </si>
  <si>
    <t>4712570</t>
  </si>
  <si>
    <t>6412450</t>
  </si>
  <si>
    <t>6512530</t>
  </si>
  <si>
    <t>6511190</t>
  </si>
  <si>
    <t>4711100</t>
  </si>
  <si>
    <t>6511380</t>
  </si>
  <si>
    <t>591580</t>
  </si>
  <si>
    <t>5911360</t>
  </si>
  <si>
    <t>5911980</t>
  </si>
  <si>
    <t>661960</t>
  </si>
  <si>
    <t>5611960</t>
  </si>
  <si>
    <t>671530</t>
  </si>
  <si>
    <t>6412440</t>
  </si>
  <si>
    <t>6811610</t>
  </si>
  <si>
    <t>6911440</t>
  </si>
  <si>
    <t>6811620</t>
  </si>
  <si>
    <t>6812610</t>
  </si>
  <si>
    <t>7012100</t>
  </si>
  <si>
    <t>7111300</t>
  </si>
  <si>
    <t>7211640</t>
  </si>
  <si>
    <t>651320</t>
  </si>
  <si>
    <t>6211420</t>
  </si>
  <si>
    <t>6311950</t>
  </si>
  <si>
    <t>7312210</t>
  </si>
  <si>
    <t>5912090</t>
  </si>
  <si>
    <t>5911860</t>
  </si>
  <si>
    <t>5912140</t>
  </si>
  <si>
    <t>7412120</t>
  </si>
  <si>
    <t>CODIGO</t>
  </si>
  <si>
    <t>DESCRIPCION</t>
  </si>
  <si>
    <t>VALOR</t>
  </si>
  <si>
    <t>CODIGOBARRA</t>
  </si>
  <si>
    <t>CANTIDAD ETIQUETAS</t>
  </si>
  <si>
    <t>FECHA CREACION</t>
  </si>
  <si>
    <t>LINEA</t>
  </si>
  <si>
    <t>CATEGORIA</t>
  </si>
  <si>
    <t>GENERO</t>
  </si>
  <si>
    <t>ESTILO-DETALLE</t>
  </si>
  <si>
    <t>COLOR</t>
  </si>
  <si>
    <t>TALLA</t>
  </si>
  <si>
    <t>ROPA DAMA</t>
  </si>
  <si>
    <t>JEANS</t>
  </si>
  <si>
    <t>DAMA</t>
  </si>
  <si>
    <t>4 BOTONES</t>
  </si>
  <si>
    <t>GRIS</t>
  </si>
  <si>
    <t>4 BOTONES SIN BOLSILLO</t>
  </si>
  <si>
    <t>1 BOTON</t>
  </si>
  <si>
    <t>1 BOTON BOTA RECTA</t>
  </si>
  <si>
    <t>NEGRO</t>
  </si>
  <si>
    <t>AZUL</t>
  </si>
  <si>
    <t>BASICA ALGODON</t>
  </si>
  <si>
    <t>VARIOS</t>
  </si>
  <si>
    <t>VA</t>
  </si>
  <si>
    <t>LICRA DEPORTIVA</t>
  </si>
  <si>
    <t>BICICLETERO</t>
  </si>
  <si>
    <t>ALGODON</t>
  </si>
  <si>
    <t>M-L</t>
  </si>
  <si>
    <t>16-S</t>
  </si>
  <si>
    <t>LEGGINS</t>
  </si>
  <si>
    <t>XL</t>
  </si>
  <si>
    <t>ROPA CABALLERO</t>
  </si>
  <si>
    <t>BERMUDAS</t>
  </si>
  <si>
    <t>CABALLERO</t>
  </si>
  <si>
    <t>CAMUFLADO</t>
  </si>
  <si>
    <t>BEIGE</t>
  </si>
  <si>
    <t>CAQUI OSCURO</t>
  </si>
  <si>
    <t>AZUL NOCHE</t>
  </si>
  <si>
    <t>VERDE</t>
  </si>
  <si>
    <t>CLASICA DRILL</t>
  </si>
  <si>
    <t>AZUL CLARO</t>
  </si>
  <si>
    <t>VERDE OSCURO</t>
  </si>
  <si>
    <t>SHORTS</t>
  </si>
  <si>
    <t>SHORT ARO</t>
  </si>
  <si>
    <t>CINTURON ANCHO</t>
  </si>
  <si>
    <t>DRILL</t>
  </si>
  <si>
    <t>PERFUMERIA</t>
  </si>
  <si>
    <t>PERFUMES</t>
  </si>
  <si>
    <t>PINK MINI</t>
  </si>
  <si>
    <t>MAQUILLAJE</t>
  </si>
  <si>
    <t>BRILLO</t>
  </si>
  <si>
    <t>LABIAL</t>
  </si>
  <si>
    <t>SPLASH</t>
  </si>
  <si>
    <t>GORRAS</t>
  </si>
  <si>
    <t>UNISEX</t>
  </si>
  <si>
    <t>COLOMBIA</t>
  </si>
  <si>
    <t>UN</t>
  </si>
  <si>
    <t>MALETAS</t>
  </si>
  <si>
    <t>SPRAY GROUND</t>
  </si>
  <si>
    <t>LLAVEROS</t>
  </si>
  <si>
    <t>BOMBA</t>
  </si>
  <si>
    <t>CEREZAS BRILLANTE</t>
  </si>
  <si>
    <t>BAUL</t>
  </si>
  <si>
    <t>CORREAS</t>
  </si>
  <si>
    <t>CADENA DORADA</t>
  </si>
  <si>
    <t>CARRIEL</t>
  </si>
  <si>
    <t>PECHERAS</t>
  </si>
  <si>
    <t>DIFERENTES MARCAS</t>
  </si>
  <si>
    <t>CANGUROS</t>
  </si>
  <si>
    <t>MIEL</t>
  </si>
  <si>
    <t>FASHION</t>
  </si>
  <si>
    <t>PLAYERO TOUS</t>
  </si>
  <si>
    <t>TULA</t>
  </si>
  <si>
    <t>MANOS LIBRES</t>
  </si>
  <si>
    <t>VALANT</t>
  </si>
  <si>
    <t>ROJO</t>
  </si>
  <si>
    <t>CHAPA DORADA</t>
  </si>
  <si>
    <t>CAJAS REGALO</t>
  </si>
  <si>
    <t>BOLSAS JOYERIA</t>
  </si>
  <si>
    <t>CAJAS JOYERIA</t>
  </si>
  <si>
    <t>MONT BLANC</t>
  </si>
  <si>
    <t>CINTURON+BILLETERA</t>
  </si>
  <si>
    <t>CAJA VERSACE</t>
  </si>
  <si>
    <t>CAJA GUCCI</t>
  </si>
  <si>
    <t>CAJA HERMES</t>
  </si>
  <si>
    <t>BILLETERAS</t>
  </si>
  <si>
    <t>CALVIN KLEIN</t>
  </si>
  <si>
    <t>LOUIS VUITTON</t>
  </si>
  <si>
    <t>FERREGAMO</t>
  </si>
  <si>
    <t>VESTIDOS</t>
  </si>
  <si>
    <t>MANGA LARGA</t>
  </si>
  <si>
    <t>DE TIRAS</t>
  </si>
  <si>
    <t>ASIMETRICA 1 HOMBRO</t>
  </si>
  <si>
    <t>STRAPLE</t>
  </si>
  <si>
    <t>TIRA CUELLO</t>
  </si>
  <si>
    <t>TEJIDOS</t>
  </si>
  <si>
    <t>BOTONES</t>
  </si>
  <si>
    <t>CUELLO REDONDO</t>
  </si>
  <si>
    <t>BATAS TEJIDO</t>
  </si>
  <si>
    <t>BORDADA VALANT</t>
  </si>
  <si>
    <t>TALONERA HOLALA</t>
  </si>
  <si>
    <t>TALONERA TOBILLERA</t>
  </si>
  <si>
    <t>FINA HOLALA</t>
  </si>
  <si>
    <t>MARCADA HOLALA</t>
  </si>
  <si>
    <t>3/4 VALANT</t>
  </si>
  <si>
    <t>LARGA HOLALA</t>
  </si>
  <si>
    <t>TOBILLERA COTLINE</t>
  </si>
  <si>
    <t>CLASICA FINA</t>
  </si>
  <si>
    <t>CLASICAS</t>
  </si>
  <si>
    <t>TOBILLERA GRUESA</t>
  </si>
  <si>
    <t>TERCO NYLON</t>
  </si>
  <si>
    <t>PANTALONES</t>
  </si>
  <si>
    <t>MARIPOSA</t>
  </si>
  <si>
    <t>ROMA</t>
  </si>
  <si>
    <t>GAMUSA</t>
  </si>
  <si>
    <t>CHAQUETAS</t>
  </si>
  <si>
    <t>JEAN CLASICA</t>
  </si>
  <si>
    <t>M</t>
  </si>
  <si>
    <t>L</t>
  </si>
  <si>
    <t>JEAN OVEJERA</t>
  </si>
  <si>
    <t>JEAN TORERA OVEJERA</t>
  </si>
  <si>
    <t>S</t>
  </si>
  <si>
    <t>BAGGI</t>
  </si>
  <si>
    <t>BAGGI CON BRILLANTES</t>
  </si>
  <si>
    <t>CAMISETAS</t>
  </si>
  <si>
    <t>CON BRILLANTES</t>
  </si>
  <si>
    <t>CAMISAS</t>
  </si>
  <si>
    <t>JEAN</t>
  </si>
  <si>
    <t>BODY</t>
  </si>
  <si>
    <t>AFELPADO</t>
  </si>
  <si>
    <t>BRILLANTE</t>
  </si>
  <si>
    <t>AMBAR</t>
  </si>
  <si>
    <t>BODY COSMO</t>
  </si>
  <si>
    <t>OTRA CLASE</t>
  </si>
  <si>
    <t>POLO</t>
  </si>
  <si>
    <t>POLO TIPO GALLETA</t>
  </si>
  <si>
    <t>POLO SEDA FRIA</t>
  </si>
  <si>
    <t>NOCHE</t>
  </si>
  <si>
    <t>FALDAS</t>
  </si>
  <si>
    <t>PAÑO</t>
  </si>
  <si>
    <t>DEPORTIVO</t>
  </si>
  <si>
    <t>IMPERMEABLE</t>
  </si>
  <si>
    <t>XXL</t>
  </si>
  <si>
    <t>VIOTO</t>
  </si>
  <si>
    <t>ROPA OVERSIZE</t>
  </si>
  <si>
    <t>SUDADERA</t>
  </si>
  <si>
    <t>OVERSIZE</t>
  </si>
  <si>
    <t>BUSOS</t>
  </si>
  <si>
    <t>CREMALLERA OVERSIZE</t>
  </si>
  <si>
    <t>CUELLO REDONDO COMBINADO</t>
  </si>
  <si>
    <t>ESTAMPADO</t>
  </si>
  <si>
    <t>MEDIA CREMALLERA COMBINADO</t>
  </si>
  <si>
    <t>POLO SENCILLA</t>
  </si>
  <si>
    <t>LISA ACOLCHADA</t>
  </si>
  <si>
    <t>ABIERTA AIR</t>
  </si>
  <si>
    <t>HUGO BOSS</t>
  </si>
  <si>
    <t>CANGURO AIR</t>
  </si>
  <si>
    <t xml:space="preserve">XL </t>
  </si>
  <si>
    <t>RUNNING</t>
  </si>
  <si>
    <t>CAPRIATY</t>
  </si>
  <si>
    <t>DUO</t>
  </si>
  <si>
    <t>ROTONDA</t>
  </si>
  <si>
    <t>PACIFIC LICRA</t>
  </si>
  <si>
    <t>YOGA LICRA</t>
  </si>
  <si>
    <t>SHORT PACIFIC</t>
  </si>
  <si>
    <t>LICRA</t>
  </si>
  <si>
    <t>LICRAS</t>
  </si>
  <si>
    <t>A RODILLA</t>
  </si>
  <si>
    <t>LICRA CATTO KIEWO</t>
  </si>
  <si>
    <t>DEPORTIVA</t>
  </si>
  <si>
    <t>S-M</t>
  </si>
  <si>
    <t>L-XL</t>
  </si>
  <si>
    <t>ENTERIZO DEPORTIVO</t>
  </si>
  <si>
    <t>DEPORTIVAS</t>
  </si>
  <si>
    <t>SM</t>
  </si>
  <si>
    <t>SHORT</t>
  </si>
  <si>
    <t>LICRA ACANALADA</t>
  </si>
  <si>
    <t>LEGGINS UNICOLOR</t>
  </si>
  <si>
    <t>CORTO</t>
  </si>
  <si>
    <t>CONJUNTO DEPORTIVO</t>
  </si>
  <si>
    <t>SACO</t>
  </si>
  <si>
    <t>TEJIDO RAYAS</t>
  </si>
  <si>
    <t>MANGA CORTA</t>
  </si>
  <si>
    <t>CORAZON LOVE</t>
  </si>
  <si>
    <t>RAYAS COMBINADAS</t>
  </si>
  <si>
    <t>RESORTADO CON CAPOTA</t>
  </si>
  <si>
    <t>ACANALADA</t>
  </si>
  <si>
    <t>ESQUELETO</t>
  </si>
  <si>
    <t>ACANALADO CORTO</t>
  </si>
  <si>
    <t>ACANALADO LARGO</t>
  </si>
  <si>
    <t>SEDA FRIA</t>
  </si>
  <si>
    <t>CANILLERAS</t>
  </si>
  <si>
    <t>IMPORTADA</t>
  </si>
  <si>
    <t>NIÑO</t>
  </si>
  <si>
    <t>EQUIPOS</t>
  </si>
  <si>
    <t>CAMPEON</t>
  </si>
  <si>
    <t>ECONOMICA</t>
  </si>
  <si>
    <t>CANILLERA ADULTO</t>
  </si>
  <si>
    <t>FINA MEDIA</t>
  </si>
  <si>
    <t>ROMBOS</t>
  </si>
  <si>
    <t>OVEJERA CUERINA</t>
  </si>
  <si>
    <t>ANILLOS</t>
  </si>
  <si>
    <t>ANILLO 1</t>
  </si>
  <si>
    <t>ANILLO 2</t>
  </si>
  <si>
    <t>ANILLO 3</t>
  </si>
  <si>
    <t>ANILLO 4</t>
  </si>
  <si>
    <t>ANILLO 5</t>
  </si>
  <si>
    <t>ANILLO 6</t>
  </si>
  <si>
    <t>ANILLO 7</t>
  </si>
  <si>
    <t>CABELLO-ACCESORIOS</t>
  </si>
  <si>
    <t>PINZAS CABELLO</t>
  </si>
  <si>
    <t>MOÑAS COLERA</t>
  </si>
  <si>
    <t>DIADEMA MEDIANA</t>
  </si>
  <si>
    <t>DIADEMA DELGADA</t>
  </si>
  <si>
    <t>COLLAR</t>
  </si>
  <si>
    <t>COLLAR 1</t>
  </si>
  <si>
    <t>COLLAR 2</t>
  </si>
  <si>
    <t>COLLAR 3</t>
  </si>
  <si>
    <t>COLLAR 4</t>
  </si>
  <si>
    <t>COLLAR 5</t>
  </si>
  <si>
    <t>COLLAR 6</t>
  </si>
  <si>
    <t>COLLAR 7</t>
  </si>
  <si>
    <t>PULSERAS</t>
  </si>
  <si>
    <t>PULSERA 1</t>
  </si>
  <si>
    <t>PULSERA 2</t>
  </si>
  <si>
    <t>PULSERA 3</t>
  </si>
  <si>
    <t>PULSERA 4</t>
  </si>
  <si>
    <t>PULSERA 5</t>
  </si>
  <si>
    <t>PULSERA 6</t>
  </si>
  <si>
    <t>TOPOS</t>
  </si>
  <si>
    <t>TOPOS DE SEGURIDAD 1</t>
  </si>
  <si>
    <t>TOPOS DE SEGURIDAD 2</t>
  </si>
  <si>
    <t>TOPOS DE SEGURIDAD 3</t>
  </si>
  <si>
    <t>CANDONGAS</t>
  </si>
  <si>
    <t>CUADRADA 1</t>
  </si>
  <si>
    <t>CUADRADA 2</t>
  </si>
  <si>
    <t>CUADRADA 3</t>
  </si>
  <si>
    <t>CORAZON LOVE 1</t>
  </si>
  <si>
    <t>CORAZON LOVE 2</t>
  </si>
  <si>
    <t>CORAZON LOVE 3</t>
  </si>
  <si>
    <t>CORAZON LOVE 4</t>
  </si>
  <si>
    <t>CANDONGA MEDIANA</t>
  </si>
  <si>
    <t>GRANDE</t>
  </si>
  <si>
    <t>ROMBA</t>
  </si>
  <si>
    <t>REDONDA 1</t>
  </si>
  <si>
    <t>REDONDA 2</t>
  </si>
  <si>
    <t>REDONDA 3</t>
  </si>
  <si>
    <t>ARETES</t>
  </si>
  <si>
    <t>ZARCILLO 1</t>
  </si>
  <si>
    <t>ZARCILLO 2</t>
  </si>
  <si>
    <t>ZARCILLO 3</t>
  </si>
  <si>
    <t>ZARCILLO 4</t>
  </si>
  <si>
    <t>ZARCILLO 5</t>
  </si>
  <si>
    <t>EAR CUFF</t>
  </si>
  <si>
    <t>TOPO SEGURIDAD</t>
  </si>
  <si>
    <t>PULSERA COMBO</t>
  </si>
  <si>
    <t>CON CAPOTA ESTAMPADO CREMALLERA</t>
  </si>
  <si>
    <t>ALGODON CON CAPOTA ESTAMPADO CREMALLERA</t>
  </si>
  <si>
    <t>ALGODON CAPOTA ESTAMPADO</t>
  </si>
  <si>
    <t>ALGODON CUELLO REDONDO ESTAMPADO</t>
  </si>
  <si>
    <t>ALGODON SIN ESTAMPADO</t>
  </si>
  <si>
    <t>SEDA FRÍA</t>
  </si>
  <si>
    <t>RODILLA</t>
  </si>
  <si>
    <t>COLOMBIA 1.1 LOCAL</t>
  </si>
  <si>
    <t>AMARILLO</t>
  </si>
  <si>
    <t>COLOMBIA AAA</t>
  </si>
  <si>
    <t>ITALIA 90</t>
  </si>
  <si>
    <t>CONJUNTO</t>
  </si>
  <si>
    <t>BRASIL AAA</t>
  </si>
  <si>
    <t>PORTUGAL AAA</t>
  </si>
  <si>
    <t>ATLETICO NACIONAL AAA 2026</t>
  </si>
  <si>
    <t>ATLETICO NACIONAL AAA 2025</t>
  </si>
  <si>
    <t>PORTUGAL 1.1 VISITANTE</t>
  </si>
  <si>
    <t>BLANCO</t>
  </si>
  <si>
    <t>JAPON AAA LOCAL</t>
  </si>
  <si>
    <t>ALEMANIA AAA LOCAL</t>
  </si>
  <si>
    <t>MEXICO AAA LOCAL</t>
  </si>
  <si>
    <t>POLO ROMBOS ALGODON</t>
  </si>
  <si>
    <t>LICRADA MANGA CORTA</t>
  </si>
  <si>
    <t>LICRADA MANGA LARGA</t>
  </si>
  <si>
    <t>TIPO GALLETA</t>
  </si>
  <si>
    <t>CAMISETA ESTAMPADO ALGODON LARGA</t>
  </si>
  <si>
    <t>ALGODON CORTA E U</t>
  </si>
  <si>
    <t>LICRADO</t>
  </si>
  <si>
    <t>LICRADO LARGO</t>
  </si>
  <si>
    <t>LICRADO CORTOS</t>
  </si>
  <si>
    <t>UN SOLO HOMBRO</t>
  </si>
  <si>
    <t>MUNDIAL 2026</t>
  </si>
  <si>
    <t>SACO ABIERTO</t>
  </si>
  <si>
    <t>PEPAS CHINILLO</t>
  </si>
  <si>
    <t>ELEGANTE</t>
  </si>
  <si>
    <t>CON PEPAS</t>
  </si>
  <si>
    <t>CON BORDADOS</t>
  </si>
  <si>
    <t>CAPOTA LANA</t>
  </si>
  <si>
    <t>ALGODON OLGADA</t>
  </si>
  <si>
    <t>ALGODON AJUSTADA</t>
  </si>
  <si>
    <t>CROPTOP</t>
  </si>
  <si>
    <t>OVERSIZE DOS ESTAMPADOS</t>
  </si>
  <si>
    <t>UN ESTAMPADO</t>
  </si>
  <si>
    <t>ESPAÑA 1.1 LOCAL</t>
  </si>
  <si>
    <t>ESPAÑA AAA LOCAL</t>
  </si>
  <si>
    <t>INGLATERRA AAA LOCAL</t>
  </si>
  <si>
    <t>ARGENTINA AAA LOCAL</t>
  </si>
  <si>
    <t>CON CAPOTA</t>
  </si>
  <si>
    <t>H M LUN SIN CAPOTA</t>
  </si>
  <si>
    <t>CAFE</t>
  </si>
  <si>
    <t>4XL</t>
  </si>
  <si>
    <t>6XL</t>
  </si>
  <si>
    <t>KAIZHELUN, CON CAPOTA</t>
  </si>
  <si>
    <t>OVEJERA HAN CHENG</t>
  </si>
  <si>
    <t>THE NORTH FACE CON CAPOTA</t>
  </si>
  <si>
    <t>ACOLCHADA</t>
  </si>
  <si>
    <t>ROSADO</t>
  </si>
  <si>
    <t>ACOLCHADA LARGA</t>
  </si>
  <si>
    <t>3XL</t>
  </si>
  <si>
    <t>MANCHESTER CITY AAA LOCAL 2025</t>
  </si>
  <si>
    <t>BARCELONA AAA VISITANTE 2025</t>
  </si>
  <si>
    <t>NARANJA</t>
  </si>
  <si>
    <t>ATLETICO MADRID AAA LOCAL 2025</t>
  </si>
  <si>
    <t>LAKERS</t>
  </si>
  <si>
    <t>BULLS</t>
  </si>
  <si>
    <t>2XL</t>
  </si>
  <si>
    <t>JUNIOR AAA VISITANTE 2024</t>
  </si>
  <si>
    <t>INTER MIAMI 1.1 VISITANTE MESSI</t>
  </si>
  <si>
    <t>TOTTENHAM AAA LOCAL 2025</t>
  </si>
  <si>
    <t>RIVER PLATE AAA LOCAL 2025</t>
  </si>
  <si>
    <t>INTER DE MILAN AAA LOCAL 2025</t>
  </si>
  <si>
    <t>LIVERPOOL AAA LOCAL 2025</t>
  </si>
  <si>
    <t>LIVERPOOL AAA VISITANTE 2025</t>
  </si>
  <si>
    <t>ATLETICO NACIONAL 1.1 LOCAL 2025</t>
  </si>
  <si>
    <t>MILLONARIOS 1.1 LOCAL 2025</t>
  </si>
  <si>
    <t>MILLONARIOS AAA LOCAL 2025</t>
  </si>
  <si>
    <t>MILLONARIOS CAMISA</t>
  </si>
  <si>
    <t>BARCELONA</t>
  </si>
  <si>
    <t>REAL MADRID</t>
  </si>
  <si>
    <t>COLOMBIA CENTENARIO</t>
  </si>
  <si>
    <t>JOGGER</t>
  </si>
  <si>
    <t>RIBETE</t>
  </si>
  <si>
    <t>JUVENIL</t>
  </si>
  <si>
    <t>CLASICO</t>
  </si>
  <si>
    <t>MOÑOS</t>
  </si>
  <si>
    <t>MOÑOS COLOMBIA</t>
  </si>
  <si>
    <t>ENCRESPADOR</t>
  </si>
  <si>
    <t>DOS COLORES</t>
  </si>
  <si>
    <t>CON SIRENA</t>
  </si>
  <si>
    <t>PEPITAS BRILLANTES</t>
  </si>
  <si>
    <t>PAQUETE CAUCHOS</t>
  </si>
  <si>
    <t>DE COLOMBIA</t>
  </si>
  <si>
    <t>CAIMAN</t>
  </si>
  <si>
    <t>BRONCE CAIMAN</t>
  </si>
  <si>
    <t>COSMETIQUERA</t>
  </si>
  <si>
    <t>COSMETIQUERA COLORES</t>
  </si>
  <si>
    <t>BALACA</t>
  </si>
  <si>
    <t>BALACA TELA</t>
  </si>
  <si>
    <t>CAJA GRIS</t>
  </si>
  <si>
    <t>HEBILLA</t>
  </si>
  <si>
    <t>HEBILLA ESTRELLA</t>
  </si>
  <si>
    <t>BAMBA</t>
  </si>
  <si>
    <t>BAMBA SATIN</t>
  </si>
  <si>
    <t>TAPA CONCHA</t>
  </si>
  <si>
    <t>RUBOR</t>
  </si>
  <si>
    <t>RUBOR RIMOCOO</t>
  </si>
  <si>
    <t>SOMBRA</t>
  </si>
  <si>
    <t>SOMBRA BIGCAKE</t>
  </si>
  <si>
    <t>DIY BEAR</t>
  </si>
  <si>
    <t>CUTE RABBIT</t>
  </si>
  <si>
    <t>GIRL POWER - DELICIUS CHEESE</t>
  </si>
  <si>
    <t>CAIMAN BRILLO</t>
  </si>
  <si>
    <t>FLORES PELUCHE Y DEMAS</t>
  </si>
  <si>
    <t>OSCURO CAFE</t>
  </si>
  <si>
    <t>CORRECTOR</t>
  </si>
  <si>
    <t>CONCEDER YEAHKISS</t>
  </si>
  <si>
    <t>NEGRA CAFE BEIGE</t>
  </si>
  <si>
    <t>COLEROS</t>
  </si>
  <si>
    <t>BRILLANTES FIGURAS</t>
  </si>
  <si>
    <t>RUBOR CORAZON</t>
  </si>
  <si>
    <t>LABIAL CORAZON</t>
  </si>
  <si>
    <t>ILUMINADORES</t>
  </si>
  <si>
    <t>ILUMINADORES SKIN</t>
  </si>
  <si>
    <t>LABIAL THE OILY LIPS</t>
  </si>
  <si>
    <t>TINTAS ENGOIL</t>
  </si>
  <si>
    <t>PESTAÑINA</t>
  </si>
  <si>
    <t>PESTAÑINAS PAGEVINE</t>
  </si>
  <si>
    <t>ESPEJO</t>
  </si>
  <si>
    <t>ESPEJOS LOVE</t>
  </si>
  <si>
    <t>LAPIZ</t>
  </si>
  <si>
    <t>LAPIZ UBC</t>
  </si>
  <si>
    <t>APLICADOR SOMBRA</t>
  </si>
  <si>
    <t>HEBILLA NEGRA *3</t>
  </si>
  <si>
    <t>MURANO BRILLOS</t>
  </si>
  <si>
    <t>POLVO</t>
  </si>
  <si>
    <t>POLVO ROSADO</t>
  </si>
  <si>
    <t xml:space="preserve">PEQUEÑO DORADO MURANO </t>
  </si>
  <si>
    <t>MEDIANO MURANO DORADO</t>
  </si>
  <si>
    <t>PLATEADO MEDIANO MURANO</t>
  </si>
  <si>
    <t>PINTUCARA</t>
  </si>
  <si>
    <t>PINTUCARA TRICOLOR</t>
  </si>
  <si>
    <t>LINEAS</t>
  </si>
  <si>
    <t>ID LINEA</t>
  </si>
  <si>
    <t>CATEGORIAS</t>
  </si>
  <si>
    <t>ID CATEGORIA</t>
  </si>
  <si>
    <t>ID ESTILO-DETALLE</t>
  </si>
  <si>
    <t>ID GENERO</t>
  </si>
  <si>
    <t>ID COLOR</t>
  </si>
  <si>
    <t>ID TALLA</t>
  </si>
  <si>
    <t>ID PROVEEDOR</t>
  </si>
  <si>
    <t>DORADO</t>
  </si>
  <si>
    <t>PLATEADO</t>
  </si>
  <si>
    <t>Stock Inicial</t>
  </si>
  <si>
    <t>CALIDAD</t>
  </si>
  <si>
    <t>Costo Compra Unidad</t>
  </si>
  <si>
    <t>Costo Compra Total</t>
  </si>
  <si>
    <t>Precio Venta</t>
  </si>
  <si>
    <t>Margen Bruto</t>
  </si>
  <si>
    <t>valor compra</t>
  </si>
  <si>
    <t>LARGO</t>
  </si>
  <si>
    <t>jean dama gris 4 botones</t>
  </si>
  <si>
    <t>sin bolsillo</t>
  </si>
  <si>
    <t>jean dama gris 1 boton</t>
  </si>
  <si>
    <t>jean dama negro 1 boton</t>
  </si>
  <si>
    <t>bota recta</t>
  </si>
  <si>
    <t>jean dama negro 4 botones</t>
  </si>
  <si>
    <t>jean dama azul 4 botones</t>
  </si>
  <si>
    <t>jean dama azul 1 boton</t>
  </si>
  <si>
    <t xml:space="preserve">jean dama azul 1 boton </t>
  </si>
  <si>
    <t>blusas basicas algodon dama</t>
  </si>
  <si>
    <t>ALGODON DAMA</t>
  </si>
  <si>
    <t xml:space="preserve">bicicletero algodon </t>
  </si>
  <si>
    <t>bicicletero algodon talla M-L</t>
  </si>
  <si>
    <t>bicicletero algodon talla 16-S</t>
  </si>
  <si>
    <t>bicicletero algodon talla 14</t>
  </si>
  <si>
    <t>legins algodon</t>
  </si>
  <si>
    <t>bermuda camuflada caballero</t>
  </si>
  <si>
    <t>bermuda camuflada</t>
  </si>
  <si>
    <t>camuflada bermuda</t>
  </si>
  <si>
    <t>bermuda clasica caballero</t>
  </si>
  <si>
    <t>bermuda drill</t>
  </si>
  <si>
    <t>bermuda clasica</t>
  </si>
  <si>
    <t>short con aro</t>
  </si>
  <si>
    <t>short aro</t>
  </si>
  <si>
    <t>short cinturon ancho</t>
  </si>
  <si>
    <t>cinturon ancho</t>
  </si>
  <si>
    <t>bermuda short dama</t>
  </si>
  <si>
    <t>bermuda short</t>
  </si>
  <si>
    <t>splash pink mini</t>
  </si>
  <si>
    <t>brillo labial dama</t>
  </si>
  <si>
    <t>brillo labial</t>
  </si>
  <si>
    <t>splash dama</t>
  </si>
  <si>
    <t>splash caballero</t>
  </si>
  <si>
    <t>gorras de colombia</t>
  </si>
  <si>
    <t>gorras colombia</t>
  </si>
  <si>
    <t>gorras varios</t>
  </si>
  <si>
    <t>maleta spray ground</t>
  </si>
  <si>
    <t>spray ground</t>
  </si>
  <si>
    <t>llaveros bomba</t>
  </si>
  <si>
    <t>llaveros cerezas brillante</t>
  </si>
  <si>
    <t>cerezas brillante</t>
  </si>
  <si>
    <t>baul negro</t>
  </si>
  <si>
    <t>correas dama</t>
  </si>
  <si>
    <t>bolso cadena dorada</t>
  </si>
  <si>
    <t>cadena dorada</t>
  </si>
  <si>
    <t>carriel adidas</t>
  </si>
  <si>
    <t>pecheras</t>
  </si>
  <si>
    <t>canguro de brillo</t>
  </si>
  <si>
    <t>canguro brillo</t>
  </si>
  <si>
    <t>canguro adidas</t>
  </si>
  <si>
    <t>canguro mujer</t>
  </si>
  <si>
    <t>canguro dama</t>
  </si>
  <si>
    <t>canguro miel</t>
  </si>
  <si>
    <t>carriel hombre fashion</t>
  </si>
  <si>
    <t>carriel fashion</t>
  </si>
  <si>
    <t>bolso playero</t>
  </si>
  <si>
    <t>bolso playero tous</t>
  </si>
  <si>
    <t>tula gris</t>
  </si>
  <si>
    <t>manos libres</t>
  </si>
  <si>
    <t>carriel pequeño valant</t>
  </si>
  <si>
    <t>carriel valant</t>
  </si>
  <si>
    <t>bolso Beige cadena dorada</t>
  </si>
  <si>
    <t>Beige</t>
  </si>
  <si>
    <t>bolso negro</t>
  </si>
  <si>
    <t>bolso rojo</t>
  </si>
  <si>
    <t>bolso Beige chapa dorada</t>
  </si>
  <si>
    <t>chapa dorada</t>
  </si>
  <si>
    <t>cajas de colombia</t>
  </si>
  <si>
    <t>cajas colombia</t>
  </si>
  <si>
    <t>bolsas de joyeria</t>
  </si>
  <si>
    <t>bolsas joyeria</t>
  </si>
  <si>
    <t>cajas de joyeria</t>
  </si>
  <si>
    <t>cajas joyeria</t>
  </si>
  <si>
    <t>cinturon caja mont blanc</t>
  </si>
  <si>
    <t>mont blanc</t>
  </si>
  <si>
    <t>caja cinturon+ billetera versage</t>
  </si>
  <si>
    <t>caja versage</t>
  </si>
  <si>
    <t>caja cinturon+ billetera gucci</t>
  </si>
  <si>
    <t>caja gucci</t>
  </si>
  <si>
    <t>caja cinturon+ billetera hermes</t>
  </si>
  <si>
    <t>caja hermes</t>
  </si>
  <si>
    <t>billetera caja mont blanc</t>
  </si>
  <si>
    <t>cinturon caja clavin cleink</t>
  </si>
  <si>
    <t>clavin cleink</t>
  </si>
  <si>
    <t>billetera caja calvin cleink</t>
  </si>
  <si>
    <t>cinturon caja louis vuitton</t>
  </si>
  <si>
    <t>louis vuitton</t>
  </si>
  <si>
    <t>billetera caja louis vuitton</t>
  </si>
  <si>
    <t>cinturon ferregamo</t>
  </si>
  <si>
    <t>vestido manga larga</t>
  </si>
  <si>
    <t>manga larga</t>
  </si>
  <si>
    <t>vetidos de tiras</t>
  </si>
  <si>
    <t>de tiras</t>
  </si>
  <si>
    <t>blusa asimetrica (1 hombro)</t>
  </si>
  <si>
    <t>1 hombro</t>
  </si>
  <si>
    <t>straple con tira para cuello</t>
  </si>
  <si>
    <t>tira cuello</t>
  </si>
  <si>
    <t>saco tejido botones DA</t>
  </si>
  <si>
    <t>tejido botones</t>
  </si>
  <si>
    <t>saco tejido cuello redondo DA</t>
  </si>
  <si>
    <t>tejido cuello redondo</t>
  </si>
  <si>
    <t>batas tejido DA</t>
  </si>
  <si>
    <t>batas tejido</t>
  </si>
  <si>
    <t>medias bordada valant</t>
  </si>
  <si>
    <t>bordada valant</t>
  </si>
  <si>
    <t>medias talonera dama holala</t>
  </si>
  <si>
    <t>talonera holala</t>
  </si>
  <si>
    <t>medias talonera y tobillera RH12HYD</t>
  </si>
  <si>
    <t>talonera tobillera</t>
  </si>
  <si>
    <t>medias tobillera dama fina holala</t>
  </si>
  <si>
    <t>fina holala</t>
  </si>
  <si>
    <t>medias tobillera marcada holala</t>
  </si>
  <si>
    <t>marcada holala</t>
  </si>
  <si>
    <t>medias 3/4 valant</t>
  </si>
  <si>
    <t>3/4 valant</t>
  </si>
  <si>
    <t>medias larga marcada holala</t>
  </si>
  <si>
    <t>larga holala</t>
  </si>
  <si>
    <t>medias tobillera hombre cotline</t>
  </si>
  <si>
    <t>tobillera cotline</t>
  </si>
  <si>
    <t>medias clasica fina</t>
  </si>
  <si>
    <t>clasica fina</t>
  </si>
  <si>
    <t>medias clasica</t>
  </si>
  <si>
    <t>medias clasicas</t>
  </si>
  <si>
    <t>medias tobillera power gruesa</t>
  </si>
  <si>
    <t>tobillera gruesa</t>
  </si>
  <si>
    <t>medias terco nailon</t>
  </si>
  <si>
    <t>medias nailon</t>
  </si>
  <si>
    <t>pantalon dama mariposa XL</t>
  </si>
  <si>
    <t>pantalon mariposa</t>
  </si>
  <si>
    <t>pantalon dama mariposa UN</t>
  </si>
  <si>
    <t>pantalon dama punta roma XL</t>
  </si>
  <si>
    <t>pantalon roma</t>
  </si>
  <si>
    <t>pantalon dama punta roma UN</t>
  </si>
  <si>
    <t>pantalon dama gamusa UN</t>
  </si>
  <si>
    <t>pantalon gamusa</t>
  </si>
  <si>
    <t>pantalon dama gamusa XL</t>
  </si>
  <si>
    <t>chaqueta jean clasica caballero</t>
  </si>
  <si>
    <t>chaqueta clasica</t>
  </si>
  <si>
    <t xml:space="preserve">chaqueta jean ovejera caballero </t>
  </si>
  <si>
    <t>chaqueta ovejera</t>
  </si>
  <si>
    <t xml:space="preserve">chaqueta jean clasica dama </t>
  </si>
  <si>
    <t>chaqueta jean</t>
  </si>
  <si>
    <t>chaqueta jean ovejera dama</t>
  </si>
  <si>
    <t>chaqueta dama</t>
  </si>
  <si>
    <t>chaqueta jean torera ovejera dama</t>
  </si>
  <si>
    <t>chaqueta torera</t>
  </si>
  <si>
    <t>jean baggie dama</t>
  </si>
  <si>
    <t>jean baggi</t>
  </si>
  <si>
    <t>con brillantes</t>
  </si>
  <si>
    <t>camiseta dama con brillantes</t>
  </si>
  <si>
    <t>jean baggie caballero</t>
  </si>
  <si>
    <t>jean caballero</t>
  </si>
  <si>
    <t>camisa caballero</t>
  </si>
  <si>
    <t>camisa jean caballero</t>
  </si>
  <si>
    <t>camisa jean</t>
  </si>
  <si>
    <t>body afelpado</t>
  </si>
  <si>
    <t>blusa ambar brillante</t>
  </si>
  <si>
    <t>blusa brillante</t>
  </si>
  <si>
    <t>blusas mariposa</t>
  </si>
  <si>
    <t>blusa mariposa</t>
  </si>
  <si>
    <t xml:space="preserve">blusa ambar </t>
  </si>
  <si>
    <t>ambar blusa</t>
  </si>
  <si>
    <t>body cosmo</t>
  </si>
  <si>
    <t>body otra clase</t>
  </si>
  <si>
    <t>otra clase</t>
  </si>
  <si>
    <t xml:space="preserve">polo dama </t>
  </si>
  <si>
    <t>polo dama</t>
  </si>
  <si>
    <t>camisa textura caballero</t>
  </si>
  <si>
    <t>camisa textura</t>
  </si>
  <si>
    <t xml:space="preserve">camiseta caballero </t>
  </si>
  <si>
    <t>polo caballero seda fria</t>
  </si>
  <si>
    <t>polo seda</t>
  </si>
  <si>
    <t>pantalon noche dama</t>
  </si>
  <si>
    <t>pantalon noche</t>
  </si>
  <si>
    <t>falda gamusa dama</t>
  </si>
  <si>
    <t>falda gamusa</t>
  </si>
  <si>
    <t>chaqueta gamusa dama</t>
  </si>
  <si>
    <t>chaqueta gamusa</t>
  </si>
  <si>
    <t>chaqueta paño dama</t>
  </si>
  <si>
    <t>chaquera paño</t>
  </si>
  <si>
    <t>pantalon sudadera impermeable XXL</t>
  </si>
  <si>
    <t>pantalon impermeable</t>
  </si>
  <si>
    <t>pantalon sudadera impermeable equipos</t>
  </si>
  <si>
    <t xml:space="preserve">pantalon sudadera impermeable </t>
  </si>
  <si>
    <t>pantalon sudadera</t>
  </si>
  <si>
    <t>pantalon sudadera vioto</t>
  </si>
  <si>
    <t>pantalon vioto</t>
  </si>
  <si>
    <t>pantalon sudadera impermeable</t>
  </si>
  <si>
    <t>pantalon sudadera algodon</t>
  </si>
  <si>
    <t>pantalon algodon</t>
  </si>
  <si>
    <t>pantalón sudadera oversize combinado</t>
  </si>
  <si>
    <t>pantalon oversize</t>
  </si>
  <si>
    <t>busos oversize</t>
  </si>
  <si>
    <t>buso oversize</t>
  </si>
  <si>
    <t>camiseta polo oversize</t>
  </si>
  <si>
    <t>camiseta oversize</t>
  </si>
  <si>
    <t xml:space="preserve">Buso cremallera dama oversize </t>
  </si>
  <si>
    <t>buso siper</t>
  </si>
  <si>
    <t>Buso cuello redondo combinado</t>
  </si>
  <si>
    <t>buso redondo</t>
  </si>
  <si>
    <t>Buso cuello redondo</t>
  </si>
  <si>
    <t>cuello redondo</t>
  </si>
  <si>
    <t>Buso única estampado</t>
  </si>
  <si>
    <t>buso estampado</t>
  </si>
  <si>
    <t>Buso media cremallera combinado</t>
  </si>
  <si>
    <t>buso media</t>
  </si>
  <si>
    <t xml:space="preserve">chaqueta caballero sencilla polo </t>
  </si>
  <si>
    <t>chaqueta polo</t>
  </si>
  <si>
    <t xml:space="preserve">chaqueta caballero lisa acolchada </t>
  </si>
  <si>
    <t>chaqueta lisa</t>
  </si>
  <si>
    <t xml:space="preserve">chaqueta air abierta </t>
  </si>
  <si>
    <t>ABIERTA air</t>
  </si>
  <si>
    <t>chaqueta Hugo boss</t>
  </si>
  <si>
    <t>chaqueta hugo</t>
  </si>
  <si>
    <t xml:space="preserve">chaqueta Hugo boss </t>
  </si>
  <si>
    <t>chaqueta canguro</t>
  </si>
  <si>
    <t>canguro AIR</t>
  </si>
  <si>
    <t xml:space="preserve">chaqueta canguro </t>
  </si>
  <si>
    <t>short running dama</t>
  </si>
  <si>
    <t>short running</t>
  </si>
  <si>
    <t xml:space="preserve">short running dama </t>
  </si>
  <si>
    <t>short capriaty</t>
  </si>
  <si>
    <t>Buso duo</t>
  </si>
  <si>
    <t>buso duo</t>
  </si>
  <si>
    <t xml:space="preserve">falda rotonda </t>
  </si>
  <si>
    <t>falda rotonda</t>
  </si>
  <si>
    <t>Buso pacific cremallera</t>
  </si>
  <si>
    <t>buso pacific</t>
  </si>
  <si>
    <t>yoga licra dama</t>
  </si>
  <si>
    <t>yoga licra</t>
  </si>
  <si>
    <t>short pacific</t>
  </si>
  <si>
    <t>leggins licra XL</t>
  </si>
  <si>
    <t>leggins licra</t>
  </si>
  <si>
    <t>leggins licra UN</t>
  </si>
  <si>
    <t>licras a rodilla UN</t>
  </si>
  <si>
    <t>licras rodilla</t>
  </si>
  <si>
    <t>licra a rodilla XL</t>
  </si>
  <si>
    <t>leggins licra catto kiewo</t>
  </si>
  <si>
    <t>leggins catto</t>
  </si>
  <si>
    <t>camiseta deportiva caballero</t>
  </si>
  <si>
    <t>camisa deportiva</t>
  </si>
  <si>
    <t>enterizos deportivos largo</t>
  </si>
  <si>
    <t>enterizo largo</t>
  </si>
  <si>
    <t>pantaloneta deportiva caballero</t>
  </si>
  <si>
    <t>pantalon deportivo</t>
  </si>
  <si>
    <t>leggins short</t>
  </si>
  <si>
    <t>leggins licra acanalada</t>
  </si>
  <si>
    <t>leggins acanalada</t>
  </si>
  <si>
    <t>buso deportivo caballero</t>
  </si>
  <si>
    <t>buso deportivo</t>
  </si>
  <si>
    <t>Buso deportivo caballero</t>
  </si>
  <si>
    <t>leggins licra unicolor</t>
  </si>
  <si>
    <t>leggins unicolor</t>
  </si>
  <si>
    <t>enterizos deportivos cortos</t>
  </si>
  <si>
    <t>enterizo corto</t>
  </si>
  <si>
    <t>conjunto deportivo dama</t>
  </si>
  <si>
    <t>conjunto deportivo</t>
  </si>
  <si>
    <t xml:space="preserve">saco tejido rayas </t>
  </si>
  <si>
    <t>saco rayas</t>
  </si>
  <si>
    <t>saco tejido manga corta</t>
  </si>
  <si>
    <t>saco manga</t>
  </si>
  <si>
    <t>saco tejido de corazon</t>
  </si>
  <si>
    <t>saco love</t>
  </si>
  <si>
    <t>saco tejido raya combinada</t>
  </si>
  <si>
    <t>saco combinada</t>
  </si>
  <si>
    <t>Buso resortado con capota dama</t>
  </si>
  <si>
    <t>buso resorte</t>
  </si>
  <si>
    <t>Buso cuello redondo dama</t>
  </si>
  <si>
    <t>buso cuello</t>
  </si>
  <si>
    <t>camiseta acanalada corta</t>
  </si>
  <si>
    <t>camisa acanalada</t>
  </si>
  <si>
    <t>esqueleto acanalado corto</t>
  </si>
  <si>
    <t>camisa corto</t>
  </si>
  <si>
    <t>camiseta acanalada larga</t>
  </si>
  <si>
    <t>camisa larga</t>
  </si>
  <si>
    <t>esqueleto acanalado larga</t>
  </si>
  <si>
    <t>esqueleto acanalado</t>
  </si>
  <si>
    <t>camiseta dama seda fría</t>
  </si>
  <si>
    <t>camisa fria</t>
  </si>
  <si>
    <t>canillera importada</t>
  </si>
  <si>
    <t>canillera equipos niño</t>
  </si>
  <si>
    <t>canillera equipos</t>
  </si>
  <si>
    <t>canillera campeón niño</t>
  </si>
  <si>
    <t>canillera campeon</t>
  </si>
  <si>
    <t>canillera económica niño</t>
  </si>
  <si>
    <t>canillera barata</t>
  </si>
  <si>
    <t>canillera equipo adulto</t>
  </si>
  <si>
    <t>canillera adulto</t>
  </si>
  <si>
    <t>medias de fútbol económica</t>
  </si>
  <si>
    <t>medias futbol</t>
  </si>
  <si>
    <t>medias de fútbol fina</t>
  </si>
  <si>
    <t>fina media</t>
  </si>
  <si>
    <t>chaqueta dama con rombos</t>
  </si>
  <si>
    <t>chaqueta rombos</t>
  </si>
  <si>
    <t>chaqueta ovejera de cuerina</t>
  </si>
  <si>
    <t>chaqueta cuero</t>
  </si>
  <si>
    <t>jean dama camuflado azul</t>
  </si>
  <si>
    <t>jean camuflado</t>
  </si>
  <si>
    <t>pantaloneta deportiva</t>
  </si>
  <si>
    <t>anillos #1</t>
  </si>
  <si>
    <t>anillo 1</t>
  </si>
  <si>
    <t>anillos #2</t>
  </si>
  <si>
    <t>anillo 2</t>
  </si>
  <si>
    <t>anillos #3</t>
  </si>
  <si>
    <t>anillo 3</t>
  </si>
  <si>
    <t>anillos #4</t>
  </si>
  <si>
    <t>anillo 4</t>
  </si>
  <si>
    <t>anillos #5</t>
  </si>
  <si>
    <t>anillo 5</t>
  </si>
  <si>
    <t>anillos #6</t>
  </si>
  <si>
    <t>anillo 6</t>
  </si>
  <si>
    <t>anillos #7</t>
  </si>
  <si>
    <t>anillo 7</t>
  </si>
  <si>
    <t>Pinzas cabello</t>
  </si>
  <si>
    <t>pinzas cabello</t>
  </si>
  <si>
    <t>coleros</t>
  </si>
  <si>
    <t>moñas colera</t>
  </si>
  <si>
    <t>diadema mediana</t>
  </si>
  <si>
    <t>diadema delgada</t>
  </si>
  <si>
    <t>collar+aretes #1</t>
  </si>
  <si>
    <t>collar 1</t>
  </si>
  <si>
    <t>collar+aretes #2</t>
  </si>
  <si>
    <t>collar 2</t>
  </si>
  <si>
    <t>collar+aretes #3</t>
  </si>
  <si>
    <t>collar 3</t>
  </si>
  <si>
    <t>collar+aretes #4</t>
  </si>
  <si>
    <t>collar 4</t>
  </si>
  <si>
    <t>collar+aretes #5</t>
  </si>
  <si>
    <t>collar 5</t>
  </si>
  <si>
    <t>collar+aretes #6</t>
  </si>
  <si>
    <t>collar 6</t>
  </si>
  <si>
    <t>collar+aretes #7</t>
  </si>
  <si>
    <t>collar 7</t>
  </si>
  <si>
    <t>pulsera #1</t>
  </si>
  <si>
    <t>pulsera 1</t>
  </si>
  <si>
    <t>pulsera #2</t>
  </si>
  <si>
    <t>pulsera 2</t>
  </si>
  <si>
    <t>pulsera #3</t>
  </si>
  <si>
    <t>pulsera 3</t>
  </si>
  <si>
    <t>pulsera #4</t>
  </si>
  <si>
    <t>pulsera 4</t>
  </si>
  <si>
    <t>pulsera #5</t>
  </si>
  <si>
    <t>pulsera 5</t>
  </si>
  <si>
    <t>pulsera #6</t>
  </si>
  <si>
    <t>pulsera 6</t>
  </si>
  <si>
    <t>topos de seguridad #1</t>
  </si>
  <si>
    <t>topos 1</t>
  </si>
  <si>
    <t>topos de seguridad #2</t>
  </si>
  <si>
    <t>topos 2</t>
  </si>
  <si>
    <t>topos de seguridad #3</t>
  </si>
  <si>
    <t>topos 3</t>
  </si>
  <si>
    <t>candongas cuadradas #1</t>
  </si>
  <si>
    <t>1 candonga</t>
  </si>
  <si>
    <t>candongas cuadradas #2</t>
  </si>
  <si>
    <t>2 candonga</t>
  </si>
  <si>
    <t>candongas cuadradas #3</t>
  </si>
  <si>
    <t>3 candonga</t>
  </si>
  <si>
    <t>candongas corazon #1</t>
  </si>
  <si>
    <t>love 1</t>
  </si>
  <si>
    <t>candongas corazon #2</t>
  </si>
  <si>
    <t>love 2</t>
  </si>
  <si>
    <t>candongas corazon #3</t>
  </si>
  <si>
    <t>love 3</t>
  </si>
  <si>
    <t>candongas corazon #4</t>
  </si>
  <si>
    <t>love 4</t>
  </si>
  <si>
    <t>candonga mediana</t>
  </si>
  <si>
    <t>candonga grande</t>
  </si>
  <si>
    <t>candonga romba-784</t>
  </si>
  <si>
    <t>candonga romba</t>
  </si>
  <si>
    <t>candonga redonda#1</t>
  </si>
  <si>
    <t>redonda 1</t>
  </si>
  <si>
    <t>candonga redonda#2 -1138</t>
  </si>
  <si>
    <t>redonda 2</t>
  </si>
  <si>
    <t>candonga redonda#3-446</t>
  </si>
  <si>
    <t>redonda 3</t>
  </si>
  <si>
    <t>aretes #1</t>
  </si>
  <si>
    <t>zarcillo 1</t>
  </si>
  <si>
    <t>aretes #2</t>
  </si>
  <si>
    <t>zarcillo 2</t>
  </si>
  <si>
    <t>aretes #3</t>
  </si>
  <si>
    <t>zarcillo 3</t>
  </si>
  <si>
    <t>aretes #4</t>
  </si>
  <si>
    <t>zarcillo 4</t>
  </si>
  <si>
    <t>aretes #5</t>
  </si>
  <si>
    <t>zarcillo 5</t>
  </si>
  <si>
    <t>ear cuff</t>
  </si>
  <si>
    <t>topos</t>
  </si>
  <si>
    <t>topo seguridad</t>
  </si>
  <si>
    <t>Combos Splash+pulsera caballero</t>
  </si>
  <si>
    <t>perfume caballero</t>
  </si>
  <si>
    <t>Combos Splash+pulsera caballero+</t>
  </si>
  <si>
    <t>perfume pulsera</t>
  </si>
  <si>
    <t>Buso algodón básico</t>
  </si>
  <si>
    <t>con capota estampado cremallera</t>
  </si>
  <si>
    <t>capota estampado</t>
  </si>
  <si>
    <t>cuello redondo estampado</t>
  </si>
  <si>
    <t>sin estampado</t>
  </si>
  <si>
    <t>Seda fría</t>
  </si>
  <si>
    <t>1 boton</t>
  </si>
  <si>
    <t xml:space="preserve">jean dama azul 4 botones </t>
  </si>
  <si>
    <t>4 botones</t>
  </si>
  <si>
    <t>bermudas jean dama a rodilla</t>
  </si>
  <si>
    <t>bermuda rodilla</t>
  </si>
  <si>
    <t>camiseta de colombia 1.1 caballero</t>
  </si>
  <si>
    <t>caballero 1</t>
  </si>
  <si>
    <t>colombia 1</t>
  </si>
  <si>
    <t>camiseta de colombia triple A</t>
  </si>
  <si>
    <t>colombia A</t>
  </si>
  <si>
    <t>camiseta de colombia dama triple A</t>
  </si>
  <si>
    <t>dama A</t>
  </si>
  <si>
    <t>camiseta de colombia 1.1 dama</t>
  </si>
  <si>
    <t>dama 1</t>
  </si>
  <si>
    <t>camiseta colombia caballero triple A retro</t>
  </si>
  <si>
    <t>Italia 1990</t>
  </si>
  <si>
    <t>Italia 1991</t>
  </si>
  <si>
    <t>Italia 1992</t>
  </si>
  <si>
    <t>Italia 1993</t>
  </si>
  <si>
    <t>camiseta de colombia caballero triple A</t>
  </si>
  <si>
    <t>colombia azul</t>
  </si>
  <si>
    <t>camiseta colombia caballero triple A negra niño</t>
  </si>
  <si>
    <t>colombia negra</t>
  </si>
  <si>
    <t>conjunto caballero brasil triple A</t>
  </si>
  <si>
    <t>conjunto brasil</t>
  </si>
  <si>
    <t>conjunto caballero portugal triple A</t>
  </si>
  <si>
    <t>conjunto portugal</t>
  </si>
  <si>
    <t>camiseta caballero ATL.nacional triple A</t>
  </si>
  <si>
    <t>mod. 6</t>
  </si>
  <si>
    <t>camiseta caballero ATL.nacional 1.1</t>
  </si>
  <si>
    <t>mod. 5</t>
  </si>
  <si>
    <t>tem. 5</t>
  </si>
  <si>
    <t>camiseta caballero portugal visitante 1.1</t>
  </si>
  <si>
    <t>temp. 2026</t>
  </si>
  <si>
    <t>conjunto caballero japon local triple A</t>
  </si>
  <si>
    <t>temp. 6</t>
  </si>
  <si>
    <t>conjunto caballero alemania visitante triple A</t>
  </si>
  <si>
    <t>conjunto alemania</t>
  </si>
  <si>
    <t>conjunto caballero mexico triple A</t>
  </si>
  <si>
    <t>conjunto mexico</t>
  </si>
  <si>
    <t>CAMISA POLO</t>
  </si>
  <si>
    <t>ROMBOS ALGODON</t>
  </si>
  <si>
    <t>CAMISA POLO TIPO GALLETA</t>
  </si>
  <si>
    <t>CAMISETAS LICRADAS</t>
  </si>
  <si>
    <t>BUSOS LICRADOS</t>
  </si>
  <si>
    <t>CAMISETA TIPO GALLETA</t>
  </si>
  <si>
    <t>CAMISETAS ALGODON LARGA</t>
  </si>
  <si>
    <t>camiseta estampado</t>
  </si>
  <si>
    <t>CAMISETAS EN ALGODON CORTA</t>
  </si>
  <si>
    <t>E U</t>
  </si>
  <si>
    <t>BODY LYCRADO</t>
  </si>
  <si>
    <t>ESQUELETOS LICRADOS LARGOS</t>
  </si>
  <si>
    <t>ESQUELETOS LICRADOS CORTOS</t>
  </si>
  <si>
    <t>ESQUELETOS LICRADOS UN SOLO HOMBRO</t>
  </si>
  <si>
    <t>BUSOS DE COLOMBIA</t>
  </si>
  <si>
    <t>saco abierto</t>
  </si>
  <si>
    <t>BUSO DE PEPAS CHINILLO</t>
  </si>
  <si>
    <t>BLUSAS ELEGANTES</t>
  </si>
  <si>
    <t>blusa elegante</t>
  </si>
  <si>
    <t>BLUSAS CON PEPAS</t>
  </si>
  <si>
    <t>BUSOS DE LANA CERRADO</t>
  </si>
  <si>
    <t>BUSO DE CAPOTA LANA</t>
  </si>
  <si>
    <t>CAMISETA ALGODON OLGADA</t>
  </si>
  <si>
    <t>camiseta olgada</t>
  </si>
  <si>
    <t>CAMISETA ALGODON AJUSTADA LARGA</t>
  </si>
  <si>
    <t>camisa ajustada</t>
  </si>
  <si>
    <t>CAMISETA SEDA FRIA</t>
  </si>
  <si>
    <t>CROPTOP OVERSIZE</t>
  </si>
  <si>
    <t>dos estampados</t>
  </si>
  <si>
    <t>un estampado</t>
  </si>
  <si>
    <t>colombia amarillo</t>
  </si>
  <si>
    <t>camiseta caballero españa 1.1</t>
  </si>
  <si>
    <t>camisa españa</t>
  </si>
  <si>
    <t>conjunto caballero españa triple A</t>
  </si>
  <si>
    <t>españa 6</t>
  </si>
  <si>
    <t>conjunto caballero alemania triple A</t>
  </si>
  <si>
    <t>alemania 6</t>
  </si>
  <si>
    <t>conjunto caballero inglaterra triple A</t>
  </si>
  <si>
    <t>inglaterra 6</t>
  </si>
  <si>
    <t>conjunto caballero argentina triple A</t>
  </si>
  <si>
    <t>conjunto 6</t>
  </si>
  <si>
    <t>chaqueta acolchada verde neon Fashion</t>
  </si>
  <si>
    <t>con capota</t>
  </si>
  <si>
    <t>chaqueta acolchada caballero H.M.LUN</t>
  </si>
  <si>
    <t>H M LUN sin capota</t>
  </si>
  <si>
    <t>chaqueta acolchada doble faz</t>
  </si>
  <si>
    <t>kaizhelun, con capota</t>
  </si>
  <si>
    <t>chaqueta acolchada ovejera Han</t>
  </si>
  <si>
    <t>ovejera han cheng</t>
  </si>
  <si>
    <t>chaqueta acolchada caballero-North</t>
  </si>
  <si>
    <t>the north face, con capota</t>
  </si>
  <si>
    <t>chaqueta acolchada dama</t>
  </si>
  <si>
    <t>chaqueta larga acolchada dama</t>
  </si>
  <si>
    <t>chaqueta larga</t>
  </si>
  <si>
    <t>conjunto caballero manchester city tiple A</t>
  </si>
  <si>
    <t>5 manchester</t>
  </si>
  <si>
    <t>manchester 5</t>
  </si>
  <si>
    <t>conjunto manchester</t>
  </si>
  <si>
    <t>conjunto caballero FCB triple A</t>
  </si>
  <si>
    <t>FCB 5</t>
  </si>
  <si>
    <t>conjunto caballero Atl. Madrid triple AAA</t>
  </si>
  <si>
    <t>atletico madrid</t>
  </si>
  <si>
    <t>conjunto caballero Lakers triple AAA</t>
  </si>
  <si>
    <t>conjunto lakers</t>
  </si>
  <si>
    <t>conjunto caballero BULLS triple AAA</t>
  </si>
  <si>
    <t>conjunto bulls</t>
  </si>
  <si>
    <t>camiseta caballero Junior triple AAA</t>
  </si>
  <si>
    <t>camisaeta junior</t>
  </si>
  <si>
    <t>camiseta caballero Inter Miami CF 1.1</t>
  </si>
  <si>
    <t>inter miami</t>
  </si>
  <si>
    <t>conjunto caballero Tottenham triple AAA</t>
  </si>
  <si>
    <t>conjunto tottenham</t>
  </si>
  <si>
    <t>conjunto caballero River Plate triple AAA</t>
  </si>
  <si>
    <t>river plate</t>
  </si>
  <si>
    <t>conjunto caballero Inter de Milán triple AAA</t>
  </si>
  <si>
    <t>conjunto inder</t>
  </si>
  <si>
    <t>conjunto caballero Liverpool FC triple AAA</t>
  </si>
  <si>
    <t>conjunto liverpool</t>
  </si>
  <si>
    <t>liverpool conjunto</t>
  </si>
  <si>
    <t>atl nacional</t>
  </si>
  <si>
    <t>camiseta caballero Millonarios 1.1</t>
  </si>
  <si>
    <t>camisa millonarios</t>
  </si>
  <si>
    <t>camiseta caballero Millonarios triple AAA</t>
  </si>
  <si>
    <t>millonarios camisa</t>
  </si>
  <si>
    <t>colombia dama</t>
  </si>
  <si>
    <t>colombia caballero</t>
  </si>
  <si>
    <t xml:space="preserve">Sudadera caballero FCB Barcelona triple AAA </t>
  </si>
  <si>
    <t>sudadera barcelona</t>
  </si>
  <si>
    <t xml:space="preserve">Sudadera caballero Atl. de Madrid triple AAA </t>
  </si>
  <si>
    <t>sudadera madrid</t>
  </si>
  <si>
    <t xml:space="preserve">Sudadera caballero Colombia triple AAA </t>
  </si>
  <si>
    <t>sudadera colombia</t>
  </si>
  <si>
    <t>Jean caballero jogger azul</t>
  </si>
  <si>
    <t>jean jogger</t>
  </si>
  <si>
    <t>Jean caballero jogger gris</t>
  </si>
  <si>
    <t>jean gris</t>
  </si>
  <si>
    <t xml:space="preserve">Drill camuflado caballero </t>
  </si>
  <si>
    <t>drill camuflado</t>
  </si>
  <si>
    <t>Drill camuflado caballero</t>
  </si>
  <si>
    <t>Drill caballero ribete o correa</t>
  </si>
  <si>
    <t>drill ribete</t>
  </si>
  <si>
    <t>Drill caballero juvenil</t>
  </si>
  <si>
    <t>drill juvenil</t>
  </si>
  <si>
    <t>Jean caballero clásico azul</t>
  </si>
  <si>
    <t>clasico azul</t>
  </si>
  <si>
    <t>Jean caballero clásico gris</t>
  </si>
  <si>
    <t>clasico gris</t>
  </si>
  <si>
    <t>Jean caballero clásico negro</t>
  </si>
  <si>
    <t>clasico negro</t>
  </si>
  <si>
    <t>Moños colombia</t>
  </si>
  <si>
    <t>encrespador fino-dos colores</t>
  </si>
  <si>
    <t>dos colores</t>
  </si>
  <si>
    <t>encrespador fino-sirena</t>
  </si>
  <si>
    <t>con sirena</t>
  </si>
  <si>
    <t>encrespador fino-pepitas brillantes</t>
  </si>
  <si>
    <t>pepitas brillantes</t>
  </si>
  <si>
    <t>caucho grueso</t>
  </si>
  <si>
    <t>paquete cauchos</t>
  </si>
  <si>
    <t>pulsera tri color</t>
  </si>
  <si>
    <t>de colombia</t>
  </si>
  <si>
    <t>caiman bronce</t>
  </si>
  <si>
    <t>bronce caiman</t>
  </si>
  <si>
    <t>cosmetiquera</t>
  </si>
  <si>
    <t>cosmetiquera colores</t>
  </si>
  <si>
    <t>balaca tela</t>
  </si>
  <si>
    <t>brillo fino caja gris</t>
  </si>
  <si>
    <t>caja gris</t>
  </si>
  <si>
    <t>hebilla estrella</t>
  </si>
  <si>
    <t>bamba satin</t>
  </si>
  <si>
    <t>brillo tapa concha</t>
  </si>
  <si>
    <t>TAPA concha</t>
  </si>
  <si>
    <t>rubor rimocoo</t>
  </si>
  <si>
    <t>sombra bigcake</t>
  </si>
  <si>
    <t>sombra s.f.r. color</t>
  </si>
  <si>
    <t>brillo fresa</t>
  </si>
  <si>
    <t>cute rabbit</t>
  </si>
  <si>
    <t>sombra figura - corazon, torta</t>
  </si>
  <si>
    <t>girl power - delicius cheese</t>
  </si>
  <si>
    <t>caiman brillo</t>
  </si>
  <si>
    <t>caimanes variados</t>
  </si>
  <si>
    <t>flores peluche y demas</t>
  </si>
  <si>
    <t>caimanes carey</t>
  </si>
  <si>
    <t>oscuro cafe</t>
  </si>
  <si>
    <t>corrector conceder</t>
  </si>
  <si>
    <t>conceder yeahkiss</t>
  </si>
  <si>
    <t>moñas cafe</t>
  </si>
  <si>
    <t>negra cafe beige</t>
  </si>
  <si>
    <t>coleros brillantes figuras</t>
  </si>
  <si>
    <t>brillantes figuras</t>
  </si>
  <si>
    <t>rubor corazon</t>
  </si>
  <si>
    <t>Labial corazon kiss</t>
  </si>
  <si>
    <t>Labial corazon</t>
  </si>
  <si>
    <t>iluminadores skin</t>
  </si>
  <si>
    <t>Labial the oily lips</t>
  </si>
  <si>
    <t>tintas engoil</t>
  </si>
  <si>
    <t>pestañinas pagevine</t>
  </si>
  <si>
    <t>espejos love</t>
  </si>
  <si>
    <t>lapiz UBC</t>
  </si>
  <si>
    <t>aplicador sombra</t>
  </si>
  <si>
    <t>hebilla negra *3</t>
  </si>
  <si>
    <t>bamba murano con brillos</t>
  </si>
  <si>
    <t>murano brillos</t>
  </si>
  <si>
    <t>polvo rosado</t>
  </si>
  <si>
    <t>caiman pequeño murano dorado</t>
  </si>
  <si>
    <t xml:space="preserve">pequeño dorado murano </t>
  </si>
  <si>
    <t>caiman mediano murano dorado</t>
  </si>
  <si>
    <t>mediano murano dorado</t>
  </si>
  <si>
    <t>caiman mediano murano plateado</t>
  </si>
  <si>
    <t>plateado mediano murano</t>
  </si>
  <si>
    <t>pintucara tricolor</t>
  </si>
  <si>
    <t>OPCIONES</t>
  </si>
  <si>
    <t>Equipos Hidrolavadoras</t>
  </si>
  <si>
    <t>Hidrolavadora segunda mano</t>
  </si>
  <si>
    <t>Hidrolavadora Ind Interpump Motor Eléctrico Ravel Hp5.5 (Usado)</t>
  </si>
  <si>
    <t>https://articulo.mercadolibre.com.co/MCO-1594314913-hidrolavadora-ind-interpump-motor-electrico-ravel-hp55-_JM?searchVariation=188213632125#polycard_client=search-desktop&amp;searchVariation=188213632125&amp;search_layout=grid&amp;position=8&amp;type=item&amp;tracking_id=085e25f0-715c-4b1e-bb14-cfab4419a807</t>
  </si>
  <si>
    <t>opcion hidrolavadoras</t>
  </si>
  <si>
    <t>Hidrolavadoras Industriales Interpump, Hawk</t>
  </si>
  <si>
    <t>Averiguar</t>
  </si>
  <si>
    <t>Válvula Reguladora (Bypass)</t>
  </si>
  <si>
    <t>Regulador De Presión P/hidrolavadora Hidroherramientas Vr-56</t>
  </si>
  <si>
    <t>Regulador De Presión P/hidrolavadora Hidroherramientas Vr-56 | Cuotas sin interés</t>
  </si>
  <si>
    <t>Ya no son necesarios dado q la bomba ya lo trae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</si>
</sst>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h:mm:ss"/>
    <numFmt numFmtId="165" formatCode="[$ $]#,##0"/>
    <numFmt numFmtId="166" formatCode="#,##0.00;(#,##0.00)"/>
    <numFmt numFmtId="167" formatCode="0.0"/>
    <numFmt numFmtId="168" formatCode="dd/mm/yyyy"/>
    <numFmt numFmtId="169" formatCode="d/MM/yyyy"/>
  </numFmts>
  <fonts count="12">
    <font>
      <sz val="10.0"/>
      <color rgb="FF000000"/>
      <name val="Arial"/>
      <scheme val="minor"/>
    </font>
    <font>
      <color theme="1"/>
      <name val="Montserrat"/>
    </font>
    <font>
      <color theme="1"/>
      <name val="Arial"/>
      <scheme val="minor"/>
    </font>
    <font>
      <u/>
      <color rgb="FF0000FF"/>
      <name val="Roboto"/>
    </font>
    <font>
      <b/>
      <color theme="1"/>
      <name val="Arial"/>
      <scheme val="minor"/>
    </font>
    <font>
      <b/>
      <color rgb="FFFFFFFF"/>
      <name val="Montserrat"/>
    </font>
    <font>
      <b/>
      <color theme="1"/>
      <name val="Montserrat"/>
    </font>
    <font>
      <color rgb="FFFFFFFF"/>
      <name val="Montserrat"/>
    </font>
    <font>
      <u/>
      <color rgb="FF0000FF"/>
      <name val="Montserrat"/>
    </font>
    <font>
      <u/>
      <color rgb="FF0000FF"/>
      <name val="Montserrat"/>
    </font>
    <font>
      <color theme="1"/>
      <name val="Libre Barcode 39"/>
    </font>
    <font>
      <color theme="1"/>
      <name val="Arial"/>
    </font>
  </fonts>
  <fills count="12">
    <fill>
      <patternFill patternType="none"/>
    </fill>
    <fill>
      <patternFill patternType="lightGray"/>
    </fill>
    <fill>
      <patternFill patternType="solid">
        <fgColor rgb="FF073763"/>
        <bgColor rgb="FF073763"/>
      </patternFill>
    </fill>
    <fill>
      <patternFill patternType="solid">
        <fgColor rgb="FF1C4587"/>
        <bgColor rgb="FF1C4587"/>
      </patternFill>
    </fill>
    <fill>
      <patternFill patternType="solid">
        <fgColor rgb="FFFFFF00"/>
        <bgColor rgb="FFFFFF00"/>
      </patternFill>
    </fill>
    <fill>
      <patternFill patternType="solid">
        <fgColor rgb="FF38761D"/>
        <bgColor rgb="FF38761D"/>
      </patternFill>
    </fill>
    <fill>
      <patternFill patternType="solid">
        <fgColor rgb="FFFFFFFF"/>
        <bgColor rgb="FFFFFFFF"/>
      </patternFill>
    </fill>
    <fill>
      <patternFill patternType="solid">
        <fgColor rgb="FF4A86E8"/>
        <bgColor rgb="FF4A86E8"/>
      </patternFill>
    </fill>
    <fill>
      <patternFill patternType="solid">
        <fgColor rgb="FF00FFFF"/>
        <bgColor rgb="FF00FFFF"/>
      </patternFill>
    </fill>
    <fill>
      <patternFill patternType="solid">
        <fgColor rgb="FFF8F9FA"/>
        <bgColor rgb="FFF8F9FA"/>
      </patternFill>
    </fill>
    <fill>
      <patternFill patternType="solid">
        <fgColor theme="0"/>
        <bgColor theme="0"/>
      </patternFill>
    </fill>
    <fill>
      <patternFill patternType="solid">
        <fgColor rgb="FFFF00FF"/>
        <bgColor rgb="FFFF00FF"/>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Font="1"/>
    <xf borderId="0" fillId="0" fontId="1" numFmtId="165" xfId="0" applyFont="1" applyNumberFormat="1"/>
    <xf borderId="0" fillId="0" fontId="1" numFmtId="165" xfId="0" applyAlignment="1" applyFont="1" applyNumberFormat="1">
      <alignment readingOrder="0"/>
    </xf>
    <xf borderId="0" fillId="0" fontId="1" numFmtId="0" xfId="0" applyAlignment="1" applyFont="1">
      <alignment readingOrder="0"/>
    </xf>
    <xf borderId="0" fillId="0" fontId="1" numFmtId="10" xfId="0" applyFont="1" applyNumberFormat="1"/>
    <xf borderId="0" fillId="0" fontId="1" numFmtId="165" xfId="0" applyFont="1" applyNumberFormat="1"/>
    <xf borderId="0" fillId="0" fontId="1" numFmtId="0" xfId="0" applyAlignment="1" applyFont="1">
      <alignment horizontal="left" readingOrder="0" shrinkToFit="0" vertical="center" wrapText="0"/>
    </xf>
    <xf borderId="0" fillId="0" fontId="1" numFmtId="165" xfId="0" applyAlignment="1" applyFont="1" applyNumberForma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Font="1"/>
    <xf borderId="0" fillId="0" fontId="3" numFmtId="0" xfId="0" applyAlignment="1" applyFont="1">
      <alignment readingOrder="0" shrinkToFit="0" vertical="center" wrapText="0"/>
    </xf>
    <xf borderId="0" fillId="0" fontId="2" numFmtId="166" xfId="0" applyFont="1" applyNumberFormat="1"/>
    <xf borderId="0" fillId="0" fontId="4" numFmtId="0" xfId="0" applyAlignment="1" applyFont="1">
      <alignment readingOrder="0"/>
    </xf>
    <xf borderId="0" fillId="0" fontId="4" numFmtId="166" xfId="0" applyAlignment="1" applyFont="1" applyNumberFormat="1">
      <alignment readingOrder="0"/>
    </xf>
    <xf borderId="0" fillId="0" fontId="4" numFmtId="166" xfId="0" applyFont="1" applyNumberFormat="1"/>
    <xf borderId="0" fillId="0" fontId="2" numFmtId="165" xfId="0" applyFont="1" applyNumberFormat="1"/>
    <xf borderId="0" fillId="2" fontId="5" numFmtId="0" xfId="0" applyAlignment="1" applyFill="1" applyFont="1">
      <alignment readingOrder="0"/>
    </xf>
    <xf borderId="0" fillId="2" fontId="5" numFmtId="165" xfId="0" applyAlignment="1" applyFont="1" applyNumberFormat="1">
      <alignment readingOrder="0"/>
    </xf>
    <xf borderId="0" fillId="0" fontId="1" numFmtId="167" xfId="0" applyFont="1" applyNumberFormat="1"/>
    <xf borderId="0" fillId="0" fontId="1" numFmtId="9" xfId="0" applyAlignment="1" applyFont="1" applyNumberFormat="1">
      <alignment readingOrder="0"/>
    </xf>
    <xf borderId="0" fillId="0" fontId="6" numFmtId="0" xfId="0" applyAlignment="1" applyFont="1">
      <alignment readingOrder="0"/>
    </xf>
    <xf borderId="0" fillId="0" fontId="6" numFmtId="3" xfId="0" applyAlignment="1" applyFont="1" applyNumberFormat="1">
      <alignment readingOrder="0"/>
    </xf>
    <xf borderId="0" fillId="0" fontId="6" numFmtId="165" xfId="0" applyAlignment="1" applyFont="1" applyNumberFormat="1">
      <alignment readingOrder="0"/>
    </xf>
    <xf borderId="0" fillId="2" fontId="5" numFmtId="10" xfId="0" applyAlignment="1" applyFont="1" applyNumberFormat="1">
      <alignment readingOrder="0"/>
    </xf>
    <xf borderId="0" fillId="3" fontId="7" numFmtId="0" xfId="0" applyAlignment="1" applyFill="1" applyFont="1">
      <alignment readingOrder="0"/>
    </xf>
    <xf borderId="0" fillId="3" fontId="7" numFmtId="165"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8" numFmtId="165" xfId="0" applyAlignment="1" applyFont="1" applyNumberFormat="1">
      <alignment readingOrder="0"/>
    </xf>
    <xf borderId="0" fillId="4" fontId="1" numFmtId="0" xfId="0" applyFill="1" applyFont="1"/>
    <xf borderId="0" fillId="0" fontId="1" numFmtId="168" xfId="0" applyAlignment="1" applyFont="1" applyNumberFormat="1">
      <alignment readingOrder="0"/>
    </xf>
    <xf borderId="0" fillId="0" fontId="9" numFmtId="0" xfId="0" applyAlignment="1" applyFont="1">
      <alignment readingOrder="0"/>
    </xf>
    <xf borderId="0" fillId="3" fontId="5" numFmtId="0" xfId="0" applyAlignment="1" applyFont="1">
      <alignment readingOrder="0"/>
    </xf>
    <xf borderId="0" fillId="0" fontId="6" numFmtId="165" xfId="0" applyFont="1" applyNumberFormat="1"/>
    <xf borderId="0" fillId="0" fontId="6" numFmtId="10" xfId="0" applyFont="1" applyNumberFormat="1"/>
    <xf borderId="0" fillId="0" fontId="6" numFmtId="0" xfId="0" applyFont="1"/>
    <xf borderId="0" fillId="0" fontId="6" numFmtId="3" xfId="0" applyFont="1" applyNumberFormat="1"/>
    <xf borderId="0" fillId="0" fontId="6" numFmtId="9" xfId="0" applyAlignment="1" applyFont="1" applyNumberFormat="1">
      <alignment readingOrder="0"/>
    </xf>
    <xf borderId="0" fillId="0" fontId="1" numFmtId="10" xfId="0" applyAlignment="1" applyFont="1" applyNumberFormat="1">
      <alignment readingOrder="0"/>
    </xf>
    <xf borderId="0" fillId="0" fontId="5" numFmtId="0" xfId="0" applyAlignment="1" applyFont="1">
      <alignment readingOrder="0" shrinkToFit="0" wrapText="1"/>
    </xf>
    <xf borderId="0" fillId="0" fontId="6" numFmtId="0" xfId="0" applyAlignment="1" applyFont="1">
      <alignment readingOrder="0" shrinkToFit="0" wrapText="1"/>
    </xf>
    <xf borderId="0" fillId="0" fontId="5" numFmtId="3" xfId="0" applyAlignment="1" applyFont="1" applyNumberFormat="1">
      <alignment readingOrder="0" shrinkToFit="0" wrapText="1"/>
    </xf>
    <xf borderId="0" fillId="0" fontId="6" numFmtId="165" xfId="0" applyAlignment="1" applyFont="1" applyNumberFormat="1">
      <alignment readingOrder="0" shrinkToFit="0" wrapText="1"/>
    </xf>
    <xf borderId="0" fillId="3" fontId="5" numFmtId="0" xfId="0" applyAlignment="1" applyFont="1">
      <alignment readingOrder="0" shrinkToFit="0" wrapText="1"/>
    </xf>
    <xf borderId="0" fillId="3" fontId="5" numFmtId="3" xfId="0" applyAlignment="1" applyFont="1" applyNumberFormat="1">
      <alignment readingOrder="0" shrinkToFit="0" wrapText="1"/>
    </xf>
    <xf borderId="0" fillId="5" fontId="5" numFmtId="0" xfId="0" applyAlignment="1" applyFill="1" applyFont="1">
      <alignment readingOrder="0" shrinkToFit="0" wrapText="1"/>
    </xf>
    <xf borderId="0" fillId="6" fontId="1" numFmtId="169" xfId="0" applyAlignment="1" applyFill="1" applyFont="1" applyNumberFormat="1">
      <alignment readingOrder="0"/>
    </xf>
    <xf borderId="0" fillId="6" fontId="1" numFmtId="0" xfId="0" applyFont="1"/>
    <xf borderId="0" fillId="0" fontId="6" numFmtId="0" xfId="0" applyAlignment="1" applyFont="1">
      <alignment horizontal="right" readingOrder="0"/>
    </xf>
    <xf borderId="0" fillId="7" fontId="5" numFmtId="0" xfId="0" applyAlignment="1" applyFill="1" applyFont="1">
      <alignment readingOrder="0" shrinkToFit="0" wrapText="1"/>
    </xf>
    <xf borderId="0" fillId="7" fontId="7" numFmtId="0" xfId="0" applyAlignment="1" applyFont="1">
      <alignment readingOrder="0" shrinkToFit="0" wrapText="1"/>
    </xf>
    <xf borderId="0" fillId="0" fontId="1" numFmtId="0" xfId="0" applyAlignment="1" applyFont="1">
      <alignment horizontal="right" readingOrder="0"/>
    </xf>
    <xf borderId="0" fillId="0" fontId="1" numFmtId="0" xfId="0" applyAlignment="1" applyFont="1">
      <alignment vertical="bottom"/>
    </xf>
    <xf borderId="0" fillId="4" fontId="6" numFmtId="0" xfId="0" applyAlignment="1" applyFont="1">
      <alignment readingOrder="0"/>
    </xf>
    <xf borderId="0" fillId="4" fontId="6" numFmtId="0" xfId="0" applyAlignment="1" applyFont="1">
      <alignment horizontal="right" readingOrder="0"/>
    </xf>
    <xf borderId="0" fillId="8" fontId="1" numFmtId="0" xfId="0" applyAlignment="1" applyFill="1" applyFont="1">
      <alignment readingOrder="0"/>
    </xf>
    <xf borderId="0" fillId="4" fontId="1" numFmtId="165" xfId="0" applyFont="1" applyNumberFormat="1"/>
    <xf borderId="0" fillId="0" fontId="2" numFmtId="0" xfId="0" applyAlignment="1" applyFont="1">
      <alignment readingOrder="0"/>
    </xf>
    <xf borderId="0" fillId="0" fontId="2" numFmtId="0" xfId="0" applyAlignment="1" applyFont="1">
      <alignment horizontal="right" readingOrder="0"/>
    </xf>
    <xf borderId="0" fillId="0" fontId="10" numFmtId="0" xfId="0" applyFont="1"/>
    <xf borderId="0" fillId="9" fontId="1" numFmtId="0" xfId="0" applyAlignment="1" applyFill="1" applyFont="1">
      <alignment readingOrder="0"/>
    </xf>
    <xf borderId="0" fillId="6" fontId="1" numFmtId="165" xfId="0" applyAlignment="1" applyFont="1" applyNumberFormat="1">
      <alignment readingOrder="0"/>
    </xf>
    <xf borderId="0" fillId="9" fontId="1" numFmtId="165" xfId="0" applyAlignment="1" applyFont="1" applyNumberFormat="1">
      <alignment readingOrder="0"/>
    </xf>
    <xf borderId="0" fillId="10" fontId="1" numFmtId="165" xfId="0" applyAlignment="1" applyFill="1" applyFont="1" applyNumberFormat="1">
      <alignment readingOrder="0"/>
    </xf>
    <xf borderId="0" fillId="8" fontId="1" numFmtId="0" xfId="0" applyAlignment="1" applyFont="1">
      <alignment readingOrder="0" shrinkToFit="0" wrapText="1"/>
    </xf>
    <xf borderId="0" fillId="0" fontId="1" numFmtId="0" xfId="0" applyAlignment="1" applyFont="1">
      <alignment readingOrder="0" shrinkToFit="0" wrapText="1"/>
    </xf>
    <xf borderId="0" fillId="4" fontId="1" numFmtId="165" xfId="0" applyAlignment="1" applyFont="1" applyNumberFormat="1">
      <alignment readingOrder="0"/>
    </xf>
    <xf borderId="0" fillId="4" fontId="1" numFmtId="0" xfId="0" applyAlignment="1" applyFont="1">
      <alignment readingOrder="0"/>
    </xf>
    <xf borderId="0" fillId="0" fontId="11" numFmtId="0" xfId="0" applyAlignment="1" applyFont="1">
      <alignment vertical="bottom"/>
    </xf>
    <xf borderId="0" fillId="11" fontId="1" numFmtId="0" xfId="0" applyAlignment="1" applyFill="1" applyFont="1">
      <alignment readingOrder="0"/>
    </xf>
  </cellXfs>
  <cellStyles count="1">
    <cellStyle xfId="0" name="Normal" builtinId="0"/>
  </cellStyles>
  <dxfs count="6">
    <dxf>
      <font/>
      <fill>
        <patternFill patternType="none"/>
      </fill>
      <border/>
    </dxf>
    <dxf>
      <font/>
      <fill>
        <patternFill patternType="solid">
          <fgColor rgb="FF073763"/>
          <bgColor rgb="FF073763"/>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073763"/>
        </left>
        <right style="thin">
          <color rgb="FF073763"/>
        </right>
        <top style="thin">
          <color rgb="FF073763"/>
        </top>
        <bottom style="thin">
          <color rgb="FF073763"/>
        </bottom>
      </border>
    </dxf>
    <dxf>
      <font/>
      <fill>
        <patternFill patternType="solid">
          <fgColor rgb="FFB7E1CD"/>
          <bgColor rgb="FFB7E1CD"/>
        </patternFill>
      </fill>
      <border/>
    </dxf>
  </dxfs>
  <tableStyles count="1">
    <tableStyle count="4" pivot="0" name="FORMUL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8</xdr:row>
      <xdr:rowOff>76200</xdr:rowOff>
    </xdr:from>
    <xdr:ext cx="1743075" cy="457200"/>
    <xdr:sp>
      <xdr:nvSpPr>
        <xdr:cNvPr id="3" name="Shape 3"/>
        <xdr:cNvSpPr/>
      </xdr:nvSpPr>
      <xdr:spPr>
        <a:xfrm>
          <a:off x="1247525" y="603325"/>
          <a:ext cx="1728000" cy="4398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200">
              <a:latin typeface="Montserrat"/>
              <a:ea typeface="Montserrat"/>
              <a:cs typeface="Montserrat"/>
              <a:sym typeface="Montserrat"/>
            </a:rPr>
            <a:t>Imprimir Etiqueta</a:t>
          </a:r>
          <a:endParaRPr b="1" sz="1200">
            <a:latin typeface="Montserrat"/>
            <a:ea typeface="Montserrat"/>
            <a:cs typeface="Montserrat"/>
            <a:sym typeface="Montserrat"/>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240" sheet="FORMULARIO"/>
  </cacheSource>
  <cacheFields>
    <cacheField name="Marca temporal" numFmtId="164">
      <sharedItems containsDate="1" containsString="0" containsBlank="1">
        <d v="2026-05-29T12:12:05Z"/>
        <d v="2026-05-29T12:13:04Z"/>
        <d v="2026-05-29T12:16:33Z"/>
        <d v="2026-05-30T07:57:29Z"/>
        <d v="2026-05-30T10:00:06Z"/>
        <d v="2026-05-30T10:01:23Z"/>
        <d v="2026-05-30T10:03:12Z"/>
        <d v="2026-05-30T10:04:22Z"/>
        <d v="2026-05-30T10:08:38Z"/>
        <d v="2026-05-30T19:01:41Z"/>
        <d v="2026-05-30T19:03:28Z"/>
        <d v="2026-05-30T19:05:34Z"/>
        <d v="2026-05-30T19:08:05Z"/>
        <d v="2026-05-30T19:19:40Z"/>
        <d v="2026-06-01T10:16:14Z"/>
        <d v="2026-06-01T10:19:15Z"/>
        <d v="2026-06-01T14:18:13Z"/>
        <d v="2026-06-01T15:12:46Z"/>
        <d v="2026-06-01T15:14:47Z"/>
        <d v="2026-06-01T15:18:39Z"/>
        <d v="2026-06-01T15:22:28Z"/>
        <d v="2026-06-01T15:25:27Z"/>
        <d v="2026-06-01T15:27:34Z"/>
        <d v="2026-06-03T03:53:01Z"/>
        <d v="2026-06-03T03:56:38Z"/>
        <d v="2026-06-03T03:59:00Z"/>
        <d v="2026-06-03T04:01:19Z"/>
        <d v="2026-06-03T04:05:12Z"/>
        <d v="2026-06-03T04:06:22Z"/>
        <d v="2026-06-03T04:07:53Z"/>
        <d v="2026-06-03T18:34:46Z"/>
        <d v="2026-06-03T19:35:47Z"/>
        <d v="2026-06-03T19:42:21Z"/>
        <d v="2026-06-04T19:04:16Z"/>
        <d v="2026-06-04T19:05:25Z"/>
        <d v="2026-06-04T19:06:51Z"/>
        <d v="2026-06-04T19:11:02Z"/>
        <d v="2026-06-04T19:12:17Z"/>
        <d v="2026-06-04T19:13:48Z"/>
        <d v="2026-06-04T19:17:29Z"/>
        <d v="2026-06-05T10:41:18Z"/>
        <d v="2026-06-05T10:45:01Z"/>
        <d v="2026-06-05T10:47:43Z"/>
        <d v="2026-06-05T10:50:39Z"/>
        <d v="2026-06-05T12:48:27Z"/>
        <d v="2026-06-05T15:09:37Z"/>
        <d v="2026-06-05T15:13:23Z"/>
        <d v="2026-06-05T15:18:29Z"/>
        <d v="2026-06-05T15:20:05Z"/>
        <d v="2026-06-05T15:21:55Z"/>
        <d v="2026-06-05T15:23:41Z"/>
        <d v="2026-06-05T15:26:23Z"/>
        <d v="2026-06-05T17:18:18Z"/>
        <d v="2026-06-05T17:20:29Z"/>
        <d v="2026-06-05T17:22:25Z"/>
        <d v="2026-06-05T17:23:59Z"/>
        <d v="2026-06-06T07:33:37Z"/>
        <d v="2026-06-06T18:28:29Z"/>
        <d v="2026-06-06T19:48:35Z"/>
        <d v="2026-06-06T19:51:04Z"/>
        <d v="2026-06-06T19:53:03Z"/>
        <d v="2026-06-06T19:54:10Z"/>
        <d v="2026-06-06T19:55:36Z"/>
        <d v="2026-06-06T19:57:46Z"/>
        <d v="2026-06-06T20:00:30Z"/>
        <d v="2026-06-06T20:02:31Z"/>
        <d v="2026-06-06T20:04:05Z"/>
        <d v="2026-06-06T20:05:34Z"/>
        <d v="2026-06-06T20:07:24Z"/>
        <d v="2026-06-07T08:55:57Z"/>
        <d v="2026-06-07T08:57:46Z"/>
        <d v="2026-06-07T09:31:58Z"/>
        <d v="2026-06-07T09:34:26Z"/>
        <d v="2026-06-07T09:36:29Z"/>
        <d v="2026-06-07T09:37:50Z"/>
        <d v="2026-06-07T09:39:18Z"/>
        <d v="2026-06-07T09:41:43Z"/>
        <d v="2026-06-07T09:42:57Z"/>
        <d v="2026-06-07T09:43:58Z"/>
        <d v="2026-06-07T09:47:14Z"/>
        <d v="2026-06-07T14:59:55Z"/>
        <d v="2026-06-08T09:10:43Z"/>
        <d v="2026-06-08T10:16:22Z"/>
        <d v="2026-06-09T08:32:29Z"/>
        <d v="2026-06-09T08:36:20Z"/>
        <d v="2026-06-09T08:38:50Z"/>
        <d v="2026-06-09T08:41:53Z"/>
        <d v="2026-06-09T08:45:13Z"/>
        <d v="2026-06-09T08:48:03Z"/>
        <d v="2026-06-09T08:53:27Z"/>
        <d v="2026-06-09T08:56:28Z"/>
        <d v="2026-06-09T09:00:02Z"/>
        <d v="2026-06-09T10:15:56Z"/>
        <d v="2026-06-09T16:08:40Z"/>
        <d v="2026-06-09T16:12:21Z"/>
        <d v="2026-06-09T16:18:02Z"/>
        <d v="2026-06-09T16:20:09Z"/>
        <d v="2026-06-09T20:57:48Z"/>
        <d v="2026-06-10T09:08:53Z"/>
        <d v="2026-06-10T11:28:29Z"/>
        <d v="2026-06-10T11:29:04Z"/>
        <d v="2026-06-10T11:31:41Z"/>
        <d v="2026-06-10T12:04:52Z"/>
        <d v="2026-06-10T14:29:51Z"/>
        <d v="2026-06-10T15:16:51Z"/>
        <d v="2026-06-10T17:41:46Z"/>
        <d v="2026-06-10T17:44:56Z"/>
        <d v="2026-06-10T18:00:56Z"/>
        <d v="2026-06-10T18:08:30Z"/>
        <d v="2026-06-10T18:14:07Z"/>
        <d v="2026-06-10T18:27:31Z"/>
        <d v="2026-06-10T19:12:30Z"/>
        <d v="2026-06-10T19:16:52Z"/>
        <d v="2026-06-11T09:19:51Z"/>
        <d v="2026-06-11T14:26:52Z"/>
        <d v="2026-06-11T14:28:07Z"/>
        <d v="2026-06-12T16:39:56Z"/>
        <d v="2026-06-13T08:22:00Z"/>
        <d v="2026-06-13T21:21:01Z"/>
        <d v="2026-06-13T21:26:49Z"/>
        <d v="2026-06-14T10:52:43Z"/>
        <d v="2026-06-15T14:46:58Z"/>
        <d v="2026-06-15T19:50:36Z"/>
        <d v="2026-06-15T19:53:34Z"/>
        <d v="2026-06-15T19:57:51Z"/>
        <d v="2026-06-16T09:18:50Z"/>
        <d v="2026-06-16T13:41:21Z"/>
        <d v="2026-06-16T13:43:07Z"/>
        <d v="2026-06-16T13:44:57Z"/>
        <d v="2026-06-16T13:49:15Z"/>
        <d v="2026-06-16T14:02:08Z"/>
        <d v="2026-06-16T14:48:51Z"/>
        <d v="2026-06-17T08:59:44Z"/>
        <d v="2026-06-17T09:01:01Z"/>
        <d v="2026-06-17T09:02:07Z"/>
        <d v="2026-06-17T09:03:28Z"/>
        <d v="2026-06-17T09:12:55Z"/>
        <d v="2026-06-17T09:14:19Z"/>
        <d v="2026-06-17T09:44:15Z"/>
        <m/>
      </sharedItems>
    </cacheField>
    <cacheField name="TIPO" numFmtId="0">
      <sharedItems containsBlank="1">
        <s v="Inversión Inicial"/>
        <s v="Gastos Variables de Operación"/>
        <m/>
      </sharedItems>
    </cacheField>
    <cacheField name="Clase ingreso" numFmtId="0">
      <sharedItems containsBlank="1">
        <m/>
        <s v="Otros"/>
      </sharedItems>
    </cacheField>
    <cacheField name="Columna 3" numFmtId="0">
      <sharedItems containsString="0" containsBlank="1">
        <m/>
      </sharedItems>
    </cacheField>
    <cacheField name="Tipo de gasto" numFmtId="0">
      <sharedItems containsBlank="1">
        <s v="Arriendo"/>
        <s v="Computador"/>
        <s v="Sistema POS"/>
        <s v="Comida"/>
        <s v="Arreglos locativos"/>
        <s v="Legalización"/>
        <s v="Movilidad"/>
        <s v="Camaras"/>
        <s v="Gasolina"/>
        <s v="Maniquies"/>
        <s v="Mercancia"/>
        <s v="Iluminacion"/>
        <s v="Insumos"/>
        <s v="Seguridad"/>
        <s v="Caja registradora"/>
        <s v="Vestier"/>
        <s v="Envio mercancia"/>
        <s v="Aviso"/>
        <s v="Gastos"/>
        <s v="Mostradores"/>
        <s v="Compra talonarios, bombas, pecera, tropo, fomi"/>
        <m/>
      </sharedItems>
    </cacheField>
    <cacheField name="Fecha" numFmtId="14">
      <sharedItems containsDate="1" containsString="0" containsBlank="1">
        <d v="2026-05-28T00:00:00Z"/>
        <d v="2026-05-29T00:00:00Z"/>
        <d v="2026-05-30T00:00:00Z"/>
        <d v="2026-06-01T00:00:00Z"/>
        <d v="2026-05-31T00:00:00Z"/>
        <d v="2026-06-02T00:00:00Z"/>
        <d v="2026-06-03T00:00:00Z"/>
        <d v="2026-06-04T00:00:00Z"/>
        <d v="2026-06-05T00:00:00Z"/>
        <d v="2026-06-06T00:00:00Z"/>
        <d v="2026-06-07T00:00:00Z"/>
        <d v="2026-06-09T00:00:00Z"/>
        <d v="2026-06-10T00:00:00Z"/>
        <d v="2026-06-11T00:00:00Z"/>
        <d v="2026-06-12T00:00:00Z"/>
        <d v="2026-06-13T00:00:00Z"/>
        <d v="2026-06-14T00:00:00Z"/>
        <d v="2026-06-15T00:00:00Z"/>
        <d v="2026-06-16T00:00:00Z"/>
        <d v="2026-06-17T00:00:00Z"/>
        <m/>
      </sharedItems>
    </cacheField>
    <cacheField name="PERSONA REGISTRA GASTO" numFmtId="0">
      <sharedItems containsBlank="1">
        <s v="DIANA PAOLA GARZON"/>
        <s v="MAURICIO GARZON"/>
        <s v="ANTONIO RENTERIA"/>
        <s v="YENI GARZON"/>
        <m/>
      </sharedItems>
    </cacheField>
    <cacheField name="Nombre" numFmtId="0">
      <sharedItems containsBlank="1">
        <s v="Arriendo inicial"/>
        <s v="Computador"/>
        <s v="Creacion de dominio"/>
        <s v="Desayuno "/>
        <s v="Vidrios vitrinas entrada"/>
        <s v="Matrícula Mercantil (Cámara de Comercio)"/>
        <s v="Almuerzos"/>
        <s v="Parqueadero"/>
        <s v="Camaras de seguridad"/>
        <s v="Gasolina Carro"/>
        <s v="Parqueadero Carro"/>
        <s v="Decoracion, Pintura, Vestier en Drywall"/>
        <s v="Cremallera para Flauta, Flautas para Exhibicion, Ganchera tripode, Ganchos de madera, Maniquies cuerpo Completo, Maniquies medio cuerpo, Cortina Negra"/>
        <s v="Mostrador"/>
        <s v="Mercancia"/>
        <s v="Iluminacion interna y externa"/>
        <s v="Pintura"/>
        <s v="Implementos de aseo"/>
        <s v="Decoracion"/>
        <s v="Candados"/>
        <s v="Inversión inicial"/>
        <s v="Gasolina"/>
        <s v="Parqueadero "/>
        <s v="Desayuno"/>
        <s v="Tiqueteadora"/>
        <s v="Papeleria"/>
        <s v="Envío a Santander de Quilichao"/>
        <s v="Vestier en Drywall"/>
        <s v="Sistema Pos de TiendaNube"/>
        <s v="parqueadero compra"/>
        <s v="parqueadero compras tarde 06-06-2026"/>
        <s v="Aviso, tarjetas presentacion (abono)"/>
        <s v="sensor y multitoma de Corriente"/>
        <s v="Almuerzos del dia para compras realizadas"/>
        <s v="Rieles Negro"/>
        <s v="correas, billeteras y regalo padre"/>
        <s v="Pintura, Estuco, rodillo, brocha y Lijas"/>
        <s v="Gasolina movilizacion"/>
        <s v="Antena antiurto"/>
        <s v="Equipo Bold"/>
        <s v="Rollos de papel impresora"/>
        <s v="Aviso"/>
        <s v="Compra utencilios"/>
        <s v="Extintor"/>
        <s v="Botiquin, Extintor"/>
        <s v="Canecas"/>
        <s v="Sillas"/>
        <s v="Estante"/>
        <m/>
      </sharedItems>
    </cacheField>
    <cacheField name="Detalle" numFmtId="0">
      <sharedItems containsBlank="1">
        <s v="Valor de arriendo inicial"/>
        <s v="Compra de computador nuevo "/>
        <s v="Creación de dominio de Be"/>
        <s v="Desayuno"/>
        <s v="Pago la mitad de los vidrios de la vitrina"/>
        <s v="Cámara de comercio Chapinero"/>
        <s v="Certificado CCB Chapinero"/>
        <s v="Desayuno de Yeni y diana "/>
        <s v="Impresión contrato de arriendo"/>
        <s v="Pago de autenticación"/>
        <s v="Almuerzos de todos"/>
        <s v="Parqueadero carro tio"/>
        <s v="Pago de arriendo y depósito 50%"/>
        <s v="Camaras de seguridad"/>
        <s v="Gasolina de transporte para las compras"/>
        <s v="Parqueadero del carro para las compras iniciales"/>
        <s v="Pago de adecuaciones de infraestructura"/>
        <s v="2 barra u de 120, 3 barra sencilla de 120, 4 barra de 120 con malla, 40 flautas para barra, 6 Parales de 3 MTS, 200 gancho pinza, 400 gancho cromo, 1 silla de 2 puesto, 1 burro cascada, 2 hombre, 2 dama, 1 niño 10 blanco, 9 rieles, 3 cortinas negras, 14 b"/>
        <s v="Cachucheras"/>
        <s v="Camisetas Colombia, España y Portugal 2"/>
        <s v="40 spot de 20 w, 20 riel de 1 MTS, 3 bombillas para Vestier, 2 reflectores, 15 MTS duplex, 4 MTS luz neón"/>
        <s v="Aerosol y tornillos"/>
        <s v="Vinilo amarillo"/>
        <s v="Escoba, recogedor"/>
        <s v="Varillas, brocas tornillos"/>
        <s v="Canales y amarres "/>
        <s v="Parales y cinta "/>
        <s v="Jabón rey, vasos, gaseosa"/>
        <s v="Pilas láser Anderson"/>
        <s v="Aseo "/>
        <s v="Candados comprados a la sra Berna "/>
        <s v="Candados egret dorado"/>
        <s v="Alimentación con Jonathan"/>
        <s v="Pantalones de hombre"/>
        <s v="Pantalones sudadera"/>
        <s v="Blusas mujer"/>
        <s v="Gasolina carro"/>
        <s v="Parqueadero "/>
        <s v="Desayuno con Jonathan"/>
        <s v="Combo impresora, pistola y dos impresoras"/>
        <s v="Llaves de ingreso"/>
        <s v="Ángulos y Parales "/>
        <s v="Cinta ancha transparente"/>
        <s v="Envío por inter rapidísimo camiseta Colombia m pago por Addi a Jonathan"/>
        <s v="Camisetas y conjuntos de fútbol"/>
        <s v="Goldtex Bermudas caballero y shorts dama"/>
        <s v="Confecciones perfect chaquetas caballero"/>
        <s v="Dannystyless"/>
        <s v="Gorras Colombia"/>
        <s v="Bolsos, canguros"/>
        <s v="Canilleras y medias futbolera"/>
        <s v="R Treik jean dama"/>
        <s v="Chaqueta caballero"/>
        <s v="Oversize"/>
        <s v="Chaquetas dama "/>
        <s v="Bicicleteros, leggins algodón y básicas"/>
        <s v="Vidrios entrada "/>
        <s v="Llaveros balón y cajas de Colombia"/>
        <s v="Cinta malla y canaleta, se le pegó a mi papá 20 mil"/>
        <s v="Accesorios divas"/>
        <s v="Cajas y bolsas de tela"/>
        <s v="Camisetas estampadas con brillos"/>
        <s v="Pantalón y faldas"/>
        <s v="Ropa deportiva"/>
        <s v="Sacos de lana"/>
        <s v="Camisas de hombre"/>
        <s v="Faldas y ropa deportiva"/>
        <s v="Vestidos"/>
        <s v="Variedades, maquillaje, caimanes"/>
        <s v="Copia llaves"/>
        <s v="Cinta filo, cinta malla, duplex"/>
        <s v="Conjuntos camisetas de fútbol"/>
        <s v="Portalón dama gamuza, punto Roma, mariposa"/>
        <s v="Sacos y batas dama tejidos"/>
        <s v="Chaquetas paño "/>
        <s v="Chaqueta gamuza corta"/>
        <s v="Polo seda fría "/>
        <s v="Blusas dama"/>
        <s v="Baggie"/>
        <s v="Paral"/>
        <s v="Chaqueta jean caballero y dama "/>
        <s v="Pago primer mes de tiendanube"/>
        <s v="Splash y brillos "/>
        <s v="compra madera para el mostrador principal"/>
        <s v="pago parqueadero realizacion de compras en la mañana"/>
        <s v="pago parqueadero compras en la tarde del 06-06-2026"/>
        <s v="compra para aviso y terjeta presentacion "/>
        <s v="compra de sensores y  multitoma de corriente"/>
        <s v="Pago de almuesrzos en el dia para compras realizadas 06-06-2026"/>
        <s v="compra de 3 Rieles Negros"/>
        <s v="Compra de las correas, billetaras y regalos de padre para hombre"/>
        <s v="Compra insumos para arreglos locativos del almacen"/>
        <s v="Pago Gasolina para movilizarse"/>
        <s v="Accesorios ferretería y electricidad"/>
        <s v="Compra ese llanti mantenimiento pisos y limpiador para vidrios"/>
        <s v="Sonido, percheros y aerosoles"/>
        <s v="Papel termico"/>
        <s v="Compra de antena antiurto"/>
        <s v="abono de vidrios vitrinas internas y espejos"/>
        <s v="Compra de bolsas topo sencillo collares y rubana"/>
        <s v="Combos Splash caballero "/>
        <s v="Compra de buzos"/>
        <s v="Compré camiseta oversize"/>
        <s v="Parqueadero"/>
        <s v="Bold"/>
        <s v="Compra camisa Galleta polo (9)"/>
        <s v="Compra  xl  - 2xl. Cant (2),  S - M - L cant (6)"/>
        <s v="Prendas surtidas $10000 cant(40)"/>
        <s v="Compra buzos col cant(6)"/>
        <s v="Pago gasolina camioneta para compras 10-06-2026"/>
        <s v="Compra blusas(3), blusa pepa(5), pepa chinilla(3), pepa buso(15)"/>
        <s v="Compra camisetas "/>
        <s v="Compra rollos de de papel impresora"/>
        <s v="Pago final aviso "/>
        <s v="Acarreo madera"/>
        <s v="Tapete bienvenido"/>
        <s v="Rollos de etiquetas"/>
        <s v="Saldo, vidrios y espejos"/>
        <s v="Decoración Colombia, bombas y demás"/>
        <s v="Soportes para madera"/>
        <s v="Agenda"/>
        <s v="Compra de accesorios necesarios para el aseo del almacen"/>
        <s v="Compra madera mostradores y punto de venta"/>
        <s v="Compra de productos de limpieza, perchero para escobas y otros."/>
        <s v="Compra de tornillos para madera, soporte para vestier y fresa recta para madera"/>
        <s v="Compra de Vasos"/>
        <s v="Extintores y nueve avisos de señalización"/>
        <s v="Compra extintor y botiquín puesto por Mauricio Garzón"/>
        <s v="Canica verde y caneca blanca y caneca negra tú estás por Mauricio garzón qué haces señorita"/>
        <s v="Tres sillas de madera"/>
        <s v="Mercancía inicial puesta por Mauricio garzón"/>
        <s v="Papel higiénico y toallas de papel"/>
        <s v="Compra mercancía "/>
        <s v="Compra de mercancia"/>
        <s v="Compra de mercncia"/>
        <s v="Estante"/>
        <s v="Foamy escachado"/>
        <s v="Compra mercancia"/>
        <m/>
      </sharedItems>
    </cacheField>
    <cacheField name="Valor" numFmtId="165">
      <sharedItems containsString="0" containsBlank="1" containsNumber="1" containsInteger="1">
        <n v="2000000.0"/>
        <n v="400000.0"/>
        <n v="45700.0"/>
        <n v="48000.0"/>
        <n v="450000.0"/>
        <n v="65400.0"/>
        <n v="6100.0"/>
        <n v="29000.0"/>
        <n v="4800.0"/>
        <n v="28500.0"/>
        <n v="107000.0"/>
        <n v="21000.0"/>
        <n v="634000.0"/>
        <n v="30000.0"/>
        <n v="25000.0"/>
        <n v="1055000.0"/>
        <n v="4406000.0"/>
        <n v="55000.0"/>
        <n v="1352000.0"/>
        <n v="977000.0"/>
        <n v="52300.0"/>
        <n v="13000.0"/>
        <n v="15400.0"/>
        <n v="97450.0"/>
        <n v="18100.0"/>
        <n v="29800.0"/>
        <n v="14400.0"/>
        <n v="37000.0"/>
        <n v="40000.0"/>
        <n v="60000.0"/>
        <n v="50000.0"/>
        <n v="2090000.0"/>
        <n v="560000.0"/>
        <n v="358000.0"/>
        <n v="70000.0"/>
        <n v="32500.0"/>
        <n v="445890.0"/>
        <n v="7500.0"/>
        <n v="24200.0"/>
        <n v="3800.0"/>
        <n v="18000.0"/>
        <n v="2332000.0"/>
        <n v="686000.0"/>
        <n v="630000.0"/>
        <n v="379000.0"/>
        <n v="168000.0"/>
        <n v="900000.0"/>
        <n v="300000.0"/>
        <n v="1214000.0"/>
        <n v="270000.0"/>
        <n v="949000.0"/>
        <n v="364000.0"/>
        <n v="366500.0"/>
        <n v="57600.0"/>
        <n v="20000.0"/>
        <n v="658894.0"/>
        <n v="74000.0"/>
        <n v="112000.0"/>
        <n v="376000.0"/>
        <n v="991000.0"/>
        <n v="386000.0"/>
        <n v="286000.0"/>
        <n v="641000.0"/>
        <n v="435000.0"/>
        <n v="748100.0"/>
        <n v="2500.0"/>
        <n v="27700.0"/>
        <n v="392000.0"/>
        <n v="518000.0"/>
        <n v="378000.0"/>
        <n v="225000.0"/>
        <n v="200000.0"/>
        <n v="636000.0"/>
        <n v="368000.0"/>
        <n v="650000.0"/>
        <n v="9800.0"/>
        <n v="639000.0"/>
        <n v="39900.0"/>
        <n v="90000.0"/>
        <n v="1115900.0"/>
        <n v="21850.0"/>
        <n v="35000.0"/>
        <n v="49000.0"/>
        <n v="97500.0"/>
        <n v="42000.0"/>
        <n v="365000.0"/>
        <n v="180000.0"/>
        <n v="275800.0"/>
        <n v="292999.0"/>
        <n v="317900.0"/>
        <n v="17500.0"/>
        <n v="1547000.0"/>
        <n v="52500.0"/>
        <n v="130500.0"/>
        <n v="1074000.0"/>
        <n v="525000.0"/>
        <n v="149000.0"/>
        <n v="288000.0"/>
        <n v="252000.0"/>
        <n v="210000.0"/>
        <n v="780000.0"/>
        <n v="2007000.0"/>
        <n v="5800.0"/>
        <n v="33400.0"/>
        <n v="500000.0"/>
        <n v="73500.0"/>
        <n v="8000.0"/>
        <n v="12000.0"/>
        <n v="23500.0"/>
        <n v="1130000.0"/>
        <n v="63500.0"/>
        <n v="64600.0"/>
        <n v="3000.0"/>
        <n v="52000.0"/>
        <n v="45000.0"/>
        <n v="110000.0"/>
        <n v="150000.0"/>
        <n v="2618000.0"/>
        <n v="350000.0"/>
        <n v="420000.0"/>
        <n v="796000.0"/>
        <n v="343000.0"/>
        <n v="145000.0"/>
        <n v="7000.0"/>
        <n v="724000.0"/>
        <m/>
      </sharedItems>
    </cacheField>
    <cacheField name="Forma de pago" numFmtId="0">
      <sharedItems containsBlank="1">
        <s v="Transferencia (Tarjeta Debito, Nequi, Daviplata, Cuentas de ahorro)"/>
        <s v="Efectivo"/>
        <s v="Tarjeta de Credito"/>
        <m/>
      </sharedItems>
    </cacheField>
    <cacheField name="Subir soporte" numFmtId="0">
      <sharedItems containsBlank="1">
        <m/>
        <s v="https://drive.google.com/open?id=1Pe-Fi_o_UFjPbPbIxoMPnZJBSe1y5oRH"/>
        <s v="https://drive.google.com/open?id=18Tfd1glS8YpXxHSYGLsg2fCpZQFm9sym"/>
        <s v="https://drive.google.com/open?id=1EsJ-NhcYdHfpSVqCXea9LeKCY3UJ10of"/>
        <s v="https://drive.google.com/open?id=1KVoJUEsH4TipZPrn3uSiA6bMyiFXObFK"/>
        <s v="https://drive.google.com/open?id=1nEzNsAAx89ntwK90vCVMCugxPf68Yuxz"/>
        <s v="https://drive.google.com/open?id=1eyAHJovCapDyrYNCxyMsyv-hgWZvWSVn"/>
        <s v="https://drive.google.com/open?id=1RCCZmEjKdFZMyBoCAP-oRNoU1WK59LIZ"/>
        <s v="https://drive.google.com/open?id=1Dy1Mn5ynd2Hmz1NZzIZq63hJv-dGKDlg"/>
        <s v="https://drive.google.com/open?id=1-LgHetWEsePIrhYpAmRMZX9E4ItSvwLa"/>
        <s v="https://drive.google.com/open?id=1_gU_T7RSuX8dUKYuauO34G_KqFvmFTvW"/>
        <s v="https://drive.google.com/open?id=1IxgbJT2wOaLqZpEGZ2vAb3d95HCk0pQj"/>
        <s v="https://drive.google.com/open?id=1iS-otFFp43T2jrgjWOPBuyOoZtiK6xva"/>
        <s v="https://drive.google.com/open?id=1MwxsvrWu7SA5rU6MAiWqdvPunsxd8KkB"/>
        <s v="https://drive.google.com/open?id=15PK0pRY6QHAWofQcFx2lrhMGIXoMyrUi"/>
        <s v="https://drive.google.com/open?id=1azQiSPONPWu8GKx5x-7Qz1oa05D-olyw"/>
        <s v="https://drive.google.com/open?id=1pER4L5VUSlqIPL0ZEKMUtnMKDnlAYB0N"/>
        <s v="https://drive.google.com/open?id=1qCjoemtjGFTUJAgdBvcmSg58EM4GViOL"/>
        <s v="https://drive.google.com/open?id=1DUFJx-19Aq5ixeIUL1HSqpPrAcPbKzXC"/>
        <s v="https://drive.google.com/open?id=134mb89NTwmNRgjOhKO2hJ_cJtYZKJ3lf"/>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M44" sheet="INVERSION INICIAL"/>
  </cacheSource>
  <cacheFields>
    <cacheField name="Categoría" numFmtId="0">
      <sharedItems>
        <s v="INVERSIÓN INICIAL"/>
      </sharedItems>
    </cacheField>
    <cacheField name="Detalle" numFmtId="0">
      <sharedItems>
        <s v="Mercancia"/>
        <s v="Mostradores"/>
        <s v="Maniquies"/>
        <s v="Vestier"/>
        <s v="Aviso"/>
        <s v="Iluminacion"/>
        <s v="Computador"/>
        <s v="Sistema POS"/>
        <s v="Caja registradora"/>
        <s v="Legalización"/>
        <s v="Insumos"/>
        <s v="Camaras"/>
        <s v="Arreglos locativos"/>
        <s v="Seguridad"/>
        <s v="Arriendo"/>
      </sharedItems>
    </cacheField>
    <cacheField name="Nombre" numFmtId="0">
      <sharedItems>
        <s v="Mercancia inicial"/>
        <s v="Mercancia Mauricio"/>
        <s v="Mostrador"/>
        <s v="Maniquies cuerpo Completo"/>
        <s v="Maniquies medio cuerpo"/>
        <s v="Cortina Negra"/>
        <s v="Vestier en Drywall"/>
        <s v="Flautas para Exhibicion"/>
        <s v="Cremallera para Flauta"/>
        <s v="Ganchera tripode"/>
        <s v="Burro"/>
        <s v="Mesa para Jeans"/>
        <s v="Ganchos de madera"/>
        <s v="Aviso"/>
        <s v="Iluminacion interna y externa"/>
        <s v="Computador"/>
        <s v="Sistema Pos de TiendaNube"/>
        <s v="Tiqueteadora"/>
        <s v="Equipo Bold"/>
        <s v="Creacion de dominio"/>
        <s v="Registro Único Tributario (RUT)"/>
        <s v="Matrícula Mercantil (Cámara de Comercio)"/>
        <s v="Concepto de Uso de Suelo"/>
        <s v="Implementos de aseo"/>
        <s v="Señalizacion"/>
        <s v="Escobas y traperos"/>
        <s v="Canecas"/>
        <s v="Papeleria"/>
        <s v="Extintor"/>
        <s v="Botiquin"/>
        <s v="Camaras"/>
        <s v="Alarma antihurto"/>
        <s v="Pin antihurto"/>
        <s v="Candados"/>
        <s v="Cambio de guardas"/>
        <s v="Pintura"/>
        <s v="Piso"/>
        <s v="Decoracion"/>
        <s v="Vidrios vitrinas entrada"/>
        <s v="Arriendo inicial"/>
      </sharedItems>
    </cacheField>
    <cacheField name="Especificacion" numFmtId="0">
      <sharedItems>
        <s v="Mercancia inicial"/>
        <s v="Mercancia Mauricio"/>
        <s v="Mostrador Principal (Punto de Pago)"/>
        <s v="Maniquies Blancos cuerpo Completo"/>
        <s v="Maniquies plasticos para Exhibicion"/>
        <s v="Cortina Negra"/>
        <s v="Vestier en Drywall"/>
        <s v="Flautas para Exhibicion"/>
        <s v="Cremallera para Flauta"/>
        <s v="Ganchera tripode"/>
        <s v="Burro"/>
        <s v="Mesa para Jeans"/>
        <s v="Ganchos de madera"/>
        <s v="Arreglo de aviso nuevo y reutilizacion del que se tiene"/>
        <s v="Iluminacion interna y externa"/>
        <s v="Computador"/>
        <s v="Sistema Pos de TiendaNube"/>
        <s v="Combo Impresora 58mm + Lector Codigo X-718 + Cajon Monede"/>
        <s v="Equipo Bold moderno"/>
        <s v="Creacion de dominio"/>
        <s v="Registro Único Tributario (RUT) costo 0"/>
        <s v="Matrícula Mercantil (Cámara de Comercio de Bogota)"/>
        <s v="Secretaría Distrital de Planeación (Se consulta en línea), Es el documento más crítico antes de firmar el contrato de arrendamiento. Certifica que en esa dirección específica de Suba está permitido operar un &quot;Lavadero de Vehículos&quot;. Si el suelo es estrict"/>
        <s v="Jabon piso, limpiavidrios, ambientador"/>
        <s v="Salida de emergencia"/>
        <s v="Escobas y traperos"/>
        <s v="Canecas"/>
        <s v="Esferos, tablas, impresiones, libro"/>
        <s v="Extintor"/>
        <s v="Botiquin"/>
        <s v="Sistema de camaras"/>
        <s v="Alarma antihurto"/>
        <s v="Alarma Pin Etiqueta Am Antihurto Tienda Ropa X 1000 Unds"/>
        <s v="Candados"/>
        <s v="Cambio de guardas"/>
        <s v="Pintura Blanca"/>
        <s v="Pintura Amarilla"/>
        <s v="Piso Laminado"/>
        <s v="Decoracion"/>
        <s v="2 Vidrios vitrinas entrada de 83 cm en vidrio de seguridad de 8 mm"/>
        <s v="Arriendo inicial"/>
      </sharedItems>
    </cacheField>
    <cacheField name="Cantidad" numFmtId="0">
      <sharedItems containsSemiMixedTypes="0" containsString="0" containsNumber="1" containsInteger="1">
        <n v="910.0"/>
        <n v="1.0"/>
        <n v="4.0"/>
        <n v="6.0"/>
        <n v="2.0"/>
        <n v="40.0"/>
        <n v="20.0"/>
        <n v="645.0"/>
        <n v="0.0"/>
      </sharedItems>
    </cacheField>
    <cacheField name="Valor" numFmtId="165">
      <sharedItems containsSemiMixedTypes="0" containsString="0" containsNumber="1" containsInteger="1">
        <n v="40000.0"/>
        <n v="3000000.0"/>
        <n v="700000.0"/>
        <n v="280000.0"/>
        <n v="59900.0"/>
        <n v="150000.0"/>
        <n v="20000.0"/>
        <n v="50000.0"/>
        <n v="100000.0"/>
        <n v="2327.0"/>
        <n v="400000.0"/>
        <n v="600000.0"/>
        <n v="500000.0"/>
        <n v="39900.0"/>
        <n v="390000.0"/>
        <n v="230000.0"/>
        <n v="45700.0"/>
        <n v="0.0"/>
        <n v="6000.0"/>
        <n v="60000.0"/>
        <n v="10000.0"/>
        <n v="30000.0"/>
        <n v="750000.0"/>
        <n v="5000000.0"/>
        <n v="1187500.0"/>
        <n v="42900.0"/>
        <n v="284900.0"/>
        <n v="72000.0"/>
        <n v="4000000.0"/>
        <n v="450000.0"/>
      </sharedItems>
    </cacheField>
    <cacheField name="Valor Total" numFmtId="165">
      <sharedItems containsSemiMixedTypes="0" containsString="0" containsNumber="1" containsInteger="1">
        <n v="3.64E7"/>
        <n v="3000000.0"/>
        <n v="700000.0"/>
        <n v="1120000.0"/>
        <n v="359400.0"/>
        <n v="80000.0"/>
        <n v="300000.0"/>
        <n v="800000.0"/>
        <n v="400000.0"/>
        <n v="100000.0"/>
        <n v="200000.0"/>
        <n v="1500915.0"/>
        <n v="600000.0"/>
        <n v="500000.0"/>
        <n v="39900.0"/>
        <n v="390000.0"/>
        <n v="230000.0"/>
        <n v="45700.0"/>
        <n v="0.0"/>
        <n v="150000.0"/>
        <n v="50000.0"/>
        <n v="20000.0"/>
        <n v="12000.0"/>
        <n v="120000.0"/>
        <n v="10000.0"/>
        <n v="30000.0"/>
        <n v="750000.0"/>
        <n v="5000000.0"/>
        <n v="1187500.0"/>
        <n v="85800.0"/>
        <n v="60000.0"/>
        <n v="284900.0"/>
        <n v="72000.0"/>
        <n v="900000.0"/>
        <n v="4000000.0"/>
      </sharedItems>
    </cacheField>
    <cacheField name="Fuente" numFmtId="0">
      <sharedItems>
        <s v="INVERSION INICIAL"/>
        <s v="INVERSION OPCIONAL"/>
      </sharedItems>
    </cacheField>
    <cacheField name="Link" numFmtId="0">
      <sharedItems containsBlank="1">
        <m/>
        <s v="https://www.homecenter.com.co/homecenter-co/product/878775/set-de-15-piezas-ganchos-de-ropa-madera-natural/878775/"/>
        <s v="https://www.homecenter.com.co/homecenter-co/category/cat10662/candados/?kid=dis_adi_1435635&amp;gad_source=1&amp;gad_campaignid=23795319996&amp;gbraid=0AAAAADt6wnoJ5ATpOuCvWSc2VjYD7ZXkR&amp;gclid=CjwKCAjw8uTQBhAdEiwAVvtJyoKJyojXEy2y_DjK7sS4mNBKn8yVvvttGfSm34YsEuaMp2Dz6lf"/>
      </sharedItems>
    </cacheField>
    <cacheField name="Clase" numFmtId="0">
      <sharedItems containsBlank="1">
        <s v="PANTALON DAMA"/>
        <s v="INVENTARIOS SIN PAGAR"/>
        <m/>
      </sharedItems>
    </cacheField>
    <cacheField name="Valor 1" numFmtId="165">
      <sharedItems>
        <s v="Mercancia"/>
        <s v="Mostradores"/>
        <s v="Maniquies"/>
        <s v="Vestier"/>
        <s v="Aviso"/>
        <s v="Iluminacion"/>
        <s v="Computador"/>
        <s v="Sistema POS"/>
        <e v="#N/A"/>
        <s v="Legalización"/>
        <s v="Insumos"/>
        <s v="Arreglos locativos"/>
        <s v="Seguridad"/>
        <s v="Arriendo"/>
      </sharedItems>
    </cacheField>
    <cacheField name="Valor Total 2" numFmtId="0">
      <sharedItems containsString="0" containsBlank="1">
        <m/>
      </sharedItems>
    </cacheField>
    <cacheField name="Fuent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EJECUCION" cacheId="0" dataCaption="" compact="0" compactData="0">
  <location ref="B3:D9" firstHeaderRow="0" firstDataRow="2"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TIPO" compact="0" outline="0" multipleItemSelectionAllowed="1" showAll="0">
      <items>
        <item x="0"/>
        <item x="1"/>
        <item x="2"/>
        <item t="default"/>
      </items>
    </pivotField>
    <pivotField name="Clase ingreso" compact="0" outline="0" multipleItemSelectionAllowed="1" showAll="0">
      <items>
        <item x="0"/>
        <item x="1"/>
        <item t="default"/>
      </items>
    </pivotField>
    <pivotField name="Columna 3" compact="0" outline="0" multipleItemSelectionAllowed="1" showAll="0">
      <items>
        <item x="0"/>
        <item t="default"/>
      </items>
    </pivotField>
    <pivotField name="Tipo de gas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SONA REGISTRA GASTO" axis="axisRow" compact="0" outline="0" multipleItemSelectionAllowed="1" showAll="0" sortType="descending">
      <items>
        <item x="0"/>
        <item x="1"/>
        <item x="2"/>
        <item x="3"/>
        <item x="4"/>
        <item t="default"/>
      </items>
      <autoSortScope>
        <pivotArea>
          <references>
            <reference field="4294967294">
              <x v="0"/>
            </reference>
          </references>
        </pivotArea>
      </autoSortScope>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Valo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Forma de pago" compact="0" outline="0" multipleItemSelectionAllowed="1" showAll="0">
      <items>
        <item x="0"/>
        <item x="1"/>
        <item x="2"/>
        <item x="3"/>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6"/>
  </rowFields>
  <colFields>
    <field x="-2"/>
  </colFields>
  <dataFields>
    <dataField name="SUM of Valor" fld="9" baseField="0"/>
    <dataField name="SUM of Valor" fld="9" showDataAs="percentOfCol" baseField="0" numFmtId="10"/>
  </dataFields>
</pivotTableDefinition>
</file>

<file path=xl/pivotTables/pivotTable2.xml><?xml version="1.0" encoding="utf-8"?>
<pivotTableDefinition xmlns="http://schemas.openxmlformats.org/spreadsheetml/2006/main" name="EJECUCION 2" cacheId="0" dataCaption="" rowGrandTotals="0" compact="0" compactData="0">
  <location ref="F3:I28" firstHeaderRow="0" firstDataRow="3"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TIPO" axis="axisRow" compact="0" outline="0" multipleItemSelectionAllowed="1" showAll="0" sortType="descending" defaultSubtotal="0">
      <items>
        <item x="0"/>
        <item x="1"/>
        <item x="2"/>
      </items>
      <autoSortScope>
        <pivotArea>
          <references>
            <reference field="4294967294">
              <x v="0"/>
            </reference>
          </references>
        </pivotArea>
      </autoSortScope>
    </pivotField>
    <pivotField name="Clase ingreso" compact="0" outline="0" multipleItemSelectionAllowed="1" showAll="0">
      <items>
        <item x="0"/>
        <item x="1"/>
        <item t="default"/>
      </items>
    </pivotField>
    <pivotField name="Columna 3" compact="0" outline="0" multipleItemSelectionAllowed="1" showAll="0">
      <items>
        <item x="0"/>
        <item t="default"/>
      </items>
    </pivotField>
    <pivotField name="Tipo de gasto"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t="default"/>
      </items>
      <autoSortScope>
        <pivotArea>
          <references>
            <reference field="4294967294">
              <x v="0"/>
            </reference>
          </references>
        </pivotArea>
      </autoSortScope>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Valo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Forma de pago" compact="0" outline="0" multipleItemSelectionAllowed="1" showAll="0">
      <items>
        <item x="0"/>
        <item x="1"/>
        <item x="2"/>
        <item x="3"/>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1"/>
    <field x="4"/>
  </rowFields>
  <colFields>
    <field x="-2"/>
  </colFields>
  <dataFields>
    <dataField name="VALOR EJECUTADO" fld="9" baseField="0"/>
    <dataField name="%% VAL" fld="9" showDataAs="percentOfCol" baseField="0" numFmtId="10"/>
  </dataFields>
</pivotTableDefinition>
</file>

<file path=xl/pivotTables/pivotTable3.xml><?xml version="1.0" encoding="utf-8"?>
<pivotTableDefinition xmlns="http://schemas.openxmlformats.org/spreadsheetml/2006/main" name="FORMULARIO" cacheId="0" dataCaption="" compact="0" compactData="0">
  <location ref="N3:O9" firstHeaderRow="0" firstDataRow="1"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TIPO" compact="0" outline="0" multipleItemSelectionAllowed="1" showAll="0">
      <items>
        <item x="0"/>
        <item x="1"/>
        <item x="2"/>
        <item t="default"/>
      </items>
    </pivotField>
    <pivotField name="Clase ingreso" compact="0" outline="0" multipleItemSelectionAllowed="1" showAll="0">
      <items>
        <item x="0"/>
        <item x="1"/>
        <item t="default"/>
      </items>
    </pivotField>
    <pivotField name="Columna 3" compact="0" outline="0" multipleItemSelectionAllowed="1" showAll="0">
      <items>
        <item x="0"/>
        <item t="default"/>
      </items>
    </pivotField>
    <pivotField name="Tipo de gasto"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SONA REGISTRA GASTO" axis="axisRow" compact="0" outline="0" multipleItemSelectionAllowed="1" showAll="0" sortType="ascending">
      <items>
        <item x="4"/>
        <item x="2"/>
        <item x="0"/>
        <item x="1"/>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Valo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Forma de pago" compact="0" outline="0" multipleItemSelectionAllowed="1" showAll="0">
      <items>
        <item x="0"/>
        <item x="1"/>
        <item x="2"/>
        <item x="3"/>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6"/>
  </rowFields>
  <dataFields>
    <dataField name="SUM of Valor" fld="9" baseField="0"/>
  </dataFields>
</pivotTableDefinition>
</file>

<file path=xl/pivotTables/pivotTable4.xml><?xml version="1.0" encoding="utf-8"?>
<pivotTableDefinition xmlns="http://schemas.openxmlformats.org/spreadsheetml/2006/main" name="FORMULARIO 2" cacheId="0" dataCaption="" compact="0" compactData="0">
  <location ref="N13:O36" firstHeaderRow="0" firstDataRow="1" firstDataCol="0"/>
  <pivotFields>
    <pivotField name="Marca temporal"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name="TIPO" compact="0" outline="0" multipleItemSelectionAllowed="1" showAll="0">
      <items>
        <item x="0"/>
        <item x="1"/>
        <item x="2"/>
        <item t="default"/>
      </items>
    </pivotField>
    <pivotField name="Clase ingreso" compact="0" outline="0" multipleItemSelectionAllowed="1" showAll="0">
      <items>
        <item x="0"/>
        <item x="1"/>
        <item t="default"/>
      </items>
    </pivotField>
    <pivotField name="Columna 3" compact="0" outline="0" multipleItemSelectionAllowed="1" showAll="0">
      <items>
        <item x="0"/>
        <item t="default"/>
      </items>
    </pivotField>
    <pivotField name="Tipo de gasto" axis="axisRow" compact="0" outline="0" multipleItemSelectionAllowed="1" showAll="0" sortType="ascending">
      <items>
        <item x="21"/>
        <item x="4"/>
        <item x="0"/>
        <item x="17"/>
        <item x="14"/>
        <item x="7"/>
        <item x="3"/>
        <item x="20"/>
        <item x="1"/>
        <item x="16"/>
        <item x="8"/>
        <item x="18"/>
        <item x="11"/>
        <item x="12"/>
        <item x="5"/>
        <item x="9"/>
        <item x="10"/>
        <item x="19"/>
        <item x="6"/>
        <item x="13"/>
        <item x="2"/>
        <item x="15"/>
        <item t="default"/>
      </items>
    </pivotField>
    <pivotField name="Fecha" compact="0" numFmtId="14"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ERSONA REGISTRA GASTO" compact="0" outline="0" multipleItemSelectionAllowed="1" showAll="0">
      <items>
        <item x="0"/>
        <item x="1"/>
        <item x="2"/>
        <item x="3"/>
        <item x="4"/>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Detal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t="default"/>
      </items>
    </pivotField>
    <pivotField name="Valor"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Forma de pago" compact="0" outline="0" multipleItemSelectionAllowed="1" showAll="0">
      <items>
        <item x="0"/>
        <item x="1"/>
        <item x="2"/>
        <item x="3"/>
        <item t="default"/>
      </items>
    </pivotField>
    <pivotField name="Subir soporte" compact="0" outline="0" multipleItemSelectionAllowed="1" showAll="0">
      <items>
        <item x="0"/>
        <item x="1"/>
        <item x="2"/>
        <item x="3"/>
        <item x="4"/>
        <item x="5"/>
        <item x="6"/>
        <item x="7"/>
        <item x="8"/>
        <item x="9"/>
        <item x="10"/>
        <item x="11"/>
        <item x="12"/>
        <item x="13"/>
        <item x="14"/>
        <item x="15"/>
        <item x="16"/>
        <item x="17"/>
        <item x="18"/>
        <item x="19"/>
        <item t="default"/>
      </items>
    </pivotField>
  </pivotFields>
  <rowFields>
    <field x="4"/>
  </rowFields>
  <dataFields>
    <dataField name="SUM of Valor" fld="9" baseField="0"/>
  </dataFields>
</pivotTableDefinition>
</file>

<file path=xl/pivotTables/pivotTable5.xml><?xml version="1.0" encoding="utf-8"?>
<pivotTableDefinition xmlns="http://schemas.openxmlformats.org/spreadsheetml/2006/main" name="TD" cacheId="1" dataCaption="" compact="0" compactData="0">
  <location ref="A3:C19"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6.xml><?xml version="1.0" encoding="utf-8"?>
<pivotTableDefinition xmlns="http://schemas.openxmlformats.org/spreadsheetml/2006/main" name="TD 2" cacheId="1" dataCaption="" compact="0" compactData="0">
  <location ref="E3:G4"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h="1"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7.xml><?xml version="1.0" encoding="utf-8"?>
<pivotTableDefinition xmlns="http://schemas.openxmlformats.org/spreadsheetml/2006/main" name="TD 3" cacheId="1" dataCaption="" compact="0" compactData="0">
  <location ref="I3:K5" firstHeaderRow="0" firstDataRow="2"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items>
        <item x="12"/>
        <item x="14"/>
        <item x="4"/>
        <item x="8"/>
        <item x="11"/>
        <item x="6"/>
        <item x="5"/>
        <item x="10"/>
        <item x="9"/>
        <item x="2"/>
        <item x="0"/>
        <item x="1"/>
        <item x="13"/>
        <item x="7"/>
        <item x="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h="1"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rowFields>
  <pageFields>
    <pageField fld="7"/>
  </pageFields>
  <dataFields>
    <dataField name="SUM of Valor Total" fld="6" baseField="0"/>
  </dataFields>
</pivotTableDefinition>
</file>

<file path=xl/pivotTables/pivotTable8.xml><?xml version="1.0" encoding="utf-8"?>
<pivotTableDefinition xmlns="http://schemas.openxmlformats.org/spreadsheetml/2006/main" name="TD 4" cacheId="1" dataCaption="" compact="0" compactData="0">
  <location ref="M3:P44" firstHeaderRow="0" firstDataRow="3" firstDataCol="0" rowPageCount="1" colPageCount="1"/>
  <pivotFields>
    <pivotField name="Categoría" axis="axisRow" compact="0" outline="0" multipleItemSelectionAllowed="1" showAll="0" sortType="descending" defaultSubtotal="0">
      <items>
        <item x="0"/>
      </items>
      <autoSortScope>
        <pivotArea>
          <references>
            <reference field="4294967294">
              <x v="0"/>
            </reference>
          </references>
        </pivotArea>
      </autoSortScope>
    </pivotField>
    <pivotField name="Detalle" axis="axisRow" compact="0" outline="0" multipleItemSelectionAllowed="1" showAll="0" sortType="ascending" defaultSubtotal="0">
      <items>
        <item x="12"/>
        <item x="14"/>
        <item x="4"/>
        <item x="8"/>
        <item x="11"/>
        <item x="6"/>
        <item x="5"/>
        <item x="10"/>
        <item x="9"/>
        <item x="2"/>
        <item x="0"/>
        <item x="1"/>
        <item x="13"/>
        <item x="7"/>
        <item x="3"/>
      </items>
    </pivotField>
    <pivotField name="Nombre" axis="axisRow" compact="0" outline="0" multipleItemSelectionAllowed="1" showAll="0" sortType="ascending">
      <items>
        <item x="31"/>
        <item x="39"/>
        <item x="13"/>
        <item x="29"/>
        <item x="10"/>
        <item x="30"/>
        <item x="34"/>
        <item x="33"/>
        <item x="26"/>
        <item x="15"/>
        <item x="22"/>
        <item x="5"/>
        <item x="19"/>
        <item x="8"/>
        <item x="37"/>
        <item x="18"/>
        <item x="25"/>
        <item x="28"/>
        <item x="7"/>
        <item x="9"/>
        <item x="12"/>
        <item x="14"/>
        <item x="23"/>
        <item x="3"/>
        <item x="4"/>
        <item x="21"/>
        <item x="0"/>
        <item x="1"/>
        <item x="11"/>
        <item x="2"/>
        <item x="27"/>
        <item x="32"/>
        <item x="35"/>
        <item x="36"/>
        <item x="20"/>
        <item x="24"/>
        <item x="16"/>
        <item x="17"/>
        <item x="6"/>
        <item x="38"/>
        <item t="default"/>
      </items>
    </pivotField>
    <pivotField name="Especificac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ntidad" compact="0" outline="0" multipleItemSelectionAllowed="1" showAll="0">
      <items>
        <item x="0"/>
        <item x="1"/>
        <item x="2"/>
        <item x="3"/>
        <item x="4"/>
        <item x="5"/>
        <item x="6"/>
        <item x="7"/>
        <item x="8"/>
        <item t="default"/>
      </items>
    </pivotField>
    <pivotField name="Valor"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Valor 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Fuente" axis="axisPage" compact="0" outline="0" multipleItemSelectionAllowed="1" showAll="0">
      <items>
        <item x="0"/>
        <item x="1"/>
        <item t="default"/>
      </items>
    </pivotField>
    <pivotField name="Link" compact="0" outline="0" multipleItemSelectionAllowed="1" showAll="0">
      <items>
        <item x="0"/>
        <item x="1"/>
        <item x="2"/>
        <item t="default"/>
      </items>
    </pivotField>
    <pivotField name="Clase" compact="0" outline="0" multipleItemSelectionAllowed="1" showAll="0">
      <items>
        <item x="0"/>
        <item x="1"/>
        <item x="2"/>
        <item t="default"/>
      </items>
    </pivotField>
    <pivotField name="Valor 1" compact="0" numFmtId="165" outline="0" multipleItemSelectionAllowed="1" showAll="0">
      <items>
        <item x="0"/>
        <item x="1"/>
        <item x="2"/>
        <item x="3"/>
        <item x="4"/>
        <item x="5"/>
        <item x="6"/>
        <item x="7"/>
        <item x="8"/>
        <item x="9"/>
        <item x="10"/>
        <item x="11"/>
        <item x="12"/>
        <item x="13"/>
        <item t="default"/>
      </items>
    </pivotField>
    <pivotField name="Valor Total 2" compact="0" outline="0" multipleItemSelectionAllowed="1" showAll="0">
      <items>
        <item x="0"/>
        <item t="default"/>
      </items>
    </pivotField>
    <pivotField name="Fuente 2" compact="0" outline="0" multipleItemSelectionAllowed="1" showAll="0">
      <items>
        <item x="0"/>
        <item t="default"/>
      </items>
    </pivotField>
  </pivotFields>
  <rowFields>
    <field x="0"/>
    <field x="1"/>
    <field x="2"/>
  </rowFields>
  <pageFields>
    <pageField fld="7"/>
  </pageFields>
  <dataFields>
    <dataField name="SUM of Valor Total" fld="6" baseField="0"/>
  </dataFields>
</pivotTableDefinition>
</file>

<file path=xl/tables/table1.xml><?xml version="1.0" encoding="utf-8"?>
<table xmlns="http://schemas.openxmlformats.org/spreadsheetml/2006/main" ref="A1:L140" displayName="Form_Responses" name="Form_Responses" id="1">
  <autoFilter ref="$A$1:$L$140">
    <filterColumn colId="4">
      <filters>
        <filter val="Mercancia"/>
      </filters>
    </filterColumn>
    <filterColumn colId="0">
      <filters>
        <filter val="6/11/2026 14:26:52"/>
        <filter val="6/10/2026 11:31:41"/>
        <filter val="6/10/2026 11:28:30"/>
        <filter val="6/13/2026 8:22:00"/>
        <filter val="6/16/2026 14:02:09"/>
        <filter val="6/5/2026 15:13:23"/>
        <filter val="5/30/2026 19:19:41"/>
        <filter val="5/29/2026 12:13:05"/>
        <filter val="6/5/2026 15:09:38"/>
        <filter val="6/6/2026 20:02:31"/>
        <filter val="5/30/2026 19:05:34"/>
        <filter val="6/7/2026 9:31:58"/>
        <filter val="6/4/2026 19:11:02"/>
        <filter val="6/9/2026 16:20:09"/>
        <filter val="6/10/2026 19:16:52"/>
        <filter val="6/9/2026 10:15:56"/>
        <filter val="6/7/2026 9:42:57"/>
        <filter val="6/17/2026 9:03:28"/>
        <filter val="6/3/2026 4:07:53"/>
        <filter val="6/17/2026 9:01:02"/>
        <filter val="6/5/2026 15:18:29"/>
        <filter val="5/30/2026 10:08:39"/>
        <filter val="6/3/2026 3:53:02"/>
        <filter val="6/17/2026 9:44:15"/>
        <filter val="6/3/2026 18:34:46"/>
        <filter val="6/6/2026 20:05:35"/>
        <filter val="6/7/2026 8:55:58"/>
        <filter val="6/6/2026 19:48:35"/>
        <filter val="6/1/2026 10:19:16"/>
        <filter val="6/5/2026 10:45:02"/>
        <filter val="6/7/2026 14:59:56"/>
        <filter val="6/10/2026 11:29:04"/>
        <filter val="6/4/2026 19:06:52"/>
        <filter val="6/10/2026 12:04:53"/>
        <filter val="5/30/2026 10:03:12"/>
        <filter val="6/10/2026 18:14:07"/>
        <filter val="6/7/2026 9:34:26"/>
        <filter val="6/13/2026 21:26:50"/>
        <filter val="6/5/2026 17:20:30"/>
        <filter val="6/5/2026 17:22:25"/>
        <filter val="6/6/2026 20:00:30"/>
        <filter val="6/16/2026 13:43:07"/>
        <filter val="6/5/2026 10:50:40"/>
        <filter val="6/16/2026 13:44:58"/>
        <filter val="6/4/2026 19:13:48"/>
        <filter val="6/1/2026 10:16:14"/>
        <filter val="6/5/2026 15:23:41"/>
        <filter val="6/6/2026 19:57:46"/>
        <filter val="6/3/2026 4:05:12"/>
        <filter val="6/7/2026 9:36:30"/>
        <filter val="6/3/2026 19:42:21"/>
        <filter val="6/4/2026 19:05:26"/>
        <filter val="6/6/2026 19:53:04"/>
        <filter val="6/17/2026 9:14:19"/>
        <filter val="6/6/2026 7:33:38"/>
        <filter val="6/10/2026 18:27:32"/>
        <filter val="6/3/2026 3:59:01"/>
        <filter val="5/29/2026 12:12:06"/>
        <filter val="6/8/2026 10:16:23"/>
        <filter val="6/10/2026 9:08:53"/>
        <filter val="6/5/2026 10:47:44"/>
        <filter val="5/30/2026 19:01:41"/>
        <filter val="6/10/2026 17:44:57"/>
        <filter val="6/5/2026 15:26:24"/>
        <filter val="6/6/2026 20:04:05"/>
        <filter val="6/1/2026 15:27:35"/>
        <filter val="6/10/2026 15:16:51"/>
        <filter val="6/7/2026 9:39:18"/>
        <filter val="6/5/2026 17:18:19"/>
        <filter val="6/9/2026 8:53:27"/>
        <filter val="5/29/2026 12:16:33"/>
        <filter val="6/6/2026 19:55:37"/>
        <filter val="6/14/2026 10:52:43"/>
        <filter val="6/17/2026 8:59:44"/>
        <filter val="5/30/2026 10:00:06"/>
        <filter val="6/1/2026 15:18:39"/>
        <filter val="6/3/2026 19:35:48"/>
        <filter val="6/4/2026 19:17:29"/>
        <filter val="6/1/2026 15:22:29"/>
        <filter val="6/17/2026 9:02:08"/>
        <filter val="6/4/2026 19:12:18"/>
        <filter val="6/15/2026 14:46:59"/>
        <filter val="6/9/2026 8:45:13"/>
        <filter val="6/9/2026 8:41:53"/>
        <filter val="6/9/2026 8:48:04"/>
        <filter val="6/16/2026 14:48:51"/>
        <filter val="6/10/2026 17:41:46"/>
        <filter val="6/3/2026 3:56:38"/>
        <filter val="6/1/2026 15:25:28"/>
        <filter val="5/30/2026 19:08:05"/>
        <filter val="6/6/2026 19:51:05"/>
        <filter val="6/10/2026 18:08:31"/>
        <filter val="6/15/2026 19:53:34"/>
        <filter val="6/8/2026 9:10:43"/>
        <filter val="6/9/2026 8:56:28"/>
        <filter val="6/1/2026 15:12:47"/>
        <filter val="6/17/2026 9:12:56"/>
        <filter val="6/7/2026 9:41:44"/>
        <filter val="6/9/2026 8:32:30"/>
        <filter val="6/9/2026 20:57:49"/>
        <filter val="6/9/2026 8:38:50"/>
        <filter val="6/7/2026 9:43:58"/>
        <filter val="6/13/2026 21:21:01"/>
        <filter val="5/30/2026 10:04:23"/>
        <filter val="6/5/2026 10:41:18"/>
        <filter val="6/7/2026 9:37:50"/>
        <filter val="6/15/2026 19:50:36"/>
        <filter val="6/10/2026 14:29:52"/>
        <filter val="6/5/2026 17:24:00"/>
        <filter val="6/6/2026 18:28:29"/>
        <filter val="6/16/2026 13:41:22"/>
        <filter val="6/5/2026 12:48:28"/>
        <filter val="6/6/2026 20:07:24"/>
        <filter val="6/10/2026 19:12:30"/>
        <filter val="6/7/2026 8:57:46"/>
        <filter val="6/12/2026 16:39:57"/>
        <filter val="6/7/2026 9:47:15"/>
        <filter val="6/9/2026 8:36:20"/>
        <filter val="6/9/2026 9:00:03"/>
        <filter val="5/30/2026 10:01:24"/>
        <filter val="6/3/2026 4:06:22"/>
        <filter val="6/5/2026 15:21:55"/>
        <filter val="6/5/2026 15:20:06"/>
        <filter val="6/4/2026 19:04:16"/>
        <filter val="6/6/2026 19:54:10"/>
        <filter val="6/9/2026 16:08:41"/>
        <filter val="6/16/2026 13:49:16"/>
        <filter val="6/9/2026 16:12:22"/>
        <filter val="6/11/2026 14:28:07"/>
        <filter val="6/9/2026 16:18:03"/>
        <filter val="6/11/2026 9:19:51"/>
        <filter val="5/30/2026 7:57:30"/>
        <filter val="5/30/2026 19:03:29"/>
        <filter val="6/1/2026 14:18:14"/>
        <filter val="6/15/2026 19:57:51"/>
        <filter val="6/1/2026 15:14:48"/>
        <filter val="6/10/2026 18:00:57"/>
        <filter val="6/3/2026 4:01:19"/>
        <filter val="6/16/2026 9:18:51"/>
      </filters>
    </filterColumn>
  </autoFilter>
  <tableColumns count="12">
    <tableColumn name="Marca temporal" id="1"/>
    <tableColumn name="TIPO" id="2"/>
    <tableColumn name="Clase ingreso" id="3"/>
    <tableColumn name="Columna 3" id="4"/>
    <tableColumn name="Tipo de gasto" id="5"/>
    <tableColumn name="Fecha" id="6"/>
    <tableColumn name="PERSONA REGISTRA GASTO" id="7"/>
    <tableColumn name="Nombre" id="8"/>
    <tableColumn name="Detalle" id="9"/>
    <tableColumn name="Valor" id="10"/>
    <tableColumn name="Forma de pago" id="11"/>
    <tableColumn name="Subir soporte" id="12"/>
  </tableColumns>
  <tableStyleInfo name="FORMUL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open?id=1DUFJx-19Aq5ixeIUL1HSqpPrAcPbKzXC" TargetMode="External"/><Relationship Id="rId11" Type="http://schemas.openxmlformats.org/officeDocument/2006/relationships/hyperlink" Target="https://drive.google.com/open?id=1-LgHetWEsePIrhYpAmRMZX9E4ItSvwLa" TargetMode="External"/><Relationship Id="rId22" Type="http://schemas.openxmlformats.org/officeDocument/2006/relationships/drawing" Target="../drawings/drawing2.xml"/><Relationship Id="rId10" Type="http://schemas.openxmlformats.org/officeDocument/2006/relationships/hyperlink" Target="https://drive.google.com/open?id=1Dy1Mn5ynd2Hmz1NZzIZq63hJv-dGKDlg" TargetMode="External"/><Relationship Id="rId21" Type="http://schemas.openxmlformats.org/officeDocument/2006/relationships/hyperlink" Target="https://drive.google.com/open?id=134mb89NTwmNRgjOhKO2hJ_cJtYZKJ3lf" TargetMode="External"/><Relationship Id="rId13" Type="http://schemas.openxmlformats.org/officeDocument/2006/relationships/hyperlink" Target="https://drive.google.com/open?id=1IxgbJT2wOaLqZpEGZ2vAb3d95HCk0pQj" TargetMode="External"/><Relationship Id="rId24" Type="http://schemas.openxmlformats.org/officeDocument/2006/relationships/table" Target="../tables/table1.xml"/><Relationship Id="rId12" Type="http://schemas.openxmlformats.org/officeDocument/2006/relationships/hyperlink" Target="https://drive.google.com/open?id=1_gU_T7RSuX8dUKYuauO34G_KqFvmFTvW" TargetMode="External"/><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hyperlink" Target="https://drive.google.com/open?id=1Pe-Fi_o_UFjPbPbIxoMPnZJBSe1y5oRH" TargetMode="External"/><Relationship Id="rId4" Type="http://schemas.openxmlformats.org/officeDocument/2006/relationships/hyperlink" Target="https://drive.google.com/open?id=18Tfd1glS8YpXxHSYGLsg2fCpZQFm9sym" TargetMode="External"/><Relationship Id="rId9" Type="http://schemas.openxmlformats.org/officeDocument/2006/relationships/hyperlink" Target="https://drive.google.com/open?id=1RCCZmEjKdFZMyBoCAP-oRNoU1WK59LIZ" TargetMode="External"/><Relationship Id="rId15" Type="http://schemas.openxmlformats.org/officeDocument/2006/relationships/hyperlink" Target="https://drive.google.com/open?id=1MwxsvrWu7SA5rU6MAiWqdvPunsxd8KkB" TargetMode="External"/><Relationship Id="rId14" Type="http://schemas.openxmlformats.org/officeDocument/2006/relationships/hyperlink" Target="https://drive.google.com/open?id=1iS-otFFp43T2jrgjWOPBuyOoZtiK6xva" TargetMode="External"/><Relationship Id="rId17" Type="http://schemas.openxmlformats.org/officeDocument/2006/relationships/hyperlink" Target="https://drive.google.com/open?id=1azQiSPONPWu8GKx5x-7Qz1oa05D-olyw" TargetMode="External"/><Relationship Id="rId16" Type="http://schemas.openxmlformats.org/officeDocument/2006/relationships/hyperlink" Target="https://drive.google.com/open?id=15PK0pRY6QHAWofQcFx2lrhMGIXoMyrUi" TargetMode="External"/><Relationship Id="rId5" Type="http://schemas.openxmlformats.org/officeDocument/2006/relationships/hyperlink" Target="https://drive.google.com/open?id=1EsJ-NhcYdHfpSVqCXea9LeKCY3UJ10of" TargetMode="External"/><Relationship Id="rId19" Type="http://schemas.openxmlformats.org/officeDocument/2006/relationships/hyperlink" Target="https://drive.google.com/open?id=1qCjoemtjGFTUJAgdBvcmSg58EM4GViOL" TargetMode="External"/><Relationship Id="rId6" Type="http://schemas.openxmlformats.org/officeDocument/2006/relationships/hyperlink" Target="https://drive.google.com/open?id=1KVoJUEsH4TipZPrn3uSiA6bMyiFXObFK" TargetMode="External"/><Relationship Id="rId18" Type="http://schemas.openxmlformats.org/officeDocument/2006/relationships/hyperlink" Target="https://drive.google.com/open?id=1pER4L5VUSlqIPL0ZEKMUtnMKDnlAYB0N" TargetMode="External"/><Relationship Id="rId7" Type="http://schemas.openxmlformats.org/officeDocument/2006/relationships/hyperlink" Target="https://drive.google.com/open?id=1nEzNsAAx89ntwK90vCVMCugxPf68Yuxz" TargetMode="External"/><Relationship Id="rId8" Type="http://schemas.openxmlformats.org/officeDocument/2006/relationships/hyperlink" Target="https://drive.google.com/open?id=1eyAHJovCapDyrYNCxyMsyv-hgWZvWS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omecenter.com.co/homecenter-co/product/878775/set-de-15-piezas-ganchos-de-ropa-madera-natural/878775/" TargetMode="External"/><Relationship Id="rId2" Type="http://schemas.openxmlformats.org/officeDocument/2006/relationships/hyperlink" Target="https://www.homecenter.com.co/homecenter-co/category/cat10662/candados/?kid=dis_adi_1435635&amp;gad_source=1&amp;gad_campaignid=23795319996&amp;gbraid=0AAAAADt6wnoJ5ATpOuCvWSc2VjYD7ZXkR&amp;gclid=CjwKCAjw8uTQBhAdEiwAVvtJyoKJyojXEy2y_DjK7sS4mNBKn8yVvvttGfSm34YsEuaMp2Dz6lf3hBoCyjQQAvD_BwE"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solucionesmovilyhogar.com/hogar?gad_source=1&amp;gad_campaignid=22638574230&amp;gbraid=0AAAAA-JBuZhpF13EfpX-c8woTOOPZEJRZ&amp;gclid=CjwKCAjwtIfPBhAzEiwAv9RTJoUE7cL_c3ZNPoNtGFPMOVhliD3aVdMV2p4zjMf7SFBtoiGfyQi0dxoCfigQAvD_BwE"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rticulo.mercadolibre.com.co/MCO-1594314913-hidrolavadora-ind-interpump-motor-electrico-ravel-hp55-_JM?searchVariation=188213632125" TargetMode="External"/><Relationship Id="rId2" Type="http://schemas.openxmlformats.org/officeDocument/2006/relationships/hyperlink" Target="https://articulo.mercadolibre.com.co/MCO-1594314913-hidrolavadora-ind-interpump-motor-electrico-ravel-hp55-_JM?searchVariation=188213632125" TargetMode="External"/><Relationship Id="rId3" Type="http://schemas.openxmlformats.org/officeDocument/2006/relationships/hyperlink" Target="https://www.mercadolibre.com.co/regulador-de-presion-phidrolavadora-hidroherramientas-vr56/up/MCOU2405733929" TargetMode="External"/><Relationship Id="rId4" Type="http://schemas.openxmlformats.org/officeDocument/2006/relationships/hyperlink" Target="https://www.mercadolibre.com.co/regulador-de-presion-phidrolavadora-hidroherramientas-vr56/up/MCOU2405733929" TargetMode="External"/><Relationship Id="rId5"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4.63"/>
    <col customWidth="1" min="6" max="6" width="30.63"/>
    <col customWidth="1" min="7" max="7" width="20.13"/>
    <col customWidth="1" min="8" max="8" width="17.75"/>
  </cols>
  <sheetData>
    <row r="1">
      <c r="A1" s="1"/>
      <c r="B1" s="1"/>
      <c r="C1" s="2"/>
      <c r="D1" s="1"/>
      <c r="E1" s="1"/>
      <c r="F1" s="1"/>
      <c r="G1" s="2"/>
      <c r="H1" s="2"/>
      <c r="I1" s="1"/>
      <c r="J1" s="2"/>
      <c r="K1" s="1"/>
      <c r="L1" s="1"/>
      <c r="M1" s="1"/>
      <c r="N1" s="1"/>
      <c r="O1" s="1"/>
      <c r="P1" s="1"/>
      <c r="Q1" s="1"/>
      <c r="R1" s="1"/>
      <c r="S1" s="1"/>
      <c r="T1" s="1"/>
      <c r="U1" s="1"/>
      <c r="V1" s="1"/>
      <c r="W1" s="1"/>
    </row>
    <row r="2">
      <c r="A2" s="1"/>
      <c r="B2" s="1"/>
      <c r="C2" s="2"/>
      <c r="D2" s="1"/>
      <c r="E2" s="1"/>
      <c r="F2" s="1"/>
      <c r="G2" s="2"/>
      <c r="H2" s="2">
        <f>SUBTOTAL(9,H4:H1001)</f>
        <v>54794383</v>
      </c>
      <c r="I2" s="1"/>
      <c r="J2" s="2">
        <f t="shared" ref="J2:K2" si="1">SUBTOTAL(9,J4:J1001)</f>
        <v>60728115</v>
      </c>
      <c r="K2" s="2">
        <f t="shared" si="1"/>
        <v>5933732</v>
      </c>
      <c r="L2" s="1"/>
      <c r="M2" s="1"/>
      <c r="N2" s="1"/>
      <c r="O2" s="1"/>
      <c r="P2" s="1"/>
      <c r="Q2" s="1"/>
      <c r="R2" s="1"/>
      <c r="S2" s="1"/>
      <c r="T2" s="1"/>
      <c r="U2" s="1"/>
      <c r="V2" s="1"/>
      <c r="W2" s="1"/>
    </row>
    <row r="3">
      <c r="A3" s="1"/>
      <c r="E3" s="1"/>
      <c r="J3" s="3" t="s">
        <v>6</v>
      </c>
      <c r="K3" s="4" t="s">
        <v>7</v>
      </c>
      <c r="L3" s="1"/>
      <c r="M3" s="1"/>
      <c r="N3" s="1"/>
      <c r="O3" s="1"/>
      <c r="P3" s="1"/>
      <c r="Q3" s="1"/>
      <c r="R3" s="1"/>
      <c r="S3" s="1"/>
      <c r="T3" s="1"/>
      <c r="U3" s="1"/>
      <c r="V3" s="1"/>
      <c r="W3" s="1"/>
    </row>
    <row r="4">
      <c r="A4" s="1"/>
      <c r="E4" s="1"/>
      <c r="J4" s="2">
        <f>IFERROR(VLOOKUP(G4,TD!B:C,2,0),0)</f>
        <v>39400000</v>
      </c>
      <c r="K4" s="2">
        <f t="shared" ref="K4:K31" si="2">J4-H4</f>
        <v>6287406</v>
      </c>
      <c r="L4" s="1"/>
      <c r="M4" s="1"/>
      <c r="N4" s="1"/>
      <c r="O4" s="1"/>
      <c r="P4" s="1"/>
      <c r="Q4" s="1"/>
      <c r="R4" s="1"/>
      <c r="S4" s="1"/>
      <c r="T4" s="1"/>
      <c r="U4" s="1"/>
      <c r="V4" s="1"/>
      <c r="W4" s="1"/>
    </row>
    <row r="5">
      <c r="A5" s="1"/>
      <c r="E5" s="2">
        <f t="shared" ref="E5:E7" si="3">15000000-C5</f>
        <v>1186250</v>
      </c>
      <c r="J5" s="2">
        <f>IFERROR(VLOOKUP(G5,TD!B:C,2,0),0)</f>
        <v>8044400</v>
      </c>
      <c r="K5" s="2">
        <f t="shared" si="2"/>
        <v>1137150</v>
      </c>
      <c r="L5" s="1"/>
      <c r="M5" s="1"/>
      <c r="N5" s="1"/>
      <c r="O5" s="1"/>
      <c r="P5" s="1"/>
      <c r="Q5" s="1"/>
      <c r="R5" s="1"/>
      <c r="S5" s="1"/>
      <c r="T5" s="1"/>
      <c r="U5" s="1"/>
      <c r="V5" s="1"/>
      <c r="W5" s="1"/>
    </row>
    <row r="6">
      <c r="A6" s="1"/>
      <c r="E6" s="2">
        <f t="shared" si="3"/>
        <v>1521800</v>
      </c>
      <c r="J6" s="2">
        <f>IFERROR(VLOOKUP(G6,TD!B:C,2,0),0)</f>
        <v>4680315</v>
      </c>
      <c r="K6" s="2">
        <f t="shared" si="2"/>
        <v>219315</v>
      </c>
      <c r="L6" s="1"/>
      <c r="M6" s="1"/>
      <c r="N6" s="1"/>
      <c r="O6" s="1"/>
      <c r="P6" s="1"/>
      <c r="Q6" s="1"/>
      <c r="R6" s="1"/>
      <c r="S6" s="1"/>
      <c r="T6" s="1"/>
      <c r="U6" s="1"/>
      <c r="V6" s="1"/>
      <c r="W6" s="1"/>
    </row>
    <row r="7">
      <c r="A7" s="1"/>
      <c r="E7" s="2">
        <f t="shared" si="3"/>
        <v>3162216</v>
      </c>
      <c r="J7" s="2">
        <f>IFERROR(VLOOKUP(G7,TD!B:C,2,0),0)</f>
        <v>4000000</v>
      </c>
      <c r="K7" s="2">
        <f t="shared" si="2"/>
        <v>0</v>
      </c>
      <c r="L7" s="1"/>
      <c r="M7" s="1"/>
      <c r="N7" s="1"/>
      <c r="O7" s="1"/>
      <c r="P7" s="1"/>
      <c r="Q7" s="1"/>
      <c r="R7" s="1"/>
      <c r="S7" s="1"/>
      <c r="T7" s="1"/>
      <c r="U7" s="1"/>
      <c r="V7" s="1"/>
      <c r="W7" s="1"/>
    </row>
    <row r="8">
      <c r="A8" s="1"/>
      <c r="E8" s="1"/>
      <c r="J8" s="2">
        <f>IFERROR(VLOOKUP(G8,TD!B:C,2,0),0)</f>
        <v>700000</v>
      </c>
      <c r="K8" s="2">
        <f t="shared" si="2"/>
        <v>-694600</v>
      </c>
      <c r="L8" s="1"/>
      <c r="M8" s="1"/>
      <c r="N8" s="1"/>
      <c r="O8" s="1"/>
      <c r="P8" s="1"/>
      <c r="Q8" s="1"/>
      <c r="R8" s="1"/>
      <c r="S8" s="1"/>
      <c r="T8" s="1"/>
      <c r="U8" s="1"/>
      <c r="V8" s="1"/>
      <c r="W8" s="1"/>
    </row>
    <row r="9">
      <c r="A9" s="1"/>
      <c r="E9" s="1"/>
      <c r="J9" s="2">
        <f>IFERROR(VLOOKUP(G9,TD!B:C,2,0),0)</f>
        <v>600000</v>
      </c>
      <c r="K9" s="2">
        <f t="shared" si="2"/>
        <v>-377000</v>
      </c>
      <c r="L9" s="1"/>
      <c r="M9" s="1"/>
      <c r="N9" s="1"/>
      <c r="O9" s="1"/>
      <c r="P9" s="1"/>
      <c r="Q9" s="1"/>
      <c r="R9" s="1"/>
      <c r="S9" s="1"/>
      <c r="T9" s="1"/>
      <c r="U9" s="1"/>
      <c r="V9" s="1"/>
      <c r="W9" s="1"/>
    </row>
    <row r="10">
      <c r="A10" s="1"/>
      <c r="B10" s="1"/>
      <c r="C10" s="2"/>
      <c r="D10" s="1"/>
      <c r="E10" s="1"/>
      <c r="J10" s="2">
        <f>IFERROR(VLOOKUP(G10,TD!B:C,2,0),0)</f>
        <v>272000</v>
      </c>
      <c r="K10" s="2">
        <f t="shared" si="2"/>
        <v>-639899</v>
      </c>
      <c r="L10" s="1"/>
      <c r="M10" s="1"/>
      <c r="N10" s="1"/>
      <c r="O10" s="1"/>
      <c r="P10" s="1"/>
      <c r="Q10" s="1"/>
      <c r="R10" s="1"/>
      <c r="S10" s="1"/>
      <c r="T10" s="1"/>
      <c r="U10" s="1"/>
      <c r="V10" s="1"/>
      <c r="W10" s="1"/>
    </row>
    <row r="11">
      <c r="A11" s="1"/>
      <c r="B11" s="1"/>
      <c r="C11" s="2"/>
      <c r="D11" s="1"/>
      <c r="E11" s="1"/>
      <c r="J11" s="2">
        <f>IFERROR(VLOOKUP(G11,TD!B:C,2,0),0)</f>
        <v>750000</v>
      </c>
      <c r="K11" s="2">
        <f t="shared" si="2"/>
        <v>116000</v>
      </c>
      <c r="L11" s="1"/>
      <c r="M11" s="1"/>
      <c r="N11" s="1"/>
      <c r="O11" s="1"/>
      <c r="P11" s="1"/>
      <c r="Q11" s="1"/>
      <c r="R11" s="1"/>
      <c r="S11" s="1"/>
      <c r="T11" s="1"/>
      <c r="U11" s="1"/>
      <c r="V11" s="1"/>
      <c r="W11" s="1"/>
    </row>
    <row r="12">
      <c r="A12" s="1"/>
      <c r="B12" s="1"/>
      <c r="C12" s="2"/>
      <c r="D12" s="1"/>
      <c r="E12" s="1"/>
      <c r="J12" s="2">
        <f>IFERROR(VLOOKUP(G12,TD!B:C,2,0),0)</f>
        <v>390000</v>
      </c>
      <c r="K12" s="2">
        <f t="shared" si="2"/>
        <v>-55890</v>
      </c>
      <c r="L12" s="1"/>
      <c r="M12" s="1"/>
      <c r="N12" s="1"/>
      <c r="O12" s="1"/>
      <c r="P12" s="1"/>
      <c r="Q12" s="1"/>
      <c r="R12" s="1"/>
      <c r="S12" s="1"/>
      <c r="T12" s="1"/>
      <c r="U12" s="1"/>
      <c r="V12" s="1"/>
      <c r="W12" s="1"/>
    </row>
    <row r="13">
      <c r="A13" s="1"/>
      <c r="B13" s="1"/>
      <c r="C13" s="2"/>
      <c r="D13" s="1"/>
      <c r="E13" s="1"/>
      <c r="J13" s="2">
        <f>IFERROR(VLOOKUP(G13,TD!B:C,2,0),0)</f>
        <v>500000</v>
      </c>
      <c r="K13" s="2">
        <f t="shared" si="2"/>
        <v>100000</v>
      </c>
      <c r="L13" s="1"/>
      <c r="M13" s="1"/>
      <c r="N13" s="1"/>
      <c r="O13" s="1"/>
      <c r="P13" s="1"/>
      <c r="Q13" s="1"/>
      <c r="R13" s="1"/>
      <c r="S13" s="1"/>
      <c r="T13" s="1"/>
      <c r="U13" s="1"/>
      <c r="V13" s="1"/>
      <c r="W13" s="1"/>
    </row>
    <row r="14">
      <c r="A14" s="1"/>
      <c r="B14" s="1"/>
      <c r="C14" s="2"/>
      <c r="D14" s="1"/>
      <c r="E14" s="1"/>
      <c r="J14" s="2">
        <f>IFERROR(VLOOKUP(G14,TD!B:C,2,0),0)</f>
        <v>400000</v>
      </c>
      <c r="K14" s="2">
        <f t="shared" si="2"/>
        <v>100000</v>
      </c>
      <c r="L14" s="1"/>
      <c r="M14" s="1"/>
      <c r="N14" s="1"/>
      <c r="O14" s="1"/>
      <c r="P14" s="1"/>
      <c r="Q14" s="1"/>
      <c r="R14" s="1"/>
      <c r="S14" s="1"/>
      <c r="T14" s="1"/>
      <c r="U14" s="1"/>
      <c r="V14" s="1"/>
      <c r="W14" s="1"/>
    </row>
    <row r="15">
      <c r="A15" s="1"/>
      <c r="B15" s="1"/>
      <c r="C15" s="2"/>
      <c r="D15" s="1"/>
      <c r="E15" s="1"/>
      <c r="J15" s="2">
        <f>IFERROR(VLOOKUP(G15,TD!B:C,2,0),0)</f>
        <v>315600</v>
      </c>
      <c r="K15" s="2">
        <f t="shared" si="2"/>
        <v>47600</v>
      </c>
      <c r="L15" s="1"/>
      <c r="M15" s="1"/>
      <c r="N15" s="1"/>
      <c r="O15" s="1"/>
      <c r="P15" s="1"/>
      <c r="Q15" s="1"/>
      <c r="R15" s="1"/>
      <c r="S15" s="1"/>
      <c r="T15" s="1"/>
      <c r="U15" s="1"/>
      <c r="V15" s="1"/>
      <c r="W15" s="1"/>
    </row>
    <row r="16">
      <c r="A16" s="1"/>
      <c r="B16" s="1"/>
      <c r="C16" s="2"/>
      <c r="D16" s="1"/>
      <c r="E16" s="1"/>
      <c r="J16" s="2">
        <f>IFERROR(VLOOKUP(G16,TD!B:C,2,0),0)</f>
        <v>0</v>
      </c>
      <c r="K16" s="2">
        <f t="shared" si="2"/>
        <v>-266000</v>
      </c>
      <c r="L16" s="1"/>
      <c r="M16" s="1"/>
      <c r="N16" s="1"/>
      <c r="O16" s="1"/>
      <c r="P16" s="1"/>
      <c r="Q16" s="1"/>
      <c r="R16" s="1"/>
      <c r="S16" s="1"/>
      <c r="T16" s="1"/>
      <c r="U16" s="1"/>
      <c r="V16" s="1"/>
      <c r="W16" s="1"/>
    </row>
    <row r="17">
      <c r="A17" s="1"/>
      <c r="B17" s="1"/>
      <c r="C17" s="2"/>
      <c r="D17" s="1"/>
      <c r="E17" s="1"/>
      <c r="J17" s="2">
        <f>IFERROR(VLOOKUP(G17,TD!B:C,2,0),0)</f>
        <v>0</v>
      </c>
      <c r="K17" s="2">
        <f t="shared" si="2"/>
        <v>-147850</v>
      </c>
      <c r="L17" s="1"/>
      <c r="M17" s="1"/>
      <c r="N17" s="1"/>
      <c r="O17" s="1"/>
      <c r="P17" s="1"/>
      <c r="Q17" s="1"/>
      <c r="R17" s="1"/>
      <c r="S17" s="1"/>
      <c r="T17" s="1"/>
      <c r="U17" s="1"/>
      <c r="V17" s="1"/>
      <c r="W17" s="1"/>
    </row>
    <row r="18">
      <c r="A18" s="1"/>
      <c r="B18" s="1"/>
      <c r="C18" s="2"/>
      <c r="D18" s="1"/>
      <c r="E18" s="1"/>
      <c r="J18" s="2">
        <f>IFERROR(VLOOKUP(G18,TD!B:C,2,0),0)</f>
        <v>0</v>
      </c>
      <c r="K18" s="2">
        <f t="shared" si="2"/>
        <v>-125000</v>
      </c>
      <c r="L18" s="1"/>
      <c r="M18" s="1"/>
      <c r="N18" s="1"/>
      <c r="O18" s="1"/>
      <c r="P18" s="1"/>
      <c r="Q18" s="1"/>
      <c r="R18" s="1"/>
      <c r="S18" s="1"/>
      <c r="T18" s="1"/>
      <c r="U18" s="1"/>
      <c r="V18" s="1"/>
      <c r="W18" s="1"/>
    </row>
    <row r="19">
      <c r="A19" s="1"/>
      <c r="B19" s="1"/>
      <c r="C19" s="2"/>
      <c r="D19" s="1"/>
      <c r="E19" s="1"/>
      <c r="J19" s="2">
        <f>IFERROR(VLOOKUP(G19,TD!B:C,2,0),0)</f>
        <v>145800</v>
      </c>
      <c r="K19" s="2">
        <f t="shared" si="2"/>
        <v>35800</v>
      </c>
      <c r="L19" s="1"/>
      <c r="M19" s="1"/>
      <c r="N19" s="1"/>
      <c r="O19" s="1"/>
      <c r="P19" s="1"/>
      <c r="Q19" s="1"/>
      <c r="R19" s="1"/>
      <c r="S19" s="1"/>
      <c r="T19" s="1"/>
      <c r="U19" s="1"/>
      <c r="V19" s="1"/>
      <c r="W19" s="1"/>
    </row>
    <row r="20">
      <c r="A20" s="1"/>
      <c r="B20" s="1"/>
      <c r="C20" s="2"/>
      <c r="D20" s="1"/>
      <c r="E20" s="1"/>
      <c r="J20" s="2">
        <f>IFERROR(VLOOKUP(G20,TD!B:C,2,0),0)</f>
        <v>150000</v>
      </c>
      <c r="K20" s="2">
        <f t="shared" si="2"/>
        <v>45200</v>
      </c>
      <c r="L20" s="1"/>
      <c r="M20" s="1"/>
      <c r="N20" s="1"/>
      <c r="O20" s="1"/>
      <c r="P20" s="1"/>
      <c r="Q20" s="1"/>
      <c r="R20" s="1"/>
      <c r="S20" s="1"/>
      <c r="T20" s="1"/>
      <c r="U20" s="1"/>
      <c r="V20" s="1"/>
      <c r="W20" s="1"/>
    </row>
    <row r="21">
      <c r="A21" s="1"/>
      <c r="B21" s="1"/>
      <c r="C21" s="2"/>
      <c r="D21" s="1"/>
      <c r="E21" s="1"/>
      <c r="J21" s="2">
        <f>IFERROR(VLOOKUP(G21,TD!B:C,2,0),0)</f>
        <v>0</v>
      </c>
      <c r="K21" s="2">
        <f t="shared" si="2"/>
        <v>-50000</v>
      </c>
      <c r="L21" s="1"/>
      <c r="M21" s="1"/>
      <c r="N21" s="1"/>
      <c r="O21" s="1"/>
      <c r="P21" s="1"/>
      <c r="Q21" s="1"/>
      <c r="R21" s="1"/>
      <c r="S21" s="1"/>
      <c r="T21" s="1"/>
      <c r="U21" s="1"/>
      <c r="V21" s="1"/>
      <c r="W21" s="1"/>
    </row>
    <row r="22">
      <c r="A22" s="1"/>
      <c r="B22" s="1"/>
      <c r="C22" s="2"/>
      <c r="D22" s="1"/>
      <c r="E22" s="1"/>
      <c r="J22" s="2">
        <f>IFERROR(VLOOKUP(G22,TD!B:C,2,0),0)</f>
        <v>380000</v>
      </c>
      <c r="K22" s="2">
        <f t="shared" si="2"/>
        <v>346000</v>
      </c>
      <c r="L22" s="1"/>
      <c r="M22" s="1"/>
      <c r="N22" s="1"/>
      <c r="O22" s="1"/>
      <c r="P22" s="1"/>
      <c r="Q22" s="1"/>
      <c r="R22" s="1"/>
      <c r="S22" s="1"/>
      <c r="T22" s="1"/>
      <c r="U22" s="1"/>
      <c r="V22" s="1"/>
      <c r="W22" s="1"/>
    </row>
    <row r="23">
      <c r="A23" s="1"/>
      <c r="B23" s="1"/>
      <c r="C23" s="2"/>
      <c r="D23" s="1"/>
      <c r="E23" s="1"/>
      <c r="J23" s="2">
        <f>IFERROR(VLOOKUP(G23,TD!B:C,2,0),0)</f>
        <v>0</v>
      </c>
      <c r="K23" s="2">
        <f t="shared" si="2"/>
        <v>-23500</v>
      </c>
      <c r="L23" s="1"/>
      <c r="M23" s="1"/>
      <c r="N23" s="1"/>
      <c r="O23" s="1"/>
      <c r="P23" s="1"/>
      <c r="Q23" s="1"/>
      <c r="R23" s="1"/>
      <c r="S23" s="1"/>
      <c r="T23" s="1"/>
      <c r="U23" s="1"/>
      <c r="V23" s="1"/>
      <c r="W23" s="1"/>
    </row>
    <row r="24">
      <c r="A24" s="1"/>
      <c r="B24" s="1"/>
      <c r="C24" s="2"/>
      <c r="D24" s="1"/>
      <c r="E24" s="1"/>
      <c r="J24" s="2">
        <f>IFERROR(VLOOKUP(G24,TD!B:C,2,0),0)</f>
        <v>0</v>
      </c>
      <c r="K24" s="2">
        <f t="shared" si="2"/>
        <v>-48000</v>
      </c>
      <c r="L24" s="1"/>
      <c r="M24" s="1"/>
      <c r="N24" s="1"/>
      <c r="O24" s="1"/>
      <c r="P24" s="1"/>
      <c r="Q24" s="1"/>
      <c r="R24" s="1"/>
      <c r="S24" s="1"/>
      <c r="T24" s="1"/>
      <c r="U24" s="1"/>
      <c r="V24" s="1"/>
      <c r="W24" s="1"/>
    </row>
    <row r="25">
      <c r="A25" s="1"/>
      <c r="B25" s="1"/>
      <c r="C25" s="2"/>
      <c r="D25" s="1"/>
      <c r="E25" s="1"/>
      <c r="J25" s="2">
        <f>IFERROR(VLOOKUP(G25,TD!B:C,2,0),0)</f>
        <v>0</v>
      </c>
      <c r="K25" s="2">
        <f t="shared" si="2"/>
        <v>-30000</v>
      </c>
      <c r="L25" s="1"/>
      <c r="M25" s="1"/>
      <c r="N25" s="1"/>
      <c r="O25" s="1"/>
      <c r="P25" s="1"/>
      <c r="Q25" s="1"/>
      <c r="R25" s="1"/>
      <c r="S25" s="1"/>
      <c r="T25" s="1"/>
      <c r="U25" s="1"/>
      <c r="V25" s="1"/>
      <c r="W25" s="1"/>
    </row>
    <row r="26">
      <c r="A26" s="1"/>
      <c r="B26" s="1"/>
      <c r="C26" s="2"/>
      <c r="D26" s="1"/>
      <c r="E26" s="1"/>
      <c r="J26" s="2">
        <f>IFERROR(VLOOKUP(G26,TD!B:C,2,0),0)</f>
        <v>0</v>
      </c>
      <c r="K26" s="2">
        <f t="shared" si="2"/>
        <v>-25000</v>
      </c>
      <c r="L26" s="1"/>
      <c r="M26" s="1"/>
      <c r="N26" s="1"/>
      <c r="O26" s="1"/>
      <c r="P26" s="1"/>
      <c r="Q26" s="1"/>
      <c r="R26" s="1"/>
      <c r="S26" s="1"/>
      <c r="T26" s="1"/>
      <c r="U26" s="1"/>
      <c r="V26" s="1"/>
      <c r="W26" s="1"/>
    </row>
    <row r="27">
      <c r="A27" s="1"/>
      <c r="B27" s="1"/>
      <c r="C27" s="2"/>
      <c r="D27" s="1"/>
      <c r="E27" s="1"/>
      <c r="J27" s="2">
        <f>IFERROR(VLOOKUP(G27,TD!B:C,2,0),0)</f>
        <v>0</v>
      </c>
      <c r="K27" s="2">
        <f t="shared" si="2"/>
        <v>-18000</v>
      </c>
      <c r="L27" s="1"/>
      <c r="M27" s="1"/>
      <c r="N27" s="1"/>
      <c r="O27" s="1"/>
      <c r="P27" s="1"/>
      <c r="Q27" s="1"/>
      <c r="R27" s="1"/>
      <c r="S27" s="1"/>
      <c r="T27" s="1"/>
      <c r="U27" s="1"/>
      <c r="V27" s="1"/>
      <c r="W27" s="1"/>
    </row>
    <row r="28">
      <c r="A28" s="1"/>
      <c r="B28" s="1"/>
      <c r="C28" s="2"/>
      <c r="D28" s="1"/>
      <c r="E28" s="1"/>
      <c r="J28" s="2">
        <f>IFERROR(VLOOKUP(G28,TD!B:C,2,0),0)</f>
        <v>0</v>
      </c>
      <c r="K28" s="2">
        <f t="shared" si="2"/>
        <v>0</v>
      </c>
      <c r="L28" s="1"/>
      <c r="M28" s="1"/>
      <c r="N28" s="1"/>
      <c r="O28" s="1"/>
      <c r="P28" s="1"/>
      <c r="Q28" s="1"/>
      <c r="R28" s="1"/>
      <c r="S28" s="1"/>
      <c r="T28" s="1"/>
      <c r="U28" s="1"/>
      <c r="V28" s="1"/>
      <c r="W28" s="1"/>
    </row>
    <row r="29">
      <c r="A29" s="1"/>
      <c r="B29" s="1"/>
      <c r="C29" s="2"/>
      <c r="D29" s="1"/>
      <c r="E29" s="1"/>
      <c r="F29" s="1"/>
      <c r="G29" s="2"/>
      <c r="H29" s="1"/>
      <c r="I29" s="1"/>
      <c r="J29" s="2">
        <f>IFERROR(VLOOKUP(G29,TD!B:C,2,0),0)</f>
        <v>0</v>
      </c>
      <c r="K29" s="2">
        <f t="shared" si="2"/>
        <v>0</v>
      </c>
      <c r="L29" s="1"/>
      <c r="M29" s="1"/>
      <c r="N29" s="1"/>
      <c r="O29" s="1"/>
      <c r="P29" s="1"/>
      <c r="Q29" s="1"/>
      <c r="R29" s="1"/>
      <c r="S29" s="1"/>
      <c r="T29" s="1"/>
      <c r="U29" s="1"/>
      <c r="V29" s="1"/>
      <c r="W29" s="1"/>
    </row>
    <row r="30">
      <c r="A30" s="1"/>
      <c r="B30" s="1"/>
      <c r="C30" s="2"/>
      <c r="D30" s="1"/>
      <c r="E30" s="1"/>
      <c r="F30" s="1"/>
      <c r="G30" s="2"/>
      <c r="H30" s="1"/>
      <c r="I30" s="1"/>
      <c r="J30" s="2">
        <f>IFERROR(VLOOKUP(G30,TD!B:C,2,0),0)</f>
        <v>0</v>
      </c>
      <c r="K30" s="2">
        <f t="shared" si="2"/>
        <v>0</v>
      </c>
      <c r="L30" s="1"/>
      <c r="M30" s="1"/>
      <c r="N30" s="1"/>
      <c r="O30" s="1"/>
      <c r="P30" s="1"/>
      <c r="Q30" s="1"/>
      <c r="R30" s="1"/>
      <c r="S30" s="1"/>
      <c r="T30" s="1"/>
      <c r="U30" s="1"/>
      <c r="V30" s="1"/>
      <c r="W30" s="1"/>
    </row>
    <row r="31">
      <c r="A31" s="1"/>
      <c r="B31" s="1"/>
      <c r="C31" s="2"/>
      <c r="D31" s="1"/>
      <c r="E31" s="1"/>
      <c r="F31" s="1"/>
      <c r="G31" s="2"/>
      <c r="H31" s="1"/>
      <c r="I31" s="1"/>
      <c r="J31" s="2">
        <f>IFERROR(VLOOKUP(G31,TD!B:C,2,0),0)</f>
        <v>0</v>
      </c>
      <c r="K31" s="2">
        <f t="shared" si="2"/>
        <v>0</v>
      </c>
      <c r="L31" s="1"/>
      <c r="M31" s="1"/>
      <c r="N31" s="1"/>
      <c r="O31" s="1"/>
      <c r="P31" s="1"/>
      <c r="Q31" s="1"/>
      <c r="R31" s="1"/>
      <c r="S31" s="1"/>
      <c r="T31" s="1"/>
      <c r="U31" s="1"/>
      <c r="V31" s="1"/>
      <c r="W31" s="1"/>
    </row>
    <row r="32">
      <c r="A32" s="1"/>
      <c r="B32" s="1"/>
      <c r="C32" s="2"/>
      <c r="D32" s="1"/>
      <c r="E32" s="1"/>
      <c r="F32" s="1"/>
      <c r="G32" s="2"/>
      <c r="H32" s="1"/>
      <c r="I32" s="1"/>
      <c r="J32" s="2"/>
      <c r="K32" s="1"/>
      <c r="L32" s="1"/>
      <c r="M32" s="1"/>
      <c r="N32" s="1"/>
      <c r="O32" s="1"/>
      <c r="P32" s="1"/>
      <c r="Q32" s="1"/>
      <c r="R32" s="1"/>
      <c r="S32" s="1"/>
      <c r="T32" s="1"/>
      <c r="U32" s="1"/>
      <c r="V32" s="1"/>
      <c r="W32" s="1"/>
    </row>
    <row r="33">
      <c r="A33" s="1"/>
      <c r="B33" s="1"/>
      <c r="C33" s="2"/>
      <c r="D33" s="1"/>
      <c r="E33" s="1"/>
      <c r="F33" s="1"/>
      <c r="G33" s="2"/>
      <c r="H33" s="1"/>
      <c r="I33" s="1"/>
      <c r="J33" s="2"/>
      <c r="K33" s="1"/>
      <c r="L33" s="1"/>
      <c r="M33" s="1"/>
      <c r="N33" s="1"/>
      <c r="O33" s="1"/>
      <c r="P33" s="1"/>
      <c r="Q33" s="1"/>
      <c r="R33" s="1"/>
      <c r="S33" s="1"/>
      <c r="T33" s="1"/>
      <c r="U33" s="1"/>
      <c r="V33" s="1"/>
      <c r="W33" s="1"/>
    </row>
    <row r="34">
      <c r="A34" s="1"/>
      <c r="B34" s="1"/>
      <c r="C34" s="2"/>
      <c r="D34" s="1"/>
      <c r="E34" s="1"/>
      <c r="F34" s="1"/>
      <c r="G34" s="2"/>
      <c r="H34" s="1"/>
      <c r="I34" s="1"/>
      <c r="J34" s="2"/>
      <c r="K34" s="1"/>
      <c r="L34" s="1"/>
      <c r="M34" s="1"/>
      <c r="N34" s="1"/>
      <c r="O34" s="1"/>
      <c r="P34" s="1"/>
      <c r="Q34" s="1"/>
      <c r="R34" s="1"/>
      <c r="S34" s="1"/>
      <c r="T34" s="1"/>
      <c r="U34" s="1"/>
      <c r="V34" s="1"/>
      <c r="W34" s="1"/>
    </row>
    <row r="35">
      <c r="A35" s="1"/>
      <c r="B35" s="1"/>
      <c r="C35" s="2"/>
      <c r="D35" s="1"/>
      <c r="E35" s="1"/>
      <c r="F35" s="1"/>
      <c r="G35" s="2"/>
      <c r="H35" s="1"/>
      <c r="I35" s="1"/>
      <c r="J35" s="2"/>
      <c r="K35" s="1"/>
      <c r="L35" s="1"/>
      <c r="M35" s="1"/>
      <c r="N35" s="1"/>
      <c r="O35" s="1"/>
      <c r="P35" s="1"/>
      <c r="Q35" s="1"/>
      <c r="R35" s="1"/>
      <c r="S35" s="1"/>
      <c r="T35" s="1"/>
      <c r="U35" s="1"/>
      <c r="V35" s="1"/>
      <c r="W35" s="1"/>
    </row>
    <row r="36">
      <c r="A36" s="1"/>
      <c r="B36" s="1"/>
      <c r="C36" s="2"/>
      <c r="D36" s="1"/>
      <c r="E36" s="1"/>
      <c r="F36" s="1"/>
      <c r="G36" s="2"/>
      <c r="H36" s="1"/>
      <c r="I36" s="1"/>
      <c r="J36" s="2"/>
      <c r="K36" s="1"/>
      <c r="L36" s="1"/>
      <c r="M36" s="1"/>
      <c r="N36" s="1"/>
      <c r="O36" s="1"/>
      <c r="P36" s="1"/>
      <c r="Q36" s="1"/>
      <c r="R36" s="1"/>
      <c r="S36" s="1"/>
      <c r="T36" s="1"/>
      <c r="U36" s="1"/>
      <c r="V36" s="1"/>
      <c r="W36" s="1"/>
    </row>
    <row r="37">
      <c r="A37" s="1"/>
      <c r="B37" s="1"/>
      <c r="C37" s="2"/>
      <c r="D37" s="1"/>
      <c r="E37" s="1"/>
      <c r="F37" s="1"/>
      <c r="G37" s="2"/>
      <c r="H37" s="1"/>
      <c r="I37" s="1"/>
      <c r="J37" s="2"/>
      <c r="K37" s="1"/>
      <c r="L37" s="1"/>
      <c r="M37" s="1"/>
      <c r="N37" s="1"/>
      <c r="O37" s="1"/>
      <c r="P37" s="1"/>
      <c r="Q37" s="1"/>
      <c r="R37" s="1"/>
      <c r="S37" s="1"/>
      <c r="T37" s="1"/>
      <c r="U37" s="1"/>
      <c r="V37" s="1"/>
      <c r="W37" s="1"/>
    </row>
    <row r="38">
      <c r="A38" s="1"/>
      <c r="B38" s="1"/>
      <c r="C38" s="2"/>
      <c r="D38" s="1"/>
      <c r="E38" s="1"/>
      <c r="F38" s="1"/>
      <c r="G38" s="2"/>
      <c r="H38" s="1"/>
      <c r="I38" s="1"/>
      <c r="J38" s="2"/>
      <c r="K38" s="1"/>
      <c r="L38" s="1"/>
      <c r="M38" s="1"/>
      <c r="N38" s="1"/>
      <c r="O38" s="1"/>
      <c r="P38" s="1"/>
      <c r="Q38" s="1"/>
      <c r="R38" s="1"/>
      <c r="S38" s="1"/>
      <c r="T38" s="1"/>
      <c r="U38" s="1"/>
      <c r="V38" s="1"/>
      <c r="W38" s="1"/>
    </row>
    <row r="39">
      <c r="A39" s="1"/>
      <c r="B39" s="1"/>
      <c r="C39" s="2"/>
      <c r="D39" s="1"/>
      <c r="E39" s="1"/>
      <c r="F39" s="1"/>
      <c r="G39" s="2"/>
      <c r="H39" s="1"/>
      <c r="I39" s="1"/>
      <c r="J39" s="2"/>
      <c r="K39" s="1"/>
      <c r="L39" s="1"/>
      <c r="M39" s="1"/>
      <c r="N39" s="1"/>
      <c r="O39" s="1"/>
      <c r="P39" s="1"/>
      <c r="Q39" s="1"/>
      <c r="R39" s="1"/>
      <c r="S39" s="1"/>
      <c r="T39" s="1"/>
      <c r="U39" s="1"/>
      <c r="V39" s="1"/>
      <c r="W39" s="1"/>
    </row>
    <row r="40">
      <c r="A40" s="1"/>
      <c r="B40" s="1"/>
      <c r="C40" s="2"/>
      <c r="D40" s="1"/>
      <c r="E40" s="1"/>
      <c r="F40" s="1"/>
      <c r="G40" s="2"/>
      <c r="H40" s="1"/>
      <c r="I40" s="1"/>
      <c r="J40" s="2"/>
      <c r="K40" s="1"/>
      <c r="L40" s="1"/>
      <c r="M40" s="1"/>
      <c r="N40" s="1"/>
      <c r="O40" s="1"/>
      <c r="P40" s="1"/>
      <c r="Q40" s="1"/>
      <c r="R40" s="1"/>
      <c r="S40" s="1"/>
      <c r="T40" s="1"/>
      <c r="U40" s="1"/>
      <c r="V40" s="1"/>
      <c r="W40" s="1"/>
    </row>
    <row r="41">
      <c r="A41" s="1"/>
      <c r="B41" s="1"/>
      <c r="C41" s="2"/>
      <c r="D41" s="1"/>
      <c r="E41" s="1"/>
      <c r="F41" s="1"/>
      <c r="G41" s="2"/>
      <c r="H41" s="1"/>
      <c r="I41" s="1"/>
      <c r="J41" s="2"/>
      <c r="K41" s="1"/>
      <c r="L41" s="1"/>
      <c r="M41" s="1"/>
      <c r="N41" s="1"/>
      <c r="O41" s="1"/>
      <c r="P41" s="1"/>
      <c r="Q41" s="1"/>
      <c r="R41" s="1"/>
      <c r="S41" s="1"/>
      <c r="T41" s="1"/>
      <c r="U41" s="1"/>
      <c r="V41" s="1"/>
      <c r="W41" s="1"/>
    </row>
    <row r="42">
      <c r="A42" s="1"/>
      <c r="B42" s="1"/>
      <c r="C42" s="2"/>
      <c r="D42" s="1"/>
      <c r="E42" s="1"/>
      <c r="F42" s="1"/>
      <c r="G42" s="2"/>
      <c r="H42" s="1"/>
      <c r="I42" s="1"/>
      <c r="J42" s="2"/>
      <c r="K42" s="1"/>
      <c r="L42" s="1"/>
      <c r="M42" s="1"/>
      <c r="N42" s="1"/>
      <c r="O42" s="1"/>
      <c r="P42" s="1"/>
      <c r="Q42" s="1"/>
      <c r="R42" s="1"/>
      <c r="S42" s="1"/>
      <c r="T42" s="1"/>
      <c r="U42" s="1"/>
      <c r="V42" s="1"/>
      <c r="W42" s="1"/>
    </row>
    <row r="43">
      <c r="A43" s="1"/>
      <c r="B43" s="1"/>
      <c r="C43" s="2"/>
      <c r="D43" s="1"/>
      <c r="E43" s="1"/>
      <c r="F43" s="1"/>
      <c r="G43" s="2"/>
      <c r="H43" s="1"/>
      <c r="I43" s="1"/>
      <c r="J43" s="2"/>
      <c r="K43" s="1"/>
      <c r="L43" s="1"/>
      <c r="M43" s="1"/>
      <c r="N43" s="1"/>
      <c r="O43" s="1"/>
      <c r="P43" s="1"/>
      <c r="Q43" s="1"/>
      <c r="R43" s="1"/>
      <c r="S43" s="1"/>
      <c r="T43" s="1"/>
      <c r="U43" s="1"/>
      <c r="V43" s="1"/>
      <c r="W43" s="1"/>
    </row>
    <row r="44">
      <c r="A44" s="1"/>
      <c r="B44" s="1"/>
      <c r="C44" s="2"/>
      <c r="D44" s="1"/>
      <c r="E44" s="1"/>
      <c r="F44" s="1"/>
      <c r="G44" s="2"/>
      <c r="H44" s="1"/>
      <c r="I44" s="1"/>
      <c r="J44" s="2"/>
      <c r="K44" s="1"/>
      <c r="L44" s="1"/>
      <c r="M44" s="1"/>
      <c r="N44" s="1"/>
      <c r="O44" s="1"/>
      <c r="P44" s="1"/>
      <c r="Q44" s="1"/>
      <c r="R44" s="1"/>
      <c r="S44" s="1"/>
      <c r="T44" s="1"/>
      <c r="U44" s="1"/>
      <c r="V44" s="1"/>
      <c r="W44" s="1"/>
    </row>
    <row r="45">
      <c r="A45" s="1"/>
      <c r="B45" s="1"/>
      <c r="C45" s="2"/>
      <c r="D45" s="1"/>
      <c r="E45" s="1"/>
      <c r="F45" s="1"/>
      <c r="G45" s="2"/>
      <c r="H45" s="1"/>
      <c r="I45" s="1"/>
      <c r="J45" s="2"/>
      <c r="K45" s="1"/>
      <c r="L45" s="1"/>
      <c r="M45" s="1"/>
      <c r="N45" s="1"/>
      <c r="O45" s="1"/>
      <c r="P45" s="1"/>
      <c r="Q45" s="1"/>
      <c r="R45" s="1"/>
      <c r="S45" s="1"/>
      <c r="T45" s="1"/>
      <c r="U45" s="1"/>
      <c r="V45" s="1"/>
      <c r="W45" s="1"/>
    </row>
    <row r="46">
      <c r="A46" s="1"/>
      <c r="B46" s="1"/>
      <c r="C46" s="2"/>
      <c r="D46" s="1"/>
      <c r="E46" s="1"/>
      <c r="F46" s="1"/>
      <c r="G46" s="2"/>
      <c r="H46" s="1"/>
      <c r="I46" s="1"/>
      <c r="J46" s="2"/>
      <c r="K46" s="1"/>
      <c r="L46" s="1"/>
      <c r="M46" s="1"/>
      <c r="N46" s="1"/>
      <c r="O46" s="1"/>
      <c r="P46" s="1"/>
      <c r="Q46" s="1"/>
      <c r="R46" s="1"/>
      <c r="S46" s="1"/>
      <c r="T46" s="1"/>
      <c r="U46" s="1"/>
      <c r="V46" s="1"/>
      <c r="W46" s="1"/>
    </row>
    <row r="47">
      <c r="A47" s="1"/>
      <c r="B47" s="1"/>
      <c r="C47" s="2"/>
      <c r="D47" s="1"/>
      <c r="E47" s="1"/>
      <c r="F47" s="1"/>
      <c r="G47" s="2"/>
      <c r="H47" s="1"/>
      <c r="I47" s="1"/>
      <c r="J47" s="2"/>
      <c r="K47" s="1"/>
      <c r="L47" s="1"/>
      <c r="M47" s="1"/>
      <c r="N47" s="1"/>
      <c r="O47" s="1"/>
      <c r="P47" s="1"/>
      <c r="Q47" s="1"/>
      <c r="R47" s="1"/>
      <c r="S47" s="1"/>
      <c r="T47" s="1"/>
      <c r="U47" s="1"/>
      <c r="V47" s="1"/>
      <c r="W47" s="1"/>
    </row>
    <row r="48">
      <c r="A48" s="1"/>
      <c r="B48" s="1"/>
      <c r="C48" s="2"/>
      <c r="D48" s="1"/>
      <c r="E48" s="1"/>
      <c r="F48" s="1"/>
      <c r="G48" s="2"/>
      <c r="H48" s="1"/>
      <c r="I48" s="1"/>
      <c r="J48" s="2"/>
      <c r="K48" s="1"/>
      <c r="L48" s="1"/>
      <c r="M48" s="1"/>
      <c r="N48" s="1"/>
      <c r="O48" s="1"/>
      <c r="P48" s="1"/>
      <c r="Q48" s="1"/>
      <c r="R48" s="1"/>
      <c r="S48" s="1"/>
      <c r="T48" s="1"/>
      <c r="U48" s="1"/>
      <c r="V48" s="1"/>
      <c r="W48" s="1"/>
    </row>
    <row r="49">
      <c r="A49" s="1"/>
      <c r="B49" s="1"/>
      <c r="C49" s="2"/>
      <c r="D49" s="1"/>
      <c r="E49" s="1"/>
      <c r="F49" s="1"/>
      <c r="G49" s="2"/>
      <c r="H49" s="1"/>
      <c r="I49" s="1"/>
      <c r="J49" s="2"/>
      <c r="K49" s="1"/>
      <c r="L49" s="1"/>
      <c r="M49" s="1"/>
      <c r="N49" s="1"/>
      <c r="O49" s="1"/>
      <c r="P49" s="1"/>
      <c r="Q49" s="1"/>
      <c r="R49" s="1"/>
      <c r="S49" s="1"/>
      <c r="T49" s="1"/>
      <c r="U49" s="1"/>
      <c r="V49" s="1"/>
      <c r="W49" s="1"/>
    </row>
    <row r="50">
      <c r="A50" s="1"/>
      <c r="B50" s="1"/>
      <c r="C50" s="2"/>
      <c r="D50" s="1"/>
      <c r="E50" s="1"/>
      <c r="F50" s="1"/>
      <c r="G50" s="2"/>
      <c r="H50" s="1"/>
      <c r="I50" s="1"/>
      <c r="J50" s="2"/>
      <c r="K50" s="1"/>
      <c r="L50" s="1"/>
      <c r="M50" s="1"/>
      <c r="N50" s="1"/>
      <c r="O50" s="1"/>
      <c r="P50" s="1"/>
      <c r="Q50" s="1"/>
      <c r="R50" s="1"/>
      <c r="S50" s="1"/>
      <c r="T50" s="1"/>
      <c r="U50" s="1"/>
      <c r="V50" s="1"/>
      <c r="W50" s="1"/>
    </row>
    <row r="51">
      <c r="A51" s="1"/>
      <c r="B51" s="1"/>
      <c r="C51" s="2"/>
      <c r="D51" s="1"/>
      <c r="E51" s="1"/>
      <c r="F51" s="1"/>
      <c r="G51" s="2"/>
      <c r="H51" s="1"/>
      <c r="I51" s="1"/>
      <c r="J51" s="2"/>
      <c r="K51" s="1"/>
      <c r="L51" s="1"/>
      <c r="M51" s="1"/>
      <c r="N51" s="1"/>
      <c r="O51" s="1"/>
      <c r="P51" s="1"/>
      <c r="Q51" s="1"/>
      <c r="R51" s="1"/>
      <c r="S51" s="1"/>
      <c r="T51" s="1"/>
      <c r="U51" s="1"/>
      <c r="V51" s="1"/>
      <c r="W51" s="1"/>
    </row>
    <row r="52">
      <c r="A52" s="1"/>
      <c r="B52" s="1"/>
      <c r="C52" s="2"/>
      <c r="D52" s="1"/>
      <c r="E52" s="1"/>
      <c r="F52" s="1"/>
      <c r="G52" s="2"/>
      <c r="H52" s="1"/>
      <c r="I52" s="1"/>
      <c r="J52" s="2"/>
      <c r="K52" s="1"/>
      <c r="L52" s="1"/>
      <c r="M52" s="1"/>
      <c r="N52" s="1"/>
      <c r="O52" s="1"/>
      <c r="P52" s="1"/>
      <c r="Q52" s="1"/>
      <c r="R52" s="1"/>
      <c r="S52" s="1"/>
      <c r="T52" s="1"/>
      <c r="U52" s="1"/>
      <c r="V52" s="1"/>
      <c r="W52" s="1"/>
    </row>
    <row r="53">
      <c r="A53" s="1"/>
      <c r="B53" s="1"/>
      <c r="C53" s="2"/>
      <c r="D53" s="1"/>
      <c r="E53" s="1"/>
      <c r="F53" s="1"/>
      <c r="G53" s="2"/>
      <c r="H53" s="1"/>
      <c r="I53" s="1"/>
      <c r="J53" s="2"/>
      <c r="K53" s="1"/>
      <c r="L53" s="1"/>
      <c r="M53" s="1"/>
      <c r="N53" s="1"/>
      <c r="O53" s="1"/>
      <c r="P53" s="1"/>
      <c r="Q53" s="1"/>
      <c r="R53" s="1"/>
      <c r="S53" s="1"/>
      <c r="T53" s="1"/>
      <c r="U53" s="1"/>
      <c r="V53" s="1"/>
      <c r="W53" s="1"/>
    </row>
    <row r="54">
      <c r="A54" s="1"/>
      <c r="B54" s="1"/>
      <c r="C54" s="2"/>
      <c r="D54" s="1"/>
      <c r="E54" s="1"/>
      <c r="F54" s="1"/>
      <c r="G54" s="2"/>
      <c r="H54" s="1"/>
      <c r="I54" s="1"/>
      <c r="J54" s="2"/>
      <c r="K54" s="1"/>
      <c r="L54" s="1"/>
      <c r="M54" s="1"/>
      <c r="N54" s="1"/>
      <c r="O54" s="1"/>
      <c r="P54" s="1"/>
      <c r="Q54" s="1"/>
      <c r="R54" s="1"/>
      <c r="S54" s="1"/>
      <c r="T54" s="1"/>
      <c r="U54" s="1"/>
      <c r="V54" s="1"/>
      <c r="W54" s="1"/>
    </row>
    <row r="55">
      <c r="A55" s="1"/>
      <c r="B55" s="1"/>
      <c r="C55" s="2"/>
      <c r="D55" s="1"/>
      <c r="E55" s="1"/>
      <c r="F55" s="1"/>
      <c r="G55" s="2"/>
      <c r="H55" s="1"/>
      <c r="I55" s="1"/>
      <c r="J55" s="2"/>
      <c r="K55" s="1"/>
      <c r="L55" s="1"/>
      <c r="M55" s="1"/>
      <c r="N55" s="1"/>
      <c r="O55" s="1"/>
      <c r="P55" s="1"/>
      <c r="Q55" s="1"/>
      <c r="R55" s="1"/>
      <c r="S55" s="1"/>
      <c r="T55" s="1"/>
      <c r="U55" s="1"/>
      <c r="V55" s="1"/>
      <c r="W55" s="1"/>
    </row>
    <row r="56">
      <c r="A56" s="1"/>
      <c r="B56" s="1"/>
      <c r="C56" s="2"/>
      <c r="D56" s="1"/>
      <c r="E56" s="1"/>
      <c r="F56" s="1"/>
      <c r="G56" s="2"/>
      <c r="H56" s="1"/>
      <c r="I56" s="1"/>
      <c r="J56" s="2"/>
      <c r="K56" s="1"/>
      <c r="L56" s="1"/>
      <c r="M56" s="1"/>
      <c r="N56" s="1"/>
      <c r="O56" s="1"/>
      <c r="P56" s="1"/>
      <c r="Q56" s="1"/>
      <c r="R56" s="1"/>
      <c r="S56" s="1"/>
      <c r="T56" s="1"/>
      <c r="U56" s="1"/>
      <c r="V56" s="1"/>
      <c r="W56" s="1"/>
    </row>
    <row r="57">
      <c r="A57" s="1"/>
      <c r="B57" s="1"/>
      <c r="C57" s="2"/>
      <c r="D57" s="1"/>
      <c r="E57" s="1"/>
      <c r="F57" s="1"/>
      <c r="G57" s="2"/>
      <c r="H57" s="1"/>
      <c r="I57" s="1"/>
      <c r="J57" s="2"/>
      <c r="K57" s="1"/>
      <c r="L57" s="1"/>
      <c r="M57" s="1"/>
      <c r="N57" s="1"/>
      <c r="O57" s="1"/>
      <c r="P57" s="1"/>
      <c r="Q57" s="1"/>
      <c r="R57" s="1"/>
      <c r="S57" s="1"/>
      <c r="T57" s="1"/>
      <c r="U57" s="1"/>
      <c r="V57" s="1"/>
      <c r="W57" s="1"/>
    </row>
    <row r="58">
      <c r="A58" s="1"/>
      <c r="B58" s="1"/>
      <c r="C58" s="2"/>
      <c r="D58" s="1"/>
      <c r="E58" s="1"/>
      <c r="F58" s="1"/>
      <c r="G58" s="2"/>
      <c r="H58" s="1"/>
      <c r="I58" s="1"/>
      <c r="J58" s="2"/>
      <c r="K58" s="1"/>
      <c r="L58" s="1"/>
      <c r="M58" s="1"/>
      <c r="N58" s="1"/>
      <c r="O58" s="1"/>
      <c r="P58" s="1"/>
      <c r="Q58" s="1"/>
      <c r="R58" s="1"/>
      <c r="S58" s="1"/>
      <c r="T58" s="1"/>
      <c r="U58" s="1"/>
      <c r="V58" s="1"/>
      <c r="W58" s="1"/>
    </row>
    <row r="59">
      <c r="A59" s="1"/>
      <c r="B59" s="1"/>
      <c r="C59" s="2"/>
      <c r="D59" s="1"/>
      <c r="E59" s="1"/>
      <c r="F59" s="1"/>
      <c r="G59" s="2"/>
      <c r="H59" s="1"/>
      <c r="I59" s="1"/>
      <c r="J59" s="2"/>
      <c r="K59" s="1"/>
      <c r="L59" s="1"/>
      <c r="M59" s="1"/>
      <c r="N59" s="1"/>
      <c r="O59" s="1"/>
      <c r="P59" s="1"/>
      <c r="Q59" s="1"/>
      <c r="R59" s="1"/>
      <c r="S59" s="1"/>
      <c r="T59" s="1"/>
      <c r="U59" s="1"/>
      <c r="V59" s="1"/>
      <c r="W59" s="1"/>
    </row>
    <row r="60">
      <c r="A60" s="1"/>
      <c r="B60" s="1"/>
      <c r="C60" s="2"/>
      <c r="D60" s="1"/>
      <c r="E60" s="1"/>
      <c r="F60" s="1"/>
      <c r="G60" s="2"/>
      <c r="H60" s="1"/>
      <c r="I60" s="1"/>
      <c r="J60" s="2"/>
      <c r="K60" s="1"/>
      <c r="L60" s="1"/>
      <c r="M60" s="1"/>
      <c r="N60" s="1"/>
      <c r="O60" s="1"/>
      <c r="P60" s="1"/>
      <c r="Q60" s="1"/>
      <c r="R60" s="1"/>
      <c r="S60" s="1"/>
      <c r="T60" s="1"/>
      <c r="U60" s="1"/>
      <c r="V60" s="1"/>
      <c r="W60" s="1"/>
    </row>
    <row r="61">
      <c r="A61" s="1"/>
      <c r="B61" s="1"/>
      <c r="C61" s="2"/>
      <c r="D61" s="1"/>
      <c r="E61" s="1"/>
      <c r="F61" s="1"/>
      <c r="G61" s="2"/>
      <c r="H61" s="1"/>
      <c r="I61" s="1"/>
      <c r="J61" s="2"/>
      <c r="K61" s="1"/>
      <c r="L61" s="1"/>
      <c r="M61" s="1"/>
      <c r="N61" s="1"/>
      <c r="O61" s="1"/>
      <c r="P61" s="1"/>
      <c r="Q61" s="1"/>
      <c r="R61" s="1"/>
      <c r="S61" s="1"/>
      <c r="T61" s="1"/>
      <c r="U61" s="1"/>
      <c r="V61" s="1"/>
      <c r="W61" s="1"/>
    </row>
    <row r="62">
      <c r="A62" s="1"/>
      <c r="B62" s="1"/>
      <c r="C62" s="2"/>
      <c r="D62" s="1"/>
      <c r="E62" s="1"/>
      <c r="F62" s="1"/>
      <c r="G62" s="2"/>
      <c r="H62" s="1"/>
      <c r="I62" s="1"/>
      <c r="J62" s="2"/>
      <c r="K62" s="1"/>
      <c r="L62" s="1"/>
      <c r="M62" s="1"/>
      <c r="N62" s="1"/>
      <c r="O62" s="1"/>
      <c r="P62" s="1"/>
      <c r="Q62" s="1"/>
      <c r="R62" s="1"/>
      <c r="S62" s="1"/>
      <c r="T62" s="1"/>
      <c r="U62" s="1"/>
      <c r="V62" s="1"/>
      <c r="W62" s="1"/>
    </row>
    <row r="63">
      <c r="A63" s="1"/>
      <c r="B63" s="1"/>
      <c r="C63" s="2"/>
      <c r="D63" s="1"/>
      <c r="E63" s="1"/>
      <c r="F63" s="1"/>
      <c r="G63" s="2"/>
      <c r="H63" s="1"/>
      <c r="I63" s="1"/>
      <c r="J63" s="2"/>
      <c r="K63" s="1"/>
      <c r="L63" s="1"/>
      <c r="M63" s="1"/>
      <c r="N63" s="1"/>
      <c r="O63" s="1"/>
      <c r="P63" s="1"/>
      <c r="Q63" s="1"/>
      <c r="R63" s="1"/>
      <c r="S63" s="1"/>
      <c r="T63" s="1"/>
      <c r="U63" s="1"/>
      <c r="V63" s="1"/>
      <c r="W63" s="1"/>
    </row>
    <row r="64">
      <c r="A64" s="1"/>
      <c r="B64" s="1"/>
      <c r="C64" s="2"/>
      <c r="D64" s="1"/>
      <c r="E64" s="1"/>
      <c r="F64" s="1"/>
      <c r="G64" s="2"/>
      <c r="H64" s="1"/>
      <c r="I64" s="1"/>
      <c r="J64" s="2"/>
      <c r="K64" s="1"/>
      <c r="L64" s="1"/>
      <c r="M64" s="1"/>
      <c r="N64" s="1"/>
      <c r="O64" s="1"/>
      <c r="P64" s="1"/>
      <c r="Q64" s="1"/>
      <c r="R64" s="1"/>
      <c r="S64" s="1"/>
      <c r="T64" s="1"/>
      <c r="U64" s="1"/>
      <c r="V64" s="1"/>
      <c r="W64" s="1"/>
    </row>
    <row r="65">
      <c r="A65" s="1"/>
      <c r="B65" s="1"/>
      <c r="C65" s="2"/>
      <c r="D65" s="1"/>
      <c r="E65" s="1"/>
      <c r="F65" s="1"/>
      <c r="G65" s="2"/>
      <c r="H65" s="1"/>
      <c r="I65" s="1"/>
      <c r="J65" s="2"/>
      <c r="K65" s="1"/>
      <c r="L65" s="1"/>
      <c r="M65" s="1"/>
      <c r="N65" s="1"/>
      <c r="O65" s="1"/>
      <c r="P65" s="1"/>
      <c r="Q65" s="1"/>
      <c r="R65" s="1"/>
      <c r="S65" s="1"/>
      <c r="T65" s="1"/>
      <c r="U65" s="1"/>
      <c r="V65" s="1"/>
      <c r="W65" s="1"/>
    </row>
    <row r="66">
      <c r="A66" s="1"/>
      <c r="B66" s="1"/>
      <c r="C66" s="2"/>
      <c r="D66" s="1"/>
      <c r="E66" s="1"/>
      <c r="F66" s="1"/>
      <c r="G66" s="2"/>
      <c r="H66" s="1"/>
      <c r="I66" s="1"/>
      <c r="J66" s="2"/>
      <c r="K66" s="1"/>
      <c r="L66" s="1"/>
      <c r="M66" s="1"/>
      <c r="N66" s="1"/>
      <c r="O66" s="1"/>
      <c r="P66" s="1"/>
      <c r="Q66" s="1"/>
      <c r="R66" s="1"/>
      <c r="S66" s="1"/>
      <c r="T66" s="1"/>
      <c r="U66" s="1"/>
      <c r="V66" s="1"/>
      <c r="W66" s="1"/>
    </row>
    <row r="67">
      <c r="A67" s="1"/>
      <c r="B67" s="1"/>
      <c r="C67" s="2"/>
      <c r="D67" s="1"/>
      <c r="E67" s="1"/>
      <c r="F67" s="1"/>
      <c r="G67" s="2"/>
      <c r="H67" s="1"/>
      <c r="I67" s="1"/>
      <c r="J67" s="2"/>
      <c r="K67" s="1"/>
      <c r="L67" s="1"/>
      <c r="M67" s="1"/>
      <c r="N67" s="1"/>
      <c r="O67" s="1"/>
      <c r="P67" s="1"/>
      <c r="Q67" s="1"/>
      <c r="R67" s="1"/>
      <c r="S67" s="1"/>
      <c r="T67" s="1"/>
      <c r="U67" s="1"/>
      <c r="V67" s="1"/>
      <c r="W67" s="1"/>
    </row>
    <row r="68">
      <c r="A68" s="1"/>
      <c r="B68" s="1"/>
      <c r="C68" s="2"/>
      <c r="D68" s="1"/>
      <c r="E68" s="1"/>
      <c r="F68" s="1"/>
      <c r="G68" s="2"/>
      <c r="H68" s="1"/>
      <c r="I68" s="1"/>
      <c r="J68" s="2"/>
      <c r="K68" s="1"/>
      <c r="L68" s="1"/>
      <c r="M68" s="1"/>
      <c r="N68" s="1"/>
      <c r="O68" s="1"/>
      <c r="P68" s="1"/>
      <c r="Q68" s="1"/>
      <c r="R68" s="1"/>
      <c r="S68" s="1"/>
      <c r="T68" s="1"/>
      <c r="U68" s="1"/>
      <c r="V68" s="1"/>
      <c r="W68" s="1"/>
    </row>
    <row r="69">
      <c r="A69" s="1"/>
      <c r="B69" s="1"/>
      <c r="C69" s="2"/>
      <c r="D69" s="1"/>
      <c r="E69" s="1"/>
      <c r="F69" s="1"/>
      <c r="G69" s="2"/>
      <c r="H69" s="1"/>
      <c r="I69" s="1"/>
      <c r="J69" s="2"/>
      <c r="K69" s="1"/>
      <c r="L69" s="1"/>
      <c r="M69" s="1"/>
      <c r="N69" s="1"/>
      <c r="O69" s="1"/>
      <c r="P69" s="1"/>
      <c r="Q69" s="1"/>
      <c r="R69" s="1"/>
      <c r="S69" s="1"/>
      <c r="T69" s="1"/>
      <c r="U69" s="1"/>
      <c r="V69" s="1"/>
      <c r="W69" s="1"/>
    </row>
    <row r="70">
      <c r="A70" s="1"/>
      <c r="B70" s="1"/>
      <c r="C70" s="2"/>
      <c r="D70" s="1"/>
      <c r="E70" s="1"/>
      <c r="F70" s="1"/>
      <c r="G70" s="2"/>
      <c r="H70" s="1"/>
      <c r="I70" s="1"/>
      <c r="J70" s="2"/>
      <c r="K70" s="1"/>
      <c r="L70" s="1"/>
      <c r="M70" s="1"/>
      <c r="N70" s="1"/>
      <c r="O70" s="1"/>
      <c r="P70" s="1"/>
      <c r="Q70" s="1"/>
      <c r="R70" s="1"/>
      <c r="S70" s="1"/>
      <c r="T70" s="1"/>
      <c r="U70" s="1"/>
      <c r="V70" s="1"/>
      <c r="W70" s="1"/>
    </row>
    <row r="71">
      <c r="A71" s="1"/>
      <c r="B71" s="1"/>
      <c r="C71" s="2"/>
      <c r="D71" s="1"/>
      <c r="E71" s="1"/>
      <c r="F71" s="1"/>
      <c r="G71" s="2"/>
      <c r="H71" s="1"/>
      <c r="I71" s="1"/>
      <c r="J71" s="2"/>
      <c r="K71" s="1"/>
      <c r="L71" s="1"/>
      <c r="M71" s="1"/>
      <c r="N71" s="1"/>
      <c r="O71" s="1"/>
      <c r="P71" s="1"/>
      <c r="Q71" s="1"/>
      <c r="R71" s="1"/>
      <c r="S71" s="1"/>
      <c r="T71" s="1"/>
      <c r="U71" s="1"/>
      <c r="V71" s="1"/>
      <c r="W71" s="1"/>
    </row>
    <row r="72">
      <c r="A72" s="1"/>
      <c r="B72" s="1"/>
      <c r="C72" s="2"/>
      <c r="D72" s="1"/>
      <c r="E72" s="1"/>
      <c r="F72" s="1"/>
      <c r="G72" s="2"/>
      <c r="H72" s="1"/>
      <c r="I72" s="1"/>
      <c r="J72" s="2"/>
      <c r="K72" s="1"/>
      <c r="L72" s="1"/>
      <c r="M72" s="1"/>
      <c r="N72" s="1"/>
      <c r="O72" s="1"/>
      <c r="P72" s="1"/>
      <c r="Q72" s="1"/>
      <c r="R72" s="1"/>
      <c r="S72" s="1"/>
      <c r="T72" s="1"/>
      <c r="U72" s="1"/>
      <c r="V72" s="1"/>
      <c r="W72" s="1"/>
    </row>
    <row r="73">
      <c r="A73" s="1"/>
      <c r="B73" s="1"/>
      <c r="C73" s="2"/>
      <c r="D73" s="1"/>
      <c r="E73" s="1"/>
      <c r="F73" s="1"/>
      <c r="G73" s="2"/>
      <c r="H73" s="1"/>
      <c r="I73" s="1"/>
      <c r="J73" s="2"/>
      <c r="K73" s="1"/>
      <c r="L73" s="1"/>
      <c r="M73" s="1"/>
      <c r="N73" s="1"/>
      <c r="O73" s="1"/>
      <c r="P73" s="1"/>
      <c r="Q73" s="1"/>
      <c r="R73" s="1"/>
      <c r="S73" s="1"/>
      <c r="T73" s="1"/>
      <c r="U73" s="1"/>
      <c r="V73" s="1"/>
      <c r="W73" s="1"/>
    </row>
    <row r="74">
      <c r="A74" s="1"/>
      <c r="B74" s="1"/>
      <c r="C74" s="2"/>
      <c r="D74" s="1"/>
      <c r="E74" s="1"/>
      <c r="F74" s="1"/>
      <c r="G74" s="2"/>
      <c r="H74" s="1"/>
      <c r="I74" s="1"/>
      <c r="J74" s="2"/>
      <c r="K74" s="1"/>
      <c r="L74" s="1"/>
      <c r="M74" s="1"/>
      <c r="N74" s="1"/>
      <c r="O74" s="1"/>
      <c r="P74" s="1"/>
      <c r="Q74" s="1"/>
      <c r="R74" s="1"/>
      <c r="S74" s="1"/>
      <c r="T74" s="1"/>
      <c r="U74" s="1"/>
      <c r="V74" s="1"/>
      <c r="W74" s="1"/>
    </row>
    <row r="75">
      <c r="A75" s="1"/>
      <c r="B75" s="1"/>
      <c r="C75" s="2"/>
      <c r="D75" s="1"/>
      <c r="E75" s="1"/>
      <c r="F75" s="1"/>
      <c r="G75" s="2"/>
      <c r="H75" s="1"/>
      <c r="I75" s="1"/>
      <c r="J75" s="2"/>
      <c r="K75" s="1"/>
      <c r="L75" s="1"/>
      <c r="M75" s="1"/>
      <c r="N75" s="1"/>
      <c r="O75" s="1"/>
      <c r="P75" s="1"/>
      <c r="Q75" s="1"/>
      <c r="R75" s="1"/>
      <c r="S75" s="1"/>
      <c r="T75" s="1"/>
      <c r="U75" s="1"/>
      <c r="V75" s="1"/>
      <c r="W75" s="1"/>
    </row>
    <row r="76">
      <c r="A76" s="1"/>
      <c r="B76" s="1"/>
      <c r="C76" s="2"/>
      <c r="D76" s="1"/>
      <c r="E76" s="1"/>
      <c r="F76" s="1"/>
      <c r="G76" s="2"/>
      <c r="H76" s="1"/>
      <c r="I76" s="1"/>
      <c r="J76" s="2"/>
      <c r="K76" s="1"/>
      <c r="L76" s="1"/>
      <c r="M76" s="1"/>
      <c r="N76" s="1"/>
      <c r="O76" s="1"/>
      <c r="P76" s="1"/>
      <c r="Q76" s="1"/>
      <c r="R76" s="1"/>
      <c r="S76" s="1"/>
      <c r="T76" s="1"/>
      <c r="U76" s="1"/>
      <c r="V76" s="1"/>
      <c r="W76" s="1"/>
    </row>
    <row r="77">
      <c r="A77" s="1"/>
      <c r="B77" s="1"/>
      <c r="C77" s="2"/>
      <c r="D77" s="1"/>
      <c r="E77" s="1"/>
      <c r="F77" s="1"/>
      <c r="G77" s="2"/>
      <c r="H77" s="1"/>
      <c r="I77" s="1"/>
      <c r="J77" s="2"/>
      <c r="K77" s="1"/>
      <c r="L77" s="1"/>
      <c r="M77" s="1"/>
      <c r="N77" s="1"/>
      <c r="O77" s="1"/>
      <c r="P77" s="1"/>
      <c r="Q77" s="1"/>
      <c r="R77" s="1"/>
      <c r="S77" s="1"/>
      <c r="T77" s="1"/>
      <c r="U77" s="1"/>
      <c r="V77" s="1"/>
      <c r="W77" s="1"/>
    </row>
    <row r="78">
      <c r="A78" s="1"/>
      <c r="B78" s="1"/>
      <c r="C78" s="2"/>
      <c r="D78" s="1"/>
      <c r="E78" s="1"/>
      <c r="F78" s="1"/>
      <c r="G78" s="2"/>
      <c r="H78" s="1"/>
      <c r="I78" s="1"/>
      <c r="J78" s="2"/>
      <c r="K78" s="1"/>
      <c r="L78" s="1"/>
      <c r="M78" s="1"/>
      <c r="N78" s="1"/>
      <c r="O78" s="1"/>
      <c r="P78" s="1"/>
      <c r="Q78" s="1"/>
      <c r="R78" s="1"/>
      <c r="S78" s="1"/>
      <c r="T78" s="1"/>
      <c r="U78" s="1"/>
      <c r="V78" s="1"/>
      <c r="W78" s="1"/>
    </row>
    <row r="79">
      <c r="A79" s="1"/>
      <c r="B79" s="1"/>
      <c r="C79" s="2"/>
      <c r="D79" s="1"/>
      <c r="E79" s="1"/>
      <c r="F79" s="1"/>
      <c r="G79" s="2"/>
      <c r="H79" s="1"/>
      <c r="I79" s="1"/>
      <c r="J79" s="2"/>
      <c r="K79" s="1"/>
      <c r="L79" s="1"/>
      <c r="M79" s="1"/>
      <c r="N79" s="1"/>
      <c r="O79" s="1"/>
      <c r="P79" s="1"/>
      <c r="Q79" s="1"/>
      <c r="R79" s="1"/>
      <c r="S79" s="1"/>
      <c r="T79" s="1"/>
      <c r="U79" s="1"/>
      <c r="V79" s="1"/>
      <c r="W79" s="1"/>
    </row>
    <row r="80">
      <c r="A80" s="1"/>
      <c r="B80" s="1"/>
      <c r="C80" s="2"/>
      <c r="D80" s="1"/>
      <c r="E80" s="1"/>
      <c r="F80" s="1"/>
      <c r="G80" s="2"/>
      <c r="H80" s="1"/>
      <c r="I80" s="1"/>
      <c r="J80" s="2"/>
      <c r="K80" s="1"/>
      <c r="L80" s="1"/>
      <c r="M80" s="1"/>
      <c r="N80" s="1"/>
      <c r="O80" s="1"/>
      <c r="P80" s="1"/>
      <c r="Q80" s="1"/>
      <c r="R80" s="1"/>
      <c r="S80" s="1"/>
      <c r="T80" s="1"/>
      <c r="U80" s="1"/>
      <c r="V80" s="1"/>
      <c r="W80" s="1"/>
    </row>
    <row r="81">
      <c r="A81" s="1"/>
      <c r="B81" s="1"/>
      <c r="C81" s="2"/>
      <c r="D81" s="1"/>
      <c r="E81" s="1"/>
      <c r="F81" s="1"/>
      <c r="G81" s="2"/>
      <c r="H81" s="1"/>
      <c r="I81" s="1"/>
      <c r="J81" s="2"/>
      <c r="K81" s="1"/>
      <c r="L81" s="1"/>
      <c r="M81" s="1"/>
      <c r="N81" s="1"/>
      <c r="O81" s="1"/>
      <c r="P81" s="1"/>
      <c r="Q81" s="1"/>
      <c r="R81" s="1"/>
      <c r="S81" s="1"/>
      <c r="T81" s="1"/>
      <c r="U81" s="1"/>
      <c r="V81" s="1"/>
      <c r="W81" s="1"/>
    </row>
    <row r="82">
      <c r="A82" s="1"/>
      <c r="B82" s="1"/>
      <c r="C82" s="2"/>
      <c r="D82" s="1"/>
      <c r="E82" s="1"/>
      <c r="F82" s="1"/>
      <c r="G82" s="2"/>
      <c r="H82" s="1"/>
      <c r="I82" s="1"/>
      <c r="J82" s="2"/>
      <c r="K82" s="1"/>
      <c r="L82" s="1"/>
      <c r="M82" s="1"/>
      <c r="N82" s="1"/>
      <c r="O82" s="1"/>
      <c r="P82" s="1"/>
      <c r="Q82" s="1"/>
      <c r="R82" s="1"/>
      <c r="S82" s="1"/>
      <c r="T82" s="1"/>
      <c r="U82" s="1"/>
      <c r="V82" s="1"/>
      <c r="W82" s="1"/>
    </row>
    <row r="83">
      <c r="A83" s="1"/>
      <c r="B83" s="1"/>
      <c r="C83" s="2"/>
      <c r="D83" s="1"/>
      <c r="E83" s="1"/>
      <c r="F83" s="1"/>
      <c r="G83" s="2"/>
      <c r="H83" s="1"/>
      <c r="I83" s="1"/>
      <c r="J83" s="2"/>
      <c r="K83" s="1"/>
      <c r="L83" s="1"/>
      <c r="M83" s="1"/>
      <c r="N83" s="1"/>
      <c r="O83" s="1"/>
      <c r="P83" s="1"/>
      <c r="Q83" s="1"/>
      <c r="R83" s="1"/>
      <c r="S83" s="1"/>
      <c r="T83" s="1"/>
      <c r="U83" s="1"/>
      <c r="V83" s="1"/>
      <c r="W83" s="1"/>
    </row>
    <row r="84">
      <c r="A84" s="1"/>
      <c r="B84" s="1"/>
      <c r="C84" s="2"/>
      <c r="D84" s="1"/>
      <c r="E84" s="1"/>
      <c r="F84" s="1"/>
      <c r="G84" s="2"/>
      <c r="H84" s="1"/>
      <c r="I84" s="1"/>
      <c r="J84" s="2"/>
      <c r="K84" s="1"/>
      <c r="L84" s="1"/>
      <c r="M84" s="1"/>
      <c r="N84" s="1"/>
      <c r="O84" s="1"/>
      <c r="P84" s="1"/>
      <c r="Q84" s="1"/>
      <c r="R84" s="1"/>
      <c r="S84" s="1"/>
      <c r="T84" s="1"/>
      <c r="U84" s="1"/>
      <c r="V84" s="1"/>
      <c r="W84" s="1"/>
    </row>
    <row r="85">
      <c r="A85" s="1"/>
      <c r="B85" s="1"/>
      <c r="C85" s="2"/>
      <c r="D85" s="1"/>
      <c r="E85" s="1"/>
      <c r="F85" s="1"/>
      <c r="G85" s="2"/>
      <c r="H85" s="1"/>
      <c r="I85" s="1"/>
      <c r="J85" s="2"/>
      <c r="K85" s="1"/>
      <c r="L85" s="1"/>
      <c r="M85" s="1"/>
      <c r="N85" s="1"/>
      <c r="O85" s="1"/>
      <c r="P85" s="1"/>
      <c r="Q85" s="1"/>
      <c r="R85" s="1"/>
      <c r="S85" s="1"/>
      <c r="T85" s="1"/>
      <c r="U85" s="1"/>
      <c r="V85" s="1"/>
      <c r="W85" s="1"/>
    </row>
    <row r="86">
      <c r="A86" s="1"/>
      <c r="B86" s="1"/>
      <c r="C86" s="2"/>
      <c r="D86" s="1"/>
      <c r="E86" s="1"/>
      <c r="F86" s="1"/>
      <c r="G86" s="2"/>
      <c r="H86" s="1"/>
      <c r="I86" s="1"/>
      <c r="J86" s="2"/>
      <c r="K86" s="1"/>
      <c r="L86" s="1"/>
      <c r="M86" s="1"/>
      <c r="N86" s="1"/>
      <c r="O86" s="1"/>
      <c r="P86" s="1"/>
      <c r="Q86" s="1"/>
      <c r="R86" s="1"/>
      <c r="S86" s="1"/>
      <c r="T86" s="1"/>
      <c r="U86" s="1"/>
      <c r="V86" s="1"/>
      <c r="W86" s="1"/>
    </row>
    <row r="87">
      <c r="A87" s="1"/>
      <c r="B87" s="1"/>
      <c r="C87" s="2"/>
      <c r="D87" s="1"/>
      <c r="E87" s="1"/>
      <c r="F87" s="1"/>
      <c r="G87" s="2"/>
      <c r="H87" s="1"/>
      <c r="I87" s="1"/>
      <c r="J87" s="2"/>
      <c r="K87" s="1"/>
      <c r="L87" s="1"/>
      <c r="M87" s="1"/>
      <c r="N87" s="1"/>
      <c r="O87" s="1"/>
      <c r="P87" s="1"/>
      <c r="Q87" s="1"/>
      <c r="R87" s="1"/>
      <c r="S87" s="1"/>
      <c r="T87" s="1"/>
      <c r="U87" s="1"/>
      <c r="V87" s="1"/>
      <c r="W87" s="1"/>
    </row>
    <row r="88">
      <c r="A88" s="1"/>
      <c r="B88" s="1"/>
      <c r="C88" s="2"/>
      <c r="D88" s="1"/>
      <c r="E88" s="1"/>
      <c r="F88" s="1"/>
      <c r="G88" s="2"/>
      <c r="H88" s="1"/>
      <c r="I88" s="1"/>
      <c r="J88" s="2"/>
      <c r="K88" s="1"/>
      <c r="L88" s="1"/>
      <c r="M88" s="1"/>
      <c r="N88" s="1"/>
      <c r="O88" s="1"/>
      <c r="P88" s="1"/>
      <c r="Q88" s="1"/>
      <c r="R88" s="1"/>
      <c r="S88" s="1"/>
      <c r="T88" s="1"/>
      <c r="U88" s="1"/>
      <c r="V88" s="1"/>
      <c r="W88" s="1"/>
    </row>
    <row r="89">
      <c r="A89" s="1"/>
      <c r="B89" s="1"/>
      <c r="C89" s="2"/>
      <c r="D89" s="1"/>
      <c r="E89" s="1"/>
      <c r="F89" s="1"/>
      <c r="G89" s="2"/>
      <c r="H89" s="1"/>
      <c r="I89" s="1"/>
      <c r="J89" s="2"/>
      <c r="K89" s="1"/>
      <c r="L89" s="1"/>
      <c r="M89" s="1"/>
      <c r="N89" s="1"/>
      <c r="O89" s="1"/>
      <c r="P89" s="1"/>
      <c r="Q89" s="1"/>
      <c r="R89" s="1"/>
      <c r="S89" s="1"/>
      <c r="T89" s="1"/>
      <c r="U89" s="1"/>
      <c r="V89" s="1"/>
      <c r="W89" s="1"/>
    </row>
    <row r="90">
      <c r="A90" s="1"/>
      <c r="B90" s="1"/>
      <c r="C90" s="2"/>
      <c r="D90" s="1"/>
      <c r="E90" s="1"/>
      <c r="F90" s="1"/>
      <c r="G90" s="2"/>
      <c r="H90" s="1"/>
      <c r="I90" s="1"/>
      <c r="J90" s="2"/>
      <c r="K90" s="1"/>
      <c r="L90" s="1"/>
      <c r="M90" s="1"/>
      <c r="N90" s="1"/>
      <c r="O90" s="1"/>
      <c r="P90" s="1"/>
      <c r="Q90" s="1"/>
      <c r="R90" s="1"/>
      <c r="S90" s="1"/>
      <c r="T90" s="1"/>
      <c r="U90" s="1"/>
      <c r="V90" s="1"/>
      <c r="W90" s="1"/>
    </row>
    <row r="91">
      <c r="A91" s="1"/>
      <c r="B91" s="1"/>
      <c r="C91" s="2"/>
      <c r="D91" s="1"/>
      <c r="E91" s="1"/>
      <c r="F91" s="1"/>
      <c r="G91" s="2"/>
      <c r="H91" s="1"/>
      <c r="I91" s="1"/>
      <c r="J91" s="2"/>
      <c r="K91" s="1"/>
      <c r="L91" s="1"/>
      <c r="M91" s="1"/>
      <c r="N91" s="1"/>
      <c r="O91" s="1"/>
      <c r="P91" s="1"/>
      <c r="Q91" s="1"/>
      <c r="R91" s="1"/>
      <c r="S91" s="1"/>
      <c r="T91" s="1"/>
      <c r="U91" s="1"/>
      <c r="V91" s="1"/>
      <c r="W91" s="1"/>
    </row>
    <row r="92">
      <c r="A92" s="1"/>
      <c r="B92" s="1"/>
      <c r="C92" s="2"/>
      <c r="D92" s="1"/>
      <c r="E92" s="1"/>
      <c r="F92" s="1"/>
      <c r="G92" s="2"/>
      <c r="H92" s="1"/>
      <c r="I92" s="1"/>
      <c r="J92" s="2"/>
      <c r="K92" s="1"/>
      <c r="L92" s="1"/>
      <c r="M92" s="1"/>
      <c r="N92" s="1"/>
      <c r="O92" s="1"/>
      <c r="P92" s="1"/>
      <c r="Q92" s="1"/>
      <c r="R92" s="1"/>
      <c r="S92" s="1"/>
      <c r="T92" s="1"/>
      <c r="U92" s="1"/>
      <c r="V92" s="1"/>
      <c r="W92" s="1"/>
    </row>
    <row r="93">
      <c r="A93" s="1"/>
      <c r="B93" s="1"/>
      <c r="C93" s="2"/>
      <c r="D93" s="1"/>
      <c r="E93" s="1"/>
      <c r="F93" s="1"/>
      <c r="G93" s="2"/>
      <c r="H93" s="1"/>
      <c r="I93" s="1"/>
      <c r="J93" s="2"/>
      <c r="K93" s="1"/>
      <c r="L93" s="1"/>
      <c r="M93" s="1"/>
      <c r="N93" s="1"/>
      <c r="O93" s="1"/>
      <c r="P93" s="1"/>
      <c r="Q93" s="1"/>
      <c r="R93" s="1"/>
      <c r="S93" s="1"/>
      <c r="T93" s="1"/>
      <c r="U93" s="1"/>
      <c r="V93" s="1"/>
      <c r="W93" s="1"/>
    </row>
    <row r="94">
      <c r="A94" s="1"/>
      <c r="B94" s="1"/>
      <c r="C94" s="2"/>
      <c r="D94" s="1"/>
      <c r="E94" s="1"/>
      <c r="F94" s="1"/>
      <c r="G94" s="2"/>
      <c r="H94" s="1"/>
      <c r="I94" s="1"/>
      <c r="J94" s="2"/>
      <c r="K94" s="1"/>
      <c r="L94" s="1"/>
      <c r="M94" s="1"/>
      <c r="N94" s="1"/>
      <c r="O94" s="1"/>
      <c r="P94" s="1"/>
      <c r="Q94" s="1"/>
      <c r="R94" s="1"/>
      <c r="S94" s="1"/>
      <c r="T94" s="1"/>
      <c r="U94" s="1"/>
      <c r="V94" s="1"/>
      <c r="W94" s="1"/>
    </row>
    <row r="95">
      <c r="A95" s="1"/>
      <c r="B95" s="1"/>
      <c r="C95" s="2"/>
      <c r="D95" s="1"/>
      <c r="E95" s="1"/>
      <c r="F95" s="1"/>
      <c r="G95" s="2"/>
      <c r="H95" s="1"/>
      <c r="I95" s="1"/>
      <c r="J95" s="2"/>
      <c r="K95" s="1"/>
      <c r="L95" s="1"/>
      <c r="M95" s="1"/>
      <c r="N95" s="1"/>
      <c r="O95" s="1"/>
      <c r="P95" s="1"/>
      <c r="Q95" s="1"/>
      <c r="R95" s="1"/>
      <c r="S95" s="1"/>
      <c r="T95" s="1"/>
      <c r="U95" s="1"/>
      <c r="V95" s="1"/>
      <c r="W95" s="1"/>
    </row>
    <row r="96">
      <c r="A96" s="1"/>
      <c r="B96" s="1"/>
      <c r="C96" s="2"/>
      <c r="D96" s="1"/>
      <c r="E96" s="1"/>
      <c r="F96" s="1"/>
      <c r="G96" s="2"/>
      <c r="H96" s="1"/>
      <c r="I96" s="1"/>
      <c r="J96" s="2"/>
      <c r="K96" s="1"/>
      <c r="L96" s="1"/>
      <c r="M96" s="1"/>
      <c r="N96" s="1"/>
      <c r="O96" s="1"/>
      <c r="P96" s="1"/>
      <c r="Q96" s="1"/>
      <c r="R96" s="1"/>
      <c r="S96" s="1"/>
      <c r="T96" s="1"/>
      <c r="U96" s="1"/>
      <c r="V96" s="1"/>
      <c r="W96" s="1"/>
    </row>
    <row r="97">
      <c r="A97" s="1"/>
      <c r="B97" s="1"/>
      <c r="C97" s="2"/>
      <c r="D97" s="1"/>
      <c r="E97" s="1"/>
      <c r="F97" s="1"/>
      <c r="G97" s="2"/>
      <c r="H97" s="1"/>
      <c r="I97" s="1"/>
      <c r="J97" s="2"/>
      <c r="K97" s="1"/>
      <c r="L97" s="1"/>
      <c r="M97" s="1"/>
      <c r="N97" s="1"/>
      <c r="O97" s="1"/>
      <c r="P97" s="1"/>
      <c r="Q97" s="1"/>
      <c r="R97" s="1"/>
      <c r="S97" s="1"/>
      <c r="T97" s="1"/>
      <c r="U97" s="1"/>
      <c r="V97" s="1"/>
      <c r="W97" s="1"/>
    </row>
    <row r="98">
      <c r="A98" s="1"/>
      <c r="B98" s="1"/>
      <c r="C98" s="2"/>
      <c r="D98" s="1"/>
      <c r="E98" s="1"/>
      <c r="F98" s="1"/>
      <c r="G98" s="2"/>
      <c r="H98" s="1"/>
      <c r="I98" s="1"/>
      <c r="J98" s="2"/>
      <c r="K98" s="1"/>
      <c r="L98" s="1"/>
      <c r="M98" s="1"/>
      <c r="N98" s="1"/>
      <c r="O98" s="1"/>
      <c r="P98" s="1"/>
      <c r="Q98" s="1"/>
      <c r="R98" s="1"/>
      <c r="S98" s="1"/>
      <c r="T98" s="1"/>
      <c r="U98" s="1"/>
      <c r="V98" s="1"/>
      <c r="W98" s="1"/>
    </row>
    <row r="99">
      <c r="A99" s="1"/>
      <c r="B99" s="1"/>
      <c r="C99" s="2"/>
      <c r="D99" s="1"/>
      <c r="E99" s="1"/>
      <c r="F99" s="1"/>
      <c r="G99" s="2"/>
      <c r="H99" s="1"/>
      <c r="I99" s="1"/>
      <c r="J99" s="2"/>
      <c r="K99" s="1"/>
      <c r="L99" s="1"/>
      <c r="M99" s="1"/>
      <c r="N99" s="1"/>
      <c r="O99" s="1"/>
      <c r="P99" s="1"/>
      <c r="Q99" s="1"/>
      <c r="R99" s="1"/>
      <c r="S99" s="1"/>
      <c r="T99" s="1"/>
      <c r="U99" s="1"/>
      <c r="V99" s="1"/>
      <c r="W99" s="1"/>
    </row>
    <row r="100">
      <c r="A100" s="1"/>
      <c r="B100" s="1"/>
      <c r="C100" s="2"/>
      <c r="D100" s="1"/>
      <c r="E100" s="1"/>
      <c r="F100" s="1"/>
      <c r="G100" s="2"/>
      <c r="H100" s="1"/>
      <c r="I100" s="1"/>
      <c r="J100" s="2"/>
      <c r="K100" s="1"/>
      <c r="L100" s="1"/>
      <c r="M100" s="1"/>
      <c r="N100" s="1"/>
      <c r="O100" s="1"/>
      <c r="P100" s="1"/>
      <c r="Q100" s="1"/>
      <c r="R100" s="1"/>
      <c r="S100" s="1"/>
      <c r="T100" s="1"/>
      <c r="U100" s="1"/>
      <c r="V100" s="1"/>
      <c r="W100" s="1"/>
    </row>
    <row r="101">
      <c r="A101" s="1"/>
      <c r="B101" s="1"/>
      <c r="C101" s="2"/>
      <c r="D101" s="1"/>
      <c r="E101" s="1"/>
      <c r="F101" s="1"/>
      <c r="G101" s="2"/>
      <c r="H101" s="1"/>
      <c r="I101" s="1"/>
      <c r="J101" s="2"/>
      <c r="K101" s="1"/>
      <c r="L101" s="1"/>
      <c r="M101" s="1"/>
      <c r="N101" s="1"/>
      <c r="O101" s="1"/>
      <c r="P101" s="1"/>
      <c r="Q101" s="1"/>
      <c r="R101" s="1"/>
      <c r="S101" s="1"/>
      <c r="T101" s="1"/>
      <c r="U101" s="1"/>
      <c r="V101" s="1"/>
      <c r="W101" s="1"/>
    </row>
    <row r="102">
      <c r="A102" s="1"/>
      <c r="B102" s="1"/>
      <c r="C102" s="2"/>
      <c r="D102" s="1"/>
      <c r="E102" s="1"/>
      <c r="F102" s="1"/>
      <c r="G102" s="2"/>
      <c r="H102" s="1"/>
      <c r="I102" s="1"/>
      <c r="J102" s="2"/>
      <c r="K102" s="1"/>
      <c r="L102" s="1"/>
      <c r="M102" s="1"/>
      <c r="N102" s="1"/>
      <c r="O102" s="1"/>
      <c r="P102" s="1"/>
      <c r="Q102" s="1"/>
      <c r="R102" s="1"/>
      <c r="S102" s="1"/>
      <c r="T102" s="1"/>
      <c r="U102" s="1"/>
      <c r="V102" s="1"/>
      <c r="W102" s="1"/>
    </row>
    <row r="103">
      <c r="A103" s="1"/>
      <c r="B103" s="1"/>
      <c r="C103" s="2"/>
      <c r="D103" s="1"/>
      <c r="E103" s="1"/>
      <c r="F103" s="1"/>
      <c r="G103" s="2"/>
      <c r="H103" s="1"/>
      <c r="I103" s="1"/>
      <c r="J103" s="2"/>
      <c r="K103" s="1"/>
      <c r="L103" s="1"/>
      <c r="M103" s="1"/>
      <c r="N103" s="1"/>
      <c r="O103" s="1"/>
      <c r="P103" s="1"/>
      <c r="Q103" s="1"/>
      <c r="R103" s="1"/>
      <c r="S103" s="1"/>
      <c r="T103" s="1"/>
      <c r="U103" s="1"/>
      <c r="V103" s="1"/>
      <c r="W103" s="1"/>
    </row>
    <row r="104">
      <c r="A104" s="1"/>
      <c r="B104" s="1"/>
      <c r="C104" s="2"/>
      <c r="D104" s="1"/>
      <c r="E104" s="1"/>
      <c r="F104" s="1"/>
      <c r="G104" s="2"/>
      <c r="H104" s="1"/>
      <c r="I104" s="1"/>
      <c r="J104" s="2"/>
      <c r="K104" s="1"/>
      <c r="L104" s="1"/>
      <c r="M104" s="1"/>
      <c r="N104" s="1"/>
      <c r="O104" s="1"/>
      <c r="P104" s="1"/>
      <c r="Q104" s="1"/>
      <c r="R104" s="1"/>
      <c r="S104" s="1"/>
      <c r="T104" s="1"/>
      <c r="U104" s="1"/>
      <c r="V104" s="1"/>
      <c r="W104" s="1"/>
    </row>
    <row r="105">
      <c r="A105" s="1"/>
      <c r="B105" s="1"/>
      <c r="C105" s="2"/>
      <c r="D105" s="1"/>
      <c r="E105" s="1"/>
      <c r="F105" s="1"/>
      <c r="G105" s="2"/>
      <c r="H105" s="1"/>
      <c r="I105" s="1"/>
      <c r="J105" s="2"/>
      <c r="K105" s="1"/>
      <c r="L105" s="1"/>
      <c r="M105" s="1"/>
      <c r="N105" s="1"/>
      <c r="O105" s="1"/>
      <c r="P105" s="1"/>
      <c r="Q105" s="1"/>
      <c r="R105" s="1"/>
      <c r="S105" s="1"/>
      <c r="T105" s="1"/>
      <c r="U105" s="1"/>
      <c r="V105" s="1"/>
      <c r="W105" s="1"/>
    </row>
    <row r="106">
      <c r="A106" s="1"/>
      <c r="B106" s="1"/>
      <c r="C106" s="2"/>
      <c r="D106" s="1"/>
      <c r="E106" s="1"/>
      <c r="F106" s="1"/>
      <c r="G106" s="2"/>
      <c r="H106" s="1"/>
      <c r="I106" s="1"/>
      <c r="J106" s="2"/>
      <c r="K106" s="1"/>
      <c r="L106" s="1"/>
      <c r="M106" s="1"/>
      <c r="N106" s="1"/>
      <c r="O106" s="1"/>
      <c r="P106" s="1"/>
      <c r="Q106" s="1"/>
      <c r="R106" s="1"/>
      <c r="S106" s="1"/>
      <c r="T106" s="1"/>
      <c r="U106" s="1"/>
      <c r="V106" s="1"/>
      <c r="W106" s="1"/>
    </row>
    <row r="107">
      <c r="A107" s="1"/>
      <c r="B107" s="1"/>
      <c r="C107" s="2"/>
      <c r="D107" s="1"/>
      <c r="E107" s="1"/>
      <c r="F107" s="1"/>
      <c r="G107" s="2"/>
      <c r="H107" s="1"/>
      <c r="I107" s="1"/>
      <c r="J107" s="2"/>
      <c r="K107" s="1"/>
      <c r="L107" s="1"/>
      <c r="M107" s="1"/>
      <c r="N107" s="1"/>
      <c r="O107" s="1"/>
      <c r="P107" s="1"/>
      <c r="Q107" s="1"/>
      <c r="R107" s="1"/>
      <c r="S107" s="1"/>
      <c r="T107" s="1"/>
      <c r="U107" s="1"/>
      <c r="V107" s="1"/>
      <c r="W107" s="1"/>
    </row>
    <row r="108">
      <c r="A108" s="1"/>
      <c r="B108" s="1"/>
      <c r="C108" s="2"/>
      <c r="D108" s="1"/>
      <c r="E108" s="1"/>
      <c r="F108" s="1"/>
      <c r="G108" s="2"/>
      <c r="H108" s="1"/>
      <c r="I108" s="1"/>
      <c r="J108" s="2"/>
      <c r="K108" s="1"/>
      <c r="L108" s="1"/>
      <c r="M108" s="1"/>
      <c r="N108" s="1"/>
      <c r="O108" s="1"/>
      <c r="P108" s="1"/>
      <c r="Q108" s="1"/>
      <c r="R108" s="1"/>
      <c r="S108" s="1"/>
      <c r="T108" s="1"/>
      <c r="U108" s="1"/>
      <c r="V108" s="1"/>
      <c r="W108" s="1"/>
    </row>
    <row r="109">
      <c r="A109" s="1"/>
      <c r="B109" s="1"/>
      <c r="C109" s="2"/>
      <c r="D109" s="1"/>
      <c r="E109" s="1"/>
      <c r="F109" s="1"/>
      <c r="G109" s="2"/>
      <c r="H109" s="1"/>
      <c r="I109" s="1"/>
      <c r="J109" s="2"/>
      <c r="K109" s="1"/>
      <c r="L109" s="1"/>
      <c r="M109" s="1"/>
      <c r="N109" s="1"/>
      <c r="O109" s="1"/>
      <c r="P109" s="1"/>
      <c r="Q109" s="1"/>
      <c r="R109" s="1"/>
      <c r="S109" s="1"/>
      <c r="T109" s="1"/>
      <c r="U109" s="1"/>
      <c r="V109" s="1"/>
      <c r="W109" s="1"/>
    </row>
    <row r="110">
      <c r="A110" s="1"/>
      <c r="B110" s="1"/>
      <c r="C110" s="2"/>
      <c r="D110" s="1"/>
      <c r="E110" s="1"/>
      <c r="F110" s="1"/>
      <c r="G110" s="2"/>
      <c r="H110" s="1"/>
      <c r="I110" s="1"/>
      <c r="J110" s="2"/>
      <c r="K110" s="1"/>
      <c r="L110" s="1"/>
      <c r="M110" s="1"/>
      <c r="N110" s="1"/>
      <c r="O110" s="1"/>
      <c r="P110" s="1"/>
      <c r="Q110" s="1"/>
      <c r="R110" s="1"/>
      <c r="S110" s="1"/>
      <c r="T110" s="1"/>
      <c r="U110" s="1"/>
      <c r="V110" s="1"/>
      <c r="W110" s="1"/>
    </row>
    <row r="111">
      <c r="A111" s="1"/>
      <c r="B111" s="1"/>
      <c r="C111" s="2"/>
      <c r="D111" s="1"/>
      <c r="E111" s="1"/>
      <c r="F111" s="1"/>
      <c r="G111" s="2"/>
      <c r="H111" s="1"/>
      <c r="I111" s="1"/>
      <c r="J111" s="2"/>
      <c r="K111" s="1"/>
      <c r="L111" s="1"/>
      <c r="M111" s="1"/>
      <c r="N111" s="1"/>
      <c r="O111" s="1"/>
      <c r="P111" s="1"/>
      <c r="Q111" s="1"/>
      <c r="R111" s="1"/>
      <c r="S111" s="1"/>
      <c r="T111" s="1"/>
      <c r="U111" s="1"/>
      <c r="V111" s="1"/>
      <c r="W111" s="1"/>
    </row>
    <row r="112">
      <c r="A112" s="1"/>
      <c r="B112" s="1"/>
      <c r="C112" s="2"/>
      <c r="D112" s="1"/>
      <c r="E112" s="1"/>
      <c r="F112" s="1"/>
      <c r="G112" s="2"/>
      <c r="H112" s="1"/>
      <c r="I112" s="1"/>
      <c r="J112" s="2"/>
      <c r="K112" s="1"/>
      <c r="L112" s="1"/>
      <c r="M112" s="1"/>
      <c r="N112" s="1"/>
      <c r="O112" s="1"/>
      <c r="P112" s="1"/>
      <c r="Q112" s="1"/>
      <c r="R112" s="1"/>
      <c r="S112" s="1"/>
      <c r="T112" s="1"/>
      <c r="U112" s="1"/>
      <c r="V112" s="1"/>
      <c r="W112" s="1"/>
    </row>
    <row r="113">
      <c r="A113" s="1"/>
      <c r="B113" s="1"/>
      <c r="C113" s="2"/>
      <c r="D113" s="1"/>
      <c r="E113" s="1"/>
      <c r="F113" s="1"/>
      <c r="G113" s="2"/>
      <c r="H113" s="1"/>
      <c r="I113" s="1"/>
      <c r="J113" s="2"/>
      <c r="K113" s="1"/>
      <c r="L113" s="1"/>
      <c r="M113" s="1"/>
      <c r="N113" s="1"/>
      <c r="O113" s="1"/>
      <c r="P113" s="1"/>
      <c r="Q113" s="1"/>
      <c r="R113" s="1"/>
      <c r="S113" s="1"/>
      <c r="T113" s="1"/>
      <c r="U113" s="1"/>
      <c r="V113" s="1"/>
      <c r="W113" s="1"/>
    </row>
    <row r="114">
      <c r="A114" s="1"/>
      <c r="B114" s="1"/>
      <c r="C114" s="2"/>
      <c r="D114" s="1"/>
      <c r="E114" s="1"/>
      <c r="F114" s="1"/>
      <c r="G114" s="2"/>
      <c r="H114" s="1"/>
      <c r="I114" s="1"/>
      <c r="J114" s="2"/>
      <c r="K114" s="1"/>
      <c r="L114" s="1"/>
      <c r="M114" s="1"/>
      <c r="N114" s="1"/>
      <c r="O114" s="1"/>
      <c r="P114" s="1"/>
      <c r="Q114" s="1"/>
      <c r="R114" s="1"/>
      <c r="S114" s="1"/>
      <c r="T114" s="1"/>
      <c r="U114" s="1"/>
      <c r="V114" s="1"/>
      <c r="W114" s="1"/>
    </row>
    <row r="115">
      <c r="A115" s="1"/>
      <c r="B115" s="1"/>
      <c r="C115" s="2"/>
      <c r="D115" s="1"/>
      <c r="E115" s="1"/>
      <c r="F115" s="1"/>
      <c r="G115" s="2"/>
      <c r="H115" s="1"/>
      <c r="I115" s="1"/>
      <c r="J115" s="2"/>
      <c r="K115" s="1"/>
      <c r="L115" s="1"/>
      <c r="M115" s="1"/>
      <c r="N115" s="1"/>
      <c r="O115" s="1"/>
      <c r="P115" s="1"/>
      <c r="Q115" s="1"/>
      <c r="R115" s="1"/>
      <c r="S115" s="1"/>
      <c r="T115" s="1"/>
      <c r="U115" s="1"/>
      <c r="V115" s="1"/>
      <c r="W115" s="1"/>
    </row>
    <row r="116">
      <c r="A116" s="1"/>
      <c r="B116" s="1"/>
      <c r="C116" s="2"/>
      <c r="D116" s="1"/>
      <c r="E116" s="1"/>
      <c r="F116" s="1"/>
      <c r="G116" s="2"/>
      <c r="H116" s="1"/>
      <c r="I116" s="1"/>
      <c r="J116" s="2"/>
      <c r="K116" s="1"/>
      <c r="L116" s="1"/>
      <c r="M116" s="1"/>
      <c r="N116" s="1"/>
      <c r="O116" s="1"/>
      <c r="P116" s="1"/>
      <c r="Q116" s="1"/>
      <c r="R116" s="1"/>
      <c r="S116" s="1"/>
      <c r="T116" s="1"/>
      <c r="U116" s="1"/>
      <c r="V116" s="1"/>
      <c r="W116" s="1"/>
    </row>
    <row r="117">
      <c r="A117" s="1"/>
      <c r="B117" s="1"/>
      <c r="C117" s="2"/>
      <c r="D117" s="1"/>
      <c r="E117" s="1"/>
      <c r="F117" s="1"/>
      <c r="G117" s="2"/>
      <c r="H117" s="1"/>
      <c r="I117" s="1"/>
      <c r="J117" s="2"/>
      <c r="K117" s="1"/>
      <c r="L117" s="1"/>
      <c r="M117" s="1"/>
      <c r="N117" s="1"/>
      <c r="O117" s="1"/>
      <c r="P117" s="1"/>
      <c r="Q117" s="1"/>
      <c r="R117" s="1"/>
      <c r="S117" s="1"/>
      <c r="T117" s="1"/>
      <c r="U117" s="1"/>
      <c r="V117" s="1"/>
      <c r="W117" s="1"/>
    </row>
    <row r="118">
      <c r="A118" s="1"/>
      <c r="B118" s="1"/>
      <c r="C118" s="2"/>
      <c r="D118" s="1"/>
      <c r="E118" s="1"/>
      <c r="F118" s="1"/>
      <c r="G118" s="2"/>
      <c r="H118" s="1"/>
      <c r="I118" s="1"/>
      <c r="J118" s="2"/>
      <c r="K118" s="1"/>
      <c r="L118" s="1"/>
      <c r="M118" s="1"/>
      <c r="N118" s="1"/>
      <c r="O118" s="1"/>
      <c r="P118" s="1"/>
      <c r="Q118" s="1"/>
      <c r="R118" s="1"/>
      <c r="S118" s="1"/>
      <c r="T118" s="1"/>
      <c r="U118" s="1"/>
      <c r="V118" s="1"/>
      <c r="W118" s="1"/>
    </row>
    <row r="119">
      <c r="A119" s="1"/>
      <c r="B119" s="1"/>
      <c r="C119" s="2"/>
      <c r="D119" s="1"/>
      <c r="E119" s="1"/>
      <c r="F119" s="1"/>
      <c r="G119" s="2"/>
      <c r="H119" s="1"/>
      <c r="I119" s="1"/>
      <c r="J119" s="2"/>
      <c r="K119" s="1"/>
      <c r="L119" s="1"/>
      <c r="M119" s="1"/>
      <c r="N119" s="1"/>
      <c r="O119" s="1"/>
      <c r="P119" s="1"/>
      <c r="Q119" s="1"/>
      <c r="R119" s="1"/>
      <c r="S119" s="1"/>
      <c r="T119" s="1"/>
      <c r="U119" s="1"/>
      <c r="V119" s="1"/>
      <c r="W119" s="1"/>
    </row>
    <row r="120">
      <c r="A120" s="1"/>
      <c r="B120" s="1"/>
      <c r="C120" s="2"/>
      <c r="D120" s="1"/>
      <c r="E120" s="1"/>
      <c r="F120" s="1"/>
      <c r="G120" s="2"/>
      <c r="H120" s="1"/>
      <c r="I120" s="1"/>
      <c r="J120" s="2"/>
      <c r="K120" s="1"/>
      <c r="L120" s="1"/>
      <c r="M120" s="1"/>
      <c r="N120" s="1"/>
      <c r="O120" s="1"/>
      <c r="P120" s="1"/>
      <c r="Q120" s="1"/>
      <c r="R120" s="1"/>
      <c r="S120" s="1"/>
      <c r="T120" s="1"/>
      <c r="U120" s="1"/>
      <c r="V120" s="1"/>
      <c r="W120" s="1"/>
    </row>
    <row r="121">
      <c r="A121" s="1"/>
      <c r="B121" s="1"/>
      <c r="C121" s="2"/>
      <c r="D121" s="1"/>
      <c r="E121" s="1"/>
      <c r="F121" s="1"/>
      <c r="G121" s="2"/>
      <c r="H121" s="1"/>
      <c r="I121" s="1"/>
      <c r="J121" s="2"/>
      <c r="K121" s="1"/>
      <c r="L121" s="1"/>
      <c r="M121" s="1"/>
      <c r="N121" s="1"/>
      <c r="O121" s="1"/>
      <c r="P121" s="1"/>
      <c r="Q121" s="1"/>
      <c r="R121" s="1"/>
      <c r="S121" s="1"/>
      <c r="T121" s="1"/>
      <c r="U121" s="1"/>
      <c r="V121" s="1"/>
      <c r="W121" s="1"/>
    </row>
    <row r="122">
      <c r="A122" s="1"/>
      <c r="B122" s="1"/>
      <c r="C122" s="2"/>
      <c r="D122" s="1"/>
      <c r="E122" s="1"/>
      <c r="F122" s="1"/>
      <c r="G122" s="2"/>
      <c r="H122" s="1"/>
      <c r="I122" s="1"/>
      <c r="J122" s="2"/>
      <c r="K122" s="1"/>
      <c r="L122" s="1"/>
      <c r="M122" s="1"/>
      <c r="N122" s="1"/>
      <c r="O122" s="1"/>
      <c r="P122" s="1"/>
      <c r="Q122" s="1"/>
      <c r="R122" s="1"/>
      <c r="S122" s="1"/>
      <c r="T122" s="1"/>
      <c r="U122" s="1"/>
      <c r="V122" s="1"/>
      <c r="W122" s="1"/>
    </row>
    <row r="123">
      <c r="A123" s="1"/>
      <c r="B123" s="1"/>
      <c r="C123" s="2"/>
      <c r="D123" s="1"/>
      <c r="E123" s="1"/>
      <c r="F123" s="1"/>
      <c r="G123" s="2"/>
      <c r="H123" s="1"/>
      <c r="I123" s="1"/>
      <c r="J123" s="2"/>
      <c r="K123" s="1"/>
      <c r="L123" s="1"/>
      <c r="M123" s="1"/>
      <c r="N123" s="1"/>
      <c r="O123" s="1"/>
      <c r="P123" s="1"/>
      <c r="Q123" s="1"/>
      <c r="R123" s="1"/>
      <c r="S123" s="1"/>
      <c r="T123" s="1"/>
      <c r="U123" s="1"/>
      <c r="V123" s="1"/>
      <c r="W123" s="1"/>
    </row>
    <row r="124">
      <c r="A124" s="1"/>
      <c r="B124" s="1"/>
      <c r="C124" s="2"/>
      <c r="D124" s="1"/>
      <c r="E124" s="1"/>
      <c r="F124" s="1"/>
      <c r="G124" s="2"/>
      <c r="H124" s="1"/>
      <c r="I124" s="1"/>
      <c r="J124" s="2"/>
      <c r="K124" s="1"/>
      <c r="L124" s="1"/>
      <c r="M124" s="1"/>
      <c r="N124" s="1"/>
      <c r="O124" s="1"/>
      <c r="P124" s="1"/>
      <c r="Q124" s="1"/>
      <c r="R124" s="1"/>
      <c r="S124" s="1"/>
      <c r="T124" s="1"/>
      <c r="U124" s="1"/>
      <c r="V124" s="1"/>
      <c r="W124" s="1"/>
    </row>
    <row r="125">
      <c r="A125" s="1"/>
      <c r="B125" s="1"/>
      <c r="C125" s="2"/>
      <c r="D125" s="1"/>
      <c r="E125" s="1"/>
      <c r="F125" s="1"/>
      <c r="G125" s="2"/>
      <c r="H125" s="1"/>
      <c r="I125" s="1"/>
      <c r="J125" s="2"/>
      <c r="K125" s="1"/>
      <c r="L125" s="1"/>
      <c r="M125" s="1"/>
      <c r="N125" s="1"/>
      <c r="O125" s="1"/>
      <c r="P125" s="1"/>
      <c r="Q125" s="1"/>
      <c r="R125" s="1"/>
      <c r="S125" s="1"/>
      <c r="T125" s="1"/>
      <c r="U125" s="1"/>
      <c r="V125" s="1"/>
      <c r="W125" s="1"/>
    </row>
    <row r="126">
      <c r="A126" s="1"/>
      <c r="B126" s="1"/>
      <c r="C126" s="2"/>
      <c r="D126" s="1"/>
      <c r="E126" s="1"/>
      <c r="F126" s="1"/>
      <c r="G126" s="2"/>
      <c r="H126" s="1"/>
      <c r="I126" s="1"/>
      <c r="J126" s="2"/>
      <c r="K126" s="1"/>
      <c r="L126" s="1"/>
      <c r="M126" s="1"/>
      <c r="N126" s="1"/>
      <c r="O126" s="1"/>
      <c r="P126" s="1"/>
      <c r="Q126" s="1"/>
      <c r="R126" s="1"/>
      <c r="S126" s="1"/>
      <c r="T126" s="1"/>
      <c r="U126" s="1"/>
      <c r="V126" s="1"/>
      <c r="W126" s="1"/>
    </row>
    <row r="127">
      <c r="A127" s="1"/>
      <c r="B127" s="1"/>
      <c r="C127" s="2"/>
      <c r="D127" s="1"/>
      <c r="E127" s="1"/>
      <c r="F127" s="1"/>
      <c r="G127" s="2"/>
      <c r="H127" s="1"/>
      <c r="I127" s="1"/>
      <c r="J127" s="2"/>
      <c r="K127" s="1"/>
      <c r="L127" s="1"/>
      <c r="M127" s="1"/>
      <c r="N127" s="1"/>
      <c r="O127" s="1"/>
      <c r="P127" s="1"/>
      <c r="Q127" s="1"/>
      <c r="R127" s="1"/>
      <c r="S127" s="1"/>
      <c r="T127" s="1"/>
      <c r="U127" s="1"/>
      <c r="V127" s="1"/>
      <c r="W127" s="1"/>
    </row>
    <row r="128">
      <c r="A128" s="1"/>
      <c r="B128" s="1"/>
      <c r="C128" s="2"/>
      <c r="D128" s="1"/>
      <c r="E128" s="1"/>
      <c r="F128" s="1"/>
      <c r="G128" s="2"/>
      <c r="H128" s="1"/>
      <c r="I128" s="1"/>
      <c r="J128" s="2"/>
      <c r="K128" s="1"/>
      <c r="L128" s="1"/>
      <c r="M128" s="1"/>
      <c r="N128" s="1"/>
      <c r="O128" s="1"/>
      <c r="P128" s="1"/>
      <c r="Q128" s="1"/>
      <c r="R128" s="1"/>
      <c r="S128" s="1"/>
      <c r="T128" s="1"/>
      <c r="U128" s="1"/>
      <c r="V128" s="1"/>
      <c r="W128" s="1"/>
    </row>
    <row r="129">
      <c r="A129" s="1"/>
      <c r="B129" s="1"/>
      <c r="C129" s="2"/>
      <c r="D129" s="1"/>
      <c r="E129" s="1"/>
      <c r="F129" s="1"/>
      <c r="G129" s="2"/>
      <c r="H129" s="1"/>
      <c r="I129" s="1"/>
      <c r="J129" s="2"/>
      <c r="K129" s="1"/>
      <c r="L129" s="1"/>
      <c r="M129" s="1"/>
      <c r="N129" s="1"/>
      <c r="O129" s="1"/>
      <c r="P129" s="1"/>
      <c r="Q129" s="1"/>
      <c r="R129" s="1"/>
      <c r="S129" s="1"/>
      <c r="T129" s="1"/>
      <c r="U129" s="1"/>
      <c r="V129" s="1"/>
      <c r="W129" s="1"/>
    </row>
    <row r="130">
      <c r="A130" s="1"/>
      <c r="B130" s="1"/>
      <c r="C130" s="2"/>
      <c r="D130" s="1"/>
      <c r="E130" s="1"/>
      <c r="F130" s="1"/>
      <c r="G130" s="2"/>
      <c r="H130" s="1"/>
      <c r="I130" s="1"/>
      <c r="J130" s="2"/>
      <c r="K130" s="1"/>
      <c r="L130" s="1"/>
      <c r="M130" s="1"/>
      <c r="N130" s="1"/>
      <c r="O130" s="1"/>
      <c r="P130" s="1"/>
      <c r="Q130" s="1"/>
      <c r="R130" s="1"/>
      <c r="S130" s="1"/>
      <c r="T130" s="1"/>
      <c r="U130" s="1"/>
      <c r="V130" s="1"/>
      <c r="W130" s="1"/>
    </row>
    <row r="131">
      <c r="A131" s="1"/>
      <c r="B131" s="1"/>
      <c r="C131" s="2"/>
      <c r="D131" s="1"/>
      <c r="E131" s="1"/>
      <c r="F131" s="1"/>
      <c r="G131" s="2"/>
      <c r="H131" s="1"/>
      <c r="I131" s="1"/>
      <c r="J131" s="2"/>
      <c r="K131" s="1"/>
      <c r="L131" s="1"/>
      <c r="M131" s="1"/>
      <c r="N131" s="1"/>
      <c r="O131" s="1"/>
      <c r="P131" s="1"/>
      <c r="Q131" s="1"/>
      <c r="R131" s="1"/>
      <c r="S131" s="1"/>
      <c r="T131" s="1"/>
      <c r="U131" s="1"/>
      <c r="V131" s="1"/>
      <c r="W131" s="1"/>
    </row>
    <row r="132">
      <c r="A132" s="1"/>
      <c r="B132" s="1"/>
      <c r="C132" s="2"/>
      <c r="D132" s="1"/>
      <c r="E132" s="1"/>
      <c r="F132" s="1"/>
      <c r="G132" s="2"/>
      <c r="H132" s="1"/>
      <c r="I132" s="1"/>
      <c r="J132" s="2"/>
      <c r="K132" s="1"/>
      <c r="L132" s="1"/>
      <c r="M132" s="1"/>
      <c r="N132" s="1"/>
      <c r="O132" s="1"/>
      <c r="P132" s="1"/>
      <c r="Q132" s="1"/>
      <c r="R132" s="1"/>
      <c r="S132" s="1"/>
      <c r="T132" s="1"/>
      <c r="U132" s="1"/>
      <c r="V132" s="1"/>
      <c r="W132" s="1"/>
    </row>
    <row r="133">
      <c r="A133" s="1"/>
      <c r="B133" s="1"/>
      <c r="C133" s="2"/>
      <c r="D133" s="1"/>
      <c r="E133" s="1"/>
      <c r="F133" s="1"/>
      <c r="G133" s="2"/>
      <c r="H133" s="1"/>
      <c r="I133" s="1"/>
      <c r="J133" s="2"/>
      <c r="K133" s="1"/>
      <c r="L133" s="1"/>
      <c r="M133" s="1"/>
      <c r="N133" s="1"/>
      <c r="O133" s="1"/>
      <c r="P133" s="1"/>
      <c r="Q133" s="1"/>
      <c r="R133" s="1"/>
      <c r="S133" s="1"/>
      <c r="T133" s="1"/>
      <c r="U133" s="1"/>
      <c r="V133" s="1"/>
      <c r="W133" s="1"/>
    </row>
    <row r="134">
      <c r="A134" s="1"/>
      <c r="B134" s="1"/>
      <c r="C134" s="2"/>
      <c r="D134" s="1"/>
      <c r="E134" s="1"/>
      <c r="F134" s="1"/>
      <c r="G134" s="2"/>
      <c r="H134" s="1"/>
      <c r="I134" s="1"/>
      <c r="J134" s="2"/>
      <c r="K134" s="1"/>
      <c r="L134" s="1"/>
      <c r="M134" s="1"/>
      <c r="N134" s="1"/>
      <c r="O134" s="1"/>
      <c r="P134" s="1"/>
      <c r="Q134" s="1"/>
      <c r="R134" s="1"/>
      <c r="S134" s="1"/>
      <c r="T134" s="1"/>
      <c r="U134" s="1"/>
      <c r="V134" s="1"/>
      <c r="W134" s="1"/>
    </row>
    <row r="135">
      <c r="A135" s="1"/>
      <c r="B135" s="1"/>
      <c r="C135" s="2"/>
      <c r="D135" s="1"/>
      <c r="E135" s="1"/>
      <c r="F135" s="1"/>
      <c r="G135" s="2"/>
      <c r="H135" s="1"/>
      <c r="I135" s="1"/>
      <c r="J135" s="2"/>
      <c r="K135" s="1"/>
      <c r="L135" s="1"/>
      <c r="M135" s="1"/>
      <c r="N135" s="1"/>
      <c r="O135" s="1"/>
      <c r="P135" s="1"/>
      <c r="Q135" s="1"/>
      <c r="R135" s="1"/>
      <c r="S135" s="1"/>
      <c r="T135" s="1"/>
      <c r="U135" s="1"/>
      <c r="V135" s="1"/>
      <c r="W135" s="1"/>
    </row>
    <row r="136">
      <c r="A136" s="1"/>
      <c r="B136" s="1"/>
      <c r="C136" s="2"/>
      <c r="D136" s="1"/>
      <c r="E136" s="1"/>
      <c r="F136" s="1"/>
      <c r="G136" s="2"/>
      <c r="H136" s="1"/>
      <c r="I136" s="1"/>
      <c r="J136" s="2"/>
      <c r="K136" s="1"/>
      <c r="L136" s="1"/>
      <c r="M136" s="1"/>
      <c r="N136" s="1"/>
      <c r="O136" s="1"/>
      <c r="P136" s="1"/>
      <c r="Q136" s="1"/>
      <c r="R136" s="1"/>
      <c r="S136" s="1"/>
      <c r="T136" s="1"/>
      <c r="U136" s="1"/>
      <c r="V136" s="1"/>
      <c r="W136" s="1"/>
    </row>
    <row r="137">
      <c r="A137" s="1"/>
      <c r="B137" s="1"/>
      <c r="C137" s="2"/>
      <c r="D137" s="1"/>
      <c r="E137" s="1"/>
      <c r="F137" s="1"/>
      <c r="G137" s="2"/>
      <c r="H137" s="1"/>
      <c r="I137" s="1"/>
      <c r="J137" s="2"/>
      <c r="K137" s="1"/>
      <c r="L137" s="1"/>
      <c r="M137" s="1"/>
      <c r="N137" s="1"/>
      <c r="O137" s="1"/>
      <c r="P137" s="1"/>
      <c r="Q137" s="1"/>
      <c r="R137" s="1"/>
      <c r="S137" s="1"/>
      <c r="T137" s="1"/>
      <c r="U137" s="1"/>
      <c r="V137" s="1"/>
      <c r="W137" s="1"/>
    </row>
    <row r="138">
      <c r="A138" s="1"/>
      <c r="B138" s="1"/>
      <c r="C138" s="2"/>
      <c r="D138" s="1"/>
      <c r="E138" s="1"/>
      <c r="F138" s="1"/>
      <c r="G138" s="2"/>
      <c r="H138" s="1"/>
      <c r="I138" s="1"/>
      <c r="J138" s="2"/>
      <c r="K138" s="1"/>
      <c r="L138" s="1"/>
      <c r="M138" s="1"/>
      <c r="N138" s="1"/>
      <c r="O138" s="1"/>
      <c r="P138" s="1"/>
      <c r="Q138" s="1"/>
      <c r="R138" s="1"/>
      <c r="S138" s="1"/>
      <c r="T138" s="1"/>
      <c r="U138" s="1"/>
      <c r="V138" s="1"/>
      <c r="W138" s="1"/>
    </row>
    <row r="139">
      <c r="A139" s="1"/>
      <c r="B139" s="1"/>
      <c r="C139" s="2"/>
      <c r="D139" s="1"/>
      <c r="E139" s="1"/>
      <c r="F139" s="1"/>
      <c r="G139" s="2"/>
      <c r="H139" s="1"/>
      <c r="I139" s="1"/>
      <c r="J139" s="2"/>
      <c r="K139" s="1"/>
      <c r="L139" s="1"/>
      <c r="M139" s="1"/>
      <c r="N139" s="1"/>
      <c r="O139" s="1"/>
      <c r="P139" s="1"/>
      <c r="Q139" s="1"/>
      <c r="R139" s="1"/>
      <c r="S139" s="1"/>
      <c r="T139" s="1"/>
      <c r="U139" s="1"/>
      <c r="V139" s="1"/>
      <c r="W139" s="1"/>
    </row>
    <row r="140">
      <c r="A140" s="1"/>
      <c r="B140" s="1"/>
      <c r="C140" s="2"/>
      <c r="D140" s="1"/>
      <c r="E140" s="1"/>
      <c r="F140" s="1"/>
      <c r="G140" s="2"/>
      <c r="H140" s="1"/>
      <c r="I140" s="1"/>
      <c r="J140" s="2"/>
      <c r="K140" s="1"/>
      <c r="L140" s="1"/>
      <c r="M140" s="1"/>
      <c r="N140" s="1"/>
      <c r="O140" s="1"/>
      <c r="P140" s="1"/>
      <c r="Q140" s="1"/>
      <c r="R140" s="1"/>
      <c r="S140" s="1"/>
      <c r="T140" s="1"/>
      <c r="U140" s="1"/>
      <c r="V140" s="1"/>
      <c r="W140" s="1"/>
    </row>
    <row r="141">
      <c r="A141" s="1"/>
      <c r="B141" s="1"/>
      <c r="C141" s="2"/>
      <c r="D141" s="1"/>
      <c r="E141" s="1"/>
      <c r="F141" s="1"/>
      <c r="G141" s="2"/>
      <c r="H141" s="1"/>
      <c r="I141" s="1"/>
      <c r="J141" s="2"/>
      <c r="K141" s="1"/>
      <c r="L141" s="1"/>
      <c r="M141" s="1"/>
      <c r="N141" s="1"/>
      <c r="O141" s="1"/>
      <c r="P141" s="1"/>
      <c r="Q141" s="1"/>
      <c r="R141" s="1"/>
      <c r="S141" s="1"/>
      <c r="T141" s="1"/>
      <c r="U141" s="1"/>
      <c r="V141" s="1"/>
      <c r="W141" s="1"/>
    </row>
    <row r="142">
      <c r="A142" s="1"/>
      <c r="B142" s="1"/>
      <c r="C142" s="2"/>
      <c r="D142" s="1"/>
      <c r="E142" s="1"/>
      <c r="F142" s="1"/>
      <c r="G142" s="2"/>
      <c r="H142" s="1"/>
      <c r="I142" s="1"/>
      <c r="J142" s="2"/>
      <c r="K142" s="1"/>
      <c r="L142" s="1"/>
      <c r="M142" s="1"/>
      <c r="N142" s="1"/>
      <c r="O142" s="1"/>
      <c r="P142" s="1"/>
      <c r="Q142" s="1"/>
      <c r="R142" s="1"/>
      <c r="S142" s="1"/>
      <c r="T142" s="1"/>
      <c r="U142" s="1"/>
      <c r="V142" s="1"/>
      <c r="W142" s="1"/>
    </row>
    <row r="143">
      <c r="A143" s="1"/>
      <c r="B143" s="1"/>
      <c r="C143" s="2"/>
      <c r="D143" s="1"/>
      <c r="E143" s="1"/>
      <c r="F143" s="1"/>
      <c r="G143" s="2"/>
      <c r="H143" s="1"/>
      <c r="I143" s="1"/>
      <c r="J143" s="2"/>
      <c r="K143" s="1"/>
      <c r="L143" s="1"/>
      <c r="M143" s="1"/>
      <c r="N143" s="1"/>
      <c r="O143" s="1"/>
      <c r="P143" s="1"/>
      <c r="Q143" s="1"/>
      <c r="R143" s="1"/>
      <c r="S143" s="1"/>
      <c r="T143" s="1"/>
      <c r="U143" s="1"/>
      <c r="V143" s="1"/>
      <c r="W143" s="1"/>
    </row>
    <row r="144">
      <c r="A144" s="1"/>
      <c r="B144" s="1"/>
      <c r="C144" s="2"/>
      <c r="D144" s="1"/>
      <c r="E144" s="1"/>
      <c r="F144" s="1"/>
      <c r="G144" s="2"/>
      <c r="H144" s="1"/>
      <c r="I144" s="1"/>
      <c r="J144" s="2"/>
      <c r="K144" s="1"/>
      <c r="L144" s="1"/>
      <c r="M144" s="1"/>
      <c r="N144" s="1"/>
      <c r="O144" s="1"/>
      <c r="P144" s="1"/>
      <c r="Q144" s="1"/>
      <c r="R144" s="1"/>
      <c r="S144" s="1"/>
      <c r="T144" s="1"/>
      <c r="U144" s="1"/>
      <c r="V144" s="1"/>
      <c r="W144" s="1"/>
    </row>
    <row r="145">
      <c r="A145" s="1"/>
      <c r="B145" s="1"/>
      <c r="C145" s="2"/>
      <c r="D145" s="1"/>
      <c r="E145" s="1"/>
      <c r="F145" s="1"/>
      <c r="G145" s="2"/>
      <c r="H145" s="1"/>
      <c r="I145" s="1"/>
      <c r="J145" s="2"/>
      <c r="K145" s="1"/>
      <c r="L145" s="1"/>
      <c r="M145" s="1"/>
      <c r="N145" s="1"/>
      <c r="O145" s="1"/>
      <c r="P145" s="1"/>
      <c r="Q145" s="1"/>
      <c r="R145" s="1"/>
      <c r="S145" s="1"/>
      <c r="T145" s="1"/>
      <c r="U145" s="1"/>
      <c r="V145" s="1"/>
      <c r="W145" s="1"/>
    </row>
    <row r="146">
      <c r="A146" s="1"/>
      <c r="B146" s="1"/>
      <c r="C146" s="2"/>
      <c r="D146" s="1"/>
      <c r="E146" s="1"/>
      <c r="F146" s="1"/>
      <c r="G146" s="2"/>
      <c r="H146" s="1"/>
      <c r="I146" s="1"/>
      <c r="J146" s="2"/>
      <c r="K146" s="1"/>
      <c r="L146" s="1"/>
      <c r="M146" s="1"/>
      <c r="N146" s="1"/>
      <c r="O146" s="1"/>
      <c r="P146" s="1"/>
      <c r="Q146" s="1"/>
      <c r="R146" s="1"/>
      <c r="S146" s="1"/>
      <c r="T146" s="1"/>
      <c r="U146" s="1"/>
      <c r="V146" s="1"/>
      <c r="W146" s="1"/>
    </row>
    <row r="147">
      <c r="A147" s="1"/>
      <c r="B147" s="1"/>
      <c r="C147" s="2"/>
      <c r="D147" s="1"/>
      <c r="E147" s="1"/>
      <c r="F147" s="1"/>
      <c r="G147" s="2"/>
      <c r="H147" s="1"/>
      <c r="I147" s="1"/>
      <c r="J147" s="2"/>
      <c r="K147" s="1"/>
      <c r="L147" s="1"/>
      <c r="M147" s="1"/>
      <c r="N147" s="1"/>
      <c r="O147" s="1"/>
      <c r="P147" s="1"/>
      <c r="Q147" s="1"/>
      <c r="R147" s="1"/>
      <c r="S147" s="1"/>
      <c r="T147" s="1"/>
      <c r="U147" s="1"/>
      <c r="V147" s="1"/>
      <c r="W147" s="1"/>
    </row>
    <row r="148">
      <c r="A148" s="1"/>
      <c r="B148" s="1"/>
      <c r="C148" s="2"/>
      <c r="D148" s="1"/>
      <c r="E148" s="1"/>
      <c r="F148" s="1"/>
      <c r="G148" s="2"/>
      <c r="H148" s="1"/>
      <c r="I148" s="1"/>
      <c r="J148" s="2"/>
      <c r="K148" s="1"/>
      <c r="L148" s="1"/>
      <c r="M148" s="1"/>
      <c r="N148" s="1"/>
      <c r="O148" s="1"/>
      <c r="P148" s="1"/>
      <c r="Q148" s="1"/>
      <c r="R148" s="1"/>
      <c r="S148" s="1"/>
      <c r="T148" s="1"/>
      <c r="U148" s="1"/>
      <c r="V148" s="1"/>
      <c r="W148" s="1"/>
    </row>
    <row r="149">
      <c r="A149" s="1"/>
      <c r="B149" s="1"/>
      <c r="C149" s="2"/>
      <c r="D149" s="1"/>
      <c r="E149" s="1"/>
      <c r="F149" s="1"/>
      <c r="G149" s="2"/>
      <c r="H149" s="1"/>
      <c r="I149" s="1"/>
      <c r="J149" s="2"/>
      <c r="K149" s="1"/>
      <c r="L149" s="1"/>
      <c r="M149" s="1"/>
      <c r="N149" s="1"/>
      <c r="O149" s="1"/>
      <c r="P149" s="1"/>
      <c r="Q149" s="1"/>
      <c r="R149" s="1"/>
      <c r="S149" s="1"/>
      <c r="T149" s="1"/>
      <c r="U149" s="1"/>
      <c r="V149" s="1"/>
      <c r="W149" s="1"/>
    </row>
    <row r="150">
      <c r="A150" s="1"/>
      <c r="B150" s="1"/>
      <c r="C150" s="2"/>
      <c r="D150" s="1"/>
      <c r="E150" s="1"/>
      <c r="F150" s="1"/>
      <c r="G150" s="2"/>
      <c r="H150" s="1"/>
      <c r="I150" s="1"/>
      <c r="J150" s="2"/>
      <c r="K150" s="1"/>
      <c r="L150" s="1"/>
      <c r="M150" s="1"/>
      <c r="N150" s="1"/>
      <c r="O150" s="1"/>
      <c r="P150" s="1"/>
      <c r="Q150" s="1"/>
      <c r="R150" s="1"/>
      <c r="S150" s="1"/>
      <c r="T150" s="1"/>
      <c r="U150" s="1"/>
      <c r="V150" s="1"/>
      <c r="W150" s="1"/>
    </row>
    <row r="151">
      <c r="A151" s="1"/>
      <c r="B151" s="1"/>
      <c r="C151" s="2"/>
      <c r="D151" s="1"/>
      <c r="E151" s="1"/>
      <c r="F151" s="1"/>
      <c r="G151" s="2"/>
      <c r="H151" s="1"/>
      <c r="I151" s="1"/>
      <c r="J151" s="2"/>
      <c r="K151" s="1"/>
      <c r="L151" s="1"/>
      <c r="M151" s="1"/>
      <c r="N151" s="1"/>
      <c r="O151" s="1"/>
      <c r="P151" s="1"/>
      <c r="Q151" s="1"/>
      <c r="R151" s="1"/>
      <c r="S151" s="1"/>
      <c r="T151" s="1"/>
      <c r="U151" s="1"/>
      <c r="V151" s="1"/>
      <c r="W151" s="1"/>
    </row>
    <row r="152">
      <c r="A152" s="1"/>
      <c r="B152" s="1"/>
      <c r="C152" s="2"/>
      <c r="D152" s="1"/>
      <c r="E152" s="1"/>
      <c r="F152" s="1"/>
      <c r="G152" s="2"/>
      <c r="H152" s="1"/>
      <c r="I152" s="1"/>
      <c r="J152" s="2"/>
      <c r="K152" s="1"/>
      <c r="L152" s="1"/>
      <c r="M152" s="1"/>
      <c r="N152" s="1"/>
      <c r="O152" s="1"/>
      <c r="P152" s="1"/>
      <c r="Q152" s="1"/>
      <c r="R152" s="1"/>
      <c r="S152" s="1"/>
      <c r="T152" s="1"/>
      <c r="U152" s="1"/>
      <c r="V152" s="1"/>
      <c r="W152" s="1"/>
    </row>
    <row r="153">
      <c r="A153" s="1"/>
      <c r="B153" s="1"/>
      <c r="C153" s="2"/>
      <c r="D153" s="1"/>
      <c r="E153" s="1"/>
      <c r="F153" s="1"/>
      <c r="G153" s="2"/>
      <c r="H153" s="1"/>
      <c r="I153" s="1"/>
      <c r="J153" s="2"/>
      <c r="K153" s="1"/>
      <c r="L153" s="1"/>
      <c r="M153" s="1"/>
      <c r="N153" s="1"/>
      <c r="O153" s="1"/>
      <c r="P153" s="1"/>
      <c r="Q153" s="1"/>
      <c r="R153" s="1"/>
      <c r="S153" s="1"/>
      <c r="T153" s="1"/>
      <c r="U153" s="1"/>
      <c r="V153" s="1"/>
      <c r="W153" s="1"/>
    </row>
    <row r="154">
      <c r="A154" s="1"/>
      <c r="B154" s="1"/>
      <c r="C154" s="2"/>
      <c r="D154" s="1"/>
      <c r="E154" s="1"/>
      <c r="F154" s="1"/>
      <c r="G154" s="2"/>
      <c r="H154" s="1"/>
      <c r="I154" s="1"/>
      <c r="J154" s="2"/>
      <c r="K154" s="1"/>
      <c r="L154" s="1"/>
      <c r="M154" s="1"/>
      <c r="N154" s="1"/>
      <c r="O154" s="1"/>
      <c r="P154" s="1"/>
      <c r="Q154" s="1"/>
      <c r="R154" s="1"/>
      <c r="S154" s="1"/>
      <c r="T154" s="1"/>
      <c r="U154" s="1"/>
      <c r="V154" s="1"/>
      <c r="W154" s="1"/>
    </row>
    <row r="155">
      <c r="A155" s="1"/>
      <c r="B155" s="1"/>
      <c r="C155" s="2"/>
      <c r="D155" s="1"/>
      <c r="E155" s="1"/>
      <c r="F155" s="1"/>
      <c r="G155" s="2"/>
      <c r="H155" s="1"/>
      <c r="I155" s="1"/>
      <c r="J155" s="2"/>
      <c r="K155" s="1"/>
      <c r="L155" s="1"/>
      <c r="M155" s="1"/>
      <c r="N155" s="1"/>
      <c r="O155" s="1"/>
      <c r="P155" s="1"/>
      <c r="Q155" s="1"/>
      <c r="R155" s="1"/>
      <c r="S155" s="1"/>
      <c r="T155" s="1"/>
      <c r="U155" s="1"/>
      <c r="V155" s="1"/>
      <c r="W155" s="1"/>
    </row>
    <row r="156">
      <c r="A156" s="1"/>
      <c r="B156" s="1"/>
      <c r="C156" s="2"/>
      <c r="D156" s="1"/>
      <c r="E156" s="1"/>
      <c r="F156" s="1"/>
      <c r="G156" s="2"/>
      <c r="H156" s="1"/>
      <c r="I156" s="1"/>
      <c r="J156" s="2"/>
      <c r="K156" s="1"/>
      <c r="L156" s="1"/>
      <c r="M156" s="1"/>
      <c r="N156" s="1"/>
      <c r="O156" s="1"/>
      <c r="P156" s="1"/>
      <c r="Q156" s="1"/>
      <c r="R156" s="1"/>
      <c r="S156" s="1"/>
      <c r="T156" s="1"/>
      <c r="U156" s="1"/>
      <c r="V156" s="1"/>
      <c r="W156" s="1"/>
    </row>
    <row r="157">
      <c r="A157" s="1"/>
      <c r="B157" s="1"/>
      <c r="C157" s="2"/>
      <c r="D157" s="1"/>
      <c r="E157" s="1"/>
      <c r="F157" s="1"/>
      <c r="G157" s="2"/>
      <c r="H157" s="1"/>
      <c r="I157" s="1"/>
      <c r="J157" s="2"/>
      <c r="K157" s="1"/>
      <c r="L157" s="1"/>
      <c r="M157" s="1"/>
      <c r="N157" s="1"/>
      <c r="O157" s="1"/>
      <c r="P157" s="1"/>
      <c r="Q157" s="1"/>
      <c r="R157" s="1"/>
      <c r="S157" s="1"/>
      <c r="T157" s="1"/>
      <c r="U157" s="1"/>
      <c r="V157" s="1"/>
      <c r="W157" s="1"/>
    </row>
    <row r="158">
      <c r="A158" s="1"/>
      <c r="B158" s="1"/>
      <c r="C158" s="2"/>
      <c r="D158" s="1"/>
      <c r="E158" s="1"/>
      <c r="F158" s="1"/>
      <c r="G158" s="2"/>
      <c r="H158" s="1"/>
      <c r="I158" s="1"/>
      <c r="J158" s="2"/>
      <c r="K158" s="1"/>
      <c r="L158" s="1"/>
      <c r="M158" s="1"/>
      <c r="N158" s="1"/>
      <c r="O158" s="1"/>
      <c r="P158" s="1"/>
      <c r="Q158" s="1"/>
      <c r="R158" s="1"/>
      <c r="S158" s="1"/>
      <c r="T158" s="1"/>
      <c r="U158" s="1"/>
      <c r="V158" s="1"/>
      <c r="W158" s="1"/>
    </row>
    <row r="159">
      <c r="A159" s="1"/>
      <c r="B159" s="1"/>
      <c r="C159" s="2"/>
      <c r="D159" s="1"/>
      <c r="E159" s="1"/>
      <c r="F159" s="1"/>
      <c r="G159" s="2"/>
      <c r="H159" s="1"/>
      <c r="I159" s="1"/>
      <c r="J159" s="2"/>
      <c r="K159" s="1"/>
      <c r="L159" s="1"/>
      <c r="M159" s="1"/>
      <c r="N159" s="1"/>
      <c r="O159" s="1"/>
      <c r="P159" s="1"/>
      <c r="Q159" s="1"/>
      <c r="R159" s="1"/>
      <c r="S159" s="1"/>
      <c r="T159" s="1"/>
      <c r="U159" s="1"/>
      <c r="V159" s="1"/>
      <c r="W159" s="1"/>
    </row>
    <row r="160">
      <c r="A160" s="1"/>
      <c r="B160" s="1"/>
      <c r="C160" s="2"/>
      <c r="D160" s="1"/>
      <c r="E160" s="1"/>
      <c r="F160" s="1"/>
      <c r="G160" s="2"/>
      <c r="H160" s="1"/>
      <c r="I160" s="1"/>
      <c r="J160" s="2"/>
      <c r="K160" s="1"/>
      <c r="L160" s="1"/>
      <c r="M160" s="1"/>
      <c r="N160" s="1"/>
      <c r="O160" s="1"/>
      <c r="P160" s="1"/>
      <c r="Q160" s="1"/>
      <c r="R160" s="1"/>
      <c r="S160" s="1"/>
      <c r="T160" s="1"/>
      <c r="U160" s="1"/>
      <c r="V160" s="1"/>
      <c r="W160" s="1"/>
    </row>
    <row r="161">
      <c r="A161" s="1"/>
      <c r="B161" s="1"/>
      <c r="C161" s="2"/>
      <c r="D161" s="1"/>
      <c r="E161" s="1"/>
      <c r="F161" s="1"/>
      <c r="G161" s="2"/>
      <c r="H161" s="1"/>
      <c r="I161" s="1"/>
      <c r="J161" s="2"/>
      <c r="K161" s="1"/>
      <c r="L161" s="1"/>
      <c r="M161" s="1"/>
      <c r="N161" s="1"/>
      <c r="O161" s="1"/>
      <c r="P161" s="1"/>
      <c r="Q161" s="1"/>
      <c r="R161" s="1"/>
      <c r="S161" s="1"/>
      <c r="T161" s="1"/>
      <c r="U161" s="1"/>
      <c r="V161" s="1"/>
      <c r="W161" s="1"/>
    </row>
    <row r="162">
      <c r="A162" s="1"/>
      <c r="B162" s="1"/>
      <c r="C162" s="2"/>
      <c r="D162" s="1"/>
      <c r="E162" s="1"/>
      <c r="F162" s="1"/>
      <c r="G162" s="2"/>
      <c r="H162" s="1"/>
      <c r="I162" s="1"/>
      <c r="J162" s="2"/>
      <c r="K162" s="1"/>
      <c r="L162" s="1"/>
      <c r="M162" s="1"/>
      <c r="N162" s="1"/>
      <c r="O162" s="1"/>
      <c r="P162" s="1"/>
      <c r="Q162" s="1"/>
      <c r="R162" s="1"/>
      <c r="S162" s="1"/>
      <c r="T162" s="1"/>
      <c r="U162" s="1"/>
      <c r="V162" s="1"/>
      <c r="W162" s="1"/>
    </row>
    <row r="163">
      <c r="A163" s="1"/>
      <c r="B163" s="1"/>
      <c r="C163" s="2"/>
      <c r="D163" s="1"/>
      <c r="E163" s="1"/>
      <c r="F163" s="1"/>
      <c r="G163" s="2"/>
      <c r="H163" s="1"/>
      <c r="I163" s="1"/>
      <c r="J163" s="2"/>
      <c r="K163" s="1"/>
      <c r="L163" s="1"/>
      <c r="M163" s="1"/>
      <c r="N163" s="1"/>
      <c r="O163" s="1"/>
      <c r="P163" s="1"/>
      <c r="Q163" s="1"/>
      <c r="R163" s="1"/>
      <c r="S163" s="1"/>
      <c r="T163" s="1"/>
      <c r="U163" s="1"/>
      <c r="V163" s="1"/>
      <c r="W163" s="1"/>
    </row>
    <row r="164">
      <c r="A164" s="1"/>
      <c r="B164" s="1"/>
      <c r="C164" s="2"/>
      <c r="D164" s="1"/>
      <c r="E164" s="1"/>
      <c r="F164" s="1"/>
      <c r="G164" s="2"/>
      <c r="H164" s="1"/>
      <c r="I164" s="1"/>
      <c r="J164" s="2"/>
      <c r="K164" s="1"/>
      <c r="L164" s="1"/>
      <c r="M164" s="1"/>
      <c r="N164" s="1"/>
      <c r="O164" s="1"/>
      <c r="P164" s="1"/>
      <c r="Q164" s="1"/>
      <c r="R164" s="1"/>
      <c r="S164" s="1"/>
      <c r="T164" s="1"/>
      <c r="U164" s="1"/>
      <c r="V164" s="1"/>
      <c r="W164" s="1"/>
    </row>
    <row r="165">
      <c r="A165" s="1"/>
      <c r="B165" s="1"/>
      <c r="C165" s="2"/>
      <c r="D165" s="1"/>
      <c r="E165" s="1"/>
      <c r="F165" s="1"/>
      <c r="G165" s="2"/>
      <c r="H165" s="1"/>
      <c r="I165" s="1"/>
      <c r="J165" s="2"/>
      <c r="K165" s="1"/>
      <c r="L165" s="1"/>
      <c r="M165" s="1"/>
      <c r="N165" s="1"/>
      <c r="O165" s="1"/>
      <c r="P165" s="1"/>
      <c r="Q165" s="1"/>
      <c r="R165" s="1"/>
      <c r="S165" s="1"/>
      <c r="T165" s="1"/>
      <c r="U165" s="1"/>
      <c r="V165" s="1"/>
      <c r="W165" s="1"/>
    </row>
    <row r="166">
      <c r="A166" s="1"/>
      <c r="B166" s="1"/>
      <c r="C166" s="2"/>
      <c r="D166" s="1"/>
      <c r="E166" s="1"/>
      <c r="F166" s="1"/>
      <c r="G166" s="2"/>
      <c r="H166" s="1"/>
      <c r="I166" s="1"/>
      <c r="J166" s="2"/>
      <c r="K166" s="1"/>
      <c r="L166" s="1"/>
      <c r="M166" s="1"/>
      <c r="N166" s="1"/>
      <c r="O166" s="1"/>
      <c r="P166" s="1"/>
      <c r="Q166" s="1"/>
      <c r="R166" s="1"/>
      <c r="S166" s="1"/>
      <c r="T166" s="1"/>
      <c r="U166" s="1"/>
      <c r="V166" s="1"/>
      <c r="W166" s="1"/>
    </row>
    <row r="167">
      <c r="A167" s="1"/>
      <c r="B167" s="1"/>
      <c r="C167" s="2"/>
      <c r="D167" s="1"/>
      <c r="E167" s="1"/>
      <c r="F167" s="1"/>
      <c r="G167" s="2"/>
      <c r="H167" s="1"/>
      <c r="I167" s="1"/>
      <c r="J167" s="2"/>
      <c r="K167" s="1"/>
      <c r="L167" s="1"/>
      <c r="M167" s="1"/>
      <c r="N167" s="1"/>
      <c r="O167" s="1"/>
      <c r="P167" s="1"/>
      <c r="Q167" s="1"/>
      <c r="R167" s="1"/>
      <c r="S167" s="1"/>
      <c r="T167" s="1"/>
      <c r="U167" s="1"/>
      <c r="V167" s="1"/>
      <c r="W167" s="1"/>
    </row>
    <row r="168">
      <c r="A168" s="1"/>
      <c r="B168" s="1"/>
      <c r="C168" s="2"/>
      <c r="D168" s="1"/>
      <c r="E168" s="1"/>
      <c r="F168" s="1"/>
      <c r="G168" s="2"/>
      <c r="H168" s="1"/>
      <c r="I168" s="1"/>
      <c r="J168" s="2"/>
      <c r="K168" s="1"/>
      <c r="L168" s="1"/>
      <c r="M168" s="1"/>
      <c r="N168" s="1"/>
      <c r="O168" s="1"/>
      <c r="P168" s="1"/>
      <c r="Q168" s="1"/>
      <c r="R168" s="1"/>
      <c r="S168" s="1"/>
      <c r="T168" s="1"/>
      <c r="U168" s="1"/>
      <c r="V168" s="1"/>
      <c r="W168" s="1"/>
    </row>
    <row r="169">
      <c r="A169" s="1"/>
      <c r="B169" s="1"/>
      <c r="C169" s="2"/>
      <c r="D169" s="1"/>
      <c r="E169" s="1"/>
      <c r="F169" s="1"/>
      <c r="G169" s="2"/>
      <c r="H169" s="1"/>
      <c r="I169" s="1"/>
      <c r="J169" s="2"/>
      <c r="K169" s="1"/>
      <c r="L169" s="1"/>
      <c r="M169" s="1"/>
      <c r="N169" s="1"/>
      <c r="O169" s="1"/>
      <c r="P169" s="1"/>
      <c r="Q169" s="1"/>
      <c r="R169" s="1"/>
      <c r="S169" s="1"/>
      <c r="T169" s="1"/>
      <c r="U169" s="1"/>
      <c r="V169" s="1"/>
      <c r="W169" s="1"/>
    </row>
    <row r="170">
      <c r="A170" s="1"/>
      <c r="B170" s="1"/>
      <c r="C170" s="2"/>
      <c r="D170" s="1"/>
      <c r="E170" s="1"/>
      <c r="F170" s="1"/>
      <c r="G170" s="2"/>
      <c r="H170" s="1"/>
      <c r="I170" s="1"/>
      <c r="J170" s="2"/>
      <c r="K170" s="1"/>
      <c r="L170" s="1"/>
      <c r="M170" s="1"/>
      <c r="N170" s="1"/>
      <c r="O170" s="1"/>
      <c r="P170" s="1"/>
      <c r="Q170" s="1"/>
      <c r="R170" s="1"/>
      <c r="S170" s="1"/>
      <c r="T170" s="1"/>
      <c r="U170" s="1"/>
      <c r="V170" s="1"/>
      <c r="W170" s="1"/>
    </row>
    <row r="171">
      <c r="A171" s="1"/>
      <c r="B171" s="1"/>
      <c r="C171" s="2"/>
      <c r="D171" s="1"/>
      <c r="E171" s="1"/>
      <c r="F171" s="1"/>
      <c r="G171" s="2"/>
      <c r="H171" s="1"/>
      <c r="I171" s="1"/>
      <c r="J171" s="2"/>
      <c r="K171" s="1"/>
      <c r="L171" s="1"/>
      <c r="M171" s="1"/>
      <c r="N171" s="1"/>
      <c r="O171" s="1"/>
      <c r="P171" s="1"/>
      <c r="Q171" s="1"/>
      <c r="R171" s="1"/>
      <c r="S171" s="1"/>
      <c r="T171" s="1"/>
      <c r="U171" s="1"/>
      <c r="V171" s="1"/>
      <c r="W171" s="1"/>
    </row>
    <row r="172">
      <c r="A172" s="1"/>
      <c r="B172" s="1"/>
      <c r="C172" s="2"/>
      <c r="D172" s="1"/>
      <c r="E172" s="1"/>
      <c r="F172" s="1"/>
      <c r="G172" s="2"/>
      <c r="H172" s="1"/>
      <c r="I172" s="1"/>
      <c r="J172" s="2"/>
      <c r="K172" s="1"/>
      <c r="L172" s="1"/>
      <c r="M172" s="1"/>
      <c r="N172" s="1"/>
      <c r="O172" s="1"/>
      <c r="P172" s="1"/>
      <c r="Q172" s="1"/>
      <c r="R172" s="1"/>
      <c r="S172" s="1"/>
      <c r="T172" s="1"/>
      <c r="U172" s="1"/>
      <c r="V172" s="1"/>
      <c r="W172" s="1"/>
    </row>
    <row r="173">
      <c r="A173" s="1"/>
      <c r="B173" s="1"/>
      <c r="C173" s="2"/>
      <c r="D173" s="1"/>
      <c r="E173" s="1"/>
      <c r="F173" s="1"/>
      <c r="G173" s="2"/>
      <c r="H173" s="1"/>
      <c r="I173" s="1"/>
      <c r="J173" s="2"/>
      <c r="K173" s="1"/>
      <c r="L173" s="1"/>
      <c r="M173" s="1"/>
      <c r="N173" s="1"/>
      <c r="O173" s="1"/>
      <c r="P173" s="1"/>
      <c r="Q173" s="1"/>
      <c r="R173" s="1"/>
      <c r="S173" s="1"/>
      <c r="T173" s="1"/>
      <c r="U173" s="1"/>
      <c r="V173" s="1"/>
      <c r="W173" s="1"/>
    </row>
    <row r="174">
      <c r="A174" s="1"/>
      <c r="B174" s="1"/>
      <c r="C174" s="2"/>
      <c r="D174" s="1"/>
      <c r="E174" s="1"/>
      <c r="F174" s="1"/>
      <c r="G174" s="2"/>
      <c r="H174" s="1"/>
      <c r="I174" s="1"/>
      <c r="J174" s="2"/>
      <c r="K174" s="1"/>
      <c r="L174" s="1"/>
      <c r="M174" s="1"/>
      <c r="N174" s="1"/>
      <c r="O174" s="1"/>
      <c r="P174" s="1"/>
      <c r="Q174" s="1"/>
      <c r="R174" s="1"/>
      <c r="S174" s="1"/>
      <c r="T174" s="1"/>
      <c r="U174" s="1"/>
      <c r="V174" s="1"/>
      <c r="W174" s="1"/>
    </row>
    <row r="175">
      <c r="A175" s="1"/>
      <c r="B175" s="1"/>
      <c r="C175" s="2"/>
      <c r="D175" s="1"/>
      <c r="E175" s="1"/>
      <c r="F175" s="1"/>
      <c r="G175" s="2"/>
      <c r="H175" s="1"/>
      <c r="I175" s="1"/>
      <c r="J175" s="2"/>
      <c r="K175" s="1"/>
      <c r="L175" s="1"/>
      <c r="M175" s="1"/>
      <c r="N175" s="1"/>
      <c r="O175" s="1"/>
      <c r="P175" s="1"/>
      <c r="Q175" s="1"/>
      <c r="R175" s="1"/>
      <c r="S175" s="1"/>
      <c r="T175" s="1"/>
      <c r="U175" s="1"/>
      <c r="V175" s="1"/>
      <c r="W175" s="1"/>
    </row>
    <row r="176">
      <c r="A176" s="1"/>
      <c r="B176" s="1"/>
      <c r="C176" s="2"/>
      <c r="D176" s="1"/>
      <c r="E176" s="1"/>
      <c r="F176" s="1"/>
      <c r="G176" s="2"/>
      <c r="H176" s="1"/>
      <c r="I176" s="1"/>
      <c r="J176" s="2"/>
      <c r="K176" s="1"/>
      <c r="L176" s="1"/>
      <c r="M176" s="1"/>
      <c r="N176" s="1"/>
      <c r="O176" s="1"/>
      <c r="P176" s="1"/>
      <c r="Q176" s="1"/>
      <c r="R176" s="1"/>
      <c r="S176" s="1"/>
      <c r="T176" s="1"/>
      <c r="U176" s="1"/>
      <c r="V176" s="1"/>
      <c r="W176" s="1"/>
    </row>
    <row r="177">
      <c r="A177" s="1"/>
      <c r="B177" s="1"/>
      <c r="C177" s="2"/>
      <c r="D177" s="1"/>
      <c r="E177" s="1"/>
      <c r="F177" s="1"/>
      <c r="G177" s="2"/>
      <c r="H177" s="1"/>
      <c r="I177" s="1"/>
      <c r="J177" s="2"/>
      <c r="K177" s="1"/>
      <c r="L177" s="1"/>
      <c r="M177" s="1"/>
      <c r="N177" s="1"/>
      <c r="O177" s="1"/>
      <c r="P177" s="1"/>
      <c r="Q177" s="1"/>
      <c r="R177" s="1"/>
      <c r="S177" s="1"/>
      <c r="T177" s="1"/>
      <c r="U177" s="1"/>
      <c r="V177" s="1"/>
      <c r="W177" s="1"/>
    </row>
    <row r="178">
      <c r="A178" s="1"/>
      <c r="B178" s="1"/>
      <c r="C178" s="2"/>
      <c r="D178" s="1"/>
      <c r="E178" s="1"/>
      <c r="F178" s="1"/>
      <c r="G178" s="2"/>
      <c r="H178" s="1"/>
      <c r="I178" s="1"/>
      <c r="J178" s="2"/>
      <c r="K178" s="1"/>
      <c r="L178" s="1"/>
      <c r="M178" s="1"/>
      <c r="N178" s="1"/>
      <c r="O178" s="1"/>
      <c r="P178" s="1"/>
      <c r="Q178" s="1"/>
      <c r="R178" s="1"/>
      <c r="S178" s="1"/>
      <c r="T178" s="1"/>
      <c r="U178" s="1"/>
      <c r="V178" s="1"/>
      <c r="W178" s="1"/>
    </row>
    <row r="179">
      <c r="A179" s="1"/>
      <c r="B179" s="1"/>
      <c r="C179" s="2"/>
      <c r="D179" s="1"/>
      <c r="E179" s="1"/>
      <c r="F179" s="1"/>
      <c r="G179" s="2"/>
      <c r="H179" s="1"/>
      <c r="I179" s="1"/>
      <c r="J179" s="2"/>
      <c r="K179" s="1"/>
      <c r="L179" s="1"/>
      <c r="M179" s="1"/>
      <c r="N179" s="1"/>
      <c r="O179" s="1"/>
      <c r="P179" s="1"/>
      <c r="Q179" s="1"/>
      <c r="R179" s="1"/>
      <c r="S179" s="1"/>
      <c r="T179" s="1"/>
      <c r="U179" s="1"/>
      <c r="V179" s="1"/>
      <c r="W179" s="1"/>
    </row>
    <row r="180">
      <c r="A180" s="1"/>
      <c r="B180" s="1"/>
      <c r="C180" s="2"/>
      <c r="D180" s="1"/>
      <c r="E180" s="1"/>
      <c r="F180" s="1"/>
      <c r="G180" s="2"/>
      <c r="H180" s="1"/>
      <c r="I180" s="1"/>
      <c r="J180" s="2"/>
      <c r="K180" s="1"/>
      <c r="L180" s="1"/>
      <c r="M180" s="1"/>
      <c r="N180" s="1"/>
      <c r="O180" s="1"/>
      <c r="P180" s="1"/>
      <c r="Q180" s="1"/>
      <c r="R180" s="1"/>
      <c r="S180" s="1"/>
      <c r="T180" s="1"/>
      <c r="U180" s="1"/>
      <c r="V180" s="1"/>
      <c r="W180" s="1"/>
    </row>
    <row r="181">
      <c r="A181" s="1"/>
      <c r="B181" s="1"/>
      <c r="C181" s="2"/>
      <c r="D181" s="1"/>
      <c r="E181" s="1"/>
      <c r="F181" s="1"/>
      <c r="G181" s="2"/>
      <c r="H181" s="1"/>
      <c r="I181" s="1"/>
      <c r="J181" s="2"/>
      <c r="K181" s="1"/>
      <c r="L181" s="1"/>
      <c r="M181" s="1"/>
      <c r="N181" s="1"/>
      <c r="O181" s="1"/>
      <c r="P181" s="1"/>
      <c r="Q181" s="1"/>
      <c r="R181" s="1"/>
      <c r="S181" s="1"/>
      <c r="T181" s="1"/>
      <c r="U181" s="1"/>
      <c r="V181" s="1"/>
      <c r="W181" s="1"/>
    </row>
    <row r="182">
      <c r="A182" s="1"/>
      <c r="B182" s="1"/>
      <c r="C182" s="2"/>
      <c r="D182" s="1"/>
      <c r="E182" s="1"/>
      <c r="F182" s="1"/>
      <c r="G182" s="2"/>
      <c r="H182" s="1"/>
      <c r="I182" s="1"/>
      <c r="J182" s="2"/>
      <c r="K182" s="1"/>
      <c r="L182" s="1"/>
      <c r="M182" s="1"/>
      <c r="N182" s="1"/>
      <c r="O182" s="1"/>
      <c r="P182" s="1"/>
      <c r="Q182" s="1"/>
      <c r="R182" s="1"/>
      <c r="S182" s="1"/>
      <c r="T182" s="1"/>
      <c r="U182" s="1"/>
      <c r="V182" s="1"/>
      <c r="W182" s="1"/>
    </row>
    <row r="183">
      <c r="A183" s="1"/>
      <c r="B183" s="1"/>
      <c r="C183" s="2"/>
      <c r="D183" s="1"/>
      <c r="E183" s="1"/>
      <c r="F183" s="1"/>
      <c r="G183" s="2"/>
      <c r="H183" s="1"/>
      <c r="I183" s="1"/>
      <c r="J183" s="2"/>
      <c r="K183" s="1"/>
      <c r="L183" s="1"/>
      <c r="M183" s="1"/>
      <c r="N183" s="1"/>
      <c r="O183" s="1"/>
      <c r="P183" s="1"/>
      <c r="Q183" s="1"/>
      <c r="R183" s="1"/>
      <c r="S183" s="1"/>
      <c r="T183" s="1"/>
      <c r="U183" s="1"/>
      <c r="V183" s="1"/>
      <c r="W183" s="1"/>
    </row>
    <row r="184">
      <c r="A184" s="1"/>
      <c r="B184" s="1"/>
      <c r="C184" s="2"/>
      <c r="D184" s="1"/>
      <c r="E184" s="1"/>
      <c r="F184" s="1"/>
      <c r="G184" s="2"/>
      <c r="H184" s="1"/>
      <c r="I184" s="1"/>
      <c r="J184" s="2"/>
      <c r="K184" s="1"/>
      <c r="L184" s="1"/>
      <c r="M184" s="1"/>
      <c r="N184" s="1"/>
      <c r="O184" s="1"/>
      <c r="P184" s="1"/>
      <c r="Q184" s="1"/>
      <c r="R184" s="1"/>
      <c r="S184" s="1"/>
      <c r="T184" s="1"/>
      <c r="U184" s="1"/>
      <c r="V184" s="1"/>
      <c r="W184" s="1"/>
    </row>
    <row r="185">
      <c r="A185" s="1"/>
      <c r="B185" s="1"/>
      <c r="C185" s="2"/>
      <c r="D185" s="1"/>
      <c r="E185" s="1"/>
      <c r="F185" s="1"/>
      <c r="G185" s="2"/>
      <c r="H185" s="1"/>
      <c r="I185" s="1"/>
      <c r="J185" s="2"/>
      <c r="K185" s="1"/>
      <c r="L185" s="1"/>
      <c r="M185" s="1"/>
      <c r="N185" s="1"/>
      <c r="O185" s="1"/>
      <c r="P185" s="1"/>
      <c r="Q185" s="1"/>
      <c r="R185" s="1"/>
      <c r="S185" s="1"/>
      <c r="T185" s="1"/>
      <c r="U185" s="1"/>
      <c r="V185" s="1"/>
      <c r="W185" s="1"/>
    </row>
    <row r="186">
      <c r="A186" s="1"/>
      <c r="B186" s="1"/>
      <c r="C186" s="2"/>
      <c r="D186" s="1"/>
      <c r="E186" s="1"/>
      <c r="F186" s="1"/>
      <c r="G186" s="2"/>
      <c r="H186" s="1"/>
      <c r="I186" s="1"/>
      <c r="J186" s="2"/>
      <c r="K186" s="1"/>
      <c r="L186" s="1"/>
      <c r="M186" s="1"/>
      <c r="N186" s="1"/>
      <c r="O186" s="1"/>
      <c r="P186" s="1"/>
      <c r="Q186" s="1"/>
      <c r="R186" s="1"/>
      <c r="S186" s="1"/>
      <c r="T186" s="1"/>
      <c r="U186" s="1"/>
      <c r="V186" s="1"/>
      <c r="W186" s="1"/>
    </row>
    <row r="187">
      <c r="A187" s="1"/>
      <c r="B187" s="1"/>
      <c r="C187" s="2"/>
      <c r="D187" s="1"/>
      <c r="E187" s="1"/>
      <c r="F187" s="1"/>
      <c r="G187" s="2"/>
      <c r="H187" s="1"/>
      <c r="I187" s="1"/>
      <c r="J187" s="2"/>
      <c r="K187" s="1"/>
      <c r="L187" s="1"/>
      <c r="M187" s="1"/>
      <c r="N187" s="1"/>
      <c r="O187" s="1"/>
      <c r="P187" s="1"/>
      <c r="Q187" s="1"/>
      <c r="R187" s="1"/>
      <c r="S187" s="1"/>
      <c r="T187" s="1"/>
      <c r="U187" s="1"/>
      <c r="V187" s="1"/>
      <c r="W187" s="1"/>
    </row>
    <row r="188">
      <c r="A188" s="1"/>
      <c r="B188" s="1"/>
      <c r="C188" s="2"/>
      <c r="D188" s="1"/>
      <c r="E188" s="1"/>
      <c r="F188" s="1"/>
      <c r="G188" s="2"/>
      <c r="H188" s="1"/>
      <c r="I188" s="1"/>
      <c r="J188" s="2"/>
      <c r="K188" s="1"/>
      <c r="L188" s="1"/>
      <c r="M188" s="1"/>
      <c r="N188" s="1"/>
      <c r="O188" s="1"/>
      <c r="P188" s="1"/>
      <c r="Q188" s="1"/>
      <c r="R188" s="1"/>
      <c r="S188" s="1"/>
      <c r="T188" s="1"/>
      <c r="U188" s="1"/>
      <c r="V188" s="1"/>
      <c r="W188" s="1"/>
    </row>
    <row r="189">
      <c r="A189" s="1"/>
      <c r="B189" s="1"/>
      <c r="C189" s="2"/>
      <c r="D189" s="1"/>
      <c r="E189" s="1"/>
      <c r="F189" s="1"/>
      <c r="G189" s="2"/>
      <c r="H189" s="1"/>
      <c r="I189" s="1"/>
      <c r="J189" s="2"/>
      <c r="K189" s="1"/>
      <c r="L189" s="1"/>
      <c r="M189" s="1"/>
      <c r="N189" s="1"/>
      <c r="O189" s="1"/>
      <c r="P189" s="1"/>
      <c r="Q189" s="1"/>
      <c r="R189" s="1"/>
      <c r="S189" s="1"/>
      <c r="T189" s="1"/>
      <c r="U189" s="1"/>
      <c r="V189" s="1"/>
      <c r="W189" s="1"/>
    </row>
    <row r="190">
      <c r="A190" s="1"/>
      <c r="B190" s="1"/>
      <c r="C190" s="2"/>
      <c r="D190" s="1"/>
      <c r="E190" s="1"/>
      <c r="F190" s="1"/>
      <c r="G190" s="2"/>
      <c r="H190" s="1"/>
      <c r="I190" s="1"/>
      <c r="J190" s="2"/>
      <c r="K190" s="1"/>
      <c r="L190" s="1"/>
      <c r="M190" s="1"/>
      <c r="N190" s="1"/>
      <c r="O190" s="1"/>
      <c r="P190" s="1"/>
      <c r="Q190" s="1"/>
      <c r="R190" s="1"/>
      <c r="S190" s="1"/>
      <c r="T190" s="1"/>
      <c r="U190" s="1"/>
      <c r="V190" s="1"/>
      <c r="W190" s="1"/>
    </row>
    <row r="191">
      <c r="A191" s="1"/>
      <c r="B191" s="1"/>
      <c r="C191" s="2"/>
      <c r="D191" s="1"/>
      <c r="E191" s="1"/>
      <c r="F191" s="1"/>
      <c r="G191" s="2"/>
      <c r="H191" s="1"/>
      <c r="I191" s="1"/>
      <c r="J191" s="2"/>
      <c r="K191" s="1"/>
      <c r="L191" s="1"/>
      <c r="M191" s="1"/>
      <c r="N191" s="1"/>
      <c r="O191" s="1"/>
      <c r="P191" s="1"/>
      <c r="Q191" s="1"/>
      <c r="R191" s="1"/>
      <c r="S191" s="1"/>
      <c r="T191" s="1"/>
      <c r="U191" s="1"/>
      <c r="V191" s="1"/>
      <c r="W191" s="1"/>
    </row>
    <row r="192">
      <c r="A192" s="1"/>
      <c r="B192" s="1"/>
      <c r="C192" s="2"/>
      <c r="D192" s="1"/>
      <c r="E192" s="1"/>
      <c r="F192" s="1"/>
      <c r="G192" s="2"/>
      <c r="H192" s="1"/>
      <c r="I192" s="1"/>
      <c r="J192" s="2"/>
      <c r="K192" s="1"/>
      <c r="L192" s="1"/>
      <c r="M192" s="1"/>
      <c r="N192" s="1"/>
      <c r="O192" s="1"/>
      <c r="P192" s="1"/>
      <c r="Q192" s="1"/>
      <c r="R192" s="1"/>
      <c r="S192" s="1"/>
      <c r="T192" s="1"/>
      <c r="U192" s="1"/>
      <c r="V192" s="1"/>
      <c r="W192" s="1"/>
    </row>
    <row r="193">
      <c r="A193" s="1"/>
      <c r="B193" s="1"/>
      <c r="C193" s="2"/>
      <c r="D193" s="1"/>
      <c r="E193" s="1"/>
      <c r="F193" s="1"/>
      <c r="G193" s="2"/>
      <c r="H193" s="1"/>
      <c r="I193" s="1"/>
      <c r="J193" s="2"/>
      <c r="K193" s="1"/>
      <c r="L193" s="1"/>
      <c r="M193" s="1"/>
      <c r="N193" s="1"/>
      <c r="O193" s="1"/>
      <c r="P193" s="1"/>
      <c r="Q193" s="1"/>
      <c r="R193" s="1"/>
      <c r="S193" s="1"/>
      <c r="T193" s="1"/>
      <c r="U193" s="1"/>
      <c r="V193" s="1"/>
      <c r="W193" s="1"/>
    </row>
    <row r="194">
      <c r="A194" s="1"/>
      <c r="B194" s="1"/>
      <c r="C194" s="2"/>
      <c r="D194" s="1"/>
      <c r="E194" s="1"/>
      <c r="F194" s="1"/>
      <c r="G194" s="2"/>
      <c r="H194" s="1"/>
      <c r="I194" s="1"/>
      <c r="J194" s="2"/>
      <c r="K194" s="1"/>
      <c r="L194" s="1"/>
      <c r="M194" s="1"/>
      <c r="N194" s="1"/>
      <c r="O194" s="1"/>
      <c r="P194" s="1"/>
      <c r="Q194" s="1"/>
      <c r="R194" s="1"/>
      <c r="S194" s="1"/>
      <c r="T194" s="1"/>
      <c r="U194" s="1"/>
      <c r="V194" s="1"/>
      <c r="W194" s="1"/>
    </row>
    <row r="195">
      <c r="A195" s="1"/>
      <c r="B195" s="1"/>
      <c r="C195" s="2"/>
      <c r="D195" s="1"/>
      <c r="E195" s="1"/>
      <c r="F195" s="1"/>
      <c r="G195" s="2"/>
      <c r="H195" s="1"/>
      <c r="I195" s="1"/>
      <c r="J195" s="2"/>
      <c r="K195" s="1"/>
      <c r="L195" s="1"/>
      <c r="M195" s="1"/>
      <c r="N195" s="1"/>
      <c r="O195" s="1"/>
      <c r="P195" s="1"/>
      <c r="Q195" s="1"/>
      <c r="R195" s="1"/>
      <c r="S195" s="1"/>
      <c r="T195" s="1"/>
      <c r="U195" s="1"/>
      <c r="V195" s="1"/>
      <c r="W195" s="1"/>
    </row>
    <row r="196">
      <c r="A196" s="1"/>
      <c r="B196" s="1"/>
      <c r="C196" s="2"/>
      <c r="D196" s="1"/>
      <c r="E196" s="1"/>
      <c r="F196" s="1"/>
      <c r="G196" s="2"/>
      <c r="H196" s="1"/>
      <c r="I196" s="1"/>
      <c r="J196" s="2"/>
      <c r="K196" s="1"/>
      <c r="L196" s="1"/>
      <c r="M196" s="1"/>
      <c r="N196" s="1"/>
      <c r="O196" s="1"/>
      <c r="P196" s="1"/>
      <c r="Q196" s="1"/>
      <c r="R196" s="1"/>
      <c r="S196" s="1"/>
      <c r="T196" s="1"/>
      <c r="U196" s="1"/>
      <c r="V196" s="1"/>
      <c r="W196" s="1"/>
    </row>
    <row r="197">
      <c r="A197" s="1"/>
      <c r="B197" s="1"/>
      <c r="C197" s="2"/>
      <c r="D197" s="1"/>
      <c r="E197" s="1"/>
      <c r="F197" s="1"/>
      <c r="G197" s="2"/>
      <c r="H197" s="1"/>
      <c r="I197" s="1"/>
      <c r="J197" s="2"/>
      <c r="K197" s="1"/>
      <c r="L197" s="1"/>
      <c r="M197" s="1"/>
      <c r="N197" s="1"/>
      <c r="O197" s="1"/>
      <c r="P197" s="1"/>
      <c r="Q197" s="1"/>
      <c r="R197" s="1"/>
      <c r="S197" s="1"/>
      <c r="T197" s="1"/>
      <c r="U197" s="1"/>
      <c r="V197" s="1"/>
      <c r="W197" s="1"/>
    </row>
    <row r="198">
      <c r="A198" s="1"/>
      <c r="B198" s="1"/>
      <c r="C198" s="2"/>
      <c r="D198" s="1"/>
      <c r="E198" s="1"/>
      <c r="F198" s="1"/>
      <c r="G198" s="2"/>
      <c r="H198" s="1"/>
      <c r="I198" s="1"/>
      <c r="J198" s="2"/>
      <c r="K198" s="1"/>
      <c r="L198" s="1"/>
      <c r="M198" s="1"/>
      <c r="N198" s="1"/>
      <c r="O198" s="1"/>
      <c r="P198" s="1"/>
      <c r="Q198" s="1"/>
      <c r="R198" s="1"/>
      <c r="S198" s="1"/>
      <c r="T198" s="1"/>
      <c r="U198" s="1"/>
      <c r="V198" s="1"/>
      <c r="W198" s="1"/>
    </row>
    <row r="199">
      <c r="A199" s="1"/>
      <c r="B199" s="1"/>
      <c r="C199" s="2"/>
      <c r="D199" s="1"/>
      <c r="E199" s="1"/>
      <c r="F199" s="1"/>
      <c r="G199" s="2"/>
      <c r="H199" s="1"/>
      <c r="I199" s="1"/>
      <c r="J199" s="2"/>
      <c r="K199" s="1"/>
      <c r="L199" s="1"/>
      <c r="M199" s="1"/>
      <c r="N199" s="1"/>
      <c r="O199" s="1"/>
      <c r="P199" s="1"/>
      <c r="Q199" s="1"/>
      <c r="R199" s="1"/>
      <c r="S199" s="1"/>
      <c r="T199" s="1"/>
      <c r="U199" s="1"/>
      <c r="V199" s="1"/>
      <c r="W199" s="1"/>
    </row>
    <row r="200">
      <c r="A200" s="1"/>
      <c r="B200" s="1"/>
      <c r="C200" s="2"/>
      <c r="D200" s="1"/>
      <c r="E200" s="1"/>
      <c r="F200" s="1"/>
      <c r="G200" s="2"/>
      <c r="H200" s="1"/>
      <c r="I200" s="1"/>
      <c r="J200" s="2"/>
      <c r="K200" s="1"/>
      <c r="L200" s="1"/>
      <c r="M200" s="1"/>
      <c r="N200" s="1"/>
      <c r="O200" s="1"/>
      <c r="P200" s="1"/>
      <c r="Q200" s="1"/>
      <c r="R200" s="1"/>
      <c r="S200" s="1"/>
      <c r="T200" s="1"/>
      <c r="U200" s="1"/>
      <c r="V200" s="1"/>
      <c r="W200" s="1"/>
    </row>
    <row r="201">
      <c r="A201" s="1"/>
      <c r="B201" s="1"/>
      <c r="C201" s="2"/>
      <c r="D201" s="1"/>
      <c r="E201" s="1"/>
      <c r="F201" s="1"/>
      <c r="G201" s="2"/>
      <c r="H201" s="1"/>
      <c r="I201" s="1"/>
      <c r="J201" s="2"/>
      <c r="K201" s="1"/>
      <c r="L201" s="1"/>
      <c r="M201" s="1"/>
      <c r="N201" s="1"/>
      <c r="O201" s="1"/>
      <c r="P201" s="1"/>
      <c r="Q201" s="1"/>
      <c r="R201" s="1"/>
      <c r="S201" s="1"/>
      <c r="T201" s="1"/>
      <c r="U201" s="1"/>
      <c r="V201" s="1"/>
      <c r="W201" s="1"/>
    </row>
    <row r="202">
      <c r="A202" s="1"/>
      <c r="B202" s="1"/>
      <c r="C202" s="2"/>
      <c r="D202" s="1"/>
      <c r="E202" s="1"/>
      <c r="F202" s="1"/>
      <c r="G202" s="2"/>
      <c r="H202" s="1"/>
      <c r="I202" s="1"/>
      <c r="J202" s="2"/>
      <c r="K202" s="1"/>
      <c r="L202" s="1"/>
      <c r="M202" s="1"/>
      <c r="N202" s="1"/>
      <c r="O202" s="1"/>
      <c r="P202" s="1"/>
      <c r="Q202" s="1"/>
      <c r="R202" s="1"/>
      <c r="S202" s="1"/>
      <c r="T202" s="1"/>
      <c r="U202" s="1"/>
      <c r="V202" s="1"/>
      <c r="W202" s="1"/>
    </row>
    <row r="203">
      <c r="A203" s="1"/>
      <c r="B203" s="1"/>
      <c r="C203" s="2"/>
      <c r="D203" s="1"/>
      <c r="E203" s="1"/>
      <c r="F203" s="1"/>
      <c r="G203" s="2"/>
      <c r="H203" s="1"/>
      <c r="I203" s="1"/>
      <c r="J203" s="2"/>
      <c r="K203" s="1"/>
      <c r="L203" s="1"/>
      <c r="M203" s="1"/>
      <c r="N203" s="1"/>
      <c r="O203" s="1"/>
      <c r="P203" s="1"/>
      <c r="Q203" s="1"/>
      <c r="R203" s="1"/>
      <c r="S203" s="1"/>
      <c r="T203" s="1"/>
      <c r="U203" s="1"/>
      <c r="V203" s="1"/>
      <c r="W203" s="1"/>
    </row>
    <row r="204">
      <c r="A204" s="1"/>
      <c r="B204" s="1"/>
      <c r="C204" s="2"/>
      <c r="D204" s="1"/>
      <c r="E204" s="1"/>
      <c r="F204" s="1"/>
      <c r="G204" s="2"/>
      <c r="H204" s="1"/>
      <c r="I204" s="1"/>
      <c r="J204" s="2"/>
      <c r="K204" s="1"/>
      <c r="L204" s="1"/>
      <c r="M204" s="1"/>
      <c r="N204" s="1"/>
      <c r="O204" s="1"/>
      <c r="P204" s="1"/>
      <c r="Q204" s="1"/>
      <c r="R204" s="1"/>
      <c r="S204" s="1"/>
      <c r="T204" s="1"/>
      <c r="U204" s="1"/>
      <c r="V204" s="1"/>
      <c r="W204" s="1"/>
    </row>
    <row r="205">
      <c r="A205" s="1"/>
      <c r="B205" s="1"/>
      <c r="C205" s="2"/>
      <c r="D205" s="1"/>
      <c r="E205" s="1"/>
      <c r="F205" s="1"/>
      <c r="G205" s="2"/>
      <c r="H205" s="1"/>
      <c r="I205" s="1"/>
      <c r="J205" s="2"/>
      <c r="K205" s="1"/>
      <c r="L205" s="1"/>
      <c r="M205" s="1"/>
      <c r="N205" s="1"/>
      <c r="O205" s="1"/>
      <c r="P205" s="1"/>
      <c r="Q205" s="1"/>
      <c r="R205" s="1"/>
      <c r="S205" s="1"/>
      <c r="T205" s="1"/>
      <c r="U205" s="1"/>
      <c r="V205" s="1"/>
      <c r="W205" s="1"/>
    </row>
    <row r="206">
      <c r="A206" s="1"/>
      <c r="B206" s="1"/>
      <c r="C206" s="2"/>
      <c r="D206" s="1"/>
      <c r="E206" s="1"/>
      <c r="F206" s="1"/>
      <c r="G206" s="2"/>
      <c r="H206" s="1"/>
      <c r="I206" s="1"/>
      <c r="J206" s="2"/>
      <c r="K206" s="1"/>
      <c r="L206" s="1"/>
      <c r="M206" s="1"/>
      <c r="N206" s="1"/>
      <c r="O206" s="1"/>
      <c r="P206" s="1"/>
      <c r="Q206" s="1"/>
      <c r="R206" s="1"/>
      <c r="S206" s="1"/>
      <c r="T206" s="1"/>
      <c r="U206" s="1"/>
      <c r="V206" s="1"/>
      <c r="W206" s="1"/>
    </row>
    <row r="207">
      <c r="A207" s="1"/>
      <c r="B207" s="1"/>
      <c r="C207" s="2"/>
      <c r="D207" s="1"/>
      <c r="E207" s="1"/>
      <c r="F207" s="1"/>
      <c r="G207" s="2"/>
      <c r="H207" s="1"/>
      <c r="I207" s="1"/>
      <c r="J207" s="2"/>
      <c r="K207" s="1"/>
      <c r="L207" s="1"/>
      <c r="M207" s="1"/>
      <c r="N207" s="1"/>
      <c r="O207" s="1"/>
      <c r="P207" s="1"/>
      <c r="Q207" s="1"/>
      <c r="R207" s="1"/>
      <c r="S207" s="1"/>
      <c r="T207" s="1"/>
      <c r="U207" s="1"/>
      <c r="V207" s="1"/>
      <c r="W207" s="1"/>
    </row>
    <row r="208">
      <c r="A208" s="1"/>
      <c r="B208" s="1"/>
      <c r="C208" s="2"/>
      <c r="D208" s="1"/>
      <c r="E208" s="1"/>
      <c r="F208" s="1"/>
      <c r="G208" s="2"/>
      <c r="H208" s="1"/>
      <c r="I208" s="1"/>
      <c r="J208" s="2"/>
      <c r="K208" s="1"/>
      <c r="L208" s="1"/>
      <c r="M208" s="1"/>
      <c r="N208" s="1"/>
      <c r="O208" s="1"/>
      <c r="P208" s="1"/>
      <c r="Q208" s="1"/>
      <c r="R208" s="1"/>
      <c r="S208" s="1"/>
      <c r="T208" s="1"/>
      <c r="U208" s="1"/>
      <c r="V208" s="1"/>
      <c r="W208" s="1"/>
    </row>
    <row r="209">
      <c r="A209" s="1"/>
      <c r="B209" s="1"/>
      <c r="C209" s="2"/>
      <c r="D209" s="1"/>
      <c r="E209" s="1"/>
      <c r="F209" s="1"/>
      <c r="G209" s="2"/>
      <c r="H209" s="1"/>
      <c r="I209" s="1"/>
      <c r="J209" s="2"/>
      <c r="K209" s="1"/>
      <c r="L209" s="1"/>
      <c r="M209" s="1"/>
      <c r="N209" s="1"/>
      <c r="O209" s="1"/>
      <c r="P209" s="1"/>
      <c r="Q209" s="1"/>
      <c r="R209" s="1"/>
      <c r="S209" s="1"/>
      <c r="T209" s="1"/>
      <c r="U209" s="1"/>
      <c r="V209" s="1"/>
      <c r="W209" s="1"/>
    </row>
    <row r="210">
      <c r="A210" s="1"/>
      <c r="B210" s="1"/>
      <c r="C210" s="2"/>
      <c r="D210" s="1"/>
      <c r="E210" s="1"/>
      <c r="F210" s="1"/>
      <c r="G210" s="2"/>
      <c r="H210" s="1"/>
      <c r="I210" s="1"/>
      <c r="J210" s="2"/>
      <c r="K210" s="1"/>
      <c r="L210" s="1"/>
      <c r="M210" s="1"/>
      <c r="N210" s="1"/>
      <c r="O210" s="1"/>
      <c r="P210" s="1"/>
      <c r="Q210" s="1"/>
      <c r="R210" s="1"/>
      <c r="S210" s="1"/>
      <c r="T210" s="1"/>
      <c r="U210" s="1"/>
      <c r="V210" s="1"/>
      <c r="W210" s="1"/>
    </row>
    <row r="211">
      <c r="A211" s="1"/>
      <c r="B211" s="1"/>
      <c r="C211" s="2"/>
      <c r="D211" s="1"/>
      <c r="E211" s="1"/>
      <c r="F211" s="1"/>
      <c r="G211" s="2"/>
      <c r="H211" s="1"/>
      <c r="I211" s="1"/>
      <c r="J211" s="2"/>
      <c r="K211" s="1"/>
      <c r="L211" s="1"/>
      <c r="M211" s="1"/>
      <c r="N211" s="1"/>
      <c r="O211" s="1"/>
      <c r="P211" s="1"/>
      <c r="Q211" s="1"/>
      <c r="R211" s="1"/>
      <c r="S211" s="1"/>
      <c r="T211" s="1"/>
      <c r="U211" s="1"/>
      <c r="V211" s="1"/>
      <c r="W211" s="1"/>
    </row>
    <row r="212">
      <c r="A212" s="1"/>
      <c r="B212" s="1"/>
      <c r="C212" s="2"/>
      <c r="D212" s="1"/>
      <c r="E212" s="1"/>
      <c r="F212" s="1"/>
      <c r="G212" s="2"/>
      <c r="H212" s="1"/>
      <c r="I212" s="1"/>
      <c r="J212" s="2"/>
      <c r="K212" s="1"/>
      <c r="L212" s="1"/>
      <c r="M212" s="1"/>
      <c r="N212" s="1"/>
      <c r="O212" s="1"/>
      <c r="P212" s="1"/>
      <c r="Q212" s="1"/>
      <c r="R212" s="1"/>
      <c r="S212" s="1"/>
      <c r="T212" s="1"/>
      <c r="U212" s="1"/>
      <c r="V212" s="1"/>
      <c r="W212" s="1"/>
    </row>
    <row r="213">
      <c r="A213" s="1"/>
      <c r="B213" s="1"/>
      <c r="C213" s="2"/>
      <c r="D213" s="1"/>
      <c r="E213" s="1"/>
      <c r="F213" s="1"/>
      <c r="G213" s="2"/>
      <c r="H213" s="1"/>
      <c r="I213" s="1"/>
      <c r="J213" s="2"/>
      <c r="K213" s="1"/>
      <c r="L213" s="1"/>
      <c r="M213" s="1"/>
      <c r="N213" s="1"/>
      <c r="O213" s="1"/>
      <c r="P213" s="1"/>
      <c r="Q213" s="1"/>
      <c r="R213" s="1"/>
      <c r="S213" s="1"/>
      <c r="T213" s="1"/>
      <c r="U213" s="1"/>
      <c r="V213" s="1"/>
      <c r="W213" s="1"/>
    </row>
    <row r="214">
      <c r="A214" s="1"/>
      <c r="B214" s="1"/>
      <c r="C214" s="2"/>
      <c r="D214" s="1"/>
      <c r="E214" s="1"/>
      <c r="F214" s="1"/>
      <c r="G214" s="2"/>
      <c r="H214" s="1"/>
      <c r="I214" s="1"/>
      <c r="J214" s="2"/>
      <c r="K214" s="1"/>
      <c r="L214" s="1"/>
      <c r="M214" s="1"/>
      <c r="N214" s="1"/>
      <c r="O214" s="1"/>
      <c r="P214" s="1"/>
      <c r="Q214" s="1"/>
      <c r="R214" s="1"/>
      <c r="S214" s="1"/>
      <c r="T214" s="1"/>
      <c r="U214" s="1"/>
      <c r="V214" s="1"/>
      <c r="W214" s="1"/>
    </row>
    <row r="215">
      <c r="A215" s="1"/>
      <c r="B215" s="1"/>
      <c r="C215" s="2"/>
      <c r="D215" s="1"/>
      <c r="E215" s="1"/>
      <c r="F215" s="1"/>
      <c r="G215" s="2"/>
      <c r="H215" s="1"/>
      <c r="I215" s="1"/>
      <c r="J215" s="2"/>
      <c r="K215" s="1"/>
      <c r="L215" s="1"/>
      <c r="M215" s="1"/>
      <c r="N215" s="1"/>
      <c r="O215" s="1"/>
      <c r="P215" s="1"/>
      <c r="Q215" s="1"/>
      <c r="R215" s="1"/>
      <c r="S215" s="1"/>
      <c r="T215" s="1"/>
      <c r="U215" s="1"/>
      <c r="V215" s="1"/>
      <c r="W215" s="1"/>
    </row>
    <row r="216">
      <c r="A216" s="1"/>
      <c r="B216" s="1"/>
      <c r="C216" s="2"/>
      <c r="D216" s="1"/>
      <c r="E216" s="1"/>
      <c r="F216" s="1"/>
      <c r="G216" s="2"/>
      <c r="H216" s="1"/>
      <c r="I216" s="1"/>
      <c r="J216" s="2"/>
      <c r="K216" s="1"/>
      <c r="L216" s="1"/>
      <c r="M216" s="1"/>
      <c r="N216" s="1"/>
      <c r="O216" s="1"/>
      <c r="P216" s="1"/>
      <c r="Q216" s="1"/>
      <c r="R216" s="1"/>
      <c r="S216" s="1"/>
      <c r="T216" s="1"/>
      <c r="U216" s="1"/>
      <c r="V216" s="1"/>
      <c r="W216" s="1"/>
    </row>
    <row r="217">
      <c r="A217" s="1"/>
      <c r="B217" s="1"/>
      <c r="C217" s="2"/>
      <c r="D217" s="1"/>
      <c r="E217" s="1"/>
      <c r="F217" s="1"/>
      <c r="G217" s="2"/>
      <c r="H217" s="1"/>
      <c r="I217" s="1"/>
      <c r="J217" s="2"/>
      <c r="K217" s="1"/>
      <c r="L217" s="1"/>
      <c r="M217" s="1"/>
      <c r="N217" s="1"/>
      <c r="O217" s="1"/>
      <c r="P217" s="1"/>
      <c r="Q217" s="1"/>
      <c r="R217" s="1"/>
      <c r="S217" s="1"/>
      <c r="T217" s="1"/>
      <c r="U217" s="1"/>
      <c r="V217" s="1"/>
      <c r="W217" s="1"/>
    </row>
    <row r="218">
      <c r="A218" s="1"/>
      <c r="B218" s="1"/>
      <c r="C218" s="2"/>
      <c r="D218" s="1"/>
      <c r="E218" s="1"/>
      <c r="F218" s="1"/>
      <c r="G218" s="2"/>
      <c r="H218" s="1"/>
      <c r="I218" s="1"/>
      <c r="J218" s="2"/>
      <c r="K218" s="1"/>
      <c r="L218" s="1"/>
      <c r="M218" s="1"/>
      <c r="N218" s="1"/>
      <c r="O218" s="1"/>
      <c r="P218" s="1"/>
      <c r="Q218" s="1"/>
      <c r="R218" s="1"/>
      <c r="S218" s="1"/>
      <c r="T218" s="1"/>
      <c r="U218" s="1"/>
      <c r="V218" s="1"/>
      <c r="W218" s="1"/>
    </row>
    <row r="219">
      <c r="A219" s="1"/>
      <c r="B219" s="1"/>
      <c r="C219" s="2"/>
      <c r="D219" s="1"/>
      <c r="E219" s="1"/>
      <c r="F219" s="1"/>
      <c r="G219" s="2"/>
      <c r="H219" s="1"/>
      <c r="I219" s="1"/>
      <c r="J219" s="2"/>
      <c r="K219" s="1"/>
      <c r="L219" s="1"/>
      <c r="M219" s="1"/>
      <c r="N219" s="1"/>
      <c r="O219" s="1"/>
      <c r="P219" s="1"/>
      <c r="Q219" s="1"/>
      <c r="R219" s="1"/>
      <c r="S219" s="1"/>
      <c r="T219" s="1"/>
      <c r="U219" s="1"/>
      <c r="V219" s="1"/>
      <c r="W219" s="1"/>
    </row>
    <row r="220">
      <c r="A220" s="1"/>
      <c r="B220" s="1"/>
      <c r="C220" s="2"/>
      <c r="D220" s="1"/>
      <c r="E220" s="1"/>
      <c r="F220" s="1"/>
      <c r="G220" s="2"/>
      <c r="H220" s="1"/>
      <c r="I220" s="1"/>
      <c r="J220" s="2"/>
      <c r="K220" s="1"/>
      <c r="L220" s="1"/>
      <c r="M220" s="1"/>
      <c r="N220" s="1"/>
      <c r="O220" s="1"/>
      <c r="P220" s="1"/>
      <c r="Q220" s="1"/>
      <c r="R220" s="1"/>
      <c r="S220" s="1"/>
      <c r="T220" s="1"/>
      <c r="U220" s="1"/>
      <c r="V220" s="1"/>
      <c r="W220" s="1"/>
    </row>
    <row r="221">
      <c r="A221" s="1"/>
      <c r="B221" s="1"/>
      <c r="C221" s="2"/>
      <c r="D221" s="1"/>
      <c r="E221" s="1"/>
      <c r="F221" s="1"/>
      <c r="G221" s="2"/>
      <c r="H221" s="1"/>
      <c r="I221" s="1"/>
      <c r="J221" s="2"/>
      <c r="K221" s="1"/>
      <c r="L221" s="1"/>
      <c r="M221" s="1"/>
      <c r="N221" s="1"/>
      <c r="O221" s="1"/>
      <c r="P221" s="1"/>
      <c r="Q221" s="1"/>
      <c r="R221" s="1"/>
      <c r="S221" s="1"/>
      <c r="T221" s="1"/>
      <c r="U221" s="1"/>
      <c r="V221" s="1"/>
      <c r="W221" s="1"/>
    </row>
    <row r="222">
      <c r="A222" s="1"/>
      <c r="B222" s="1"/>
      <c r="C222" s="2"/>
      <c r="D222" s="1"/>
      <c r="E222" s="1"/>
      <c r="F222" s="1"/>
      <c r="G222" s="2"/>
      <c r="H222" s="1"/>
      <c r="I222" s="1"/>
      <c r="J222" s="2"/>
      <c r="K222" s="1"/>
      <c r="L222" s="1"/>
      <c r="M222" s="1"/>
      <c r="N222" s="1"/>
      <c r="O222" s="1"/>
      <c r="P222" s="1"/>
      <c r="Q222" s="1"/>
      <c r="R222" s="1"/>
      <c r="S222" s="1"/>
      <c r="T222" s="1"/>
      <c r="U222" s="1"/>
      <c r="V222" s="1"/>
      <c r="W222" s="1"/>
    </row>
    <row r="223">
      <c r="A223" s="1"/>
      <c r="B223" s="1"/>
      <c r="C223" s="2"/>
      <c r="D223" s="1"/>
      <c r="E223" s="1"/>
      <c r="F223" s="1"/>
      <c r="G223" s="2"/>
      <c r="H223" s="1"/>
      <c r="I223" s="1"/>
      <c r="J223" s="2"/>
      <c r="K223" s="1"/>
      <c r="L223" s="1"/>
      <c r="M223" s="1"/>
      <c r="N223" s="1"/>
      <c r="O223" s="1"/>
      <c r="P223" s="1"/>
      <c r="Q223" s="1"/>
      <c r="R223" s="1"/>
      <c r="S223" s="1"/>
      <c r="T223" s="1"/>
      <c r="U223" s="1"/>
      <c r="V223" s="1"/>
      <c r="W223" s="1"/>
    </row>
    <row r="224">
      <c r="A224" s="1"/>
      <c r="B224" s="1"/>
      <c r="C224" s="2"/>
      <c r="D224" s="1"/>
      <c r="E224" s="1"/>
      <c r="F224" s="1"/>
      <c r="G224" s="2"/>
      <c r="H224" s="1"/>
      <c r="I224" s="1"/>
      <c r="J224" s="2"/>
      <c r="K224" s="1"/>
      <c r="L224" s="1"/>
      <c r="M224" s="1"/>
      <c r="N224" s="1"/>
      <c r="O224" s="1"/>
      <c r="P224" s="1"/>
      <c r="Q224" s="1"/>
      <c r="R224" s="1"/>
      <c r="S224" s="1"/>
      <c r="T224" s="1"/>
      <c r="U224" s="1"/>
      <c r="V224" s="1"/>
      <c r="W224" s="1"/>
    </row>
    <row r="225">
      <c r="A225" s="1"/>
      <c r="B225" s="1"/>
      <c r="C225" s="2"/>
      <c r="D225" s="1"/>
      <c r="E225" s="1"/>
      <c r="F225" s="1"/>
      <c r="G225" s="2"/>
      <c r="H225" s="1"/>
      <c r="I225" s="1"/>
      <c r="J225" s="2"/>
      <c r="K225" s="1"/>
      <c r="L225" s="1"/>
      <c r="M225" s="1"/>
      <c r="N225" s="1"/>
      <c r="O225" s="1"/>
      <c r="P225" s="1"/>
      <c r="Q225" s="1"/>
      <c r="R225" s="1"/>
      <c r="S225" s="1"/>
      <c r="T225" s="1"/>
      <c r="U225" s="1"/>
      <c r="V225" s="1"/>
      <c r="W225" s="1"/>
    </row>
    <row r="226">
      <c r="A226" s="1"/>
      <c r="B226" s="1"/>
      <c r="C226" s="2"/>
      <c r="D226" s="1"/>
      <c r="E226" s="1"/>
      <c r="F226" s="1"/>
      <c r="G226" s="2"/>
      <c r="H226" s="1"/>
      <c r="I226" s="1"/>
      <c r="J226" s="2"/>
      <c r="K226" s="1"/>
      <c r="L226" s="1"/>
      <c r="M226" s="1"/>
      <c r="N226" s="1"/>
      <c r="O226" s="1"/>
      <c r="P226" s="1"/>
      <c r="Q226" s="1"/>
      <c r="R226" s="1"/>
      <c r="S226" s="1"/>
      <c r="T226" s="1"/>
      <c r="U226" s="1"/>
      <c r="V226" s="1"/>
      <c r="W226" s="1"/>
    </row>
    <row r="227">
      <c r="A227" s="1"/>
      <c r="B227" s="1"/>
      <c r="C227" s="2"/>
      <c r="D227" s="1"/>
      <c r="E227" s="1"/>
      <c r="F227" s="1"/>
      <c r="G227" s="2"/>
      <c r="H227" s="1"/>
      <c r="I227" s="1"/>
      <c r="J227" s="2"/>
      <c r="K227" s="1"/>
      <c r="L227" s="1"/>
      <c r="M227" s="1"/>
      <c r="N227" s="1"/>
      <c r="O227" s="1"/>
      <c r="P227" s="1"/>
      <c r="Q227" s="1"/>
      <c r="R227" s="1"/>
      <c r="S227" s="1"/>
      <c r="T227" s="1"/>
      <c r="U227" s="1"/>
      <c r="V227" s="1"/>
      <c r="W227" s="1"/>
    </row>
    <row r="228">
      <c r="A228" s="1"/>
      <c r="B228" s="1"/>
      <c r="C228" s="2"/>
      <c r="D228" s="1"/>
      <c r="E228" s="1"/>
      <c r="F228" s="1"/>
      <c r="G228" s="2"/>
      <c r="H228" s="1"/>
      <c r="I228" s="1"/>
      <c r="J228" s="2"/>
      <c r="K228" s="1"/>
      <c r="L228" s="1"/>
      <c r="M228" s="1"/>
      <c r="N228" s="1"/>
      <c r="O228" s="1"/>
      <c r="P228" s="1"/>
      <c r="Q228" s="1"/>
      <c r="R228" s="1"/>
      <c r="S228" s="1"/>
      <c r="T228" s="1"/>
      <c r="U228" s="1"/>
      <c r="V228" s="1"/>
      <c r="W228" s="1"/>
    </row>
    <row r="229">
      <c r="A229" s="1"/>
      <c r="B229" s="1"/>
      <c r="C229" s="2"/>
      <c r="D229" s="1"/>
      <c r="E229" s="1"/>
      <c r="F229" s="1"/>
      <c r="G229" s="2"/>
      <c r="H229" s="1"/>
      <c r="I229" s="1"/>
      <c r="J229" s="2"/>
      <c r="K229" s="1"/>
      <c r="L229" s="1"/>
      <c r="M229" s="1"/>
      <c r="N229" s="1"/>
      <c r="O229" s="1"/>
      <c r="P229" s="1"/>
      <c r="Q229" s="1"/>
      <c r="R229" s="1"/>
      <c r="S229" s="1"/>
      <c r="T229" s="1"/>
      <c r="U229" s="1"/>
      <c r="V229" s="1"/>
      <c r="W229" s="1"/>
    </row>
    <row r="230">
      <c r="A230" s="1"/>
      <c r="B230" s="1"/>
      <c r="C230" s="2"/>
      <c r="D230" s="1"/>
      <c r="E230" s="1"/>
      <c r="F230" s="1"/>
      <c r="G230" s="2"/>
      <c r="H230" s="1"/>
      <c r="I230" s="1"/>
      <c r="J230" s="2"/>
      <c r="K230" s="1"/>
      <c r="L230" s="1"/>
      <c r="M230" s="1"/>
      <c r="N230" s="1"/>
      <c r="O230" s="1"/>
      <c r="P230" s="1"/>
      <c r="Q230" s="1"/>
      <c r="R230" s="1"/>
      <c r="S230" s="1"/>
      <c r="T230" s="1"/>
      <c r="U230" s="1"/>
      <c r="V230" s="1"/>
      <c r="W230" s="1"/>
    </row>
    <row r="231">
      <c r="A231" s="1"/>
      <c r="B231" s="1"/>
      <c r="C231" s="2"/>
      <c r="D231" s="1"/>
      <c r="E231" s="1"/>
      <c r="F231" s="1"/>
      <c r="G231" s="2"/>
      <c r="H231" s="1"/>
      <c r="I231" s="1"/>
      <c r="J231" s="2"/>
      <c r="K231" s="1"/>
      <c r="L231" s="1"/>
      <c r="M231" s="1"/>
      <c r="N231" s="1"/>
      <c r="O231" s="1"/>
      <c r="P231" s="1"/>
      <c r="Q231" s="1"/>
      <c r="R231" s="1"/>
      <c r="S231" s="1"/>
      <c r="T231" s="1"/>
      <c r="U231" s="1"/>
      <c r="V231" s="1"/>
      <c r="W231" s="1"/>
    </row>
    <row r="232">
      <c r="A232" s="1"/>
      <c r="B232" s="1"/>
      <c r="C232" s="2"/>
      <c r="D232" s="1"/>
      <c r="E232" s="1"/>
      <c r="F232" s="1"/>
      <c r="G232" s="2"/>
      <c r="H232" s="1"/>
      <c r="I232" s="1"/>
      <c r="J232" s="2"/>
      <c r="K232" s="1"/>
      <c r="L232" s="1"/>
      <c r="M232" s="1"/>
      <c r="N232" s="1"/>
      <c r="O232" s="1"/>
      <c r="P232" s="1"/>
      <c r="Q232" s="1"/>
      <c r="R232" s="1"/>
      <c r="S232" s="1"/>
      <c r="T232" s="1"/>
      <c r="U232" s="1"/>
      <c r="V232" s="1"/>
      <c r="W232" s="1"/>
    </row>
    <row r="233">
      <c r="A233" s="1"/>
      <c r="B233" s="1"/>
      <c r="C233" s="2"/>
      <c r="D233" s="1"/>
      <c r="E233" s="1"/>
      <c r="F233" s="1"/>
      <c r="G233" s="2"/>
      <c r="H233" s="1"/>
      <c r="I233" s="1"/>
      <c r="J233" s="2"/>
      <c r="K233" s="1"/>
      <c r="L233" s="1"/>
      <c r="M233" s="1"/>
      <c r="N233" s="1"/>
      <c r="O233" s="1"/>
      <c r="P233" s="1"/>
      <c r="Q233" s="1"/>
      <c r="R233" s="1"/>
      <c r="S233" s="1"/>
      <c r="T233" s="1"/>
      <c r="U233" s="1"/>
      <c r="V233" s="1"/>
      <c r="W233" s="1"/>
    </row>
    <row r="234">
      <c r="A234" s="1"/>
      <c r="B234" s="1"/>
      <c r="C234" s="2"/>
      <c r="D234" s="1"/>
      <c r="E234" s="1"/>
      <c r="F234" s="1"/>
      <c r="G234" s="2"/>
      <c r="H234" s="1"/>
      <c r="I234" s="1"/>
      <c r="J234" s="2"/>
      <c r="K234" s="1"/>
      <c r="L234" s="1"/>
      <c r="M234" s="1"/>
      <c r="N234" s="1"/>
      <c r="O234" s="1"/>
      <c r="P234" s="1"/>
      <c r="Q234" s="1"/>
      <c r="R234" s="1"/>
      <c r="S234" s="1"/>
      <c r="T234" s="1"/>
      <c r="U234" s="1"/>
      <c r="V234" s="1"/>
      <c r="W234" s="1"/>
    </row>
    <row r="235">
      <c r="A235" s="1"/>
      <c r="B235" s="1"/>
      <c r="C235" s="2"/>
      <c r="D235" s="1"/>
      <c r="E235" s="1"/>
      <c r="F235" s="1"/>
      <c r="G235" s="2"/>
      <c r="H235" s="1"/>
      <c r="I235" s="1"/>
      <c r="J235" s="2"/>
      <c r="K235" s="1"/>
      <c r="L235" s="1"/>
      <c r="M235" s="1"/>
      <c r="N235" s="1"/>
      <c r="O235" s="1"/>
      <c r="P235" s="1"/>
      <c r="Q235" s="1"/>
      <c r="R235" s="1"/>
      <c r="S235" s="1"/>
      <c r="T235" s="1"/>
      <c r="U235" s="1"/>
      <c r="V235" s="1"/>
      <c r="W235" s="1"/>
    </row>
    <row r="236">
      <c r="A236" s="1"/>
      <c r="B236" s="1"/>
      <c r="C236" s="2"/>
      <c r="D236" s="1"/>
      <c r="E236" s="1"/>
      <c r="F236" s="1"/>
      <c r="G236" s="2"/>
      <c r="H236" s="1"/>
      <c r="I236" s="1"/>
      <c r="J236" s="2"/>
      <c r="K236" s="1"/>
      <c r="L236" s="1"/>
      <c r="M236" s="1"/>
      <c r="N236" s="1"/>
      <c r="O236" s="1"/>
      <c r="P236" s="1"/>
      <c r="Q236" s="1"/>
      <c r="R236" s="1"/>
      <c r="S236" s="1"/>
      <c r="T236" s="1"/>
      <c r="U236" s="1"/>
      <c r="V236" s="1"/>
      <c r="W236" s="1"/>
    </row>
    <row r="237">
      <c r="A237" s="1"/>
      <c r="B237" s="1"/>
      <c r="C237" s="2"/>
      <c r="D237" s="1"/>
      <c r="E237" s="1"/>
      <c r="F237" s="1"/>
      <c r="G237" s="2"/>
      <c r="H237" s="1"/>
      <c r="I237" s="1"/>
      <c r="J237" s="2"/>
      <c r="K237" s="1"/>
      <c r="L237" s="1"/>
      <c r="M237" s="1"/>
      <c r="N237" s="1"/>
      <c r="O237" s="1"/>
      <c r="P237" s="1"/>
      <c r="Q237" s="1"/>
      <c r="R237" s="1"/>
      <c r="S237" s="1"/>
      <c r="T237" s="1"/>
      <c r="U237" s="1"/>
      <c r="V237" s="1"/>
      <c r="W237" s="1"/>
    </row>
    <row r="238">
      <c r="A238" s="1"/>
      <c r="B238" s="1"/>
      <c r="C238" s="2"/>
      <c r="D238" s="1"/>
      <c r="E238" s="1"/>
      <c r="F238" s="1"/>
      <c r="G238" s="2"/>
      <c r="H238" s="1"/>
      <c r="I238" s="1"/>
      <c r="J238" s="2"/>
      <c r="K238" s="1"/>
      <c r="L238" s="1"/>
      <c r="M238" s="1"/>
      <c r="N238" s="1"/>
      <c r="O238" s="1"/>
      <c r="P238" s="1"/>
      <c r="Q238" s="1"/>
      <c r="R238" s="1"/>
      <c r="S238" s="1"/>
      <c r="T238" s="1"/>
      <c r="U238" s="1"/>
      <c r="V238" s="1"/>
      <c r="W238" s="1"/>
    </row>
    <row r="239">
      <c r="A239" s="1"/>
      <c r="B239" s="1"/>
      <c r="C239" s="2"/>
      <c r="D239" s="1"/>
      <c r="E239" s="1"/>
      <c r="F239" s="1"/>
      <c r="G239" s="2"/>
      <c r="H239" s="1"/>
      <c r="I239" s="1"/>
      <c r="J239" s="2"/>
      <c r="K239" s="1"/>
      <c r="L239" s="1"/>
      <c r="M239" s="1"/>
      <c r="N239" s="1"/>
      <c r="O239" s="1"/>
      <c r="P239" s="1"/>
      <c r="Q239" s="1"/>
      <c r="R239" s="1"/>
      <c r="S239" s="1"/>
      <c r="T239" s="1"/>
      <c r="U239" s="1"/>
      <c r="V239" s="1"/>
      <c r="W239" s="1"/>
    </row>
    <row r="240">
      <c r="A240" s="1"/>
      <c r="B240" s="1"/>
      <c r="C240" s="2"/>
      <c r="D240" s="1"/>
      <c r="E240" s="1"/>
      <c r="F240" s="1"/>
      <c r="G240" s="2"/>
      <c r="H240" s="1"/>
      <c r="I240" s="1"/>
      <c r="J240" s="2"/>
      <c r="K240" s="1"/>
      <c r="L240" s="1"/>
      <c r="M240" s="1"/>
      <c r="N240" s="1"/>
      <c r="O240" s="1"/>
      <c r="P240" s="1"/>
      <c r="Q240" s="1"/>
      <c r="R240" s="1"/>
      <c r="S240" s="1"/>
      <c r="T240" s="1"/>
      <c r="U240" s="1"/>
      <c r="V240" s="1"/>
      <c r="W240" s="1"/>
    </row>
    <row r="241">
      <c r="A241" s="1"/>
      <c r="B241" s="1"/>
      <c r="C241" s="2"/>
      <c r="D241" s="1"/>
      <c r="E241" s="1"/>
      <c r="F241" s="1"/>
      <c r="G241" s="2"/>
      <c r="H241" s="1"/>
      <c r="I241" s="1"/>
      <c r="J241" s="2"/>
      <c r="K241" s="1"/>
      <c r="L241" s="1"/>
      <c r="M241" s="1"/>
      <c r="N241" s="1"/>
      <c r="O241" s="1"/>
      <c r="P241" s="1"/>
      <c r="Q241" s="1"/>
      <c r="R241" s="1"/>
      <c r="S241" s="1"/>
      <c r="T241" s="1"/>
      <c r="U241" s="1"/>
      <c r="V241" s="1"/>
      <c r="W241" s="1"/>
    </row>
    <row r="242">
      <c r="A242" s="1"/>
      <c r="B242" s="1"/>
      <c r="C242" s="2"/>
      <c r="D242" s="1"/>
      <c r="E242" s="1"/>
      <c r="F242" s="1"/>
      <c r="G242" s="2"/>
      <c r="H242" s="1"/>
      <c r="I242" s="1"/>
      <c r="J242" s="2"/>
      <c r="K242" s="1"/>
      <c r="L242" s="1"/>
      <c r="M242" s="1"/>
      <c r="N242" s="1"/>
      <c r="O242" s="1"/>
      <c r="P242" s="1"/>
      <c r="Q242" s="1"/>
      <c r="R242" s="1"/>
      <c r="S242" s="1"/>
      <c r="T242" s="1"/>
      <c r="U242" s="1"/>
      <c r="V242" s="1"/>
      <c r="W242" s="1"/>
    </row>
    <row r="243">
      <c r="A243" s="1"/>
      <c r="B243" s="1"/>
      <c r="C243" s="2"/>
      <c r="D243" s="1"/>
      <c r="E243" s="1"/>
      <c r="F243" s="1"/>
      <c r="G243" s="2"/>
      <c r="H243" s="1"/>
      <c r="I243" s="1"/>
      <c r="J243" s="2"/>
      <c r="K243" s="1"/>
      <c r="L243" s="1"/>
      <c r="M243" s="1"/>
      <c r="N243" s="1"/>
      <c r="O243" s="1"/>
      <c r="P243" s="1"/>
      <c r="Q243" s="1"/>
      <c r="R243" s="1"/>
      <c r="S243" s="1"/>
      <c r="T243" s="1"/>
      <c r="U243" s="1"/>
      <c r="V243" s="1"/>
      <c r="W243" s="1"/>
    </row>
    <row r="244">
      <c r="A244" s="1"/>
      <c r="B244" s="1"/>
      <c r="C244" s="2"/>
      <c r="D244" s="1"/>
      <c r="E244" s="1"/>
      <c r="F244" s="1"/>
      <c r="G244" s="2"/>
      <c r="H244" s="1"/>
      <c r="I244" s="1"/>
      <c r="J244" s="2"/>
      <c r="K244" s="1"/>
      <c r="L244" s="1"/>
      <c r="M244" s="1"/>
      <c r="N244" s="1"/>
      <c r="O244" s="1"/>
      <c r="P244" s="1"/>
      <c r="Q244" s="1"/>
      <c r="R244" s="1"/>
      <c r="S244" s="1"/>
      <c r="T244" s="1"/>
      <c r="U244" s="1"/>
      <c r="V244" s="1"/>
      <c r="W244" s="1"/>
    </row>
    <row r="245">
      <c r="A245" s="1"/>
      <c r="B245" s="1"/>
      <c r="C245" s="2"/>
      <c r="D245" s="1"/>
      <c r="E245" s="1"/>
      <c r="F245" s="1"/>
      <c r="G245" s="2"/>
      <c r="H245" s="1"/>
      <c r="I245" s="1"/>
      <c r="J245" s="2"/>
      <c r="K245" s="1"/>
      <c r="L245" s="1"/>
      <c r="M245" s="1"/>
      <c r="N245" s="1"/>
      <c r="O245" s="1"/>
      <c r="P245" s="1"/>
      <c r="Q245" s="1"/>
      <c r="R245" s="1"/>
      <c r="S245" s="1"/>
      <c r="T245" s="1"/>
      <c r="U245" s="1"/>
      <c r="V245" s="1"/>
      <c r="W245" s="1"/>
    </row>
    <row r="246">
      <c r="A246" s="1"/>
      <c r="B246" s="1"/>
      <c r="C246" s="2"/>
      <c r="D246" s="1"/>
      <c r="E246" s="1"/>
      <c r="F246" s="1"/>
      <c r="G246" s="2"/>
      <c r="H246" s="1"/>
      <c r="I246" s="1"/>
      <c r="J246" s="2"/>
      <c r="K246" s="1"/>
      <c r="L246" s="1"/>
      <c r="M246" s="1"/>
      <c r="N246" s="1"/>
      <c r="O246" s="1"/>
      <c r="P246" s="1"/>
      <c r="Q246" s="1"/>
      <c r="R246" s="1"/>
      <c r="S246" s="1"/>
      <c r="T246" s="1"/>
      <c r="U246" s="1"/>
      <c r="V246" s="1"/>
      <c r="W246" s="1"/>
    </row>
    <row r="247">
      <c r="A247" s="1"/>
      <c r="B247" s="1"/>
      <c r="C247" s="2"/>
      <c r="D247" s="1"/>
      <c r="E247" s="1"/>
      <c r="F247" s="1"/>
      <c r="G247" s="2"/>
      <c r="H247" s="1"/>
      <c r="I247" s="1"/>
      <c r="J247" s="2"/>
      <c r="K247" s="1"/>
      <c r="L247" s="1"/>
      <c r="M247" s="1"/>
      <c r="N247" s="1"/>
      <c r="O247" s="1"/>
      <c r="P247" s="1"/>
      <c r="Q247" s="1"/>
      <c r="R247" s="1"/>
      <c r="S247" s="1"/>
      <c r="T247" s="1"/>
      <c r="U247" s="1"/>
      <c r="V247" s="1"/>
      <c r="W247" s="1"/>
    </row>
    <row r="248">
      <c r="A248" s="1"/>
      <c r="B248" s="1"/>
      <c r="C248" s="2"/>
      <c r="D248" s="1"/>
      <c r="E248" s="1"/>
      <c r="F248" s="1"/>
      <c r="G248" s="2"/>
      <c r="H248" s="1"/>
      <c r="I248" s="1"/>
      <c r="J248" s="2"/>
      <c r="K248" s="1"/>
      <c r="L248" s="1"/>
      <c r="M248" s="1"/>
      <c r="N248" s="1"/>
      <c r="O248" s="1"/>
      <c r="P248" s="1"/>
      <c r="Q248" s="1"/>
      <c r="R248" s="1"/>
      <c r="S248" s="1"/>
      <c r="T248" s="1"/>
      <c r="U248" s="1"/>
      <c r="V248" s="1"/>
      <c r="W248" s="1"/>
    </row>
    <row r="249">
      <c r="A249" s="1"/>
      <c r="B249" s="1"/>
      <c r="C249" s="2"/>
      <c r="D249" s="1"/>
      <c r="E249" s="1"/>
      <c r="F249" s="1"/>
      <c r="G249" s="2"/>
      <c r="H249" s="1"/>
      <c r="I249" s="1"/>
      <c r="J249" s="2"/>
      <c r="K249" s="1"/>
      <c r="L249" s="1"/>
      <c r="M249" s="1"/>
      <c r="N249" s="1"/>
      <c r="O249" s="1"/>
      <c r="P249" s="1"/>
      <c r="Q249" s="1"/>
      <c r="R249" s="1"/>
      <c r="S249" s="1"/>
      <c r="T249" s="1"/>
      <c r="U249" s="1"/>
      <c r="V249" s="1"/>
      <c r="W249" s="1"/>
    </row>
    <row r="250">
      <c r="A250" s="1"/>
      <c r="B250" s="1"/>
      <c r="C250" s="2"/>
      <c r="D250" s="1"/>
      <c r="E250" s="1"/>
      <c r="F250" s="1"/>
      <c r="G250" s="2"/>
      <c r="H250" s="1"/>
      <c r="I250" s="1"/>
      <c r="J250" s="2"/>
      <c r="K250" s="1"/>
      <c r="L250" s="1"/>
      <c r="M250" s="1"/>
      <c r="N250" s="1"/>
      <c r="O250" s="1"/>
      <c r="P250" s="1"/>
      <c r="Q250" s="1"/>
      <c r="R250" s="1"/>
      <c r="S250" s="1"/>
      <c r="T250" s="1"/>
      <c r="U250" s="1"/>
      <c r="V250" s="1"/>
      <c r="W250" s="1"/>
    </row>
    <row r="251">
      <c r="A251" s="1"/>
      <c r="B251" s="1"/>
      <c r="C251" s="2"/>
      <c r="D251" s="1"/>
      <c r="E251" s="1"/>
      <c r="F251" s="1"/>
      <c r="G251" s="2"/>
      <c r="H251" s="1"/>
      <c r="I251" s="1"/>
      <c r="J251" s="2"/>
      <c r="K251" s="1"/>
      <c r="L251" s="1"/>
      <c r="M251" s="1"/>
      <c r="N251" s="1"/>
      <c r="O251" s="1"/>
      <c r="P251" s="1"/>
      <c r="Q251" s="1"/>
      <c r="R251" s="1"/>
      <c r="S251" s="1"/>
      <c r="T251" s="1"/>
      <c r="U251" s="1"/>
      <c r="V251" s="1"/>
      <c r="W251" s="1"/>
    </row>
    <row r="252">
      <c r="A252" s="1"/>
      <c r="B252" s="1"/>
      <c r="C252" s="2"/>
      <c r="D252" s="1"/>
      <c r="E252" s="1"/>
      <c r="F252" s="1"/>
      <c r="G252" s="2"/>
      <c r="H252" s="1"/>
      <c r="I252" s="1"/>
      <c r="J252" s="2"/>
      <c r="K252" s="1"/>
      <c r="L252" s="1"/>
      <c r="M252" s="1"/>
      <c r="N252" s="1"/>
      <c r="O252" s="1"/>
      <c r="P252" s="1"/>
      <c r="Q252" s="1"/>
      <c r="R252" s="1"/>
      <c r="S252" s="1"/>
      <c r="T252" s="1"/>
      <c r="U252" s="1"/>
      <c r="V252" s="1"/>
      <c r="W252" s="1"/>
    </row>
    <row r="253">
      <c r="A253" s="1"/>
      <c r="B253" s="1"/>
      <c r="C253" s="2"/>
      <c r="D253" s="1"/>
      <c r="E253" s="1"/>
      <c r="F253" s="1"/>
      <c r="G253" s="2"/>
      <c r="H253" s="1"/>
      <c r="I253" s="1"/>
      <c r="J253" s="2"/>
      <c r="K253" s="1"/>
      <c r="L253" s="1"/>
      <c r="M253" s="1"/>
      <c r="N253" s="1"/>
      <c r="O253" s="1"/>
      <c r="P253" s="1"/>
      <c r="Q253" s="1"/>
      <c r="R253" s="1"/>
      <c r="S253" s="1"/>
      <c r="T253" s="1"/>
      <c r="U253" s="1"/>
      <c r="V253" s="1"/>
      <c r="W253" s="1"/>
    </row>
    <row r="254">
      <c r="A254" s="1"/>
      <c r="B254" s="1"/>
      <c r="C254" s="2"/>
      <c r="D254" s="1"/>
      <c r="E254" s="1"/>
      <c r="F254" s="1"/>
      <c r="G254" s="2"/>
      <c r="H254" s="1"/>
      <c r="I254" s="1"/>
      <c r="J254" s="2"/>
      <c r="K254" s="1"/>
      <c r="L254" s="1"/>
      <c r="M254" s="1"/>
      <c r="N254" s="1"/>
      <c r="O254" s="1"/>
      <c r="P254" s="1"/>
      <c r="Q254" s="1"/>
      <c r="R254" s="1"/>
      <c r="S254" s="1"/>
      <c r="T254" s="1"/>
      <c r="U254" s="1"/>
      <c r="V254" s="1"/>
      <c r="W254" s="1"/>
    </row>
    <row r="255">
      <c r="A255" s="1"/>
      <c r="B255" s="1"/>
      <c r="C255" s="2"/>
      <c r="D255" s="1"/>
      <c r="E255" s="1"/>
      <c r="F255" s="1"/>
      <c r="G255" s="2"/>
      <c r="H255" s="1"/>
      <c r="I255" s="1"/>
      <c r="J255" s="2"/>
      <c r="K255" s="1"/>
      <c r="L255" s="1"/>
      <c r="M255" s="1"/>
      <c r="N255" s="1"/>
      <c r="O255" s="1"/>
      <c r="P255" s="1"/>
      <c r="Q255" s="1"/>
      <c r="R255" s="1"/>
      <c r="S255" s="1"/>
      <c r="T255" s="1"/>
      <c r="U255" s="1"/>
      <c r="V255" s="1"/>
      <c r="W255" s="1"/>
    </row>
    <row r="256">
      <c r="A256" s="1"/>
      <c r="B256" s="1"/>
      <c r="C256" s="2"/>
      <c r="D256" s="1"/>
      <c r="E256" s="1"/>
      <c r="F256" s="1"/>
      <c r="G256" s="2"/>
      <c r="H256" s="1"/>
      <c r="I256" s="1"/>
      <c r="J256" s="2"/>
      <c r="K256" s="1"/>
      <c r="L256" s="1"/>
      <c r="M256" s="1"/>
      <c r="N256" s="1"/>
      <c r="O256" s="1"/>
      <c r="P256" s="1"/>
      <c r="Q256" s="1"/>
      <c r="R256" s="1"/>
      <c r="S256" s="1"/>
      <c r="T256" s="1"/>
      <c r="U256" s="1"/>
      <c r="V256" s="1"/>
      <c r="W256" s="1"/>
    </row>
    <row r="257">
      <c r="A257" s="1"/>
      <c r="B257" s="1"/>
      <c r="C257" s="2"/>
      <c r="D257" s="1"/>
      <c r="E257" s="1"/>
      <c r="F257" s="1"/>
      <c r="G257" s="2"/>
      <c r="H257" s="1"/>
      <c r="I257" s="1"/>
      <c r="J257" s="2"/>
      <c r="K257" s="1"/>
      <c r="L257" s="1"/>
      <c r="M257" s="1"/>
      <c r="N257" s="1"/>
      <c r="O257" s="1"/>
      <c r="P257" s="1"/>
      <c r="Q257" s="1"/>
      <c r="R257" s="1"/>
      <c r="S257" s="1"/>
      <c r="T257" s="1"/>
      <c r="U257" s="1"/>
      <c r="V257" s="1"/>
      <c r="W257" s="1"/>
    </row>
    <row r="258">
      <c r="A258" s="1"/>
      <c r="B258" s="1"/>
      <c r="C258" s="2"/>
      <c r="D258" s="1"/>
      <c r="E258" s="1"/>
      <c r="F258" s="1"/>
      <c r="G258" s="2"/>
      <c r="H258" s="1"/>
      <c r="I258" s="1"/>
      <c r="J258" s="2"/>
      <c r="K258" s="1"/>
      <c r="L258" s="1"/>
      <c r="M258" s="1"/>
      <c r="N258" s="1"/>
      <c r="O258" s="1"/>
      <c r="P258" s="1"/>
      <c r="Q258" s="1"/>
      <c r="R258" s="1"/>
      <c r="S258" s="1"/>
      <c r="T258" s="1"/>
      <c r="U258" s="1"/>
      <c r="V258" s="1"/>
      <c r="W258" s="1"/>
    </row>
    <row r="259">
      <c r="A259" s="1"/>
      <c r="B259" s="1"/>
      <c r="C259" s="2"/>
      <c r="D259" s="1"/>
      <c r="E259" s="1"/>
      <c r="F259" s="1"/>
      <c r="G259" s="2"/>
      <c r="H259" s="1"/>
      <c r="I259" s="1"/>
      <c r="J259" s="2"/>
      <c r="K259" s="1"/>
      <c r="L259" s="1"/>
      <c r="M259" s="1"/>
      <c r="N259" s="1"/>
      <c r="O259" s="1"/>
      <c r="P259" s="1"/>
      <c r="Q259" s="1"/>
      <c r="R259" s="1"/>
      <c r="S259" s="1"/>
      <c r="T259" s="1"/>
      <c r="U259" s="1"/>
      <c r="V259" s="1"/>
      <c r="W259" s="1"/>
    </row>
    <row r="260">
      <c r="A260" s="1"/>
      <c r="B260" s="1"/>
      <c r="C260" s="2"/>
      <c r="D260" s="1"/>
      <c r="E260" s="1"/>
      <c r="F260" s="1"/>
      <c r="G260" s="2"/>
      <c r="H260" s="1"/>
      <c r="I260" s="1"/>
      <c r="J260" s="2"/>
      <c r="K260" s="1"/>
      <c r="L260" s="1"/>
      <c r="M260" s="1"/>
      <c r="N260" s="1"/>
      <c r="O260" s="1"/>
      <c r="P260" s="1"/>
      <c r="Q260" s="1"/>
      <c r="R260" s="1"/>
      <c r="S260" s="1"/>
      <c r="T260" s="1"/>
      <c r="U260" s="1"/>
      <c r="V260" s="1"/>
      <c r="W260" s="1"/>
    </row>
    <row r="261">
      <c r="A261" s="1"/>
      <c r="B261" s="1"/>
      <c r="C261" s="2"/>
      <c r="D261" s="1"/>
      <c r="E261" s="1"/>
      <c r="F261" s="1"/>
      <c r="G261" s="2"/>
      <c r="H261" s="1"/>
      <c r="I261" s="1"/>
      <c r="J261" s="2"/>
      <c r="K261" s="1"/>
      <c r="L261" s="1"/>
      <c r="M261" s="1"/>
      <c r="N261" s="1"/>
      <c r="O261" s="1"/>
      <c r="P261" s="1"/>
      <c r="Q261" s="1"/>
      <c r="R261" s="1"/>
      <c r="S261" s="1"/>
      <c r="T261" s="1"/>
      <c r="U261" s="1"/>
      <c r="V261" s="1"/>
      <c r="W261" s="1"/>
    </row>
    <row r="262">
      <c r="A262" s="1"/>
      <c r="B262" s="1"/>
      <c r="C262" s="2"/>
      <c r="D262" s="1"/>
      <c r="E262" s="1"/>
      <c r="F262" s="1"/>
      <c r="G262" s="2"/>
      <c r="H262" s="1"/>
      <c r="I262" s="1"/>
      <c r="J262" s="2"/>
      <c r="K262" s="1"/>
      <c r="L262" s="1"/>
      <c r="M262" s="1"/>
      <c r="N262" s="1"/>
      <c r="O262" s="1"/>
      <c r="P262" s="1"/>
      <c r="Q262" s="1"/>
      <c r="R262" s="1"/>
      <c r="S262" s="1"/>
      <c r="T262" s="1"/>
      <c r="U262" s="1"/>
      <c r="V262" s="1"/>
      <c r="W262" s="1"/>
    </row>
    <row r="263">
      <c r="A263" s="1"/>
      <c r="B263" s="1"/>
      <c r="C263" s="2"/>
      <c r="D263" s="1"/>
      <c r="E263" s="1"/>
      <c r="F263" s="1"/>
      <c r="G263" s="2"/>
      <c r="H263" s="1"/>
      <c r="I263" s="1"/>
      <c r="J263" s="2"/>
      <c r="K263" s="1"/>
      <c r="L263" s="1"/>
      <c r="M263" s="1"/>
      <c r="N263" s="1"/>
      <c r="O263" s="1"/>
      <c r="P263" s="1"/>
      <c r="Q263" s="1"/>
      <c r="R263" s="1"/>
      <c r="S263" s="1"/>
      <c r="T263" s="1"/>
      <c r="U263" s="1"/>
      <c r="V263" s="1"/>
      <c r="W263" s="1"/>
    </row>
    <row r="264">
      <c r="A264" s="1"/>
      <c r="B264" s="1"/>
      <c r="C264" s="2"/>
      <c r="D264" s="1"/>
      <c r="E264" s="1"/>
      <c r="F264" s="1"/>
      <c r="G264" s="2"/>
      <c r="H264" s="1"/>
      <c r="I264" s="1"/>
      <c r="J264" s="2"/>
      <c r="K264" s="1"/>
      <c r="L264" s="1"/>
      <c r="M264" s="1"/>
      <c r="N264" s="1"/>
      <c r="O264" s="1"/>
      <c r="P264" s="1"/>
      <c r="Q264" s="1"/>
      <c r="R264" s="1"/>
      <c r="S264" s="1"/>
      <c r="T264" s="1"/>
      <c r="U264" s="1"/>
      <c r="V264" s="1"/>
      <c r="W264" s="1"/>
    </row>
    <row r="265">
      <c r="A265" s="1"/>
      <c r="B265" s="1"/>
      <c r="C265" s="2"/>
      <c r="D265" s="1"/>
      <c r="E265" s="1"/>
      <c r="F265" s="1"/>
      <c r="G265" s="2"/>
      <c r="H265" s="1"/>
      <c r="I265" s="1"/>
      <c r="J265" s="2"/>
      <c r="K265" s="1"/>
      <c r="L265" s="1"/>
      <c r="M265" s="1"/>
      <c r="N265" s="1"/>
      <c r="O265" s="1"/>
      <c r="P265" s="1"/>
      <c r="Q265" s="1"/>
      <c r="R265" s="1"/>
      <c r="S265" s="1"/>
      <c r="T265" s="1"/>
      <c r="U265" s="1"/>
      <c r="V265" s="1"/>
      <c r="W265" s="1"/>
    </row>
    <row r="266">
      <c r="A266" s="1"/>
      <c r="B266" s="1"/>
      <c r="C266" s="2"/>
      <c r="D266" s="1"/>
      <c r="E266" s="1"/>
      <c r="F266" s="1"/>
      <c r="G266" s="2"/>
      <c r="H266" s="1"/>
      <c r="I266" s="1"/>
      <c r="J266" s="2"/>
      <c r="K266" s="1"/>
      <c r="L266" s="1"/>
      <c r="M266" s="1"/>
      <c r="N266" s="1"/>
      <c r="O266" s="1"/>
      <c r="P266" s="1"/>
      <c r="Q266" s="1"/>
      <c r="R266" s="1"/>
      <c r="S266" s="1"/>
      <c r="T266" s="1"/>
      <c r="U266" s="1"/>
      <c r="V266" s="1"/>
      <c r="W266" s="1"/>
    </row>
    <row r="267">
      <c r="A267" s="1"/>
      <c r="B267" s="1"/>
      <c r="C267" s="2"/>
      <c r="D267" s="1"/>
      <c r="E267" s="1"/>
      <c r="F267" s="1"/>
      <c r="G267" s="2"/>
      <c r="H267" s="1"/>
      <c r="I267" s="1"/>
      <c r="J267" s="2"/>
      <c r="K267" s="1"/>
      <c r="L267" s="1"/>
      <c r="M267" s="1"/>
      <c r="N267" s="1"/>
      <c r="O267" s="1"/>
      <c r="P267" s="1"/>
      <c r="Q267" s="1"/>
      <c r="R267" s="1"/>
      <c r="S267" s="1"/>
      <c r="T267" s="1"/>
      <c r="U267" s="1"/>
      <c r="V267" s="1"/>
      <c r="W267" s="1"/>
    </row>
    <row r="268">
      <c r="A268" s="1"/>
      <c r="B268" s="1"/>
      <c r="C268" s="2"/>
      <c r="D268" s="1"/>
      <c r="E268" s="1"/>
      <c r="F268" s="1"/>
      <c r="G268" s="2"/>
      <c r="H268" s="1"/>
      <c r="I268" s="1"/>
      <c r="J268" s="2"/>
      <c r="K268" s="1"/>
      <c r="L268" s="1"/>
      <c r="M268" s="1"/>
      <c r="N268" s="1"/>
      <c r="O268" s="1"/>
      <c r="P268" s="1"/>
      <c r="Q268" s="1"/>
      <c r="R268" s="1"/>
      <c r="S268" s="1"/>
      <c r="T268" s="1"/>
      <c r="U268" s="1"/>
      <c r="V268" s="1"/>
      <c r="W268" s="1"/>
    </row>
    <row r="269">
      <c r="A269" s="1"/>
      <c r="B269" s="1"/>
      <c r="C269" s="2"/>
      <c r="D269" s="1"/>
      <c r="E269" s="1"/>
      <c r="F269" s="1"/>
      <c r="G269" s="2"/>
      <c r="H269" s="1"/>
      <c r="I269" s="1"/>
      <c r="J269" s="2"/>
      <c r="K269" s="1"/>
      <c r="L269" s="1"/>
      <c r="M269" s="1"/>
      <c r="N269" s="1"/>
      <c r="O269" s="1"/>
      <c r="P269" s="1"/>
      <c r="Q269" s="1"/>
      <c r="R269" s="1"/>
      <c r="S269" s="1"/>
      <c r="T269" s="1"/>
      <c r="U269" s="1"/>
      <c r="V269" s="1"/>
      <c r="W269" s="1"/>
    </row>
    <row r="270">
      <c r="A270" s="1"/>
      <c r="B270" s="1"/>
      <c r="C270" s="2"/>
      <c r="D270" s="1"/>
      <c r="E270" s="1"/>
      <c r="F270" s="1"/>
      <c r="G270" s="2"/>
      <c r="H270" s="1"/>
      <c r="I270" s="1"/>
      <c r="J270" s="2"/>
      <c r="K270" s="1"/>
      <c r="L270" s="1"/>
      <c r="M270" s="1"/>
      <c r="N270" s="1"/>
      <c r="O270" s="1"/>
      <c r="P270" s="1"/>
      <c r="Q270" s="1"/>
      <c r="R270" s="1"/>
      <c r="S270" s="1"/>
      <c r="T270" s="1"/>
      <c r="U270" s="1"/>
      <c r="V270" s="1"/>
      <c r="W270" s="1"/>
    </row>
    <row r="271">
      <c r="A271" s="1"/>
      <c r="B271" s="1"/>
      <c r="C271" s="2"/>
      <c r="D271" s="1"/>
      <c r="E271" s="1"/>
      <c r="F271" s="1"/>
      <c r="G271" s="2"/>
      <c r="H271" s="1"/>
      <c r="I271" s="1"/>
      <c r="J271" s="2"/>
      <c r="K271" s="1"/>
      <c r="L271" s="1"/>
      <c r="M271" s="1"/>
      <c r="N271" s="1"/>
      <c r="O271" s="1"/>
      <c r="P271" s="1"/>
      <c r="Q271" s="1"/>
      <c r="R271" s="1"/>
      <c r="S271" s="1"/>
      <c r="T271" s="1"/>
      <c r="U271" s="1"/>
      <c r="V271" s="1"/>
      <c r="W271" s="1"/>
    </row>
    <row r="272">
      <c r="A272" s="1"/>
      <c r="B272" s="1"/>
      <c r="C272" s="2"/>
      <c r="D272" s="1"/>
      <c r="E272" s="1"/>
      <c r="F272" s="1"/>
      <c r="G272" s="2"/>
      <c r="H272" s="1"/>
      <c r="I272" s="1"/>
      <c r="J272" s="2"/>
      <c r="K272" s="1"/>
      <c r="L272" s="1"/>
      <c r="M272" s="1"/>
      <c r="N272" s="1"/>
      <c r="O272" s="1"/>
      <c r="P272" s="1"/>
      <c r="Q272" s="1"/>
      <c r="R272" s="1"/>
      <c r="S272" s="1"/>
      <c r="T272" s="1"/>
      <c r="U272" s="1"/>
      <c r="V272" s="1"/>
      <c r="W272" s="1"/>
    </row>
    <row r="273">
      <c r="A273" s="1"/>
      <c r="B273" s="1"/>
      <c r="C273" s="2"/>
      <c r="D273" s="1"/>
      <c r="E273" s="1"/>
      <c r="F273" s="1"/>
      <c r="G273" s="2"/>
      <c r="H273" s="1"/>
      <c r="I273" s="1"/>
      <c r="J273" s="2"/>
      <c r="K273" s="1"/>
      <c r="L273" s="1"/>
      <c r="M273" s="1"/>
      <c r="N273" s="1"/>
      <c r="O273" s="1"/>
      <c r="P273" s="1"/>
      <c r="Q273" s="1"/>
      <c r="R273" s="1"/>
      <c r="S273" s="1"/>
      <c r="T273" s="1"/>
      <c r="U273" s="1"/>
      <c r="V273" s="1"/>
      <c r="W273" s="1"/>
    </row>
    <row r="274">
      <c r="A274" s="1"/>
      <c r="B274" s="1"/>
      <c r="C274" s="2"/>
      <c r="D274" s="1"/>
      <c r="E274" s="1"/>
      <c r="F274" s="1"/>
      <c r="G274" s="2"/>
      <c r="H274" s="1"/>
      <c r="I274" s="1"/>
      <c r="J274" s="2"/>
      <c r="K274" s="1"/>
      <c r="L274" s="1"/>
      <c r="M274" s="1"/>
      <c r="N274" s="1"/>
      <c r="O274" s="1"/>
      <c r="P274" s="1"/>
      <c r="Q274" s="1"/>
      <c r="R274" s="1"/>
      <c r="S274" s="1"/>
      <c r="T274" s="1"/>
      <c r="U274" s="1"/>
      <c r="V274" s="1"/>
      <c r="W274" s="1"/>
    </row>
    <row r="275">
      <c r="A275" s="1"/>
      <c r="B275" s="1"/>
      <c r="C275" s="2"/>
      <c r="D275" s="1"/>
      <c r="E275" s="1"/>
      <c r="F275" s="1"/>
      <c r="G275" s="2"/>
      <c r="H275" s="1"/>
      <c r="I275" s="1"/>
      <c r="J275" s="2"/>
      <c r="K275" s="1"/>
      <c r="L275" s="1"/>
      <c r="M275" s="1"/>
      <c r="N275" s="1"/>
      <c r="O275" s="1"/>
      <c r="P275" s="1"/>
      <c r="Q275" s="1"/>
      <c r="R275" s="1"/>
      <c r="S275" s="1"/>
      <c r="T275" s="1"/>
      <c r="U275" s="1"/>
      <c r="V275" s="1"/>
      <c r="W275" s="1"/>
    </row>
    <row r="276">
      <c r="A276" s="1"/>
      <c r="B276" s="1"/>
      <c r="C276" s="2"/>
      <c r="D276" s="1"/>
      <c r="E276" s="1"/>
      <c r="F276" s="1"/>
      <c r="G276" s="2"/>
      <c r="H276" s="1"/>
      <c r="I276" s="1"/>
      <c r="J276" s="2"/>
      <c r="K276" s="1"/>
      <c r="L276" s="1"/>
      <c r="M276" s="1"/>
      <c r="N276" s="1"/>
      <c r="O276" s="1"/>
      <c r="P276" s="1"/>
      <c r="Q276" s="1"/>
      <c r="R276" s="1"/>
      <c r="S276" s="1"/>
      <c r="T276" s="1"/>
      <c r="U276" s="1"/>
      <c r="V276" s="1"/>
      <c r="W276" s="1"/>
    </row>
    <row r="277">
      <c r="A277" s="1"/>
      <c r="B277" s="1"/>
      <c r="C277" s="2"/>
      <c r="D277" s="1"/>
      <c r="E277" s="1"/>
      <c r="F277" s="1"/>
      <c r="G277" s="2"/>
      <c r="H277" s="1"/>
      <c r="I277" s="1"/>
      <c r="J277" s="2"/>
      <c r="K277" s="1"/>
      <c r="L277" s="1"/>
      <c r="M277" s="1"/>
      <c r="N277" s="1"/>
      <c r="O277" s="1"/>
      <c r="P277" s="1"/>
      <c r="Q277" s="1"/>
      <c r="R277" s="1"/>
      <c r="S277" s="1"/>
      <c r="T277" s="1"/>
      <c r="U277" s="1"/>
      <c r="V277" s="1"/>
      <c r="W277" s="1"/>
    </row>
    <row r="278">
      <c r="A278" s="1"/>
      <c r="B278" s="1"/>
      <c r="C278" s="2"/>
      <c r="D278" s="1"/>
      <c r="E278" s="1"/>
      <c r="F278" s="1"/>
      <c r="G278" s="2"/>
      <c r="H278" s="1"/>
      <c r="I278" s="1"/>
      <c r="J278" s="2"/>
      <c r="K278" s="1"/>
      <c r="L278" s="1"/>
      <c r="M278" s="1"/>
      <c r="N278" s="1"/>
      <c r="O278" s="1"/>
      <c r="P278" s="1"/>
      <c r="Q278" s="1"/>
      <c r="R278" s="1"/>
      <c r="S278" s="1"/>
      <c r="T278" s="1"/>
      <c r="U278" s="1"/>
      <c r="V278" s="1"/>
      <c r="W278" s="1"/>
    </row>
    <row r="279">
      <c r="A279" s="1"/>
      <c r="B279" s="1"/>
      <c r="C279" s="2"/>
      <c r="D279" s="1"/>
      <c r="E279" s="1"/>
      <c r="F279" s="1"/>
      <c r="G279" s="2"/>
      <c r="H279" s="1"/>
      <c r="I279" s="1"/>
      <c r="J279" s="2"/>
      <c r="K279" s="1"/>
      <c r="L279" s="1"/>
      <c r="M279" s="1"/>
      <c r="N279" s="1"/>
      <c r="O279" s="1"/>
      <c r="P279" s="1"/>
      <c r="Q279" s="1"/>
      <c r="R279" s="1"/>
      <c r="S279" s="1"/>
      <c r="T279" s="1"/>
      <c r="U279" s="1"/>
      <c r="V279" s="1"/>
      <c r="W279" s="1"/>
    </row>
    <row r="280">
      <c r="A280" s="1"/>
      <c r="B280" s="1"/>
      <c r="C280" s="2"/>
      <c r="D280" s="1"/>
      <c r="E280" s="1"/>
      <c r="F280" s="1"/>
      <c r="G280" s="2"/>
      <c r="H280" s="1"/>
      <c r="I280" s="1"/>
      <c r="J280" s="2"/>
      <c r="K280" s="1"/>
      <c r="L280" s="1"/>
      <c r="M280" s="1"/>
      <c r="N280" s="1"/>
      <c r="O280" s="1"/>
      <c r="P280" s="1"/>
      <c r="Q280" s="1"/>
      <c r="R280" s="1"/>
      <c r="S280" s="1"/>
      <c r="T280" s="1"/>
      <c r="U280" s="1"/>
      <c r="V280" s="1"/>
      <c r="W280" s="1"/>
    </row>
    <row r="281">
      <c r="A281" s="1"/>
      <c r="B281" s="1"/>
      <c r="C281" s="2"/>
      <c r="D281" s="1"/>
      <c r="E281" s="1"/>
      <c r="F281" s="1"/>
      <c r="G281" s="2"/>
      <c r="H281" s="1"/>
      <c r="I281" s="1"/>
      <c r="J281" s="2"/>
      <c r="K281" s="1"/>
      <c r="L281" s="1"/>
      <c r="M281" s="1"/>
      <c r="N281" s="1"/>
      <c r="O281" s="1"/>
      <c r="P281" s="1"/>
      <c r="Q281" s="1"/>
      <c r="R281" s="1"/>
      <c r="S281" s="1"/>
      <c r="T281" s="1"/>
      <c r="U281" s="1"/>
      <c r="V281" s="1"/>
      <c r="W281" s="1"/>
    </row>
    <row r="282">
      <c r="A282" s="1"/>
      <c r="B282" s="1"/>
      <c r="C282" s="2"/>
      <c r="D282" s="1"/>
      <c r="E282" s="1"/>
      <c r="F282" s="1"/>
      <c r="G282" s="2"/>
      <c r="H282" s="1"/>
      <c r="I282" s="1"/>
      <c r="J282" s="2"/>
      <c r="K282" s="1"/>
      <c r="L282" s="1"/>
      <c r="M282" s="1"/>
      <c r="N282" s="1"/>
      <c r="O282" s="1"/>
      <c r="P282" s="1"/>
      <c r="Q282" s="1"/>
      <c r="R282" s="1"/>
      <c r="S282" s="1"/>
      <c r="T282" s="1"/>
      <c r="U282" s="1"/>
      <c r="V282" s="1"/>
      <c r="W282" s="1"/>
    </row>
    <row r="283">
      <c r="A283" s="1"/>
      <c r="B283" s="1"/>
      <c r="C283" s="2"/>
      <c r="D283" s="1"/>
      <c r="E283" s="1"/>
      <c r="F283" s="1"/>
      <c r="G283" s="2"/>
      <c r="H283" s="1"/>
      <c r="I283" s="1"/>
      <c r="J283" s="2"/>
      <c r="K283" s="1"/>
      <c r="L283" s="1"/>
      <c r="M283" s="1"/>
      <c r="N283" s="1"/>
      <c r="O283" s="1"/>
      <c r="P283" s="1"/>
      <c r="Q283" s="1"/>
      <c r="R283" s="1"/>
      <c r="S283" s="1"/>
      <c r="T283" s="1"/>
      <c r="U283" s="1"/>
      <c r="V283" s="1"/>
      <c r="W283" s="1"/>
    </row>
    <row r="284">
      <c r="A284" s="1"/>
      <c r="B284" s="1"/>
      <c r="C284" s="2"/>
      <c r="D284" s="1"/>
      <c r="E284" s="1"/>
      <c r="F284" s="1"/>
      <c r="G284" s="2"/>
      <c r="H284" s="1"/>
      <c r="I284" s="1"/>
      <c r="J284" s="2"/>
      <c r="K284" s="1"/>
      <c r="L284" s="1"/>
      <c r="M284" s="1"/>
      <c r="N284" s="1"/>
      <c r="O284" s="1"/>
      <c r="P284" s="1"/>
      <c r="Q284" s="1"/>
      <c r="R284" s="1"/>
      <c r="S284" s="1"/>
      <c r="T284" s="1"/>
      <c r="U284" s="1"/>
      <c r="V284" s="1"/>
      <c r="W284" s="1"/>
    </row>
    <row r="285">
      <c r="A285" s="1"/>
      <c r="B285" s="1"/>
      <c r="C285" s="2"/>
      <c r="D285" s="1"/>
      <c r="E285" s="1"/>
      <c r="F285" s="1"/>
      <c r="G285" s="2"/>
      <c r="H285" s="1"/>
      <c r="I285" s="1"/>
      <c r="J285" s="2"/>
      <c r="K285" s="1"/>
      <c r="L285" s="1"/>
      <c r="M285" s="1"/>
      <c r="N285" s="1"/>
      <c r="O285" s="1"/>
      <c r="P285" s="1"/>
      <c r="Q285" s="1"/>
      <c r="R285" s="1"/>
      <c r="S285" s="1"/>
      <c r="T285" s="1"/>
      <c r="U285" s="1"/>
      <c r="V285" s="1"/>
      <c r="W285" s="1"/>
    </row>
    <row r="286">
      <c r="A286" s="1"/>
      <c r="B286" s="1"/>
      <c r="C286" s="2"/>
      <c r="D286" s="1"/>
      <c r="E286" s="1"/>
      <c r="F286" s="1"/>
      <c r="G286" s="2"/>
      <c r="H286" s="1"/>
      <c r="I286" s="1"/>
      <c r="J286" s="2"/>
      <c r="K286" s="1"/>
      <c r="L286" s="1"/>
      <c r="M286" s="1"/>
      <c r="N286" s="1"/>
      <c r="O286" s="1"/>
      <c r="P286" s="1"/>
      <c r="Q286" s="1"/>
      <c r="R286" s="1"/>
      <c r="S286" s="1"/>
      <c r="T286" s="1"/>
      <c r="U286" s="1"/>
      <c r="V286" s="1"/>
      <c r="W286" s="1"/>
    </row>
    <row r="287">
      <c r="A287" s="1"/>
      <c r="B287" s="1"/>
      <c r="C287" s="2"/>
      <c r="D287" s="1"/>
      <c r="E287" s="1"/>
      <c r="F287" s="1"/>
      <c r="G287" s="2"/>
      <c r="H287" s="1"/>
      <c r="I287" s="1"/>
      <c r="J287" s="2"/>
      <c r="K287" s="1"/>
      <c r="L287" s="1"/>
      <c r="M287" s="1"/>
      <c r="N287" s="1"/>
      <c r="O287" s="1"/>
      <c r="P287" s="1"/>
      <c r="Q287" s="1"/>
      <c r="R287" s="1"/>
      <c r="S287" s="1"/>
      <c r="T287" s="1"/>
      <c r="U287" s="1"/>
      <c r="V287" s="1"/>
      <c r="W287" s="1"/>
    </row>
    <row r="288">
      <c r="A288" s="1"/>
      <c r="B288" s="1"/>
      <c r="C288" s="2"/>
      <c r="D288" s="1"/>
      <c r="E288" s="1"/>
      <c r="F288" s="1"/>
      <c r="G288" s="2"/>
      <c r="H288" s="1"/>
      <c r="I288" s="1"/>
      <c r="J288" s="2"/>
      <c r="K288" s="1"/>
      <c r="L288" s="1"/>
      <c r="M288" s="1"/>
      <c r="N288" s="1"/>
      <c r="O288" s="1"/>
      <c r="P288" s="1"/>
      <c r="Q288" s="1"/>
      <c r="R288" s="1"/>
      <c r="S288" s="1"/>
      <c r="T288" s="1"/>
      <c r="U288" s="1"/>
      <c r="V288" s="1"/>
      <c r="W288" s="1"/>
    </row>
    <row r="289">
      <c r="A289" s="1"/>
      <c r="B289" s="1"/>
      <c r="C289" s="2"/>
      <c r="D289" s="1"/>
      <c r="E289" s="1"/>
      <c r="F289" s="1"/>
      <c r="G289" s="2"/>
      <c r="H289" s="1"/>
      <c r="I289" s="1"/>
      <c r="J289" s="2"/>
      <c r="K289" s="1"/>
      <c r="L289" s="1"/>
      <c r="M289" s="1"/>
      <c r="N289" s="1"/>
      <c r="O289" s="1"/>
      <c r="P289" s="1"/>
      <c r="Q289" s="1"/>
      <c r="R289" s="1"/>
      <c r="S289" s="1"/>
      <c r="T289" s="1"/>
      <c r="U289" s="1"/>
      <c r="V289" s="1"/>
      <c r="W289" s="1"/>
    </row>
    <row r="290">
      <c r="A290" s="1"/>
      <c r="B290" s="1"/>
      <c r="C290" s="2"/>
      <c r="D290" s="1"/>
      <c r="E290" s="1"/>
      <c r="F290" s="1"/>
      <c r="G290" s="2"/>
      <c r="H290" s="1"/>
      <c r="I290" s="1"/>
      <c r="J290" s="2"/>
      <c r="K290" s="1"/>
      <c r="L290" s="1"/>
      <c r="M290" s="1"/>
      <c r="N290" s="1"/>
      <c r="O290" s="1"/>
      <c r="P290" s="1"/>
      <c r="Q290" s="1"/>
      <c r="R290" s="1"/>
      <c r="S290" s="1"/>
      <c r="T290" s="1"/>
      <c r="U290" s="1"/>
      <c r="V290" s="1"/>
      <c r="W290" s="1"/>
    </row>
    <row r="291">
      <c r="A291" s="1"/>
      <c r="B291" s="1"/>
      <c r="C291" s="2"/>
      <c r="D291" s="1"/>
      <c r="E291" s="1"/>
      <c r="F291" s="1"/>
      <c r="G291" s="2"/>
      <c r="H291" s="1"/>
      <c r="I291" s="1"/>
      <c r="J291" s="2"/>
      <c r="K291" s="1"/>
      <c r="L291" s="1"/>
      <c r="M291" s="1"/>
      <c r="N291" s="1"/>
      <c r="O291" s="1"/>
      <c r="P291" s="1"/>
      <c r="Q291" s="1"/>
      <c r="R291" s="1"/>
      <c r="S291" s="1"/>
      <c r="T291" s="1"/>
      <c r="U291" s="1"/>
      <c r="V291" s="1"/>
      <c r="W291" s="1"/>
    </row>
    <row r="292">
      <c r="A292" s="1"/>
      <c r="B292" s="1"/>
      <c r="C292" s="2"/>
      <c r="D292" s="1"/>
      <c r="E292" s="1"/>
      <c r="F292" s="1"/>
      <c r="G292" s="2"/>
      <c r="H292" s="1"/>
      <c r="I292" s="1"/>
      <c r="J292" s="2"/>
      <c r="K292" s="1"/>
      <c r="L292" s="1"/>
      <c r="M292" s="1"/>
      <c r="N292" s="1"/>
      <c r="O292" s="1"/>
      <c r="P292" s="1"/>
      <c r="Q292" s="1"/>
      <c r="R292" s="1"/>
      <c r="S292" s="1"/>
      <c r="T292" s="1"/>
      <c r="U292" s="1"/>
      <c r="V292" s="1"/>
      <c r="W292" s="1"/>
    </row>
    <row r="293">
      <c r="A293" s="1"/>
      <c r="B293" s="1"/>
      <c r="C293" s="2"/>
      <c r="D293" s="1"/>
      <c r="E293" s="1"/>
      <c r="F293" s="1"/>
      <c r="G293" s="2"/>
      <c r="H293" s="1"/>
      <c r="I293" s="1"/>
      <c r="J293" s="2"/>
      <c r="K293" s="1"/>
      <c r="L293" s="1"/>
      <c r="M293" s="1"/>
      <c r="N293" s="1"/>
      <c r="O293" s="1"/>
      <c r="P293" s="1"/>
      <c r="Q293" s="1"/>
      <c r="R293" s="1"/>
      <c r="S293" s="1"/>
      <c r="T293" s="1"/>
      <c r="U293" s="1"/>
      <c r="V293" s="1"/>
      <c r="W293" s="1"/>
    </row>
    <row r="294">
      <c r="A294" s="1"/>
      <c r="B294" s="1"/>
      <c r="C294" s="2"/>
      <c r="D294" s="1"/>
      <c r="E294" s="1"/>
      <c r="F294" s="1"/>
      <c r="G294" s="2"/>
      <c r="H294" s="1"/>
      <c r="I294" s="1"/>
      <c r="J294" s="2"/>
      <c r="K294" s="1"/>
      <c r="L294" s="1"/>
      <c r="M294" s="1"/>
      <c r="N294" s="1"/>
      <c r="O294" s="1"/>
      <c r="P294" s="1"/>
      <c r="Q294" s="1"/>
      <c r="R294" s="1"/>
      <c r="S294" s="1"/>
      <c r="T294" s="1"/>
      <c r="U294" s="1"/>
      <c r="V294" s="1"/>
      <c r="W294" s="1"/>
    </row>
    <row r="295">
      <c r="A295" s="1"/>
      <c r="B295" s="1"/>
      <c r="C295" s="2"/>
      <c r="D295" s="1"/>
      <c r="E295" s="1"/>
      <c r="F295" s="1"/>
      <c r="G295" s="2"/>
      <c r="H295" s="1"/>
      <c r="I295" s="1"/>
      <c r="J295" s="2"/>
      <c r="K295" s="1"/>
      <c r="L295" s="1"/>
      <c r="M295" s="1"/>
      <c r="N295" s="1"/>
      <c r="O295" s="1"/>
      <c r="P295" s="1"/>
      <c r="Q295" s="1"/>
      <c r="R295" s="1"/>
      <c r="S295" s="1"/>
      <c r="T295" s="1"/>
      <c r="U295" s="1"/>
      <c r="V295" s="1"/>
      <c r="W295" s="1"/>
    </row>
    <row r="296">
      <c r="A296" s="1"/>
      <c r="B296" s="1"/>
      <c r="C296" s="2"/>
      <c r="D296" s="1"/>
      <c r="E296" s="1"/>
      <c r="F296" s="1"/>
      <c r="G296" s="2"/>
      <c r="H296" s="1"/>
      <c r="I296" s="1"/>
      <c r="J296" s="2"/>
      <c r="K296" s="1"/>
      <c r="L296" s="1"/>
      <c r="M296" s="1"/>
      <c r="N296" s="1"/>
      <c r="O296" s="1"/>
      <c r="P296" s="1"/>
      <c r="Q296" s="1"/>
      <c r="R296" s="1"/>
      <c r="S296" s="1"/>
      <c r="T296" s="1"/>
      <c r="U296" s="1"/>
      <c r="V296" s="1"/>
      <c r="W296" s="1"/>
    </row>
    <row r="297">
      <c r="A297" s="1"/>
      <c r="B297" s="1"/>
      <c r="C297" s="2"/>
      <c r="D297" s="1"/>
      <c r="E297" s="1"/>
      <c r="F297" s="1"/>
      <c r="G297" s="2"/>
      <c r="H297" s="1"/>
      <c r="I297" s="1"/>
      <c r="J297" s="2"/>
      <c r="K297" s="1"/>
      <c r="L297" s="1"/>
      <c r="M297" s="1"/>
      <c r="N297" s="1"/>
      <c r="O297" s="1"/>
      <c r="P297" s="1"/>
      <c r="Q297" s="1"/>
      <c r="R297" s="1"/>
      <c r="S297" s="1"/>
      <c r="T297" s="1"/>
      <c r="U297" s="1"/>
      <c r="V297" s="1"/>
      <c r="W297" s="1"/>
    </row>
    <row r="298">
      <c r="A298" s="1"/>
      <c r="B298" s="1"/>
      <c r="C298" s="2"/>
      <c r="D298" s="1"/>
      <c r="E298" s="1"/>
      <c r="F298" s="1"/>
      <c r="G298" s="2"/>
      <c r="H298" s="1"/>
      <c r="I298" s="1"/>
      <c r="J298" s="2"/>
      <c r="K298" s="1"/>
      <c r="L298" s="1"/>
      <c r="M298" s="1"/>
      <c r="N298" s="1"/>
      <c r="O298" s="1"/>
      <c r="P298" s="1"/>
      <c r="Q298" s="1"/>
      <c r="R298" s="1"/>
      <c r="S298" s="1"/>
      <c r="T298" s="1"/>
      <c r="U298" s="1"/>
      <c r="V298" s="1"/>
      <c r="W298" s="1"/>
    </row>
    <row r="299">
      <c r="A299" s="1"/>
      <c r="B299" s="1"/>
      <c r="C299" s="2"/>
      <c r="D299" s="1"/>
      <c r="E299" s="1"/>
      <c r="F299" s="1"/>
      <c r="G299" s="2"/>
      <c r="H299" s="1"/>
      <c r="I299" s="1"/>
      <c r="J299" s="2"/>
      <c r="K299" s="1"/>
      <c r="L299" s="1"/>
      <c r="M299" s="1"/>
      <c r="N299" s="1"/>
      <c r="O299" s="1"/>
      <c r="P299" s="1"/>
      <c r="Q299" s="1"/>
      <c r="R299" s="1"/>
      <c r="S299" s="1"/>
      <c r="T299" s="1"/>
      <c r="U299" s="1"/>
      <c r="V299" s="1"/>
      <c r="W299" s="1"/>
    </row>
    <row r="300">
      <c r="A300" s="1"/>
      <c r="B300" s="1"/>
      <c r="C300" s="2"/>
      <c r="D300" s="1"/>
      <c r="E300" s="1"/>
      <c r="F300" s="1"/>
      <c r="G300" s="2"/>
      <c r="H300" s="1"/>
      <c r="I300" s="1"/>
      <c r="J300" s="2"/>
      <c r="K300" s="1"/>
      <c r="L300" s="1"/>
      <c r="M300" s="1"/>
      <c r="N300" s="1"/>
      <c r="O300" s="1"/>
      <c r="P300" s="1"/>
      <c r="Q300" s="1"/>
      <c r="R300" s="1"/>
      <c r="S300" s="1"/>
      <c r="T300" s="1"/>
      <c r="U300" s="1"/>
      <c r="V300" s="1"/>
      <c r="W300" s="1"/>
    </row>
    <row r="301">
      <c r="A301" s="1"/>
      <c r="B301" s="1"/>
      <c r="C301" s="2"/>
      <c r="D301" s="1"/>
      <c r="E301" s="1"/>
      <c r="F301" s="1"/>
      <c r="G301" s="2"/>
      <c r="H301" s="1"/>
      <c r="I301" s="1"/>
      <c r="J301" s="2"/>
      <c r="K301" s="1"/>
      <c r="L301" s="1"/>
      <c r="M301" s="1"/>
      <c r="N301" s="1"/>
      <c r="O301" s="1"/>
      <c r="P301" s="1"/>
      <c r="Q301" s="1"/>
      <c r="R301" s="1"/>
      <c r="S301" s="1"/>
      <c r="T301" s="1"/>
      <c r="U301" s="1"/>
      <c r="V301" s="1"/>
      <c r="W301" s="1"/>
    </row>
    <row r="302">
      <c r="A302" s="1"/>
      <c r="B302" s="1"/>
      <c r="C302" s="2"/>
      <c r="D302" s="1"/>
      <c r="E302" s="1"/>
      <c r="F302" s="1"/>
      <c r="G302" s="2"/>
      <c r="H302" s="1"/>
      <c r="I302" s="1"/>
      <c r="J302" s="2"/>
      <c r="K302" s="1"/>
      <c r="L302" s="1"/>
      <c r="M302" s="1"/>
      <c r="N302" s="1"/>
      <c r="O302" s="1"/>
      <c r="P302" s="1"/>
      <c r="Q302" s="1"/>
      <c r="R302" s="1"/>
      <c r="S302" s="1"/>
      <c r="T302" s="1"/>
      <c r="U302" s="1"/>
      <c r="V302" s="1"/>
      <c r="W302" s="1"/>
    </row>
    <row r="303">
      <c r="A303" s="1"/>
      <c r="B303" s="1"/>
      <c r="C303" s="2"/>
      <c r="D303" s="1"/>
      <c r="E303" s="1"/>
      <c r="F303" s="1"/>
      <c r="G303" s="2"/>
      <c r="H303" s="1"/>
      <c r="I303" s="1"/>
      <c r="J303" s="2"/>
      <c r="K303" s="1"/>
      <c r="L303" s="1"/>
      <c r="M303" s="1"/>
      <c r="N303" s="1"/>
      <c r="O303" s="1"/>
      <c r="P303" s="1"/>
      <c r="Q303" s="1"/>
      <c r="R303" s="1"/>
      <c r="S303" s="1"/>
      <c r="T303" s="1"/>
      <c r="U303" s="1"/>
      <c r="V303" s="1"/>
      <c r="W303" s="1"/>
    </row>
    <row r="304">
      <c r="A304" s="1"/>
      <c r="B304" s="1"/>
      <c r="C304" s="2"/>
      <c r="D304" s="1"/>
      <c r="E304" s="1"/>
      <c r="F304" s="1"/>
      <c r="G304" s="2"/>
      <c r="H304" s="1"/>
      <c r="I304" s="1"/>
      <c r="J304" s="2"/>
      <c r="K304" s="1"/>
      <c r="L304" s="1"/>
      <c r="M304" s="1"/>
      <c r="N304" s="1"/>
      <c r="O304" s="1"/>
      <c r="P304" s="1"/>
      <c r="Q304" s="1"/>
      <c r="R304" s="1"/>
      <c r="S304" s="1"/>
      <c r="T304" s="1"/>
      <c r="U304" s="1"/>
      <c r="V304" s="1"/>
      <c r="W304" s="1"/>
    </row>
    <row r="305">
      <c r="A305" s="1"/>
      <c r="B305" s="1"/>
      <c r="C305" s="2"/>
      <c r="D305" s="1"/>
      <c r="E305" s="1"/>
      <c r="F305" s="1"/>
      <c r="G305" s="2"/>
      <c r="H305" s="1"/>
      <c r="I305" s="1"/>
      <c r="J305" s="2"/>
      <c r="K305" s="1"/>
      <c r="L305" s="1"/>
      <c r="M305" s="1"/>
      <c r="N305" s="1"/>
      <c r="O305" s="1"/>
      <c r="P305" s="1"/>
      <c r="Q305" s="1"/>
      <c r="R305" s="1"/>
      <c r="S305" s="1"/>
      <c r="T305" s="1"/>
      <c r="U305" s="1"/>
      <c r="V305" s="1"/>
      <c r="W305" s="1"/>
    </row>
    <row r="306">
      <c r="A306" s="1"/>
      <c r="B306" s="1"/>
      <c r="C306" s="2"/>
      <c r="D306" s="1"/>
      <c r="E306" s="1"/>
      <c r="F306" s="1"/>
      <c r="G306" s="2"/>
      <c r="H306" s="1"/>
      <c r="I306" s="1"/>
      <c r="J306" s="2"/>
      <c r="K306" s="1"/>
      <c r="L306" s="1"/>
      <c r="M306" s="1"/>
      <c r="N306" s="1"/>
      <c r="O306" s="1"/>
      <c r="P306" s="1"/>
      <c r="Q306" s="1"/>
      <c r="R306" s="1"/>
      <c r="S306" s="1"/>
      <c r="T306" s="1"/>
      <c r="U306" s="1"/>
      <c r="V306" s="1"/>
      <c r="W306" s="1"/>
    </row>
    <row r="307">
      <c r="A307" s="1"/>
      <c r="B307" s="1"/>
      <c r="C307" s="2"/>
      <c r="D307" s="1"/>
      <c r="E307" s="1"/>
      <c r="F307" s="1"/>
      <c r="G307" s="2"/>
      <c r="H307" s="1"/>
      <c r="I307" s="1"/>
      <c r="J307" s="2"/>
      <c r="K307" s="1"/>
      <c r="L307" s="1"/>
      <c r="M307" s="1"/>
      <c r="N307" s="1"/>
      <c r="O307" s="1"/>
      <c r="P307" s="1"/>
      <c r="Q307" s="1"/>
      <c r="R307" s="1"/>
      <c r="S307" s="1"/>
      <c r="T307" s="1"/>
      <c r="U307" s="1"/>
      <c r="V307" s="1"/>
      <c r="W307" s="1"/>
    </row>
    <row r="308">
      <c r="A308" s="1"/>
      <c r="B308" s="1"/>
      <c r="C308" s="2"/>
      <c r="D308" s="1"/>
      <c r="E308" s="1"/>
      <c r="F308" s="1"/>
      <c r="G308" s="2"/>
      <c r="H308" s="1"/>
      <c r="I308" s="1"/>
      <c r="J308" s="2"/>
      <c r="K308" s="1"/>
      <c r="L308" s="1"/>
      <c r="M308" s="1"/>
      <c r="N308" s="1"/>
      <c r="O308" s="1"/>
      <c r="P308" s="1"/>
      <c r="Q308" s="1"/>
      <c r="R308" s="1"/>
      <c r="S308" s="1"/>
      <c r="T308" s="1"/>
      <c r="U308" s="1"/>
      <c r="V308" s="1"/>
      <c r="W308" s="1"/>
    </row>
    <row r="309">
      <c r="A309" s="1"/>
      <c r="B309" s="1"/>
      <c r="C309" s="2"/>
      <c r="D309" s="1"/>
      <c r="E309" s="1"/>
      <c r="F309" s="1"/>
      <c r="G309" s="2"/>
      <c r="H309" s="1"/>
      <c r="I309" s="1"/>
      <c r="J309" s="2"/>
      <c r="K309" s="1"/>
      <c r="L309" s="1"/>
      <c r="M309" s="1"/>
      <c r="N309" s="1"/>
      <c r="O309" s="1"/>
      <c r="P309" s="1"/>
      <c r="Q309" s="1"/>
      <c r="R309" s="1"/>
      <c r="S309" s="1"/>
      <c r="T309" s="1"/>
      <c r="U309" s="1"/>
      <c r="V309" s="1"/>
      <c r="W309" s="1"/>
    </row>
    <row r="310">
      <c r="A310" s="1"/>
      <c r="B310" s="1"/>
      <c r="C310" s="2"/>
      <c r="D310" s="1"/>
      <c r="E310" s="1"/>
      <c r="F310" s="1"/>
      <c r="G310" s="2"/>
      <c r="H310" s="1"/>
      <c r="I310" s="1"/>
      <c r="J310" s="2"/>
      <c r="K310" s="1"/>
      <c r="L310" s="1"/>
      <c r="M310" s="1"/>
      <c r="N310" s="1"/>
      <c r="O310" s="1"/>
      <c r="P310" s="1"/>
      <c r="Q310" s="1"/>
      <c r="R310" s="1"/>
      <c r="S310" s="1"/>
      <c r="T310" s="1"/>
      <c r="U310" s="1"/>
      <c r="V310" s="1"/>
      <c r="W310" s="1"/>
    </row>
    <row r="311">
      <c r="A311" s="1"/>
      <c r="B311" s="1"/>
      <c r="C311" s="2"/>
      <c r="D311" s="1"/>
      <c r="E311" s="1"/>
      <c r="F311" s="1"/>
      <c r="G311" s="2"/>
      <c r="H311" s="1"/>
      <c r="I311" s="1"/>
      <c r="J311" s="2"/>
      <c r="K311" s="1"/>
      <c r="L311" s="1"/>
      <c r="M311" s="1"/>
      <c r="N311" s="1"/>
      <c r="O311" s="1"/>
      <c r="P311" s="1"/>
      <c r="Q311" s="1"/>
      <c r="R311" s="1"/>
      <c r="S311" s="1"/>
      <c r="T311" s="1"/>
      <c r="U311" s="1"/>
      <c r="V311" s="1"/>
      <c r="W311" s="1"/>
    </row>
    <row r="312">
      <c r="A312" s="1"/>
      <c r="B312" s="1"/>
      <c r="C312" s="2"/>
      <c r="D312" s="1"/>
      <c r="E312" s="1"/>
      <c r="F312" s="1"/>
      <c r="G312" s="2"/>
      <c r="H312" s="1"/>
      <c r="I312" s="1"/>
      <c r="J312" s="2"/>
      <c r="K312" s="1"/>
      <c r="L312" s="1"/>
      <c r="M312" s="1"/>
      <c r="N312" s="1"/>
      <c r="O312" s="1"/>
      <c r="P312" s="1"/>
      <c r="Q312" s="1"/>
      <c r="R312" s="1"/>
      <c r="S312" s="1"/>
      <c r="T312" s="1"/>
      <c r="U312" s="1"/>
      <c r="V312" s="1"/>
      <c r="W312" s="1"/>
    </row>
    <row r="313">
      <c r="A313" s="1"/>
      <c r="B313" s="1"/>
      <c r="C313" s="2"/>
      <c r="D313" s="1"/>
      <c r="E313" s="1"/>
      <c r="F313" s="1"/>
      <c r="G313" s="2"/>
      <c r="H313" s="1"/>
      <c r="I313" s="1"/>
      <c r="J313" s="2"/>
      <c r="K313" s="1"/>
      <c r="L313" s="1"/>
      <c r="M313" s="1"/>
      <c r="N313" s="1"/>
      <c r="O313" s="1"/>
      <c r="P313" s="1"/>
      <c r="Q313" s="1"/>
      <c r="R313" s="1"/>
      <c r="S313" s="1"/>
      <c r="T313" s="1"/>
      <c r="U313" s="1"/>
      <c r="V313" s="1"/>
      <c r="W313" s="1"/>
    </row>
    <row r="314">
      <c r="A314" s="1"/>
      <c r="B314" s="1"/>
      <c r="C314" s="2"/>
      <c r="D314" s="1"/>
      <c r="E314" s="1"/>
      <c r="F314" s="1"/>
      <c r="G314" s="2"/>
      <c r="H314" s="1"/>
      <c r="I314" s="1"/>
      <c r="J314" s="2"/>
      <c r="K314" s="1"/>
      <c r="L314" s="1"/>
      <c r="M314" s="1"/>
      <c r="N314" s="1"/>
      <c r="O314" s="1"/>
      <c r="P314" s="1"/>
      <c r="Q314" s="1"/>
      <c r="R314" s="1"/>
      <c r="S314" s="1"/>
      <c r="T314" s="1"/>
      <c r="U314" s="1"/>
      <c r="V314" s="1"/>
      <c r="W314" s="1"/>
    </row>
    <row r="315">
      <c r="A315" s="1"/>
      <c r="B315" s="1"/>
      <c r="C315" s="2"/>
      <c r="D315" s="1"/>
      <c r="E315" s="1"/>
      <c r="F315" s="1"/>
      <c r="G315" s="2"/>
      <c r="H315" s="1"/>
      <c r="I315" s="1"/>
      <c r="J315" s="2"/>
      <c r="K315" s="1"/>
      <c r="L315" s="1"/>
      <c r="M315" s="1"/>
      <c r="N315" s="1"/>
      <c r="O315" s="1"/>
      <c r="P315" s="1"/>
      <c r="Q315" s="1"/>
      <c r="R315" s="1"/>
      <c r="S315" s="1"/>
      <c r="T315" s="1"/>
      <c r="U315" s="1"/>
      <c r="V315" s="1"/>
      <c r="W315" s="1"/>
    </row>
    <row r="316">
      <c r="A316" s="1"/>
      <c r="B316" s="1"/>
      <c r="C316" s="2"/>
      <c r="D316" s="1"/>
      <c r="E316" s="1"/>
      <c r="F316" s="1"/>
      <c r="G316" s="2"/>
      <c r="H316" s="1"/>
      <c r="I316" s="1"/>
      <c r="J316" s="2"/>
      <c r="K316" s="1"/>
      <c r="L316" s="1"/>
      <c r="M316" s="1"/>
      <c r="N316" s="1"/>
      <c r="O316" s="1"/>
      <c r="P316" s="1"/>
      <c r="Q316" s="1"/>
      <c r="R316" s="1"/>
      <c r="S316" s="1"/>
      <c r="T316" s="1"/>
      <c r="U316" s="1"/>
      <c r="V316" s="1"/>
      <c r="W316" s="1"/>
    </row>
    <row r="317">
      <c r="A317" s="1"/>
      <c r="B317" s="1"/>
      <c r="C317" s="2"/>
      <c r="D317" s="1"/>
      <c r="E317" s="1"/>
      <c r="F317" s="1"/>
      <c r="G317" s="2"/>
      <c r="H317" s="1"/>
      <c r="I317" s="1"/>
      <c r="J317" s="2"/>
      <c r="K317" s="1"/>
      <c r="L317" s="1"/>
      <c r="M317" s="1"/>
      <c r="N317" s="1"/>
      <c r="O317" s="1"/>
      <c r="P317" s="1"/>
      <c r="Q317" s="1"/>
      <c r="R317" s="1"/>
      <c r="S317" s="1"/>
      <c r="T317" s="1"/>
      <c r="U317" s="1"/>
      <c r="V317" s="1"/>
      <c r="W317" s="1"/>
    </row>
    <row r="318">
      <c r="A318" s="1"/>
      <c r="B318" s="1"/>
      <c r="C318" s="2"/>
      <c r="D318" s="1"/>
      <c r="E318" s="1"/>
      <c r="F318" s="1"/>
      <c r="G318" s="2"/>
      <c r="H318" s="1"/>
      <c r="I318" s="1"/>
      <c r="J318" s="2"/>
      <c r="K318" s="1"/>
      <c r="L318" s="1"/>
      <c r="M318" s="1"/>
      <c r="N318" s="1"/>
      <c r="O318" s="1"/>
      <c r="P318" s="1"/>
      <c r="Q318" s="1"/>
      <c r="R318" s="1"/>
      <c r="S318" s="1"/>
      <c r="T318" s="1"/>
      <c r="U318" s="1"/>
      <c r="V318" s="1"/>
      <c r="W318" s="1"/>
    </row>
    <row r="319">
      <c r="A319" s="1"/>
      <c r="B319" s="1"/>
      <c r="C319" s="2"/>
      <c r="D319" s="1"/>
      <c r="E319" s="1"/>
      <c r="F319" s="1"/>
      <c r="G319" s="2"/>
      <c r="H319" s="1"/>
      <c r="I319" s="1"/>
      <c r="J319" s="2"/>
      <c r="K319" s="1"/>
      <c r="L319" s="1"/>
      <c r="M319" s="1"/>
      <c r="N319" s="1"/>
      <c r="O319" s="1"/>
      <c r="P319" s="1"/>
      <c r="Q319" s="1"/>
      <c r="R319" s="1"/>
      <c r="S319" s="1"/>
      <c r="T319" s="1"/>
      <c r="U319" s="1"/>
      <c r="V319" s="1"/>
      <c r="W319" s="1"/>
    </row>
    <row r="320">
      <c r="A320" s="1"/>
      <c r="B320" s="1"/>
      <c r="C320" s="2"/>
      <c r="D320" s="1"/>
      <c r="E320" s="1"/>
      <c r="F320" s="1"/>
      <c r="G320" s="2"/>
      <c r="H320" s="1"/>
      <c r="I320" s="1"/>
      <c r="J320" s="2"/>
      <c r="K320" s="1"/>
      <c r="L320" s="1"/>
      <c r="M320" s="1"/>
      <c r="N320" s="1"/>
      <c r="O320" s="1"/>
      <c r="P320" s="1"/>
      <c r="Q320" s="1"/>
      <c r="R320" s="1"/>
      <c r="S320" s="1"/>
      <c r="T320" s="1"/>
      <c r="U320" s="1"/>
      <c r="V320" s="1"/>
      <c r="W320" s="1"/>
    </row>
    <row r="321">
      <c r="A321" s="1"/>
      <c r="B321" s="1"/>
      <c r="C321" s="2"/>
      <c r="D321" s="1"/>
      <c r="E321" s="1"/>
      <c r="F321" s="1"/>
      <c r="G321" s="2"/>
      <c r="H321" s="1"/>
      <c r="I321" s="1"/>
      <c r="J321" s="2"/>
      <c r="K321" s="1"/>
      <c r="L321" s="1"/>
      <c r="M321" s="1"/>
      <c r="N321" s="1"/>
      <c r="O321" s="1"/>
      <c r="P321" s="1"/>
      <c r="Q321" s="1"/>
      <c r="R321" s="1"/>
      <c r="S321" s="1"/>
      <c r="T321" s="1"/>
      <c r="U321" s="1"/>
      <c r="V321" s="1"/>
      <c r="W321" s="1"/>
    </row>
    <row r="322">
      <c r="A322" s="1"/>
      <c r="B322" s="1"/>
      <c r="C322" s="2"/>
      <c r="D322" s="1"/>
      <c r="E322" s="1"/>
      <c r="F322" s="1"/>
      <c r="G322" s="2"/>
      <c r="H322" s="1"/>
      <c r="I322" s="1"/>
      <c r="J322" s="2"/>
      <c r="K322" s="1"/>
      <c r="L322" s="1"/>
      <c r="M322" s="1"/>
      <c r="N322" s="1"/>
      <c r="O322" s="1"/>
      <c r="P322" s="1"/>
      <c r="Q322" s="1"/>
      <c r="R322" s="1"/>
      <c r="S322" s="1"/>
      <c r="T322" s="1"/>
      <c r="U322" s="1"/>
      <c r="V322" s="1"/>
      <c r="W322" s="1"/>
    </row>
    <row r="323">
      <c r="A323" s="1"/>
      <c r="B323" s="1"/>
      <c r="C323" s="2"/>
      <c r="D323" s="1"/>
      <c r="E323" s="1"/>
      <c r="F323" s="1"/>
      <c r="G323" s="2"/>
      <c r="H323" s="1"/>
      <c r="I323" s="1"/>
      <c r="J323" s="2"/>
      <c r="K323" s="1"/>
      <c r="L323" s="1"/>
      <c r="M323" s="1"/>
      <c r="N323" s="1"/>
      <c r="O323" s="1"/>
      <c r="P323" s="1"/>
      <c r="Q323" s="1"/>
      <c r="R323" s="1"/>
      <c r="S323" s="1"/>
      <c r="T323" s="1"/>
      <c r="U323" s="1"/>
      <c r="V323" s="1"/>
      <c r="W323" s="1"/>
    </row>
    <row r="324">
      <c r="A324" s="1"/>
      <c r="B324" s="1"/>
      <c r="C324" s="2"/>
      <c r="D324" s="1"/>
      <c r="E324" s="1"/>
      <c r="F324" s="1"/>
      <c r="G324" s="2"/>
      <c r="H324" s="1"/>
      <c r="I324" s="1"/>
      <c r="J324" s="2"/>
      <c r="K324" s="1"/>
      <c r="L324" s="1"/>
      <c r="M324" s="1"/>
      <c r="N324" s="1"/>
      <c r="O324" s="1"/>
      <c r="P324" s="1"/>
      <c r="Q324" s="1"/>
      <c r="R324" s="1"/>
      <c r="S324" s="1"/>
      <c r="T324" s="1"/>
      <c r="U324" s="1"/>
      <c r="V324" s="1"/>
      <c r="W324" s="1"/>
    </row>
    <row r="325">
      <c r="A325" s="1"/>
      <c r="B325" s="1"/>
      <c r="C325" s="2"/>
      <c r="D325" s="1"/>
      <c r="E325" s="1"/>
      <c r="F325" s="1"/>
      <c r="G325" s="2"/>
      <c r="H325" s="1"/>
      <c r="I325" s="1"/>
      <c r="J325" s="2"/>
      <c r="K325" s="1"/>
      <c r="L325" s="1"/>
      <c r="M325" s="1"/>
      <c r="N325" s="1"/>
      <c r="O325" s="1"/>
      <c r="P325" s="1"/>
      <c r="Q325" s="1"/>
      <c r="R325" s="1"/>
      <c r="S325" s="1"/>
      <c r="T325" s="1"/>
      <c r="U325" s="1"/>
      <c r="V325" s="1"/>
      <c r="W325" s="1"/>
    </row>
    <row r="326">
      <c r="A326" s="1"/>
      <c r="B326" s="1"/>
      <c r="C326" s="2"/>
      <c r="D326" s="1"/>
      <c r="E326" s="1"/>
      <c r="F326" s="1"/>
      <c r="G326" s="2"/>
      <c r="H326" s="1"/>
      <c r="I326" s="1"/>
      <c r="J326" s="2"/>
      <c r="K326" s="1"/>
      <c r="L326" s="1"/>
      <c r="M326" s="1"/>
      <c r="N326" s="1"/>
      <c r="O326" s="1"/>
      <c r="P326" s="1"/>
      <c r="Q326" s="1"/>
      <c r="R326" s="1"/>
      <c r="S326" s="1"/>
      <c r="T326" s="1"/>
      <c r="U326" s="1"/>
      <c r="V326" s="1"/>
      <c r="W326" s="1"/>
    </row>
    <row r="327">
      <c r="A327" s="1"/>
      <c r="B327" s="1"/>
      <c r="C327" s="2"/>
      <c r="D327" s="1"/>
      <c r="E327" s="1"/>
      <c r="F327" s="1"/>
      <c r="G327" s="2"/>
      <c r="H327" s="1"/>
      <c r="I327" s="1"/>
      <c r="J327" s="2"/>
      <c r="K327" s="1"/>
      <c r="L327" s="1"/>
      <c r="M327" s="1"/>
      <c r="N327" s="1"/>
      <c r="O327" s="1"/>
      <c r="P327" s="1"/>
      <c r="Q327" s="1"/>
      <c r="R327" s="1"/>
      <c r="S327" s="1"/>
      <c r="T327" s="1"/>
      <c r="U327" s="1"/>
      <c r="V327" s="1"/>
      <c r="W327" s="1"/>
    </row>
    <row r="328">
      <c r="A328" s="1"/>
      <c r="B328" s="1"/>
      <c r="C328" s="2"/>
      <c r="D328" s="1"/>
      <c r="E328" s="1"/>
      <c r="F328" s="1"/>
      <c r="G328" s="2"/>
      <c r="H328" s="1"/>
      <c r="I328" s="1"/>
      <c r="J328" s="2"/>
      <c r="K328" s="1"/>
      <c r="L328" s="1"/>
      <c r="M328" s="1"/>
      <c r="N328" s="1"/>
      <c r="O328" s="1"/>
      <c r="P328" s="1"/>
      <c r="Q328" s="1"/>
      <c r="R328" s="1"/>
      <c r="S328" s="1"/>
      <c r="T328" s="1"/>
      <c r="U328" s="1"/>
      <c r="V328" s="1"/>
      <c r="W328" s="1"/>
    </row>
    <row r="329">
      <c r="A329" s="1"/>
      <c r="B329" s="1"/>
      <c r="C329" s="2"/>
      <c r="D329" s="1"/>
      <c r="E329" s="1"/>
      <c r="F329" s="1"/>
      <c r="G329" s="2"/>
      <c r="H329" s="1"/>
      <c r="I329" s="1"/>
      <c r="J329" s="2"/>
      <c r="K329" s="1"/>
      <c r="L329" s="1"/>
      <c r="M329" s="1"/>
      <c r="N329" s="1"/>
      <c r="O329" s="1"/>
      <c r="P329" s="1"/>
      <c r="Q329" s="1"/>
      <c r="R329" s="1"/>
      <c r="S329" s="1"/>
      <c r="T329" s="1"/>
      <c r="U329" s="1"/>
      <c r="V329" s="1"/>
      <c r="W329" s="1"/>
    </row>
    <row r="330">
      <c r="A330" s="1"/>
      <c r="B330" s="1"/>
      <c r="C330" s="2"/>
      <c r="D330" s="1"/>
      <c r="E330" s="1"/>
      <c r="F330" s="1"/>
      <c r="G330" s="2"/>
      <c r="H330" s="1"/>
      <c r="I330" s="1"/>
      <c r="J330" s="2"/>
      <c r="K330" s="1"/>
      <c r="L330" s="1"/>
      <c r="M330" s="1"/>
      <c r="N330" s="1"/>
      <c r="O330" s="1"/>
      <c r="P330" s="1"/>
      <c r="Q330" s="1"/>
      <c r="R330" s="1"/>
      <c r="S330" s="1"/>
      <c r="T330" s="1"/>
      <c r="U330" s="1"/>
      <c r="V330" s="1"/>
      <c r="W330" s="1"/>
    </row>
    <row r="331">
      <c r="A331" s="1"/>
      <c r="B331" s="1"/>
      <c r="C331" s="2"/>
      <c r="D331" s="1"/>
      <c r="E331" s="1"/>
      <c r="F331" s="1"/>
      <c r="G331" s="2"/>
      <c r="H331" s="1"/>
      <c r="I331" s="1"/>
      <c r="J331" s="2"/>
      <c r="K331" s="1"/>
      <c r="L331" s="1"/>
      <c r="M331" s="1"/>
      <c r="N331" s="1"/>
      <c r="O331" s="1"/>
      <c r="P331" s="1"/>
      <c r="Q331" s="1"/>
      <c r="R331" s="1"/>
      <c r="S331" s="1"/>
      <c r="T331" s="1"/>
      <c r="U331" s="1"/>
      <c r="V331" s="1"/>
      <c r="W331" s="1"/>
    </row>
    <row r="332">
      <c r="A332" s="1"/>
      <c r="B332" s="1"/>
      <c r="C332" s="2"/>
      <c r="D332" s="1"/>
      <c r="E332" s="1"/>
      <c r="F332" s="1"/>
      <c r="G332" s="2"/>
      <c r="H332" s="1"/>
      <c r="I332" s="1"/>
      <c r="J332" s="2"/>
      <c r="K332" s="1"/>
      <c r="L332" s="1"/>
      <c r="M332" s="1"/>
      <c r="N332" s="1"/>
      <c r="O332" s="1"/>
      <c r="P332" s="1"/>
      <c r="Q332" s="1"/>
      <c r="R332" s="1"/>
      <c r="S332" s="1"/>
      <c r="T332" s="1"/>
      <c r="U332" s="1"/>
      <c r="V332" s="1"/>
      <c r="W332" s="1"/>
    </row>
    <row r="333">
      <c r="A333" s="1"/>
      <c r="B333" s="1"/>
      <c r="C333" s="2"/>
      <c r="D333" s="1"/>
      <c r="E333" s="1"/>
      <c r="F333" s="1"/>
      <c r="G333" s="2"/>
      <c r="H333" s="1"/>
      <c r="I333" s="1"/>
      <c r="J333" s="2"/>
      <c r="K333" s="1"/>
      <c r="L333" s="1"/>
      <c r="M333" s="1"/>
      <c r="N333" s="1"/>
      <c r="O333" s="1"/>
      <c r="P333" s="1"/>
      <c r="Q333" s="1"/>
      <c r="R333" s="1"/>
      <c r="S333" s="1"/>
      <c r="T333" s="1"/>
      <c r="U333" s="1"/>
      <c r="V333" s="1"/>
      <c r="W333" s="1"/>
    </row>
    <row r="334">
      <c r="A334" s="1"/>
      <c r="B334" s="1"/>
      <c r="C334" s="2"/>
      <c r="D334" s="1"/>
      <c r="E334" s="1"/>
      <c r="F334" s="1"/>
      <c r="G334" s="2"/>
      <c r="H334" s="1"/>
      <c r="I334" s="1"/>
      <c r="J334" s="2"/>
      <c r="K334" s="1"/>
      <c r="L334" s="1"/>
      <c r="M334" s="1"/>
      <c r="N334" s="1"/>
      <c r="O334" s="1"/>
      <c r="P334" s="1"/>
      <c r="Q334" s="1"/>
      <c r="R334" s="1"/>
      <c r="S334" s="1"/>
      <c r="T334" s="1"/>
      <c r="U334" s="1"/>
      <c r="V334" s="1"/>
      <c r="W334" s="1"/>
    </row>
    <row r="335">
      <c r="A335" s="1"/>
      <c r="B335" s="1"/>
      <c r="C335" s="2"/>
      <c r="D335" s="1"/>
      <c r="E335" s="1"/>
      <c r="F335" s="1"/>
      <c r="G335" s="2"/>
      <c r="H335" s="1"/>
      <c r="I335" s="1"/>
      <c r="J335" s="2"/>
      <c r="K335" s="1"/>
      <c r="L335" s="1"/>
      <c r="M335" s="1"/>
      <c r="N335" s="1"/>
      <c r="O335" s="1"/>
      <c r="P335" s="1"/>
      <c r="Q335" s="1"/>
      <c r="R335" s="1"/>
      <c r="S335" s="1"/>
      <c r="T335" s="1"/>
      <c r="U335" s="1"/>
      <c r="V335" s="1"/>
      <c r="W335" s="1"/>
    </row>
    <row r="336">
      <c r="A336" s="1"/>
      <c r="B336" s="1"/>
      <c r="C336" s="2"/>
      <c r="D336" s="1"/>
      <c r="E336" s="1"/>
      <c r="F336" s="1"/>
      <c r="G336" s="2"/>
      <c r="H336" s="1"/>
      <c r="I336" s="1"/>
      <c r="J336" s="2"/>
      <c r="K336" s="1"/>
      <c r="L336" s="1"/>
      <c r="M336" s="1"/>
      <c r="N336" s="1"/>
      <c r="O336" s="1"/>
      <c r="P336" s="1"/>
      <c r="Q336" s="1"/>
      <c r="R336" s="1"/>
      <c r="S336" s="1"/>
      <c r="T336" s="1"/>
      <c r="U336" s="1"/>
      <c r="V336" s="1"/>
      <c r="W336" s="1"/>
    </row>
    <row r="337">
      <c r="A337" s="1"/>
      <c r="B337" s="1"/>
      <c r="C337" s="2"/>
      <c r="D337" s="1"/>
      <c r="E337" s="1"/>
      <c r="F337" s="1"/>
      <c r="G337" s="2"/>
      <c r="H337" s="1"/>
      <c r="I337" s="1"/>
      <c r="J337" s="2"/>
      <c r="K337" s="1"/>
      <c r="L337" s="1"/>
      <c r="M337" s="1"/>
      <c r="N337" s="1"/>
      <c r="O337" s="1"/>
      <c r="P337" s="1"/>
      <c r="Q337" s="1"/>
      <c r="R337" s="1"/>
      <c r="S337" s="1"/>
      <c r="T337" s="1"/>
      <c r="U337" s="1"/>
      <c r="V337" s="1"/>
      <c r="W337" s="1"/>
    </row>
    <row r="338">
      <c r="A338" s="1"/>
      <c r="B338" s="1"/>
      <c r="C338" s="2"/>
      <c r="D338" s="1"/>
      <c r="E338" s="1"/>
      <c r="F338" s="1"/>
      <c r="G338" s="2"/>
      <c r="H338" s="1"/>
      <c r="I338" s="1"/>
      <c r="J338" s="2"/>
      <c r="K338" s="1"/>
      <c r="L338" s="1"/>
      <c r="M338" s="1"/>
      <c r="N338" s="1"/>
      <c r="O338" s="1"/>
      <c r="P338" s="1"/>
      <c r="Q338" s="1"/>
      <c r="R338" s="1"/>
      <c r="S338" s="1"/>
      <c r="T338" s="1"/>
      <c r="U338" s="1"/>
      <c r="V338" s="1"/>
      <c r="W338" s="1"/>
    </row>
    <row r="339">
      <c r="A339" s="1"/>
      <c r="B339" s="1"/>
      <c r="C339" s="2"/>
      <c r="D339" s="1"/>
      <c r="E339" s="1"/>
      <c r="F339" s="1"/>
      <c r="G339" s="2"/>
      <c r="H339" s="1"/>
      <c r="I339" s="1"/>
      <c r="J339" s="2"/>
      <c r="K339" s="1"/>
      <c r="L339" s="1"/>
      <c r="M339" s="1"/>
      <c r="N339" s="1"/>
      <c r="O339" s="1"/>
      <c r="P339" s="1"/>
      <c r="Q339" s="1"/>
      <c r="R339" s="1"/>
      <c r="S339" s="1"/>
      <c r="T339" s="1"/>
      <c r="U339" s="1"/>
      <c r="V339" s="1"/>
      <c r="W339" s="1"/>
    </row>
    <row r="340">
      <c r="A340" s="1"/>
      <c r="B340" s="1"/>
      <c r="C340" s="2"/>
      <c r="D340" s="1"/>
      <c r="E340" s="1"/>
      <c r="F340" s="1"/>
      <c r="G340" s="2"/>
      <c r="H340" s="1"/>
      <c r="I340" s="1"/>
      <c r="J340" s="2"/>
      <c r="K340" s="1"/>
      <c r="L340" s="1"/>
      <c r="M340" s="1"/>
      <c r="N340" s="1"/>
      <c r="O340" s="1"/>
      <c r="P340" s="1"/>
      <c r="Q340" s="1"/>
      <c r="R340" s="1"/>
      <c r="S340" s="1"/>
      <c r="T340" s="1"/>
      <c r="U340" s="1"/>
      <c r="V340" s="1"/>
      <c r="W340" s="1"/>
    </row>
    <row r="341">
      <c r="A341" s="1"/>
      <c r="B341" s="1"/>
      <c r="C341" s="2"/>
      <c r="D341" s="1"/>
      <c r="E341" s="1"/>
      <c r="F341" s="1"/>
      <c r="G341" s="2"/>
      <c r="H341" s="1"/>
      <c r="I341" s="1"/>
      <c r="J341" s="2"/>
      <c r="K341" s="1"/>
      <c r="L341" s="1"/>
      <c r="M341" s="1"/>
      <c r="N341" s="1"/>
      <c r="O341" s="1"/>
      <c r="P341" s="1"/>
      <c r="Q341" s="1"/>
      <c r="R341" s="1"/>
      <c r="S341" s="1"/>
      <c r="T341" s="1"/>
      <c r="U341" s="1"/>
      <c r="V341" s="1"/>
      <c r="W341" s="1"/>
    </row>
    <row r="342">
      <c r="A342" s="1"/>
      <c r="B342" s="1"/>
      <c r="C342" s="2"/>
      <c r="D342" s="1"/>
      <c r="E342" s="1"/>
      <c r="F342" s="1"/>
      <c r="G342" s="2"/>
      <c r="H342" s="1"/>
      <c r="I342" s="1"/>
      <c r="J342" s="2"/>
      <c r="K342" s="1"/>
      <c r="L342" s="1"/>
      <c r="M342" s="1"/>
      <c r="N342" s="1"/>
      <c r="O342" s="1"/>
      <c r="P342" s="1"/>
      <c r="Q342" s="1"/>
      <c r="R342" s="1"/>
      <c r="S342" s="1"/>
      <c r="T342" s="1"/>
      <c r="U342" s="1"/>
      <c r="V342" s="1"/>
      <c r="W342" s="1"/>
    </row>
    <row r="343">
      <c r="A343" s="1"/>
      <c r="B343" s="1"/>
      <c r="C343" s="2"/>
      <c r="D343" s="1"/>
      <c r="E343" s="1"/>
      <c r="F343" s="1"/>
      <c r="G343" s="2"/>
      <c r="H343" s="1"/>
      <c r="I343" s="1"/>
      <c r="J343" s="2"/>
      <c r="K343" s="1"/>
      <c r="L343" s="1"/>
      <c r="M343" s="1"/>
      <c r="N343" s="1"/>
      <c r="O343" s="1"/>
      <c r="P343" s="1"/>
      <c r="Q343" s="1"/>
      <c r="R343" s="1"/>
      <c r="S343" s="1"/>
      <c r="T343" s="1"/>
      <c r="U343" s="1"/>
      <c r="V343" s="1"/>
      <c r="W343" s="1"/>
    </row>
    <row r="344">
      <c r="A344" s="1"/>
      <c r="B344" s="1"/>
      <c r="C344" s="2"/>
      <c r="D344" s="1"/>
      <c r="E344" s="1"/>
      <c r="F344" s="1"/>
      <c r="G344" s="2"/>
      <c r="H344" s="1"/>
      <c r="I344" s="1"/>
      <c r="J344" s="2"/>
      <c r="K344" s="1"/>
      <c r="L344" s="1"/>
      <c r="M344" s="1"/>
      <c r="N344" s="1"/>
      <c r="O344" s="1"/>
      <c r="P344" s="1"/>
      <c r="Q344" s="1"/>
      <c r="R344" s="1"/>
      <c r="S344" s="1"/>
      <c r="T344" s="1"/>
      <c r="U344" s="1"/>
      <c r="V344" s="1"/>
      <c r="W344" s="1"/>
    </row>
    <row r="345">
      <c r="A345" s="1"/>
      <c r="B345" s="1"/>
      <c r="C345" s="2"/>
      <c r="D345" s="1"/>
      <c r="E345" s="1"/>
      <c r="F345" s="1"/>
      <c r="G345" s="2"/>
      <c r="H345" s="1"/>
      <c r="I345" s="1"/>
      <c r="J345" s="2"/>
      <c r="K345" s="1"/>
      <c r="L345" s="1"/>
      <c r="M345" s="1"/>
      <c r="N345" s="1"/>
      <c r="O345" s="1"/>
      <c r="P345" s="1"/>
      <c r="Q345" s="1"/>
      <c r="R345" s="1"/>
      <c r="S345" s="1"/>
      <c r="T345" s="1"/>
      <c r="U345" s="1"/>
      <c r="V345" s="1"/>
      <c r="W345" s="1"/>
    </row>
    <row r="346">
      <c r="A346" s="1"/>
      <c r="B346" s="1"/>
      <c r="C346" s="2"/>
      <c r="D346" s="1"/>
      <c r="E346" s="1"/>
      <c r="F346" s="1"/>
      <c r="G346" s="2"/>
      <c r="H346" s="1"/>
      <c r="I346" s="1"/>
      <c r="J346" s="2"/>
      <c r="K346" s="1"/>
      <c r="L346" s="1"/>
      <c r="M346" s="1"/>
      <c r="N346" s="1"/>
      <c r="O346" s="1"/>
      <c r="P346" s="1"/>
      <c r="Q346" s="1"/>
      <c r="R346" s="1"/>
      <c r="S346" s="1"/>
      <c r="T346" s="1"/>
      <c r="U346" s="1"/>
      <c r="V346" s="1"/>
      <c r="W346" s="1"/>
    </row>
    <row r="347">
      <c r="A347" s="1"/>
      <c r="B347" s="1"/>
      <c r="C347" s="2"/>
      <c r="D347" s="1"/>
      <c r="E347" s="1"/>
      <c r="F347" s="1"/>
      <c r="G347" s="2"/>
      <c r="H347" s="1"/>
      <c r="I347" s="1"/>
      <c r="J347" s="2"/>
      <c r="K347" s="1"/>
      <c r="L347" s="1"/>
      <c r="M347" s="1"/>
      <c r="N347" s="1"/>
      <c r="O347" s="1"/>
      <c r="P347" s="1"/>
      <c r="Q347" s="1"/>
      <c r="R347" s="1"/>
      <c r="S347" s="1"/>
      <c r="T347" s="1"/>
      <c r="U347" s="1"/>
      <c r="V347" s="1"/>
      <c r="W347" s="1"/>
    </row>
    <row r="348">
      <c r="A348" s="1"/>
      <c r="B348" s="1"/>
      <c r="C348" s="2"/>
      <c r="D348" s="1"/>
      <c r="E348" s="1"/>
      <c r="F348" s="1"/>
      <c r="G348" s="2"/>
      <c r="H348" s="1"/>
      <c r="I348" s="1"/>
      <c r="J348" s="2"/>
      <c r="K348" s="1"/>
      <c r="L348" s="1"/>
      <c r="M348" s="1"/>
      <c r="N348" s="1"/>
      <c r="O348" s="1"/>
      <c r="P348" s="1"/>
      <c r="Q348" s="1"/>
      <c r="R348" s="1"/>
      <c r="S348" s="1"/>
      <c r="T348" s="1"/>
      <c r="U348" s="1"/>
      <c r="V348" s="1"/>
      <c r="W348" s="1"/>
    </row>
    <row r="349">
      <c r="A349" s="1"/>
      <c r="B349" s="1"/>
      <c r="C349" s="2"/>
      <c r="D349" s="1"/>
      <c r="E349" s="1"/>
      <c r="F349" s="1"/>
      <c r="G349" s="2"/>
      <c r="H349" s="1"/>
      <c r="I349" s="1"/>
      <c r="J349" s="2"/>
      <c r="K349" s="1"/>
      <c r="L349" s="1"/>
      <c r="M349" s="1"/>
      <c r="N349" s="1"/>
      <c r="O349" s="1"/>
      <c r="P349" s="1"/>
      <c r="Q349" s="1"/>
      <c r="R349" s="1"/>
      <c r="S349" s="1"/>
      <c r="T349" s="1"/>
      <c r="U349" s="1"/>
      <c r="V349" s="1"/>
      <c r="W349" s="1"/>
    </row>
    <row r="350">
      <c r="A350" s="1"/>
      <c r="B350" s="1"/>
      <c r="C350" s="2"/>
      <c r="D350" s="1"/>
      <c r="E350" s="1"/>
      <c r="F350" s="1"/>
      <c r="G350" s="2"/>
      <c r="H350" s="1"/>
      <c r="I350" s="1"/>
      <c r="J350" s="2"/>
      <c r="K350" s="1"/>
      <c r="L350" s="1"/>
      <c r="M350" s="1"/>
      <c r="N350" s="1"/>
      <c r="O350" s="1"/>
      <c r="P350" s="1"/>
      <c r="Q350" s="1"/>
      <c r="R350" s="1"/>
      <c r="S350" s="1"/>
      <c r="T350" s="1"/>
      <c r="U350" s="1"/>
      <c r="V350" s="1"/>
      <c r="W350" s="1"/>
    </row>
    <row r="351">
      <c r="A351" s="1"/>
      <c r="B351" s="1"/>
      <c r="C351" s="2"/>
      <c r="D351" s="1"/>
      <c r="E351" s="1"/>
      <c r="F351" s="1"/>
      <c r="G351" s="2"/>
      <c r="H351" s="1"/>
      <c r="I351" s="1"/>
      <c r="J351" s="2"/>
      <c r="K351" s="1"/>
      <c r="L351" s="1"/>
      <c r="M351" s="1"/>
      <c r="N351" s="1"/>
      <c r="O351" s="1"/>
      <c r="P351" s="1"/>
      <c r="Q351" s="1"/>
      <c r="R351" s="1"/>
      <c r="S351" s="1"/>
      <c r="T351" s="1"/>
      <c r="U351" s="1"/>
      <c r="V351" s="1"/>
      <c r="W351" s="1"/>
    </row>
    <row r="352">
      <c r="A352" s="1"/>
      <c r="B352" s="1"/>
      <c r="C352" s="2"/>
      <c r="D352" s="1"/>
      <c r="E352" s="1"/>
      <c r="F352" s="1"/>
      <c r="G352" s="2"/>
      <c r="H352" s="1"/>
      <c r="I352" s="1"/>
      <c r="J352" s="2"/>
      <c r="K352" s="1"/>
      <c r="L352" s="1"/>
      <c r="M352" s="1"/>
      <c r="N352" s="1"/>
      <c r="O352" s="1"/>
      <c r="P352" s="1"/>
      <c r="Q352" s="1"/>
      <c r="R352" s="1"/>
      <c r="S352" s="1"/>
      <c r="T352" s="1"/>
      <c r="U352" s="1"/>
      <c r="V352" s="1"/>
      <c r="W352" s="1"/>
    </row>
    <row r="353">
      <c r="A353" s="1"/>
      <c r="B353" s="1"/>
      <c r="C353" s="2"/>
      <c r="D353" s="1"/>
      <c r="E353" s="1"/>
      <c r="F353" s="1"/>
      <c r="G353" s="2"/>
      <c r="H353" s="1"/>
      <c r="I353" s="1"/>
      <c r="J353" s="2"/>
      <c r="K353" s="1"/>
      <c r="L353" s="1"/>
      <c r="M353" s="1"/>
      <c r="N353" s="1"/>
      <c r="O353" s="1"/>
      <c r="P353" s="1"/>
      <c r="Q353" s="1"/>
      <c r="R353" s="1"/>
      <c r="S353" s="1"/>
      <c r="T353" s="1"/>
      <c r="U353" s="1"/>
      <c r="V353" s="1"/>
      <c r="W353" s="1"/>
    </row>
    <row r="354">
      <c r="A354" s="1"/>
      <c r="B354" s="1"/>
      <c r="C354" s="2"/>
      <c r="D354" s="1"/>
      <c r="E354" s="1"/>
      <c r="F354" s="1"/>
      <c r="G354" s="2"/>
      <c r="H354" s="1"/>
      <c r="I354" s="1"/>
      <c r="J354" s="2"/>
      <c r="K354" s="1"/>
      <c r="L354" s="1"/>
      <c r="M354" s="1"/>
      <c r="N354" s="1"/>
      <c r="O354" s="1"/>
      <c r="P354" s="1"/>
      <c r="Q354" s="1"/>
      <c r="R354" s="1"/>
      <c r="S354" s="1"/>
      <c r="T354" s="1"/>
      <c r="U354" s="1"/>
      <c r="V354" s="1"/>
      <c r="W354" s="1"/>
    </row>
    <row r="355">
      <c r="A355" s="1"/>
      <c r="B355" s="1"/>
      <c r="C355" s="2"/>
      <c r="D355" s="1"/>
      <c r="E355" s="1"/>
      <c r="F355" s="1"/>
      <c r="G355" s="2"/>
      <c r="H355" s="1"/>
      <c r="I355" s="1"/>
      <c r="J355" s="2"/>
      <c r="K355" s="1"/>
      <c r="L355" s="1"/>
      <c r="M355" s="1"/>
      <c r="N355" s="1"/>
      <c r="O355" s="1"/>
      <c r="P355" s="1"/>
      <c r="Q355" s="1"/>
      <c r="R355" s="1"/>
      <c r="S355" s="1"/>
      <c r="T355" s="1"/>
      <c r="U355" s="1"/>
      <c r="V355" s="1"/>
      <c r="W355" s="1"/>
    </row>
    <row r="356">
      <c r="A356" s="1"/>
      <c r="B356" s="1"/>
      <c r="C356" s="2"/>
      <c r="D356" s="1"/>
      <c r="E356" s="1"/>
      <c r="F356" s="1"/>
      <c r="G356" s="2"/>
      <c r="H356" s="1"/>
      <c r="I356" s="1"/>
      <c r="J356" s="2"/>
      <c r="K356" s="1"/>
      <c r="L356" s="1"/>
      <c r="M356" s="1"/>
      <c r="N356" s="1"/>
      <c r="O356" s="1"/>
      <c r="P356" s="1"/>
      <c r="Q356" s="1"/>
      <c r="R356" s="1"/>
      <c r="S356" s="1"/>
      <c r="T356" s="1"/>
      <c r="U356" s="1"/>
      <c r="V356" s="1"/>
      <c r="W356" s="1"/>
    </row>
    <row r="357">
      <c r="A357" s="1"/>
      <c r="B357" s="1"/>
      <c r="C357" s="2"/>
      <c r="D357" s="1"/>
      <c r="E357" s="1"/>
      <c r="F357" s="1"/>
      <c r="G357" s="2"/>
      <c r="H357" s="1"/>
      <c r="I357" s="1"/>
      <c r="J357" s="2"/>
      <c r="K357" s="1"/>
      <c r="L357" s="1"/>
      <c r="M357" s="1"/>
      <c r="N357" s="1"/>
      <c r="O357" s="1"/>
      <c r="P357" s="1"/>
      <c r="Q357" s="1"/>
      <c r="R357" s="1"/>
      <c r="S357" s="1"/>
      <c r="T357" s="1"/>
      <c r="U357" s="1"/>
      <c r="V357" s="1"/>
      <c r="W357" s="1"/>
    </row>
    <row r="358">
      <c r="A358" s="1"/>
      <c r="B358" s="1"/>
      <c r="C358" s="2"/>
      <c r="D358" s="1"/>
      <c r="E358" s="1"/>
      <c r="F358" s="1"/>
      <c r="G358" s="2"/>
      <c r="H358" s="1"/>
      <c r="I358" s="1"/>
      <c r="J358" s="2"/>
      <c r="K358" s="1"/>
      <c r="L358" s="1"/>
      <c r="M358" s="1"/>
      <c r="N358" s="1"/>
      <c r="O358" s="1"/>
      <c r="P358" s="1"/>
      <c r="Q358" s="1"/>
      <c r="R358" s="1"/>
      <c r="S358" s="1"/>
      <c r="T358" s="1"/>
      <c r="U358" s="1"/>
      <c r="V358" s="1"/>
      <c r="W358" s="1"/>
    </row>
    <row r="359">
      <c r="A359" s="1"/>
      <c r="B359" s="1"/>
      <c r="C359" s="2"/>
      <c r="D359" s="1"/>
      <c r="E359" s="1"/>
      <c r="F359" s="1"/>
      <c r="G359" s="2"/>
      <c r="H359" s="1"/>
      <c r="I359" s="1"/>
      <c r="J359" s="2"/>
      <c r="K359" s="1"/>
      <c r="L359" s="1"/>
      <c r="M359" s="1"/>
      <c r="N359" s="1"/>
      <c r="O359" s="1"/>
      <c r="P359" s="1"/>
      <c r="Q359" s="1"/>
      <c r="R359" s="1"/>
      <c r="S359" s="1"/>
      <c r="T359" s="1"/>
      <c r="U359" s="1"/>
      <c r="V359" s="1"/>
      <c r="W359" s="1"/>
    </row>
    <row r="360">
      <c r="A360" s="1"/>
      <c r="B360" s="1"/>
      <c r="C360" s="2"/>
      <c r="D360" s="1"/>
      <c r="E360" s="1"/>
      <c r="F360" s="1"/>
      <c r="G360" s="2"/>
      <c r="H360" s="1"/>
      <c r="I360" s="1"/>
      <c r="J360" s="2"/>
      <c r="K360" s="1"/>
      <c r="L360" s="1"/>
      <c r="M360" s="1"/>
      <c r="N360" s="1"/>
      <c r="O360" s="1"/>
      <c r="P360" s="1"/>
      <c r="Q360" s="1"/>
      <c r="R360" s="1"/>
      <c r="S360" s="1"/>
      <c r="T360" s="1"/>
      <c r="U360" s="1"/>
      <c r="V360" s="1"/>
      <c r="W360" s="1"/>
    </row>
    <row r="361">
      <c r="A361" s="1"/>
      <c r="B361" s="1"/>
      <c r="C361" s="2"/>
      <c r="D361" s="1"/>
      <c r="E361" s="1"/>
      <c r="F361" s="1"/>
      <c r="G361" s="2"/>
      <c r="H361" s="1"/>
      <c r="I361" s="1"/>
      <c r="J361" s="2"/>
      <c r="K361" s="1"/>
      <c r="L361" s="1"/>
      <c r="M361" s="1"/>
      <c r="N361" s="1"/>
      <c r="O361" s="1"/>
      <c r="P361" s="1"/>
      <c r="Q361" s="1"/>
      <c r="R361" s="1"/>
      <c r="S361" s="1"/>
      <c r="T361" s="1"/>
      <c r="U361" s="1"/>
      <c r="V361" s="1"/>
      <c r="W361" s="1"/>
    </row>
    <row r="362">
      <c r="A362" s="1"/>
      <c r="B362" s="1"/>
      <c r="C362" s="2"/>
      <c r="D362" s="1"/>
      <c r="E362" s="1"/>
      <c r="F362" s="1"/>
      <c r="G362" s="2"/>
      <c r="H362" s="1"/>
      <c r="I362" s="1"/>
      <c r="J362" s="2"/>
      <c r="K362" s="1"/>
      <c r="L362" s="1"/>
      <c r="M362" s="1"/>
      <c r="N362" s="1"/>
      <c r="O362" s="1"/>
      <c r="P362" s="1"/>
      <c r="Q362" s="1"/>
      <c r="R362" s="1"/>
      <c r="S362" s="1"/>
      <c r="T362" s="1"/>
      <c r="U362" s="1"/>
      <c r="V362" s="1"/>
      <c r="W362" s="1"/>
    </row>
    <row r="363">
      <c r="A363" s="1"/>
      <c r="B363" s="1"/>
      <c r="C363" s="2"/>
      <c r="D363" s="1"/>
      <c r="E363" s="1"/>
      <c r="F363" s="1"/>
      <c r="G363" s="2"/>
      <c r="H363" s="1"/>
      <c r="I363" s="1"/>
      <c r="J363" s="2"/>
      <c r="K363" s="1"/>
      <c r="L363" s="1"/>
      <c r="M363" s="1"/>
      <c r="N363" s="1"/>
      <c r="O363" s="1"/>
      <c r="P363" s="1"/>
      <c r="Q363" s="1"/>
      <c r="R363" s="1"/>
      <c r="S363" s="1"/>
      <c r="T363" s="1"/>
      <c r="U363" s="1"/>
      <c r="V363" s="1"/>
      <c r="W363" s="1"/>
    </row>
    <row r="364">
      <c r="A364" s="1"/>
      <c r="B364" s="1"/>
      <c r="C364" s="2"/>
      <c r="D364" s="1"/>
      <c r="E364" s="1"/>
      <c r="F364" s="1"/>
      <c r="G364" s="2"/>
      <c r="H364" s="1"/>
      <c r="I364" s="1"/>
      <c r="J364" s="2"/>
      <c r="K364" s="1"/>
      <c r="L364" s="1"/>
      <c r="M364" s="1"/>
      <c r="N364" s="1"/>
      <c r="O364" s="1"/>
      <c r="P364" s="1"/>
      <c r="Q364" s="1"/>
      <c r="R364" s="1"/>
      <c r="S364" s="1"/>
      <c r="T364" s="1"/>
      <c r="U364" s="1"/>
      <c r="V364" s="1"/>
      <c r="W364" s="1"/>
    </row>
    <row r="365">
      <c r="A365" s="1"/>
      <c r="B365" s="1"/>
      <c r="C365" s="2"/>
      <c r="D365" s="1"/>
      <c r="E365" s="1"/>
      <c r="F365" s="1"/>
      <c r="G365" s="2"/>
      <c r="H365" s="1"/>
      <c r="I365" s="1"/>
      <c r="J365" s="2"/>
      <c r="K365" s="1"/>
      <c r="L365" s="1"/>
      <c r="M365" s="1"/>
      <c r="N365" s="1"/>
      <c r="O365" s="1"/>
      <c r="P365" s="1"/>
      <c r="Q365" s="1"/>
      <c r="R365" s="1"/>
      <c r="S365" s="1"/>
      <c r="T365" s="1"/>
      <c r="U365" s="1"/>
      <c r="V365" s="1"/>
      <c r="W365" s="1"/>
    </row>
    <row r="366">
      <c r="A366" s="1"/>
      <c r="B366" s="1"/>
      <c r="C366" s="2"/>
      <c r="D366" s="1"/>
      <c r="E366" s="1"/>
      <c r="F366" s="1"/>
      <c r="G366" s="2"/>
      <c r="H366" s="1"/>
      <c r="I366" s="1"/>
      <c r="J366" s="2"/>
      <c r="K366" s="1"/>
      <c r="L366" s="1"/>
      <c r="M366" s="1"/>
      <c r="N366" s="1"/>
      <c r="O366" s="1"/>
      <c r="P366" s="1"/>
      <c r="Q366" s="1"/>
      <c r="R366" s="1"/>
      <c r="S366" s="1"/>
      <c r="T366" s="1"/>
      <c r="U366" s="1"/>
      <c r="V366" s="1"/>
      <c r="W366" s="1"/>
    </row>
    <row r="367">
      <c r="A367" s="1"/>
      <c r="B367" s="1"/>
      <c r="C367" s="2"/>
      <c r="D367" s="1"/>
      <c r="E367" s="1"/>
      <c r="F367" s="1"/>
      <c r="G367" s="2"/>
      <c r="H367" s="1"/>
      <c r="I367" s="1"/>
      <c r="J367" s="2"/>
      <c r="K367" s="1"/>
      <c r="L367" s="1"/>
      <c r="M367" s="1"/>
      <c r="N367" s="1"/>
      <c r="O367" s="1"/>
      <c r="P367" s="1"/>
      <c r="Q367" s="1"/>
      <c r="R367" s="1"/>
      <c r="S367" s="1"/>
      <c r="T367" s="1"/>
      <c r="U367" s="1"/>
      <c r="V367" s="1"/>
      <c r="W367" s="1"/>
    </row>
    <row r="368">
      <c r="A368" s="1"/>
      <c r="B368" s="1"/>
      <c r="C368" s="2"/>
      <c r="D368" s="1"/>
      <c r="E368" s="1"/>
      <c r="F368" s="1"/>
      <c r="G368" s="2"/>
      <c r="H368" s="1"/>
      <c r="I368" s="1"/>
      <c r="J368" s="2"/>
      <c r="K368" s="1"/>
      <c r="L368" s="1"/>
      <c r="M368" s="1"/>
      <c r="N368" s="1"/>
      <c r="O368" s="1"/>
      <c r="P368" s="1"/>
      <c r="Q368" s="1"/>
      <c r="R368" s="1"/>
      <c r="S368" s="1"/>
      <c r="T368" s="1"/>
      <c r="U368" s="1"/>
      <c r="V368" s="1"/>
      <c r="W368" s="1"/>
    </row>
    <row r="369">
      <c r="A369" s="1"/>
      <c r="B369" s="1"/>
      <c r="C369" s="2"/>
      <c r="D369" s="1"/>
      <c r="E369" s="1"/>
      <c r="F369" s="1"/>
      <c r="G369" s="2"/>
      <c r="H369" s="1"/>
      <c r="I369" s="1"/>
      <c r="J369" s="2"/>
      <c r="K369" s="1"/>
      <c r="L369" s="1"/>
      <c r="M369" s="1"/>
      <c r="N369" s="1"/>
      <c r="O369" s="1"/>
      <c r="P369" s="1"/>
      <c r="Q369" s="1"/>
      <c r="R369" s="1"/>
      <c r="S369" s="1"/>
      <c r="T369" s="1"/>
      <c r="U369" s="1"/>
      <c r="V369" s="1"/>
      <c r="W369" s="1"/>
    </row>
    <row r="370">
      <c r="A370" s="1"/>
      <c r="B370" s="1"/>
      <c r="C370" s="2"/>
      <c r="D370" s="1"/>
      <c r="E370" s="1"/>
      <c r="F370" s="1"/>
      <c r="G370" s="2"/>
      <c r="H370" s="1"/>
      <c r="I370" s="1"/>
      <c r="J370" s="2"/>
      <c r="K370" s="1"/>
      <c r="L370" s="1"/>
      <c r="M370" s="1"/>
      <c r="N370" s="1"/>
      <c r="O370" s="1"/>
      <c r="P370" s="1"/>
      <c r="Q370" s="1"/>
      <c r="R370" s="1"/>
      <c r="S370" s="1"/>
      <c r="T370" s="1"/>
      <c r="U370" s="1"/>
      <c r="V370" s="1"/>
      <c r="W370" s="1"/>
    </row>
    <row r="371">
      <c r="A371" s="1"/>
      <c r="B371" s="1"/>
      <c r="C371" s="2"/>
      <c r="D371" s="1"/>
      <c r="E371" s="1"/>
      <c r="F371" s="1"/>
      <c r="G371" s="2"/>
      <c r="H371" s="1"/>
      <c r="I371" s="1"/>
      <c r="J371" s="2"/>
      <c r="K371" s="1"/>
      <c r="L371" s="1"/>
      <c r="M371" s="1"/>
      <c r="N371" s="1"/>
      <c r="O371" s="1"/>
      <c r="P371" s="1"/>
      <c r="Q371" s="1"/>
      <c r="R371" s="1"/>
      <c r="S371" s="1"/>
      <c r="T371" s="1"/>
      <c r="U371" s="1"/>
      <c r="V371" s="1"/>
      <c r="W371" s="1"/>
    </row>
    <row r="372">
      <c r="A372" s="1"/>
      <c r="B372" s="1"/>
      <c r="C372" s="2"/>
      <c r="D372" s="1"/>
      <c r="E372" s="1"/>
      <c r="F372" s="1"/>
      <c r="G372" s="2"/>
      <c r="H372" s="1"/>
      <c r="I372" s="1"/>
      <c r="J372" s="2"/>
      <c r="K372" s="1"/>
      <c r="L372" s="1"/>
      <c r="M372" s="1"/>
      <c r="N372" s="1"/>
      <c r="O372" s="1"/>
      <c r="P372" s="1"/>
      <c r="Q372" s="1"/>
      <c r="R372" s="1"/>
      <c r="S372" s="1"/>
      <c r="T372" s="1"/>
      <c r="U372" s="1"/>
      <c r="V372" s="1"/>
      <c r="W372" s="1"/>
    </row>
    <row r="373">
      <c r="A373" s="1"/>
      <c r="B373" s="1"/>
      <c r="C373" s="2"/>
      <c r="D373" s="1"/>
      <c r="E373" s="1"/>
      <c r="F373" s="1"/>
      <c r="G373" s="2"/>
      <c r="H373" s="1"/>
      <c r="I373" s="1"/>
      <c r="J373" s="2"/>
      <c r="K373" s="1"/>
      <c r="L373" s="1"/>
      <c r="M373" s="1"/>
      <c r="N373" s="1"/>
      <c r="O373" s="1"/>
      <c r="P373" s="1"/>
      <c r="Q373" s="1"/>
      <c r="R373" s="1"/>
      <c r="S373" s="1"/>
      <c r="T373" s="1"/>
      <c r="U373" s="1"/>
      <c r="V373" s="1"/>
      <c r="W373" s="1"/>
    </row>
    <row r="374">
      <c r="A374" s="1"/>
      <c r="B374" s="1"/>
      <c r="C374" s="2"/>
      <c r="D374" s="1"/>
      <c r="E374" s="1"/>
      <c r="F374" s="1"/>
      <c r="G374" s="2"/>
      <c r="H374" s="1"/>
      <c r="I374" s="1"/>
      <c r="J374" s="2"/>
      <c r="K374" s="1"/>
      <c r="L374" s="1"/>
      <c r="M374" s="1"/>
      <c r="N374" s="1"/>
      <c r="O374" s="1"/>
      <c r="P374" s="1"/>
      <c r="Q374" s="1"/>
      <c r="R374" s="1"/>
      <c r="S374" s="1"/>
      <c r="T374" s="1"/>
      <c r="U374" s="1"/>
      <c r="V374" s="1"/>
      <c r="W374" s="1"/>
    </row>
    <row r="375">
      <c r="A375" s="1"/>
      <c r="B375" s="1"/>
      <c r="C375" s="2"/>
      <c r="D375" s="1"/>
      <c r="E375" s="1"/>
      <c r="F375" s="1"/>
      <c r="G375" s="2"/>
      <c r="H375" s="1"/>
      <c r="I375" s="1"/>
      <c r="J375" s="2"/>
      <c r="K375" s="1"/>
      <c r="L375" s="1"/>
      <c r="M375" s="1"/>
      <c r="N375" s="1"/>
      <c r="O375" s="1"/>
      <c r="P375" s="1"/>
      <c r="Q375" s="1"/>
      <c r="R375" s="1"/>
      <c r="S375" s="1"/>
      <c r="T375" s="1"/>
      <c r="U375" s="1"/>
      <c r="V375" s="1"/>
      <c r="W375" s="1"/>
    </row>
    <row r="376">
      <c r="A376" s="1"/>
      <c r="B376" s="1"/>
      <c r="C376" s="2"/>
      <c r="D376" s="1"/>
      <c r="E376" s="1"/>
      <c r="F376" s="1"/>
      <c r="G376" s="2"/>
      <c r="H376" s="1"/>
      <c r="I376" s="1"/>
      <c r="J376" s="2"/>
      <c r="K376" s="1"/>
      <c r="L376" s="1"/>
      <c r="M376" s="1"/>
      <c r="N376" s="1"/>
      <c r="O376" s="1"/>
      <c r="P376" s="1"/>
      <c r="Q376" s="1"/>
      <c r="R376" s="1"/>
      <c r="S376" s="1"/>
      <c r="T376" s="1"/>
      <c r="U376" s="1"/>
      <c r="V376" s="1"/>
      <c r="W376" s="1"/>
    </row>
    <row r="377">
      <c r="A377" s="1"/>
      <c r="B377" s="1"/>
      <c r="C377" s="2"/>
      <c r="D377" s="1"/>
      <c r="E377" s="1"/>
      <c r="F377" s="1"/>
      <c r="G377" s="2"/>
      <c r="H377" s="1"/>
      <c r="I377" s="1"/>
      <c r="J377" s="2"/>
      <c r="K377" s="1"/>
      <c r="L377" s="1"/>
      <c r="M377" s="1"/>
      <c r="N377" s="1"/>
      <c r="O377" s="1"/>
      <c r="P377" s="1"/>
      <c r="Q377" s="1"/>
      <c r="R377" s="1"/>
      <c r="S377" s="1"/>
      <c r="T377" s="1"/>
      <c r="U377" s="1"/>
      <c r="V377" s="1"/>
      <c r="W377" s="1"/>
    </row>
    <row r="378">
      <c r="A378" s="1"/>
      <c r="B378" s="1"/>
      <c r="C378" s="2"/>
      <c r="D378" s="1"/>
      <c r="E378" s="1"/>
      <c r="F378" s="1"/>
      <c r="G378" s="2"/>
      <c r="H378" s="1"/>
      <c r="I378" s="1"/>
      <c r="J378" s="2"/>
      <c r="K378" s="1"/>
      <c r="L378" s="1"/>
      <c r="M378" s="1"/>
      <c r="N378" s="1"/>
      <c r="O378" s="1"/>
      <c r="P378" s="1"/>
      <c r="Q378" s="1"/>
      <c r="R378" s="1"/>
      <c r="S378" s="1"/>
      <c r="T378" s="1"/>
      <c r="U378" s="1"/>
      <c r="V378" s="1"/>
      <c r="W378" s="1"/>
    </row>
    <row r="379">
      <c r="A379" s="1"/>
      <c r="B379" s="1"/>
      <c r="C379" s="2"/>
      <c r="D379" s="1"/>
      <c r="E379" s="1"/>
      <c r="F379" s="1"/>
      <c r="G379" s="2"/>
      <c r="H379" s="1"/>
      <c r="I379" s="1"/>
      <c r="J379" s="2"/>
      <c r="K379" s="1"/>
      <c r="L379" s="1"/>
      <c r="M379" s="1"/>
      <c r="N379" s="1"/>
      <c r="O379" s="1"/>
      <c r="P379" s="1"/>
      <c r="Q379" s="1"/>
      <c r="R379" s="1"/>
      <c r="S379" s="1"/>
      <c r="T379" s="1"/>
      <c r="U379" s="1"/>
      <c r="V379" s="1"/>
      <c r="W379" s="1"/>
    </row>
    <row r="380">
      <c r="A380" s="1"/>
      <c r="B380" s="1"/>
      <c r="C380" s="2"/>
      <c r="D380" s="1"/>
      <c r="E380" s="1"/>
      <c r="F380" s="1"/>
      <c r="G380" s="2"/>
      <c r="H380" s="1"/>
      <c r="I380" s="1"/>
      <c r="J380" s="2"/>
      <c r="K380" s="1"/>
      <c r="L380" s="1"/>
      <c r="M380" s="1"/>
      <c r="N380" s="1"/>
      <c r="O380" s="1"/>
      <c r="P380" s="1"/>
      <c r="Q380" s="1"/>
      <c r="R380" s="1"/>
      <c r="S380" s="1"/>
      <c r="T380" s="1"/>
      <c r="U380" s="1"/>
      <c r="V380" s="1"/>
      <c r="W380" s="1"/>
    </row>
    <row r="381">
      <c r="A381" s="1"/>
      <c r="B381" s="1"/>
      <c r="C381" s="2"/>
      <c r="D381" s="1"/>
      <c r="E381" s="1"/>
      <c r="F381" s="1"/>
      <c r="G381" s="2"/>
      <c r="H381" s="1"/>
      <c r="I381" s="1"/>
      <c r="J381" s="2"/>
      <c r="K381" s="1"/>
      <c r="L381" s="1"/>
      <c r="M381" s="1"/>
      <c r="N381" s="1"/>
      <c r="O381" s="1"/>
      <c r="P381" s="1"/>
      <c r="Q381" s="1"/>
      <c r="R381" s="1"/>
      <c r="S381" s="1"/>
      <c r="T381" s="1"/>
      <c r="U381" s="1"/>
      <c r="V381" s="1"/>
      <c r="W381" s="1"/>
    </row>
    <row r="382">
      <c r="A382" s="1"/>
      <c r="B382" s="1"/>
      <c r="C382" s="2"/>
      <c r="D382" s="1"/>
      <c r="E382" s="1"/>
      <c r="F382" s="1"/>
      <c r="G382" s="2"/>
      <c r="H382" s="1"/>
      <c r="I382" s="1"/>
      <c r="J382" s="2"/>
      <c r="K382" s="1"/>
      <c r="L382" s="1"/>
      <c r="M382" s="1"/>
      <c r="N382" s="1"/>
      <c r="O382" s="1"/>
      <c r="P382" s="1"/>
      <c r="Q382" s="1"/>
      <c r="R382" s="1"/>
      <c r="S382" s="1"/>
      <c r="T382" s="1"/>
      <c r="U382" s="1"/>
      <c r="V382" s="1"/>
      <c r="W382" s="1"/>
    </row>
    <row r="383">
      <c r="A383" s="1"/>
      <c r="B383" s="1"/>
      <c r="C383" s="2"/>
      <c r="D383" s="1"/>
      <c r="E383" s="1"/>
      <c r="F383" s="1"/>
      <c r="G383" s="2"/>
      <c r="H383" s="1"/>
      <c r="I383" s="1"/>
      <c r="J383" s="2"/>
      <c r="K383" s="1"/>
      <c r="L383" s="1"/>
      <c r="M383" s="1"/>
      <c r="N383" s="1"/>
      <c r="O383" s="1"/>
      <c r="P383" s="1"/>
      <c r="Q383" s="1"/>
      <c r="R383" s="1"/>
      <c r="S383" s="1"/>
      <c r="T383" s="1"/>
      <c r="U383" s="1"/>
      <c r="V383" s="1"/>
      <c r="W383" s="1"/>
    </row>
    <row r="384">
      <c r="A384" s="1"/>
      <c r="B384" s="1"/>
      <c r="C384" s="2"/>
      <c r="D384" s="1"/>
      <c r="E384" s="1"/>
      <c r="F384" s="1"/>
      <c r="G384" s="2"/>
      <c r="H384" s="1"/>
      <c r="I384" s="1"/>
      <c r="J384" s="2"/>
      <c r="K384" s="1"/>
      <c r="L384" s="1"/>
      <c r="M384" s="1"/>
      <c r="N384" s="1"/>
      <c r="O384" s="1"/>
      <c r="P384" s="1"/>
      <c r="Q384" s="1"/>
      <c r="R384" s="1"/>
      <c r="S384" s="1"/>
      <c r="T384" s="1"/>
      <c r="U384" s="1"/>
      <c r="V384" s="1"/>
      <c r="W384" s="1"/>
    </row>
    <row r="385">
      <c r="A385" s="1"/>
      <c r="B385" s="1"/>
      <c r="C385" s="2"/>
      <c r="D385" s="1"/>
      <c r="E385" s="1"/>
      <c r="F385" s="1"/>
      <c r="G385" s="2"/>
      <c r="H385" s="1"/>
      <c r="I385" s="1"/>
      <c r="J385" s="2"/>
      <c r="K385" s="1"/>
      <c r="L385" s="1"/>
      <c r="M385" s="1"/>
      <c r="N385" s="1"/>
      <c r="O385" s="1"/>
      <c r="P385" s="1"/>
      <c r="Q385" s="1"/>
      <c r="R385" s="1"/>
      <c r="S385" s="1"/>
      <c r="T385" s="1"/>
      <c r="U385" s="1"/>
      <c r="V385" s="1"/>
      <c r="W385" s="1"/>
    </row>
    <row r="386">
      <c r="A386" s="1"/>
      <c r="B386" s="1"/>
      <c r="C386" s="2"/>
      <c r="D386" s="1"/>
      <c r="E386" s="1"/>
      <c r="F386" s="1"/>
      <c r="G386" s="2"/>
      <c r="H386" s="1"/>
      <c r="I386" s="1"/>
      <c r="J386" s="2"/>
      <c r="K386" s="1"/>
      <c r="L386" s="1"/>
      <c r="M386" s="1"/>
      <c r="N386" s="1"/>
      <c r="O386" s="1"/>
      <c r="P386" s="1"/>
      <c r="Q386" s="1"/>
      <c r="R386" s="1"/>
      <c r="S386" s="1"/>
      <c r="T386" s="1"/>
      <c r="U386" s="1"/>
      <c r="V386" s="1"/>
      <c r="W386" s="1"/>
    </row>
    <row r="387">
      <c r="A387" s="1"/>
      <c r="B387" s="1"/>
      <c r="C387" s="2"/>
      <c r="D387" s="1"/>
      <c r="E387" s="1"/>
      <c r="F387" s="1"/>
      <c r="G387" s="2"/>
      <c r="H387" s="1"/>
      <c r="I387" s="1"/>
      <c r="J387" s="2"/>
      <c r="K387" s="1"/>
      <c r="L387" s="1"/>
      <c r="M387" s="1"/>
      <c r="N387" s="1"/>
      <c r="O387" s="1"/>
      <c r="P387" s="1"/>
      <c r="Q387" s="1"/>
      <c r="R387" s="1"/>
      <c r="S387" s="1"/>
      <c r="T387" s="1"/>
      <c r="U387" s="1"/>
      <c r="V387" s="1"/>
      <c r="W387" s="1"/>
    </row>
    <row r="388">
      <c r="A388" s="1"/>
      <c r="B388" s="1"/>
      <c r="C388" s="2"/>
      <c r="D388" s="1"/>
      <c r="E388" s="1"/>
      <c r="F388" s="1"/>
      <c r="G388" s="2"/>
      <c r="H388" s="1"/>
      <c r="I388" s="1"/>
      <c r="J388" s="2"/>
      <c r="K388" s="1"/>
      <c r="L388" s="1"/>
      <c r="M388" s="1"/>
      <c r="N388" s="1"/>
      <c r="O388" s="1"/>
      <c r="P388" s="1"/>
      <c r="Q388" s="1"/>
      <c r="R388" s="1"/>
      <c r="S388" s="1"/>
      <c r="T388" s="1"/>
      <c r="U388" s="1"/>
      <c r="V388" s="1"/>
      <c r="W388" s="1"/>
    </row>
    <row r="389">
      <c r="A389" s="1"/>
      <c r="B389" s="1"/>
      <c r="C389" s="2"/>
      <c r="D389" s="1"/>
      <c r="E389" s="1"/>
      <c r="F389" s="1"/>
      <c r="G389" s="2"/>
      <c r="H389" s="1"/>
      <c r="I389" s="1"/>
      <c r="J389" s="2"/>
      <c r="K389" s="1"/>
      <c r="L389" s="1"/>
      <c r="M389" s="1"/>
      <c r="N389" s="1"/>
      <c r="O389" s="1"/>
      <c r="P389" s="1"/>
      <c r="Q389" s="1"/>
      <c r="R389" s="1"/>
      <c r="S389" s="1"/>
      <c r="T389" s="1"/>
      <c r="U389" s="1"/>
      <c r="V389" s="1"/>
      <c r="W389" s="1"/>
    </row>
    <row r="390">
      <c r="A390" s="1"/>
      <c r="B390" s="1"/>
      <c r="C390" s="2"/>
      <c r="D390" s="1"/>
      <c r="E390" s="1"/>
      <c r="F390" s="1"/>
      <c r="G390" s="2"/>
      <c r="H390" s="1"/>
      <c r="I390" s="1"/>
      <c r="J390" s="2"/>
      <c r="K390" s="1"/>
      <c r="L390" s="1"/>
      <c r="M390" s="1"/>
      <c r="N390" s="1"/>
      <c r="O390" s="1"/>
      <c r="P390" s="1"/>
      <c r="Q390" s="1"/>
      <c r="R390" s="1"/>
      <c r="S390" s="1"/>
      <c r="T390" s="1"/>
      <c r="U390" s="1"/>
      <c r="V390" s="1"/>
      <c r="W390" s="1"/>
    </row>
    <row r="391">
      <c r="A391" s="1"/>
      <c r="B391" s="1"/>
      <c r="C391" s="2"/>
      <c r="D391" s="1"/>
      <c r="E391" s="1"/>
      <c r="F391" s="1"/>
      <c r="G391" s="2"/>
      <c r="H391" s="1"/>
      <c r="I391" s="1"/>
      <c r="J391" s="2"/>
      <c r="K391" s="1"/>
      <c r="L391" s="1"/>
      <c r="M391" s="1"/>
      <c r="N391" s="1"/>
      <c r="O391" s="1"/>
      <c r="P391" s="1"/>
      <c r="Q391" s="1"/>
      <c r="R391" s="1"/>
      <c r="S391" s="1"/>
      <c r="T391" s="1"/>
      <c r="U391" s="1"/>
      <c r="V391" s="1"/>
      <c r="W391" s="1"/>
    </row>
    <row r="392">
      <c r="A392" s="1"/>
      <c r="B392" s="1"/>
      <c r="C392" s="2"/>
      <c r="D392" s="1"/>
      <c r="E392" s="1"/>
      <c r="F392" s="1"/>
      <c r="G392" s="2"/>
      <c r="H392" s="1"/>
      <c r="I392" s="1"/>
      <c r="J392" s="2"/>
      <c r="K392" s="1"/>
      <c r="L392" s="1"/>
      <c r="M392" s="1"/>
      <c r="N392" s="1"/>
      <c r="O392" s="1"/>
      <c r="P392" s="1"/>
      <c r="Q392" s="1"/>
      <c r="R392" s="1"/>
      <c r="S392" s="1"/>
      <c r="T392" s="1"/>
      <c r="U392" s="1"/>
      <c r="V392" s="1"/>
      <c r="W392" s="1"/>
    </row>
    <row r="393">
      <c r="A393" s="1"/>
      <c r="B393" s="1"/>
      <c r="C393" s="2"/>
      <c r="D393" s="1"/>
      <c r="E393" s="1"/>
      <c r="F393" s="1"/>
      <c r="G393" s="2"/>
      <c r="H393" s="1"/>
      <c r="I393" s="1"/>
      <c r="J393" s="2"/>
      <c r="K393" s="1"/>
      <c r="L393" s="1"/>
      <c r="M393" s="1"/>
      <c r="N393" s="1"/>
      <c r="O393" s="1"/>
      <c r="P393" s="1"/>
      <c r="Q393" s="1"/>
      <c r="R393" s="1"/>
      <c r="S393" s="1"/>
      <c r="T393" s="1"/>
      <c r="U393" s="1"/>
      <c r="V393" s="1"/>
      <c r="W393" s="1"/>
    </row>
    <row r="394">
      <c r="A394" s="1"/>
      <c r="B394" s="1"/>
      <c r="C394" s="2"/>
      <c r="D394" s="1"/>
      <c r="E394" s="1"/>
      <c r="F394" s="1"/>
      <c r="G394" s="2"/>
      <c r="H394" s="1"/>
      <c r="I394" s="1"/>
      <c r="J394" s="2"/>
      <c r="K394" s="1"/>
      <c r="L394" s="1"/>
      <c r="M394" s="1"/>
      <c r="N394" s="1"/>
      <c r="O394" s="1"/>
      <c r="P394" s="1"/>
      <c r="Q394" s="1"/>
      <c r="R394" s="1"/>
      <c r="S394" s="1"/>
      <c r="T394" s="1"/>
      <c r="U394" s="1"/>
      <c r="V394" s="1"/>
      <c r="W394" s="1"/>
    </row>
    <row r="395">
      <c r="A395" s="1"/>
      <c r="B395" s="1"/>
      <c r="C395" s="2"/>
      <c r="D395" s="1"/>
      <c r="E395" s="1"/>
      <c r="F395" s="1"/>
      <c r="G395" s="2"/>
      <c r="H395" s="1"/>
      <c r="I395" s="1"/>
      <c r="J395" s="2"/>
      <c r="K395" s="1"/>
      <c r="L395" s="1"/>
      <c r="M395" s="1"/>
      <c r="N395" s="1"/>
      <c r="O395" s="1"/>
      <c r="P395" s="1"/>
      <c r="Q395" s="1"/>
      <c r="R395" s="1"/>
      <c r="S395" s="1"/>
      <c r="T395" s="1"/>
      <c r="U395" s="1"/>
      <c r="V395" s="1"/>
      <c r="W395" s="1"/>
    </row>
    <row r="396">
      <c r="A396" s="1"/>
      <c r="B396" s="1"/>
      <c r="C396" s="2"/>
      <c r="D396" s="1"/>
      <c r="E396" s="1"/>
      <c r="F396" s="1"/>
      <c r="G396" s="2"/>
      <c r="H396" s="1"/>
      <c r="I396" s="1"/>
      <c r="J396" s="2"/>
      <c r="K396" s="1"/>
      <c r="L396" s="1"/>
      <c r="M396" s="1"/>
      <c r="N396" s="1"/>
      <c r="O396" s="1"/>
      <c r="P396" s="1"/>
      <c r="Q396" s="1"/>
      <c r="R396" s="1"/>
      <c r="S396" s="1"/>
      <c r="T396" s="1"/>
      <c r="U396" s="1"/>
      <c r="V396" s="1"/>
      <c r="W396" s="1"/>
    </row>
    <row r="397">
      <c r="A397" s="1"/>
      <c r="B397" s="1"/>
      <c r="C397" s="2"/>
      <c r="D397" s="1"/>
      <c r="E397" s="1"/>
      <c r="F397" s="1"/>
      <c r="G397" s="2"/>
      <c r="H397" s="1"/>
      <c r="I397" s="1"/>
      <c r="J397" s="2"/>
      <c r="K397" s="1"/>
      <c r="L397" s="1"/>
      <c r="M397" s="1"/>
      <c r="N397" s="1"/>
      <c r="O397" s="1"/>
      <c r="P397" s="1"/>
      <c r="Q397" s="1"/>
      <c r="R397" s="1"/>
      <c r="S397" s="1"/>
      <c r="T397" s="1"/>
      <c r="U397" s="1"/>
      <c r="V397" s="1"/>
      <c r="W397" s="1"/>
    </row>
    <row r="398">
      <c r="A398" s="1"/>
      <c r="B398" s="1"/>
      <c r="C398" s="2"/>
      <c r="D398" s="1"/>
      <c r="E398" s="1"/>
      <c r="F398" s="1"/>
      <c r="G398" s="2"/>
      <c r="H398" s="1"/>
      <c r="I398" s="1"/>
      <c r="J398" s="2"/>
      <c r="K398" s="1"/>
      <c r="L398" s="1"/>
      <c r="M398" s="1"/>
      <c r="N398" s="1"/>
      <c r="O398" s="1"/>
      <c r="P398" s="1"/>
      <c r="Q398" s="1"/>
      <c r="R398" s="1"/>
      <c r="S398" s="1"/>
      <c r="T398" s="1"/>
      <c r="U398" s="1"/>
      <c r="V398" s="1"/>
      <c r="W398" s="1"/>
    </row>
    <row r="399">
      <c r="A399" s="1"/>
      <c r="B399" s="1"/>
      <c r="C399" s="2"/>
      <c r="D399" s="1"/>
      <c r="E399" s="1"/>
      <c r="F399" s="1"/>
      <c r="G399" s="2"/>
      <c r="H399" s="1"/>
      <c r="I399" s="1"/>
      <c r="J399" s="2"/>
      <c r="K399" s="1"/>
      <c r="L399" s="1"/>
      <c r="M399" s="1"/>
      <c r="N399" s="1"/>
      <c r="O399" s="1"/>
      <c r="P399" s="1"/>
      <c r="Q399" s="1"/>
      <c r="R399" s="1"/>
      <c r="S399" s="1"/>
      <c r="T399" s="1"/>
      <c r="U399" s="1"/>
      <c r="V399" s="1"/>
      <c r="W399" s="1"/>
    </row>
    <row r="400">
      <c r="A400" s="1"/>
      <c r="B400" s="1"/>
      <c r="C400" s="2"/>
      <c r="D400" s="1"/>
      <c r="E400" s="1"/>
      <c r="F400" s="1"/>
      <c r="G400" s="2"/>
      <c r="H400" s="1"/>
      <c r="I400" s="1"/>
      <c r="J400" s="2"/>
      <c r="K400" s="1"/>
      <c r="L400" s="1"/>
      <c r="M400" s="1"/>
      <c r="N400" s="1"/>
      <c r="O400" s="1"/>
      <c r="P400" s="1"/>
      <c r="Q400" s="1"/>
      <c r="R400" s="1"/>
      <c r="S400" s="1"/>
      <c r="T400" s="1"/>
      <c r="U400" s="1"/>
      <c r="V400" s="1"/>
      <c r="W400" s="1"/>
    </row>
    <row r="401">
      <c r="A401" s="1"/>
      <c r="B401" s="1"/>
      <c r="C401" s="2"/>
      <c r="D401" s="1"/>
      <c r="E401" s="1"/>
      <c r="F401" s="1"/>
      <c r="G401" s="2"/>
      <c r="H401" s="1"/>
      <c r="I401" s="1"/>
      <c r="J401" s="2"/>
      <c r="K401" s="1"/>
      <c r="L401" s="1"/>
      <c r="M401" s="1"/>
      <c r="N401" s="1"/>
      <c r="O401" s="1"/>
      <c r="P401" s="1"/>
      <c r="Q401" s="1"/>
      <c r="R401" s="1"/>
      <c r="S401" s="1"/>
      <c r="T401" s="1"/>
      <c r="U401" s="1"/>
      <c r="V401" s="1"/>
      <c r="W401" s="1"/>
    </row>
    <row r="402">
      <c r="A402" s="1"/>
      <c r="B402" s="1"/>
      <c r="C402" s="2"/>
      <c r="D402" s="1"/>
      <c r="E402" s="1"/>
      <c r="F402" s="1"/>
      <c r="G402" s="2"/>
      <c r="H402" s="1"/>
      <c r="I402" s="1"/>
      <c r="J402" s="2"/>
      <c r="K402" s="1"/>
      <c r="L402" s="1"/>
      <c r="M402" s="1"/>
      <c r="N402" s="1"/>
      <c r="O402" s="1"/>
      <c r="P402" s="1"/>
      <c r="Q402" s="1"/>
      <c r="R402" s="1"/>
      <c r="S402" s="1"/>
      <c r="T402" s="1"/>
      <c r="U402" s="1"/>
      <c r="V402" s="1"/>
      <c r="W402" s="1"/>
    </row>
    <row r="403">
      <c r="A403" s="1"/>
      <c r="B403" s="1"/>
      <c r="C403" s="2"/>
      <c r="D403" s="1"/>
      <c r="E403" s="1"/>
      <c r="F403" s="1"/>
      <c r="G403" s="2"/>
      <c r="H403" s="1"/>
      <c r="I403" s="1"/>
      <c r="J403" s="2"/>
      <c r="K403" s="1"/>
      <c r="L403" s="1"/>
      <c r="M403" s="1"/>
      <c r="N403" s="1"/>
      <c r="O403" s="1"/>
      <c r="P403" s="1"/>
      <c r="Q403" s="1"/>
      <c r="R403" s="1"/>
      <c r="S403" s="1"/>
      <c r="T403" s="1"/>
      <c r="U403" s="1"/>
      <c r="V403" s="1"/>
      <c r="W403" s="1"/>
    </row>
    <row r="404">
      <c r="A404" s="1"/>
      <c r="B404" s="1"/>
      <c r="C404" s="2"/>
      <c r="D404" s="1"/>
      <c r="E404" s="1"/>
      <c r="F404" s="1"/>
      <c r="G404" s="2"/>
      <c r="H404" s="1"/>
      <c r="I404" s="1"/>
      <c r="J404" s="2"/>
      <c r="K404" s="1"/>
      <c r="L404" s="1"/>
      <c r="M404" s="1"/>
      <c r="N404" s="1"/>
      <c r="O404" s="1"/>
      <c r="P404" s="1"/>
      <c r="Q404" s="1"/>
      <c r="R404" s="1"/>
      <c r="S404" s="1"/>
      <c r="T404" s="1"/>
      <c r="U404" s="1"/>
      <c r="V404" s="1"/>
      <c r="W404" s="1"/>
    </row>
    <row r="405">
      <c r="A405" s="1"/>
      <c r="B405" s="1"/>
      <c r="C405" s="2"/>
      <c r="D405" s="1"/>
      <c r="E405" s="1"/>
      <c r="F405" s="1"/>
      <c r="G405" s="2"/>
      <c r="H405" s="1"/>
      <c r="I405" s="1"/>
      <c r="J405" s="2"/>
      <c r="K405" s="1"/>
      <c r="L405" s="1"/>
      <c r="M405" s="1"/>
      <c r="N405" s="1"/>
      <c r="O405" s="1"/>
      <c r="P405" s="1"/>
      <c r="Q405" s="1"/>
      <c r="R405" s="1"/>
      <c r="S405" s="1"/>
      <c r="T405" s="1"/>
      <c r="U405" s="1"/>
      <c r="V405" s="1"/>
      <c r="W405" s="1"/>
    </row>
    <row r="406">
      <c r="A406" s="1"/>
      <c r="B406" s="1"/>
      <c r="C406" s="2"/>
      <c r="D406" s="1"/>
      <c r="E406" s="1"/>
      <c r="F406" s="1"/>
      <c r="G406" s="2"/>
      <c r="H406" s="1"/>
      <c r="I406" s="1"/>
      <c r="J406" s="2"/>
      <c r="K406" s="1"/>
      <c r="L406" s="1"/>
      <c r="M406" s="1"/>
      <c r="N406" s="1"/>
      <c r="O406" s="1"/>
      <c r="P406" s="1"/>
      <c r="Q406" s="1"/>
      <c r="R406" s="1"/>
      <c r="S406" s="1"/>
      <c r="T406" s="1"/>
      <c r="U406" s="1"/>
      <c r="V406" s="1"/>
      <c r="W406" s="1"/>
    </row>
    <row r="407">
      <c r="A407" s="1"/>
      <c r="B407" s="1"/>
      <c r="C407" s="2"/>
      <c r="D407" s="1"/>
      <c r="E407" s="1"/>
      <c r="F407" s="1"/>
      <c r="G407" s="2"/>
      <c r="H407" s="1"/>
      <c r="I407" s="1"/>
      <c r="J407" s="2"/>
      <c r="K407" s="1"/>
      <c r="L407" s="1"/>
      <c r="M407" s="1"/>
      <c r="N407" s="1"/>
      <c r="O407" s="1"/>
      <c r="P407" s="1"/>
      <c r="Q407" s="1"/>
      <c r="R407" s="1"/>
      <c r="S407" s="1"/>
      <c r="T407" s="1"/>
      <c r="U407" s="1"/>
      <c r="V407" s="1"/>
      <c r="W407" s="1"/>
    </row>
    <row r="408">
      <c r="A408" s="1"/>
      <c r="B408" s="1"/>
      <c r="C408" s="2"/>
      <c r="D408" s="1"/>
      <c r="E408" s="1"/>
      <c r="F408" s="1"/>
      <c r="G408" s="2"/>
      <c r="H408" s="1"/>
      <c r="I408" s="1"/>
      <c r="J408" s="2"/>
      <c r="K408" s="1"/>
      <c r="L408" s="1"/>
      <c r="M408" s="1"/>
      <c r="N408" s="1"/>
      <c r="O408" s="1"/>
      <c r="P408" s="1"/>
      <c r="Q408" s="1"/>
      <c r="R408" s="1"/>
      <c r="S408" s="1"/>
      <c r="T408" s="1"/>
      <c r="U408" s="1"/>
      <c r="V408" s="1"/>
      <c r="W408" s="1"/>
    </row>
    <row r="409">
      <c r="A409" s="1"/>
      <c r="B409" s="1"/>
      <c r="C409" s="2"/>
      <c r="D409" s="1"/>
      <c r="E409" s="1"/>
      <c r="F409" s="1"/>
      <c r="G409" s="2"/>
      <c r="H409" s="1"/>
      <c r="I409" s="1"/>
      <c r="J409" s="2"/>
      <c r="K409" s="1"/>
      <c r="L409" s="1"/>
      <c r="M409" s="1"/>
      <c r="N409" s="1"/>
      <c r="O409" s="1"/>
      <c r="P409" s="1"/>
      <c r="Q409" s="1"/>
      <c r="R409" s="1"/>
      <c r="S409" s="1"/>
      <c r="T409" s="1"/>
      <c r="U409" s="1"/>
      <c r="V409" s="1"/>
      <c r="W409" s="1"/>
    </row>
    <row r="410">
      <c r="A410" s="1"/>
      <c r="B410" s="1"/>
      <c r="C410" s="2"/>
      <c r="D410" s="1"/>
      <c r="E410" s="1"/>
      <c r="F410" s="1"/>
      <c r="G410" s="2"/>
      <c r="H410" s="1"/>
      <c r="I410" s="1"/>
      <c r="J410" s="2"/>
      <c r="K410" s="1"/>
      <c r="L410" s="1"/>
      <c r="M410" s="1"/>
      <c r="N410" s="1"/>
      <c r="O410" s="1"/>
      <c r="P410" s="1"/>
      <c r="Q410" s="1"/>
      <c r="R410" s="1"/>
      <c r="S410" s="1"/>
      <c r="T410" s="1"/>
      <c r="U410" s="1"/>
      <c r="V410" s="1"/>
      <c r="W410" s="1"/>
    </row>
    <row r="411">
      <c r="A411" s="1"/>
      <c r="B411" s="1"/>
      <c r="C411" s="2"/>
      <c r="D411" s="1"/>
      <c r="E411" s="1"/>
      <c r="F411" s="1"/>
      <c r="G411" s="2"/>
      <c r="H411" s="1"/>
      <c r="I411" s="1"/>
      <c r="J411" s="2"/>
      <c r="K411" s="1"/>
      <c r="L411" s="1"/>
      <c r="M411" s="1"/>
      <c r="N411" s="1"/>
      <c r="O411" s="1"/>
      <c r="P411" s="1"/>
      <c r="Q411" s="1"/>
      <c r="R411" s="1"/>
      <c r="S411" s="1"/>
      <c r="T411" s="1"/>
      <c r="U411" s="1"/>
      <c r="V411" s="1"/>
      <c r="W411" s="1"/>
    </row>
    <row r="412">
      <c r="A412" s="1"/>
      <c r="B412" s="1"/>
      <c r="C412" s="2"/>
      <c r="D412" s="1"/>
      <c r="E412" s="1"/>
      <c r="F412" s="1"/>
      <c r="G412" s="2"/>
      <c r="H412" s="1"/>
      <c r="I412" s="1"/>
      <c r="J412" s="2"/>
      <c r="K412" s="1"/>
      <c r="L412" s="1"/>
      <c r="M412" s="1"/>
      <c r="N412" s="1"/>
      <c r="O412" s="1"/>
      <c r="P412" s="1"/>
      <c r="Q412" s="1"/>
      <c r="R412" s="1"/>
      <c r="S412" s="1"/>
      <c r="T412" s="1"/>
      <c r="U412" s="1"/>
      <c r="V412" s="1"/>
      <c r="W412" s="1"/>
    </row>
    <row r="413">
      <c r="A413" s="1"/>
      <c r="B413" s="1"/>
      <c r="C413" s="2"/>
      <c r="D413" s="1"/>
      <c r="E413" s="1"/>
      <c r="F413" s="1"/>
      <c r="G413" s="2"/>
      <c r="H413" s="1"/>
      <c r="I413" s="1"/>
      <c r="J413" s="2"/>
      <c r="K413" s="1"/>
      <c r="L413" s="1"/>
      <c r="M413" s="1"/>
      <c r="N413" s="1"/>
      <c r="O413" s="1"/>
      <c r="P413" s="1"/>
      <c r="Q413" s="1"/>
      <c r="R413" s="1"/>
      <c r="S413" s="1"/>
      <c r="T413" s="1"/>
      <c r="U413" s="1"/>
      <c r="V413" s="1"/>
      <c r="W413" s="1"/>
    </row>
    <row r="414">
      <c r="A414" s="1"/>
      <c r="B414" s="1"/>
      <c r="C414" s="2"/>
      <c r="D414" s="1"/>
      <c r="E414" s="1"/>
      <c r="F414" s="1"/>
      <c r="G414" s="2"/>
      <c r="H414" s="1"/>
      <c r="I414" s="1"/>
      <c r="J414" s="2"/>
      <c r="K414" s="1"/>
      <c r="L414" s="1"/>
      <c r="M414" s="1"/>
      <c r="N414" s="1"/>
      <c r="O414" s="1"/>
      <c r="P414" s="1"/>
      <c r="Q414" s="1"/>
      <c r="R414" s="1"/>
      <c r="S414" s="1"/>
      <c r="T414" s="1"/>
      <c r="U414" s="1"/>
      <c r="V414" s="1"/>
      <c r="W414" s="1"/>
    </row>
    <row r="415">
      <c r="A415" s="1"/>
      <c r="B415" s="1"/>
      <c r="C415" s="2"/>
      <c r="D415" s="1"/>
      <c r="E415" s="1"/>
      <c r="F415" s="1"/>
      <c r="G415" s="2"/>
      <c r="H415" s="1"/>
      <c r="I415" s="1"/>
      <c r="J415" s="2"/>
      <c r="K415" s="1"/>
      <c r="L415" s="1"/>
      <c r="M415" s="1"/>
      <c r="N415" s="1"/>
      <c r="O415" s="1"/>
      <c r="P415" s="1"/>
      <c r="Q415" s="1"/>
      <c r="R415" s="1"/>
      <c r="S415" s="1"/>
      <c r="T415" s="1"/>
      <c r="U415" s="1"/>
      <c r="V415" s="1"/>
      <c r="W415" s="1"/>
    </row>
    <row r="416">
      <c r="A416" s="1"/>
      <c r="B416" s="1"/>
      <c r="C416" s="2"/>
      <c r="D416" s="1"/>
      <c r="E416" s="1"/>
      <c r="F416" s="1"/>
      <c r="G416" s="2"/>
      <c r="H416" s="1"/>
      <c r="I416" s="1"/>
      <c r="J416" s="2"/>
      <c r="K416" s="1"/>
      <c r="L416" s="1"/>
      <c r="M416" s="1"/>
      <c r="N416" s="1"/>
      <c r="O416" s="1"/>
      <c r="P416" s="1"/>
      <c r="Q416" s="1"/>
      <c r="R416" s="1"/>
      <c r="S416" s="1"/>
      <c r="T416" s="1"/>
      <c r="U416" s="1"/>
      <c r="V416" s="1"/>
      <c r="W416" s="1"/>
    </row>
    <row r="417">
      <c r="A417" s="1"/>
      <c r="B417" s="1"/>
      <c r="C417" s="2"/>
      <c r="D417" s="1"/>
      <c r="E417" s="1"/>
      <c r="F417" s="1"/>
      <c r="G417" s="2"/>
      <c r="H417" s="1"/>
      <c r="I417" s="1"/>
      <c r="J417" s="2"/>
      <c r="K417" s="1"/>
      <c r="L417" s="1"/>
      <c r="M417" s="1"/>
      <c r="N417" s="1"/>
      <c r="O417" s="1"/>
      <c r="P417" s="1"/>
      <c r="Q417" s="1"/>
      <c r="R417" s="1"/>
      <c r="S417" s="1"/>
      <c r="T417" s="1"/>
      <c r="U417" s="1"/>
      <c r="V417" s="1"/>
      <c r="W417" s="1"/>
    </row>
    <row r="418">
      <c r="A418" s="1"/>
      <c r="B418" s="1"/>
      <c r="C418" s="2"/>
      <c r="D418" s="1"/>
      <c r="E418" s="1"/>
      <c r="F418" s="1"/>
      <c r="G418" s="2"/>
      <c r="H418" s="1"/>
      <c r="I418" s="1"/>
      <c r="J418" s="2"/>
      <c r="K418" s="1"/>
      <c r="L418" s="1"/>
      <c r="M418" s="1"/>
      <c r="N418" s="1"/>
      <c r="O418" s="1"/>
      <c r="P418" s="1"/>
      <c r="Q418" s="1"/>
      <c r="R418" s="1"/>
      <c r="S418" s="1"/>
      <c r="T418" s="1"/>
      <c r="U418" s="1"/>
      <c r="V418" s="1"/>
      <c r="W418" s="1"/>
    </row>
    <row r="419">
      <c r="A419" s="1"/>
      <c r="B419" s="1"/>
      <c r="C419" s="2"/>
      <c r="D419" s="1"/>
      <c r="E419" s="1"/>
      <c r="F419" s="1"/>
      <c r="G419" s="2"/>
      <c r="H419" s="1"/>
      <c r="I419" s="1"/>
      <c r="J419" s="2"/>
      <c r="K419" s="1"/>
      <c r="L419" s="1"/>
      <c r="M419" s="1"/>
      <c r="N419" s="1"/>
      <c r="O419" s="1"/>
      <c r="P419" s="1"/>
      <c r="Q419" s="1"/>
      <c r="R419" s="1"/>
      <c r="S419" s="1"/>
      <c r="T419" s="1"/>
      <c r="U419" s="1"/>
      <c r="V419" s="1"/>
      <c r="W419" s="1"/>
    </row>
    <row r="420">
      <c r="A420" s="1"/>
      <c r="B420" s="1"/>
      <c r="C420" s="2"/>
      <c r="D420" s="1"/>
      <c r="E420" s="1"/>
      <c r="F420" s="1"/>
      <c r="G420" s="2"/>
      <c r="H420" s="1"/>
      <c r="I420" s="1"/>
      <c r="J420" s="2"/>
      <c r="K420" s="1"/>
      <c r="L420" s="1"/>
      <c r="M420" s="1"/>
      <c r="N420" s="1"/>
      <c r="O420" s="1"/>
      <c r="P420" s="1"/>
      <c r="Q420" s="1"/>
      <c r="R420" s="1"/>
      <c r="S420" s="1"/>
      <c r="T420" s="1"/>
      <c r="U420" s="1"/>
      <c r="V420" s="1"/>
      <c r="W420" s="1"/>
    </row>
    <row r="421">
      <c r="A421" s="1"/>
      <c r="B421" s="1"/>
      <c r="C421" s="2"/>
      <c r="D421" s="1"/>
      <c r="E421" s="1"/>
      <c r="F421" s="1"/>
      <c r="G421" s="2"/>
      <c r="H421" s="1"/>
      <c r="I421" s="1"/>
      <c r="J421" s="2"/>
      <c r="K421" s="1"/>
      <c r="L421" s="1"/>
      <c r="M421" s="1"/>
      <c r="N421" s="1"/>
      <c r="O421" s="1"/>
      <c r="P421" s="1"/>
      <c r="Q421" s="1"/>
      <c r="R421" s="1"/>
      <c r="S421" s="1"/>
      <c r="T421" s="1"/>
      <c r="U421" s="1"/>
      <c r="V421" s="1"/>
      <c r="W421" s="1"/>
    </row>
    <row r="422">
      <c r="A422" s="1"/>
      <c r="B422" s="1"/>
      <c r="C422" s="2"/>
      <c r="D422" s="1"/>
      <c r="E422" s="1"/>
      <c r="F422" s="1"/>
      <c r="G422" s="2"/>
      <c r="H422" s="1"/>
      <c r="I422" s="1"/>
      <c r="J422" s="2"/>
      <c r="K422" s="1"/>
      <c r="L422" s="1"/>
      <c r="M422" s="1"/>
      <c r="N422" s="1"/>
      <c r="O422" s="1"/>
      <c r="P422" s="1"/>
      <c r="Q422" s="1"/>
      <c r="R422" s="1"/>
      <c r="S422" s="1"/>
      <c r="T422" s="1"/>
      <c r="U422" s="1"/>
      <c r="V422" s="1"/>
      <c r="W422" s="1"/>
    </row>
    <row r="423">
      <c r="A423" s="1"/>
      <c r="B423" s="1"/>
      <c r="C423" s="2"/>
      <c r="D423" s="1"/>
      <c r="E423" s="1"/>
      <c r="F423" s="1"/>
      <c r="G423" s="2"/>
      <c r="H423" s="1"/>
      <c r="I423" s="1"/>
      <c r="J423" s="2"/>
      <c r="K423" s="1"/>
      <c r="L423" s="1"/>
      <c r="M423" s="1"/>
      <c r="N423" s="1"/>
      <c r="O423" s="1"/>
      <c r="P423" s="1"/>
      <c r="Q423" s="1"/>
      <c r="R423" s="1"/>
      <c r="S423" s="1"/>
      <c r="T423" s="1"/>
      <c r="U423" s="1"/>
      <c r="V423" s="1"/>
      <c r="W423" s="1"/>
    </row>
    <row r="424">
      <c r="A424" s="1"/>
      <c r="B424" s="1"/>
      <c r="C424" s="2"/>
      <c r="D424" s="1"/>
      <c r="E424" s="1"/>
      <c r="F424" s="1"/>
      <c r="G424" s="2"/>
      <c r="H424" s="1"/>
      <c r="I424" s="1"/>
      <c r="J424" s="2"/>
      <c r="K424" s="1"/>
      <c r="L424" s="1"/>
      <c r="M424" s="1"/>
      <c r="N424" s="1"/>
      <c r="O424" s="1"/>
      <c r="P424" s="1"/>
      <c r="Q424" s="1"/>
      <c r="R424" s="1"/>
      <c r="S424" s="1"/>
      <c r="T424" s="1"/>
      <c r="U424" s="1"/>
      <c r="V424" s="1"/>
      <c r="W424" s="1"/>
    </row>
    <row r="425">
      <c r="A425" s="1"/>
      <c r="B425" s="1"/>
      <c r="C425" s="2"/>
      <c r="D425" s="1"/>
      <c r="E425" s="1"/>
      <c r="F425" s="1"/>
      <c r="G425" s="2"/>
      <c r="H425" s="1"/>
      <c r="I425" s="1"/>
      <c r="J425" s="2"/>
      <c r="K425" s="1"/>
      <c r="L425" s="1"/>
      <c r="M425" s="1"/>
      <c r="N425" s="1"/>
      <c r="O425" s="1"/>
      <c r="P425" s="1"/>
      <c r="Q425" s="1"/>
      <c r="R425" s="1"/>
      <c r="S425" s="1"/>
      <c r="T425" s="1"/>
      <c r="U425" s="1"/>
      <c r="V425" s="1"/>
      <c r="W425" s="1"/>
    </row>
    <row r="426">
      <c r="A426" s="1"/>
      <c r="B426" s="1"/>
      <c r="C426" s="2"/>
      <c r="D426" s="1"/>
      <c r="E426" s="1"/>
      <c r="F426" s="1"/>
      <c r="G426" s="2"/>
      <c r="H426" s="1"/>
      <c r="I426" s="1"/>
      <c r="J426" s="2"/>
      <c r="K426" s="1"/>
      <c r="L426" s="1"/>
      <c r="M426" s="1"/>
      <c r="N426" s="1"/>
      <c r="O426" s="1"/>
      <c r="P426" s="1"/>
      <c r="Q426" s="1"/>
      <c r="R426" s="1"/>
      <c r="S426" s="1"/>
      <c r="T426" s="1"/>
      <c r="U426" s="1"/>
      <c r="V426" s="1"/>
      <c r="W426" s="1"/>
    </row>
    <row r="427">
      <c r="A427" s="1"/>
      <c r="B427" s="1"/>
      <c r="C427" s="2"/>
      <c r="D427" s="1"/>
      <c r="E427" s="1"/>
      <c r="F427" s="1"/>
      <c r="G427" s="2"/>
      <c r="H427" s="1"/>
      <c r="I427" s="1"/>
      <c r="J427" s="2"/>
      <c r="K427" s="1"/>
      <c r="L427" s="1"/>
      <c r="M427" s="1"/>
      <c r="N427" s="1"/>
      <c r="O427" s="1"/>
      <c r="P427" s="1"/>
      <c r="Q427" s="1"/>
      <c r="R427" s="1"/>
      <c r="S427" s="1"/>
      <c r="T427" s="1"/>
      <c r="U427" s="1"/>
      <c r="V427" s="1"/>
      <c r="W427" s="1"/>
    </row>
    <row r="428">
      <c r="A428" s="1"/>
      <c r="B428" s="1"/>
      <c r="C428" s="2"/>
      <c r="D428" s="1"/>
      <c r="E428" s="1"/>
      <c r="F428" s="1"/>
      <c r="G428" s="2"/>
      <c r="H428" s="1"/>
      <c r="I428" s="1"/>
      <c r="J428" s="2"/>
      <c r="K428" s="1"/>
      <c r="L428" s="1"/>
      <c r="M428" s="1"/>
      <c r="N428" s="1"/>
      <c r="O428" s="1"/>
      <c r="P428" s="1"/>
      <c r="Q428" s="1"/>
      <c r="R428" s="1"/>
      <c r="S428" s="1"/>
      <c r="T428" s="1"/>
      <c r="U428" s="1"/>
      <c r="V428" s="1"/>
      <c r="W428" s="1"/>
    </row>
    <row r="429">
      <c r="A429" s="1"/>
      <c r="B429" s="1"/>
      <c r="C429" s="2"/>
      <c r="D429" s="1"/>
      <c r="E429" s="1"/>
      <c r="F429" s="1"/>
      <c r="G429" s="2"/>
      <c r="H429" s="1"/>
      <c r="I429" s="1"/>
      <c r="J429" s="2"/>
      <c r="K429" s="1"/>
      <c r="L429" s="1"/>
      <c r="M429" s="1"/>
      <c r="N429" s="1"/>
      <c r="O429" s="1"/>
      <c r="P429" s="1"/>
      <c r="Q429" s="1"/>
      <c r="R429" s="1"/>
      <c r="S429" s="1"/>
      <c r="T429" s="1"/>
      <c r="U429" s="1"/>
      <c r="V429" s="1"/>
      <c r="W429" s="1"/>
    </row>
    <row r="430">
      <c r="A430" s="1"/>
      <c r="B430" s="1"/>
      <c r="C430" s="2"/>
      <c r="D430" s="1"/>
      <c r="E430" s="1"/>
      <c r="F430" s="1"/>
      <c r="G430" s="2"/>
      <c r="H430" s="1"/>
      <c r="I430" s="1"/>
      <c r="J430" s="2"/>
      <c r="K430" s="1"/>
      <c r="L430" s="1"/>
      <c r="M430" s="1"/>
      <c r="N430" s="1"/>
      <c r="O430" s="1"/>
      <c r="P430" s="1"/>
      <c r="Q430" s="1"/>
      <c r="R430" s="1"/>
      <c r="S430" s="1"/>
      <c r="T430" s="1"/>
      <c r="U430" s="1"/>
      <c r="V430" s="1"/>
      <c r="W430" s="1"/>
    </row>
    <row r="431">
      <c r="A431" s="1"/>
      <c r="B431" s="1"/>
      <c r="C431" s="2"/>
      <c r="D431" s="1"/>
      <c r="E431" s="1"/>
      <c r="F431" s="1"/>
      <c r="G431" s="2"/>
      <c r="H431" s="1"/>
      <c r="I431" s="1"/>
      <c r="J431" s="2"/>
      <c r="K431" s="1"/>
      <c r="L431" s="1"/>
      <c r="M431" s="1"/>
      <c r="N431" s="1"/>
      <c r="O431" s="1"/>
      <c r="P431" s="1"/>
      <c r="Q431" s="1"/>
      <c r="R431" s="1"/>
      <c r="S431" s="1"/>
      <c r="T431" s="1"/>
      <c r="U431" s="1"/>
      <c r="V431" s="1"/>
      <c r="W431" s="1"/>
    </row>
    <row r="432">
      <c r="A432" s="1"/>
      <c r="B432" s="1"/>
      <c r="C432" s="2"/>
      <c r="D432" s="1"/>
      <c r="E432" s="1"/>
      <c r="F432" s="1"/>
      <c r="G432" s="2"/>
      <c r="H432" s="1"/>
      <c r="I432" s="1"/>
      <c r="J432" s="2"/>
      <c r="K432" s="1"/>
      <c r="L432" s="1"/>
      <c r="M432" s="1"/>
      <c r="N432" s="1"/>
      <c r="O432" s="1"/>
      <c r="P432" s="1"/>
      <c r="Q432" s="1"/>
      <c r="R432" s="1"/>
      <c r="S432" s="1"/>
      <c r="T432" s="1"/>
      <c r="U432" s="1"/>
      <c r="V432" s="1"/>
      <c r="W432" s="1"/>
    </row>
    <row r="433">
      <c r="A433" s="1"/>
      <c r="B433" s="1"/>
      <c r="C433" s="2"/>
      <c r="D433" s="1"/>
      <c r="E433" s="1"/>
      <c r="F433" s="1"/>
      <c r="G433" s="2"/>
      <c r="H433" s="1"/>
      <c r="I433" s="1"/>
      <c r="J433" s="2"/>
      <c r="K433" s="1"/>
      <c r="L433" s="1"/>
      <c r="M433" s="1"/>
      <c r="N433" s="1"/>
      <c r="O433" s="1"/>
      <c r="P433" s="1"/>
      <c r="Q433" s="1"/>
      <c r="R433" s="1"/>
      <c r="S433" s="1"/>
      <c r="T433" s="1"/>
      <c r="U433" s="1"/>
      <c r="V433" s="1"/>
      <c r="W433" s="1"/>
    </row>
    <row r="434">
      <c r="A434" s="1"/>
      <c r="B434" s="1"/>
      <c r="C434" s="2"/>
      <c r="D434" s="1"/>
      <c r="E434" s="1"/>
      <c r="F434" s="1"/>
      <c r="G434" s="2"/>
      <c r="H434" s="1"/>
      <c r="I434" s="1"/>
      <c r="J434" s="2"/>
      <c r="K434" s="1"/>
      <c r="L434" s="1"/>
      <c r="M434" s="1"/>
      <c r="N434" s="1"/>
      <c r="O434" s="1"/>
      <c r="P434" s="1"/>
      <c r="Q434" s="1"/>
      <c r="R434" s="1"/>
      <c r="S434" s="1"/>
      <c r="T434" s="1"/>
      <c r="U434" s="1"/>
      <c r="V434" s="1"/>
      <c r="W434" s="1"/>
    </row>
    <row r="435">
      <c r="A435" s="1"/>
      <c r="B435" s="1"/>
      <c r="C435" s="2"/>
      <c r="D435" s="1"/>
      <c r="E435" s="1"/>
      <c r="F435" s="1"/>
      <c r="G435" s="2"/>
      <c r="H435" s="1"/>
      <c r="I435" s="1"/>
      <c r="J435" s="2"/>
      <c r="K435" s="1"/>
      <c r="L435" s="1"/>
      <c r="M435" s="1"/>
      <c r="N435" s="1"/>
      <c r="O435" s="1"/>
      <c r="P435" s="1"/>
      <c r="Q435" s="1"/>
      <c r="R435" s="1"/>
      <c r="S435" s="1"/>
      <c r="T435" s="1"/>
      <c r="U435" s="1"/>
      <c r="V435" s="1"/>
      <c r="W435" s="1"/>
    </row>
    <row r="436">
      <c r="A436" s="1"/>
      <c r="B436" s="1"/>
      <c r="C436" s="2"/>
      <c r="D436" s="1"/>
      <c r="E436" s="1"/>
      <c r="F436" s="1"/>
      <c r="G436" s="2"/>
      <c r="H436" s="1"/>
      <c r="I436" s="1"/>
      <c r="J436" s="2"/>
      <c r="K436" s="1"/>
      <c r="L436" s="1"/>
      <c r="M436" s="1"/>
      <c r="N436" s="1"/>
      <c r="O436" s="1"/>
      <c r="P436" s="1"/>
      <c r="Q436" s="1"/>
      <c r="R436" s="1"/>
      <c r="S436" s="1"/>
      <c r="T436" s="1"/>
      <c r="U436" s="1"/>
      <c r="V436" s="1"/>
      <c r="W436" s="1"/>
    </row>
    <row r="437">
      <c r="A437" s="1"/>
      <c r="B437" s="1"/>
      <c r="C437" s="2"/>
      <c r="D437" s="1"/>
      <c r="E437" s="1"/>
      <c r="F437" s="1"/>
      <c r="G437" s="2"/>
      <c r="H437" s="1"/>
      <c r="I437" s="1"/>
      <c r="J437" s="2"/>
      <c r="K437" s="1"/>
      <c r="L437" s="1"/>
      <c r="M437" s="1"/>
      <c r="N437" s="1"/>
      <c r="O437" s="1"/>
      <c r="P437" s="1"/>
      <c r="Q437" s="1"/>
      <c r="R437" s="1"/>
      <c r="S437" s="1"/>
      <c r="T437" s="1"/>
      <c r="U437" s="1"/>
      <c r="V437" s="1"/>
      <c r="W437" s="1"/>
    </row>
    <row r="438">
      <c r="A438" s="1"/>
      <c r="B438" s="1"/>
      <c r="C438" s="2"/>
      <c r="D438" s="1"/>
      <c r="E438" s="1"/>
      <c r="F438" s="1"/>
      <c r="G438" s="2"/>
      <c r="H438" s="1"/>
      <c r="I438" s="1"/>
      <c r="J438" s="2"/>
      <c r="K438" s="1"/>
      <c r="L438" s="1"/>
      <c r="M438" s="1"/>
      <c r="N438" s="1"/>
      <c r="O438" s="1"/>
      <c r="P438" s="1"/>
      <c r="Q438" s="1"/>
      <c r="R438" s="1"/>
      <c r="S438" s="1"/>
      <c r="T438" s="1"/>
      <c r="U438" s="1"/>
      <c r="V438" s="1"/>
      <c r="W438" s="1"/>
    </row>
    <row r="439">
      <c r="A439" s="1"/>
      <c r="B439" s="1"/>
      <c r="C439" s="2"/>
      <c r="D439" s="1"/>
      <c r="E439" s="1"/>
      <c r="F439" s="1"/>
      <c r="G439" s="2"/>
      <c r="H439" s="1"/>
      <c r="I439" s="1"/>
      <c r="J439" s="2"/>
      <c r="K439" s="1"/>
      <c r="L439" s="1"/>
      <c r="M439" s="1"/>
      <c r="N439" s="1"/>
      <c r="O439" s="1"/>
      <c r="P439" s="1"/>
      <c r="Q439" s="1"/>
      <c r="R439" s="1"/>
      <c r="S439" s="1"/>
      <c r="T439" s="1"/>
      <c r="U439" s="1"/>
      <c r="V439" s="1"/>
      <c r="W439" s="1"/>
    </row>
    <row r="440">
      <c r="A440" s="1"/>
      <c r="B440" s="1"/>
      <c r="C440" s="2"/>
      <c r="D440" s="1"/>
      <c r="E440" s="1"/>
      <c r="F440" s="1"/>
      <c r="G440" s="2"/>
      <c r="H440" s="1"/>
      <c r="I440" s="1"/>
      <c r="J440" s="2"/>
      <c r="K440" s="1"/>
      <c r="L440" s="1"/>
      <c r="M440" s="1"/>
      <c r="N440" s="1"/>
      <c r="O440" s="1"/>
      <c r="P440" s="1"/>
      <c r="Q440" s="1"/>
      <c r="R440" s="1"/>
      <c r="S440" s="1"/>
      <c r="T440" s="1"/>
      <c r="U440" s="1"/>
      <c r="V440" s="1"/>
      <c r="W440" s="1"/>
    </row>
    <row r="441">
      <c r="A441" s="1"/>
      <c r="B441" s="1"/>
      <c r="C441" s="2"/>
      <c r="D441" s="1"/>
      <c r="E441" s="1"/>
      <c r="F441" s="1"/>
      <c r="G441" s="2"/>
      <c r="H441" s="1"/>
      <c r="I441" s="1"/>
      <c r="J441" s="2"/>
      <c r="K441" s="1"/>
      <c r="L441" s="1"/>
      <c r="M441" s="1"/>
      <c r="N441" s="1"/>
      <c r="O441" s="1"/>
      <c r="P441" s="1"/>
      <c r="Q441" s="1"/>
      <c r="R441" s="1"/>
      <c r="S441" s="1"/>
      <c r="T441" s="1"/>
      <c r="U441" s="1"/>
      <c r="V441" s="1"/>
      <c r="W441" s="1"/>
    </row>
    <row r="442">
      <c r="A442" s="1"/>
      <c r="B442" s="1"/>
      <c r="C442" s="2"/>
      <c r="D442" s="1"/>
      <c r="E442" s="1"/>
      <c r="F442" s="1"/>
      <c r="G442" s="2"/>
      <c r="H442" s="1"/>
      <c r="I442" s="1"/>
      <c r="J442" s="2"/>
      <c r="K442" s="1"/>
      <c r="L442" s="1"/>
      <c r="M442" s="1"/>
      <c r="N442" s="1"/>
      <c r="O442" s="1"/>
      <c r="P442" s="1"/>
      <c r="Q442" s="1"/>
      <c r="R442" s="1"/>
      <c r="S442" s="1"/>
      <c r="T442" s="1"/>
      <c r="U442" s="1"/>
      <c r="V442" s="1"/>
      <c r="W442" s="1"/>
    </row>
    <row r="443">
      <c r="A443" s="1"/>
      <c r="B443" s="1"/>
      <c r="C443" s="2"/>
      <c r="D443" s="1"/>
      <c r="E443" s="1"/>
      <c r="F443" s="1"/>
      <c r="G443" s="2"/>
      <c r="H443" s="1"/>
      <c r="I443" s="1"/>
      <c r="J443" s="2"/>
      <c r="K443" s="1"/>
      <c r="L443" s="1"/>
      <c r="M443" s="1"/>
      <c r="N443" s="1"/>
      <c r="O443" s="1"/>
      <c r="P443" s="1"/>
      <c r="Q443" s="1"/>
      <c r="R443" s="1"/>
      <c r="S443" s="1"/>
      <c r="T443" s="1"/>
      <c r="U443" s="1"/>
      <c r="V443" s="1"/>
      <c r="W443" s="1"/>
    </row>
    <row r="444">
      <c r="A444" s="1"/>
      <c r="B444" s="1"/>
      <c r="C444" s="2"/>
      <c r="D444" s="1"/>
      <c r="E444" s="1"/>
      <c r="F444" s="1"/>
      <c r="G444" s="2"/>
      <c r="H444" s="1"/>
      <c r="I444" s="1"/>
      <c r="J444" s="2"/>
      <c r="K444" s="1"/>
      <c r="L444" s="1"/>
      <c r="M444" s="1"/>
      <c r="N444" s="1"/>
      <c r="O444" s="1"/>
      <c r="P444" s="1"/>
      <c r="Q444" s="1"/>
      <c r="R444" s="1"/>
      <c r="S444" s="1"/>
      <c r="T444" s="1"/>
      <c r="U444" s="1"/>
      <c r="V444" s="1"/>
      <c r="W444" s="1"/>
    </row>
    <row r="445">
      <c r="A445" s="1"/>
      <c r="B445" s="1"/>
      <c r="C445" s="2"/>
      <c r="D445" s="1"/>
      <c r="E445" s="1"/>
      <c r="F445" s="1"/>
      <c r="G445" s="2"/>
      <c r="H445" s="1"/>
      <c r="I445" s="1"/>
      <c r="J445" s="2"/>
      <c r="K445" s="1"/>
      <c r="L445" s="1"/>
      <c r="M445" s="1"/>
      <c r="N445" s="1"/>
      <c r="O445" s="1"/>
      <c r="P445" s="1"/>
      <c r="Q445" s="1"/>
      <c r="R445" s="1"/>
      <c r="S445" s="1"/>
      <c r="T445" s="1"/>
      <c r="U445" s="1"/>
      <c r="V445" s="1"/>
      <c r="W445" s="1"/>
    </row>
    <row r="446">
      <c r="A446" s="1"/>
      <c r="B446" s="1"/>
      <c r="C446" s="2"/>
      <c r="D446" s="1"/>
      <c r="E446" s="1"/>
      <c r="F446" s="1"/>
      <c r="G446" s="2"/>
      <c r="H446" s="1"/>
      <c r="I446" s="1"/>
      <c r="J446" s="2"/>
      <c r="K446" s="1"/>
      <c r="L446" s="1"/>
      <c r="M446" s="1"/>
      <c r="N446" s="1"/>
      <c r="O446" s="1"/>
      <c r="P446" s="1"/>
      <c r="Q446" s="1"/>
      <c r="R446" s="1"/>
      <c r="S446" s="1"/>
      <c r="T446" s="1"/>
      <c r="U446" s="1"/>
      <c r="V446" s="1"/>
      <c r="W446" s="1"/>
    </row>
    <row r="447">
      <c r="A447" s="1"/>
      <c r="B447" s="1"/>
      <c r="C447" s="2"/>
      <c r="D447" s="1"/>
      <c r="E447" s="1"/>
      <c r="F447" s="1"/>
      <c r="G447" s="2"/>
      <c r="H447" s="1"/>
      <c r="I447" s="1"/>
      <c r="J447" s="2"/>
      <c r="K447" s="1"/>
      <c r="L447" s="1"/>
      <c r="M447" s="1"/>
      <c r="N447" s="1"/>
      <c r="O447" s="1"/>
      <c r="P447" s="1"/>
      <c r="Q447" s="1"/>
      <c r="R447" s="1"/>
      <c r="S447" s="1"/>
      <c r="T447" s="1"/>
      <c r="U447" s="1"/>
      <c r="V447" s="1"/>
      <c r="W447" s="1"/>
    </row>
    <row r="448">
      <c r="A448" s="1"/>
      <c r="B448" s="1"/>
      <c r="C448" s="2"/>
      <c r="D448" s="1"/>
      <c r="E448" s="1"/>
      <c r="F448" s="1"/>
      <c r="G448" s="2"/>
      <c r="H448" s="1"/>
      <c r="I448" s="1"/>
      <c r="J448" s="2"/>
      <c r="K448" s="1"/>
      <c r="L448" s="1"/>
      <c r="M448" s="1"/>
      <c r="N448" s="1"/>
      <c r="O448" s="1"/>
      <c r="P448" s="1"/>
      <c r="Q448" s="1"/>
      <c r="R448" s="1"/>
      <c r="S448" s="1"/>
      <c r="T448" s="1"/>
      <c r="U448" s="1"/>
      <c r="V448" s="1"/>
      <c r="W448" s="1"/>
    </row>
    <row r="449">
      <c r="A449" s="1"/>
      <c r="B449" s="1"/>
      <c r="C449" s="2"/>
      <c r="D449" s="1"/>
      <c r="E449" s="1"/>
      <c r="F449" s="1"/>
      <c r="G449" s="2"/>
      <c r="H449" s="1"/>
      <c r="I449" s="1"/>
      <c r="J449" s="2"/>
      <c r="K449" s="1"/>
      <c r="L449" s="1"/>
      <c r="M449" s="1"/>
      <c r="N449" s="1"/>
      <c r="O449" s="1"/>
      <c r="P449" s="1"/>
      <c r="Q449" s="1"/>
      <c r="R449" s="1"/>
      <c r="S449" s="1"/>
      <c r="T449" s="1"/>
      <c r="U449" s="1"/>
      <c r="V449" s="1"/>
      <c r="W449" s="1"/>
    </row>
    <row r="450">
      <c r="A450" s="1"/>
      <c r="B450" s="1"/>
      <c r="C450" s="2"/>
      <c r="D450" s="1"/>
      <c r="E450" s="1"/>
      <c r="F450" s="1"/>
      <c r="G450" s="2"/>
      <c r="H450" s="1"/>
      <c r="I450" s="1"/>
      <c r="J450" s="2"/>
      <c r="K450" s="1"/>
      <c r="L450" s="1"/>
      <c r="M450" s="1"/>
      <c r="N450" s="1"/>
      <c r="O450" s="1"/>
      <c r="P450" s="1"/>
      <c r="Q450" s="1"/>
      <c r="R450" s="1"/>
      <c r="S450" s="1"/>
      <c r="T450" s="1"/>
      <c r="U450" s="1"/>
      <c r="V450" s="1"/>
      <c r="W450" s="1"/>
    </row>
    <row r="451">
      <c r="A451" s="1"/>
      <c r="B451" s="1"/>
      <c r="C451" s="2"/>
      <c r="D451" s="1"/>
      <c r="E451" s="1"/>
      <c r="F451" s="1"/>
      <c r="G451" s="2"/>
      <c r="H451" s="1"/>
      <c r="I451" s="1"/>
      <c r="J451" s="2"/>
      <c r="K451" s="1"/>
      <c r="L451" s="1"/>
      <c r="M451" s="1"/>
      <c r="N451" s="1"/>
      <c r="O451" s="1"/>
      <c r="P451" s="1"/>
      <c r="Q451" s="1"/>
      <c r="R451" s="1"/>
      <c r="S451" s="1"/>
      <c r="T451" s="1"/>
      <c r="U451" s="1"/>
      <c r="V451" s="1"/>
      <c r="W451" s="1"/>
    </row>
    <row r="452">
      <c r="A452" s="1"/>
      <c r="B452" s="1"/>
      <c r="C452" s="2"/>
      <c r="D452" s="1"/>
      <c r="E452" s="1"/>
      <c r="F452" s="1"/>
      <c r="G452" s="2"/>
      <c r="H452" s="1"/>
      <c r="I452" s="1"/>
      <c r="J452" s="2"/>
      <c r="K452" s="1"/>
      <c r="L452" s="1"/>
      <c r="M452" s="1"/>
      <c r="N452" s="1"/>
      <c r="O452" s="1"/>
      <c r="P452" s="1"/>
      <c r="Q452" s="1"/>
      <c r="R452" s="1"/>
      <c r="S452" s="1"/>
      <c r="T452" s="1"/>
      <c r="U452" s="1"/>
      <c r="V452" s="1"/>
      <c r="W452" s="1"/>
    </row>
    <row r="453">
      <c r="A453" s="1"/>
      <c r="B453" s="1"/>
      <c r="C453" s="2"/>
      <c r="D453" s="1"/>
      <c r="E453" s="1"/>
      <c r="F453" s="1"/>
      <c r="G453" s="2"/>
      <c r="H453" s="1"/>
      <c r="I453" s="1"/>
      <c r="J453" s="2"/>
      <c r="K453" s="1"/>
      <c r="L453" s="1"/>
      <c r="M453" s="1"/>
      <c r="N453" s="1"/>
      <c r="O453" s="1"/>
      <c r="P453" s="1"/>
      <c r="Q453" s="1"/>
      <c r="R453" s="1"/>
      <c r="S453" s="1"/>
      <c r="T453" s="1"/>
      <c r="U453" s="1"/>
      <c r="V453" s="1"/>
      <c r="W453" s="1"/>
    </row>
    <row r="454">
      <c r="A454" s="1"/>
      <c r="B454" s="1"/>
      <c r="C454" s="2"/>
      <c r="D454" s="1"/>
      <c r="E454" s="1"/>
      <c r="F454" s="1"/>
      <c r="G454" s="2"/>
      <c r="H454" s="1"/>
      <c r="I454" s="1"/>
      <c r="J454" s="2"/>
      <c r="K454" s="1"/>
      <c r="L454" s="1"/>
      <c r="M454" s="1"/>
      <c r="N454" s="1"/>
      <c r="O454" s="1"/>
      <c r="P454" s="1"/>
      <c r="Q454" s="1"/>
      <c r="R454" s="1"/>
      <c r="S454" s="1"/>
      <c r="T454" s="1"/>
      <c r="U454" s="1"/>
      <c r="V454" s="1"/>
      <c r="W454" s="1"/>
    </row>
    <row r="455">
      <c r="A455" s="1"/>
      <c r="B455" s="1"/>
      <c r="C455" s="2"/>
      <c r="D455" s="1"/>
      <c r="E455" s="1"/>
      <c r="F455" s="1"/>
      <c r="G455" s="2"/>
      <c r="H455" s="1"/>
      <c r="I455" s="1"/>
      <c r="J455" s="2"/>
      <c r="K455" s="1"/>
      <c r="L455" s="1"/>
      <c r="M455" s="1"/>
      <c r="N455" s="1"/>
      <c r="O455" s="1"/>
      <c r="P455" s="1"/>
      <c r="Q455" s="1"/>
      <c r="R455" s="1"/>
      <c r="S455" s="1"/>
      <c r="T455" s="1"/>
      <c r="U455" s="1"/>
      <c r="V455" s="1"/>
      <c r="W455" s="1"/>
    </row>
    <row r="456">
      <c r="A456" s="1"/>
      <c r="B456" s="1"/>
      <c r="C456" s="2"/>
      <c r="D456" s="1"/>
      <c r="E456" s="1"/>
      <c r="F456" s="1"/>
      <c r="G456" s="2"/>
      <c r="H456" s="1"/>
      <c r="I456" s="1"/>
      <c r="J456" s="2"/>
      <c r="K456" s="1"/>
      <c r="L456" s="1"/>
      <c r="M456" s="1"/>
      <c r="N456" s="1"/>
      <c r="O456" s="1"/>
      <c r="P456" s="1"/>
      <c r="Q456" s="1"/>
      <c r="R456" s="1"/>
      <c r="S456" s="1"/>
      <c r="T456" s="1"/>
      <c r="U456" s="1"/>
      <c r="V456" s="1"/>
      <c r="W456" s="1"/>
    </row>
    <row r="457">
      <c r="A457" s="1"/>
      <c r="B457" s="1"/>
      <c r="C457" s="2"/>
      <c r="D457" s="1"/>
      <c r="E457" s="1"/>
      <c r="F457" s="1"/>
      <c r="G457" s="2"/>
      <c r="H457" s="1"/>
      <c r="I457" s="1"/>
      <c r="J457" s="2"/>
      <c r="K457" s="1"/>
      <c r="L457" s="1"/>
      <c r="M457" s="1"/>
      <c r="N457" s="1"/>
      <c r="O457" s="1"/>
      <c r="P457" s="1"/>
      <c r="Q457" s="1"/>
      <c r="R457" s="1"/>
      <c r="S457" s="1"/>
      <c r="T457" s="1"/>
      <c r="U457" s="1"/>
      <c r="V457" s="1"/>
      <c r="W457" s="1"/>
    </row>
    <row r="458">
      <c r="A458" s="1"/>
      <c r="B458" s="1"/>
      <c r="C458" s="2"/>
      <c r="D458" s="1"/>
      <c r="E458" s="1"/>
      <c r="F458" s="1"/>
      <c r="G458" s="2"/>
      <c r="H458" s="1"/>
      <c r="I458" s="1"/>
      <c r="J458" s="2"/>
      <c r="K458" s="1"/>
      <c r="L458" s="1"/>
      <c r="M458" s="1"/>
      <c r="N458" s="1"/>
      <c r="O458" s="1"/>
      <c r="P458" s="1"/>
      <c r="Q458" s="1"/>
      <c r="R458" s="1"/>
      <c r="S458" s="1"/>
      <c r="T458" s="1"/>
      <c r="U458" s="1"/>
      <c r="V458" s="1"/>
      <c r="W458" s="1"/>
    </row>
    <row r="459">
      <c r="A459" s="1"/>
      <c r="B459" s="1"/>
      <c r="C459" s="2"/>
      <c r="D459" s="1"/>
      <c r="E459" s="1"/>
      <c r="F459" s="1"/>
      <c r="G459" s="2"/>
      <c r="H459" s="1"/>
      <c r="I459" s="1"/>
      <c r="J459" s="2"/>
      <c r="K459" s="1"/>
      <c r="L459" s="1"/>
      <c r="M459" s="1"/>
      <c r="N459" s="1"/>
      <c r="O459" s="1"/>
      <c r="P459" s="1"/>
      <c r="Q459" s="1"/>
      <c r="R459" s="1"/>
      <c r="S459" s="1"/>
      <c r="T459" s="1"/>
      <c r="U459" s="1"/>
      <c r="V459" s="1"/>
      <c r="W459" s="1"/>
    </row>
    <row r="460">
      <c r="A460" s="1"/>
      <c r="B460" s="1"/>
      <c r="C460" s="2"/>
      <c r="D460" s="1"/>
      <c r="E460" s="1"/>
      <c r="F460" s="1"/>
      <c r="G460" s="2"/>
      <c r="H460" s="1"/>
      <c r="I460" s="1"/>
      <c r="J460" s="2"/>
      <c r="K460" s="1"/>
      <c r="L460" s="1"/>
      <c r="M460" s="1"/>
      <c r="N460" s="1"/>
      <c r="O460" s="1"/>
      <c r="P460" s="1"/>
      <c r="Q460" s="1"/>
      <c r="R460" s="1"/>
      <c r="S460" s="1"/>
      <c r="T460" s="1"/>
      <c r="U460" s="1"/>
      <c r="V460" s="1"/>
      <c r="W460" s="1"/>
    </row>
    <row r="461">
      <c r="A461" s="1"/>
      <c r="B461" s="1"/>
      <c r="C461" s="2"/>
      <c r="D461" s="1"/>
      <c r="E461" s="1"/>
      <c r="F461" s="1"/>
      <c r="G461" s="2"/>
      <c r="H461" s="1"/>
      <c r="I461" s="1"/>
      <c r="J461" s="2"/>
      <c r="K461" s="1"/>
      <c r="L461" s="1"/>
      <c r="M461" s="1"/>
      <c r="N461" s="1"/>
      <c r="O461" s="1"/>
      <c r="P461" s="1"/>
      <c r="Q461" s="1"/>
      <c r="R461" s="1"/>
      <c r="S461" s="1"/>
      <c r="T461" s="1"/>
      <c r="U461" s="1"/>
      <c r="V461" s="1"/>
      <c r="W461" s="1"/>
    </row>
    <row r="462">
      <c r="A462" s="1"/>
      <c r="B462" s="1"/>
      <c r="C462" s="2"/>
      <c r="D462" s="1"/>
      <c r="E462" s="1"/>
      <c r="F462" s="1"/>
      <c r="G462" s="2"/>
      <c r="H462" s="1"/>
      <c r="I462" s="1"/>
      <c r="J462" s="2"/>
      <c r="K462" s="1"/>
      <c r="L462" s="1"/>
      <c r="M462" s="1"/>
      <c r="N462" s="1"/>
      <c r="O462" s="1"/>
      <c r="P462" s="1"/>
      <c r="Q462" s="1"/>
      <c r="R462" s="1"/>
      <c r="S462" s="1"/>
      <c r="T462" s="1"/>
      <c r="U462" s="1"/>
      <c r="V462" s="1"/>
      <c r="W462" s="1"/>
    </row>
    <row r="463">
      <c r="A463" s="1"/>
      <c r="B463" s="1"/>
      <c r="C463" s="2"/>
      <c r="D463" s="1"/>
      <c r="E463" s="1"/>
      <c r="F463" s="1"/>
      <c r="G463" s="2"/>
      <c r="H463" s="1"/>
      <c r="I463" s="1"/>
      <c r="J463" s="2"/>
      <c r="K463" s="1"/>
      <c r="L463" s="1"/>
      <c r="M463" s="1"/>
      <c r="N463" s="1"/>
      <c r="O463" s="1"/>
      <c r="P463" s="1"/>
      <c r="Q463" s="1"/>
      <c r="R463" s="1"/>
      <c r="S463" s="1"/>
      <c r="T463" s="1"/>
      <c r="U463" s="1"/>
      <c r="V463" s="1"/>
      <c r="W463" s="1"/>
    </row>
    <row r="464">
      <c r="A464" s="1"/>
      <c r="B464" s="1"/>
      <c r="C464" s="2"/>
      <c r="D464" s="1"/>
      <c r="E464" s="1"/>
      <c r="F464" s="1"/>
      <c r="G464" s="2"/>
      <c r="H464" s="1"/>
      <c r="I464" s="1"/>
      <c r="J464" s="2"/>
      <c r="K464" s="1"/>
      <c r="L464" s="1"/>
      <c r="M464" s="1"/>
      <c r="N464" s="1"/>
      <c r="O464" s="1"/>
      <c r="P464" s="1"/>
      <c r="Q464" s="1"/>
      <c r="R464" s="1"/>
      <c r="S464" s="1"/>
      <c r="T464" s="1"/>
      <c r="U464" s="1"/>
      <c r="V464" s="1"/>
      <c r="W464" s="1"/>
    </row>
    <row r="465">
      <c r="A465" s="1"/>
      <c r="B465" s="1"/>
      <c r="C465" s="2"/>
      <c r="D465" s="1"/>
      <c r="E465" s="1"/>
      <c r="F465" s="1"/>
      <c r="G465" s="2"/>
      <c r="H465" s="1"/>
      <c r="I465" s="1"/>
      <c r="J465" s="2"/>
      <c r="K465" s="1"/>
      <c r="L465" s="1"/>
      <c r="M465" s="1"/>
      <c r="N465" s="1"/>
      <c r="O465" s="1"/>
      <c r="P465" s="1"/>
      <c r="Q465" s="1"/>
      <c r="R465" s="1"/>
      <c r="S465" s="1"/>
      <c r="T465" s="1"/>
      <c r="U465" s="1"/>
      <c r="V465" s="1"/>
      <c r="W465" s="1"/>
    </row>
    <row r="466">
      <c r="A466" s="1"/>
      <c r="B466" s="1"/>
      <c r="C466" s="2"/>
      <c r="D466" s="1"/>
      <c r="E466" s="1"/>
      <c r="F466" s="1"/>
      <c r="G466" s="2"/>
      <c r="H466" s="1"/>
      <c r="I466" s="1"/>
      <c r="J466" s="2"/>
      <c r="K466" s="1"/>
      <c r="L466" s="1"/>
      <c r="M466" s="1"/>
      <c r="N466" s="1"/>
      <c r="O466" s="1"/>
      <c r="P466" s="1"/>
      <c r="Q466" s="1"/>
      <c r="R466" s="1"/>
      <c r="S466" s="1"/>
      <c r="T466" s="1"/>
      <c r="U466" s="1"/>
      <c r="V466" s="1"/>
      <c r="W466" s="1"/>
    </row>
    <row r="467">
      <c r="A467" s="1"/>
      <c r="B467" s="1"/>
      <c r="C467" s="2"/>
      <c r="D467" s="1"/>
      <c r="E467" s="1"/>
      <c r="F467" s="1"/>
      <c r="G467" s="2"/>
      <c r="H467" s="1"/>
      <c r="I467" s="1"/>
      <c r="J467" s="2"/>
      <c r="K467" s="1"/>
      <c r="L467" s="1"/>
      <c r="M467" s="1"/>
      <c r="N467" s="1"/>
      <c r="O467" s="1"/>
      <c r="P467" s="1"/>
      <c r="Q467" s="1"/>
      <c r="R467" s="1"/>
      <c r="S467" s="1"/>
      <c r="T467" s="1"/>
      <c r="U467" s="1"/>
      <c r="V467" s="1"/>
      <c r="W467" s="1"/>
    </row>
    <row r="468">
      <c r="A468" s="1"/>
      <c r="B468" s="1"/>
      <c r="C468" s="2"/>
      <c r="D468" s="1"/>
      <c r="E468" s="1"/>
      <c r="F468" s="1"/>
      <c r="G468" s="2"/>
      <c r="H468" s="1"/>
      <c r="I468" s="1"/>
      <c r="J468" s="2"/>
      <c r="K468" s="1"/>
      <c r="L468" s="1"/>
      <c r="M468" s="1"/>
      <c r="N468" s="1"/>
      <c r="O468" s="1"/>
      <c r="P468" s="1"/>
      <c r="Q468" s="1"/>
      <c r="R468" s="1"/>
      <c r="S468" s="1"/>
      <c r="T468" s="1"/>
      <c r="U468" s="1"/>
      <c r="V468" s="1"/>
      <c r="W468" s="1"/>
    </row>
    <row r="469">
      <c r="A469" s="1"/>
      <c r="B469" s="1"/>
      <c r="C469" s="2"/>
      <c r="D469" s="1"/>
      <c r="E469" s="1"/>
      <c r="F469" s="1"/>
      <c r="G469" s="2"/>
      <c r="H469" s="1"/>
      <c r="I469" s="1"/>
      <c r="J469" s="2"/>
      <c r="K469" s="1"/>
      <c r="L469" s="1"/>
      <c r="M469" s="1"/>
      <c r="N469" s="1"/>
      <c r="O469" s="1"/>
      <c r="P469" s="1"/>
      <c r="Q469" s="1"/>
      <c r="R469" s="1"/>
      <c r="S469" s="1"/>
      <c r="T469" s="1"/>
      <c r="U469" s="1"/>
      <c r="V469" s="1"/>
      <c r="W469" s="1"/>
    </row>
    <row r="470">
      <c r="A470" s="1"/>
      <c r="B470" s="1"/>
      <c r="C470" s="2"/>
      <c r="D470" s="1"/>
      <c r="E470" s="1"/>
      <c r="F470" s="1"/>
      <c r="G470" s="2"/>
      <c r="H470" s="1"/>
      <c r="I470" s="1"/>
      <c r="J470" s="2"/>
      <c r="K470" s="1"/>
      <c r="L470" s="1"/>
      <c r="M470" s="1"/>
      <c r="N470" s="1"/>
      <c r="O470" s="1"/>
      <c r="P470" s="1"/>
      <c r="Q470" s="1"/>
      <c r="R470" s="1"/>
      <c r="S470" s="1"/>
      <c r="T470" s="1"/>
      <c r="U470" s="1"/>
      <c r="V470" s="1"/>
      <c r="W470" s="1"/>
    </row>
    <row r="471">
      <c r="A471" s="1"/>
      <c r="B471" s="1"/>
      <c r="C471" s="2"/>
      <c r="D471" s="1"/>
      <c r="E471" s="1"/>
      <c r="F471" s="1"/>
      <c r="G471" s="2"/>
      <c r="H471" s="1"/>
      <c r="I471" s="1"/>
      <c r="J471" s="2"/>
      <c r="K471" s="1"/>
      <c r="L471" s="1"/>
      <c r="M471" s="1"/>
      <c r="N471" s="1"/>
      <c r="O471" s="1"/>
      <c r="P471" s="1"/>
      <c r="Q471" s="1"/>
      <c r="R471" s="1"/>
      <c r="S471" s="1"/>
      <c r="T471" s="1"/>
      <c r="U471" s="1"/>
      <c r="V471" s="1"/>
      <c r="W471" s="1"/>
    </row>
    <row r="472">
      <c r="A472" s="1"/>
      <c r="B472" s="1"/>
      <c r="C472" s="2"/>
      <c r="D472" s="1"/>
      <c r="E472" s="1"/>
      <c r="F472" s="1"/>
      <c r="G472" s="2"/>
      <c r="H472" s="1"/>
      <c r="I472" s="1"/>
      <c r="J472" s="2"/>
      <c r="K472" s="1"/>
      <c r="L472" s="1"/>
      <c r="M472" s="1"/>
      <c r="N472" s="1"/>
      <c r="O472" s="1"/>
      <c r="P472" s="1"/>
      <c r="Q472" s="1"/>
      <c r="R472" s="1"/>
      <c r="S472" s="1"/>
      <c r="T472" s="1"/>
      <c r="U472" s="1"/>
      <c r="V472" s="1"/>
      <c r="W472" s="1"/>
    </row>
    <row r="473">
      <c r="A473" s="1"/>
      <c r="B473" s="1"/>
      <c r="C473" s="2"/>
      <c r="D473" s="1"/>
      <c r="E473" s="1"/>
      <c r="F473" s="1"/>
      <c r="G473" s="2"/>
      <c r="H473" s="1"/>
      <c r="I473" s="1"/>
      <c r="J473" s="2"/>
      <c r="K473" s="1"/>
      <c r="L473" s="1"/>
      <c r="M473" s="1"/>
      <c r="N473" s="1"/>
      <c r="O473" s="1"/>
      <c r="P473" s="1"/>
      <c r="Q473" s="1"/>
      <c r="R473" s="1"/>
      <c r="S473" s="1"/>
      <c r="T473" s="1"/>
      <c r="U473" s="1"/>
      <c r="V473" s="1"/>
      <c r="W473" s="1"/>
    </row>
    <row r="474">
      <c r="A474" s="1"/>
      <c r="B474" s="1"/>
      <c r="C474" s="2"/>
      <c r="D474" s="1"/>
      <c r="E474" s="1"/>
      <c r="F474" s="1"/>
      <c r="G474" s="2"/>
      <c r="H474" s="1"/>
      <c r="I474" s="1"/>
      <c r="J474" s="2"/>
      <c r="K474" s="1"/>
      <c r="L474" s="1"/>
      <c r="M474" s="1"/>
      <c r="N474" s="1"/>
      <c r="O474" s="1"/>
      <c r="P474" s="1"/>
      <c r="Q474" s="1"/>
      <c r="R474" s="1"/>
      <c r="S474" s="1"/>
      <c r="T474" s="1"/>
      <c r="U474" s="1"/>
      <c r="V474" s="1"/>
      <c r="W474" s="1"/>
    </row>
    <row r="475">
      <c r="A475" s="1"/>
      <c r="B475" s="1"/>
      <c r="C475" s="2"/>
      <c r="D475" s="1"/>
      <c r="E475" s="1"/>
      <c r="F475" s="1"/>
      <c r="G475" s="2"/>
      <c r="H475" s="1"/>
      <c r="I475" s="1"/>
      <c r="J475" s="2"/>
      <c r="K475" s="1"/>
      <c r="L475" s="1"/>
      <c r="M475" s="1"/>
      <c r="N475" s="1"/>
      <c r="O475" s="1"/>
      <c r="P475" s="1"/>
      <c r="Q475" s="1"/>
      <c r="R475" s="1"/>
      <c r="S475" s="1"/>
      <c r="T475" s="1"/>
      <c r="U475" s="1"/>
      <c r="V475" s="1"/>
      <c r="W475" s="1"/>
    </row>
    <row r="476">
      <c r="A476" s="1"/>
      <c r="B476" s="1"/>
      <c r="C476" s="2"/>
      <c r="D476" s="1"/>
      <c r="E476" s="1"/>
      <c r="F476" s="1"/>
      <c r="G476" s="2"/>
      <c r="H476" s="1"/>
      <c r="I476" s="1"/>
      <c r="J476" s="2"/>
      <c r="K476" s="1"/>
      <c r="L476" s="1"/>
      <c r="M476" s="1"/>
      <c r="N476" s="1"/>
      <c r="O476" s="1"/>
      <c r="P476" s="1"/>
      <c r="Q476" s="1"/>
      <c r="R476" s="1"/>
      <c r="S476" s="1"/>
      <c r="T476" s="1"/>
      <c r="U476" s="1"/>
      <c r="V476" s="1"/>
      <c r="W476" s="1"/>
    </row>
    <row r="477">
      <c r="A477" s="1"/>
      <c r="B477" s="1"/>
      <c r="C477" s="2"/>
      <c r="D477" s="1"/>
      <c r="E477" s="1"/>
      <c r="F477" s="1"/>
      <c r="G477" s="2"/>
      <c r="H477" s="1"/>
      <c r="I477" s="1"/>
      <c r="J477" s="2"/>
      <c r="K477" s="1"/>
      <c r="L477" s="1"/>
      <c r="M477" s="1"/>
      <c r="N477" s="1"/>
      <c r="O477" s="1"/>
      <c r="P477" s="1"/>
      <c r="Q477" s="1"/>
      <c r="R477" s="1"/>
      <c r="S477" s="1"/>
      <c r="T477" s="1"/>
      <c r="U477" s="1"/>
      <c r="V477" s="1"/>
      <c r="W477" s="1"/>
    </row>
    <row r="478">
      <c r="A478" s="1"/>
      <c r="B478" s="1"/>
      <c r="C478" s="2"/>
      <c r="D478" s="1"/>
      <c r="E478" s="1"/>
      <c r="F478" s="1"/>
      <c r="G478" s="2"/>
      <c r="H478" s="1"/>
      <c r="I478" s="1"/>
      <c r="J478" s="2"/>
      <c r="K478" s="1"/>
      <c r="L478" s="1"/>
      <c r="M478" s="1"/>
      <c r="N478" s="1"/>
      <c r="O478" s="1"/>
      <c r="P478" s="1"/>
      <c r="Q478" s="1"/>
      <c r="R478" s="1"/>
      <c r="S478" s="1"/>
      <c r="T478" s="1"/>
      <c r="U478" s="1"/>
      <c r="V478" s="1"/>
      <c r="W478" s="1"/>
    </row>
    <row r="479">
      <c r="A479" s="1"/>
      <c r="B479" s="1"/>
      <c r="C479" s="2"/>
      <c r="D479" s="1"/>
      <c r="E479" s="1"/>
      <c r="F479" s="1"/>
      <c r="G479" s="2"/>
      <c r="H479" s="1"/>
      <c r="I479" s="1"/>
      <c r="J479" s="2"/>
      <c r="K479" s="1"/>
      <c r="L479" s="1"/>
      <c r="M479" s="1"/>
      <c r="N479" s="1"/>
      <c r="O479" s="1"/>
      <c r="P479" s="1"/>
      <c r="Q479" s="1"/>
      <c r="R479" s="1"/>
      <c r="S479" s="1"/>
      <c r="T479" s="1"/>
      <c r="U479" s="1"/>
      <c r="V479" s="1"/>
      <c r="W479" s="1"/>
    </row>
    <row r="480">
      <c r="A480" s="1"/>
      <c r="B480" s="1"/>
      <c r="C480" s="2"/>
      <c r="D480" s="1"/>
      <c r="E480" s="1"/>
      <c r="F480" s="1"/>
      <c r="G480" s="2"/>
      <c r="H480" s="1"/>
      <c r="I480" s="1"/>
      <c r="J480" s="2"/>
      <c r="K480" s="1"/>
      <c r="L480" s="1"/>
      <c r="M480" s="1"/>
      <c r="N480" s="1"/>
      <c r="O480" s="1"/>
      <c r="P480" s="1"/>
      <c r="Q480" s="1"/>
      <c r="R480" s="1"/>
      <c r="S480" s="1"/>
      <c r="T480" s="1"/>
      <c r="U480" s="1"/>
      <c r="V480" s="1"/>
      <c r="W480" s="1"/>
    </row>
    <row r="481">
      <c r="A481" s="1"/>
      <c r="B481" s="1"/>
      <c r="C481" s="2"/>
      <c r="D481" s="1"/>
      <c r="E481" s="1"/>
      <c r="F481" s="1"/>
      <c r="G481" s="2"/>
      <c r="H481" s="1"/>
      <c r="I481" s="1"/>
      <c r="J481" s="2"/>
      <c r="K481" s="1"/>
      <c r="L481" s="1"/>
      <c r="M481" s="1"/>
      <c r="N481" s="1"/>
      <c r="O481" s="1"/>
      <c r="P481" s="1"/>
      <c r="Q481" s="1"/>
      <c r="R481" s="1"/>
      <c r="S481" s="1"/>
      <c r="T481" s="1"/>
      <c r="U481" s="1"/>
      <c r="V481" s="1"/>
      <c r="W481" s="1"/>
    </row>
    <row r="482">
      <c r="A482" s="1"/>
      <c r="B482" s="1"/>
      <c r="C482" s="2"/>
      <c r="D482" s="1"/>
      <c r="E482" s="1"/>
      <c r="F482" s="1"/>
      <c r="G482" s="2"/>
      <c r="H482" s="1"/>
      <c r="I482" s="1"/>
      <c r="J482" s="2"/>
      <c r="K482" s="1"/>
      <c r="L482" s="1"/>
      <c r="M482" s="1"/>
      <c r="N482" s="1"/>
      <c r="O482" s="1"/>
      <c r="P482" s="1"/>
      <c r="Q482" s="1"/>
      <c r="R482" s="1"/>
      <c r="S482" s="1"/>
      <c r="T482" s="1"/>
      <c r="U482" s="1"/>
      <c r="V482" s="1"/>
      <c r="W482" s="1"/>
    </row>
    <row r="483">
      <c r="A483" s="1"/>
      <c r="B483" s="1"/>
      <c r="C483" s="2"/>
      <c r="D483" s="1"/>
      <c r="E483" s="1"/>
      <c r="F483" s="1"/>
      <c r="G483" s="2"/>
      <c r="H483" s="1"/>
      <c r="I483" s="1"/>
      <c r="J483" s="2"/>
      <c r="K483" s="1"/>
      <c r="L483" s="1"/>
      <c r="M483" s="1"/>
      <c r="N483" s="1"/>
      <c r="O483" s="1"/>
      <c r="P483" s="1"/>
      <c r="Q483" s="1"/>
      <c r="R483" s="1"/>
      <c r="S483" s="1"/>
      <c r="T483" s="1"/>
      <c r="U483" s="1"/>
      <c r="V483" s="1"/>
      <c r="W483" s="1"/>
    </row>
    <row r="484">
      <c r="A484" s="1"/>
      <c r="B484" s="1"/>
      <c r="C484" s="2"/>
      <c r="D484" s="1"/>
      <c r="E484" s="1"/>
      <c r="F484" s="1"/>
      <c r="G484" s="2"/>
      <c r="H484" s="1"/>
      <c r="I484" s="1"/>
      <c r="J484" s="2"/>
      <c r="K484" s="1"/>
      <c r="L484" s="1"/>
      <c r="M484" s="1"/>
      <c r="N484" s="1"/>
      <c r="O484" s="1"/>
      <c r="P484" s="1"/>
      <c r="Q484" s="1"/>
      <c r="R484" s="1"/>
      <c r="S484" s="1"/>
      <c r="T484" s="1"/>
      <c r="U484" s="1"/>
      <c r="V484" s="1"/>
      <c r="W484" s="1"/>
    </row>
    <row r="485">
      <c r="A485" s="1"/>
      <c r="B485" s="1"/>
      <c r="C485" s="2"/>
      <c r="D485" s="1"/>
      <c r="E485" s="1"/>
      <c r="F485" s="1"/>
      <c r="G485" s="2"/>
      <c r="H485" s="1"/>
      <c r="I485" s="1"/>
      <c r="J485" s="2"/>
      <c r="K485" s="1"/>
      <c r="L485" s="1"/>
      <c r="M485" s="1"/>
      <c r="N485" s="1"/>
      <c r="O485" s="1"/>
      <c r="P485" s="1"/>
      <c r="Q485" s="1"/>
      <c r="R485" s="1"/>
      <c r="S485" s="1"/>
      <c r="T485" s="1"/>
      <c r="U485" s="1"/>
      <c r="V485" s="1"/>
      <c r="W485" s="1"/>
    </row>
    <row r="486">
      <c r="A486" s="1"/>
      <c r="B486" s="1"/>
      <c r="C486" s="2"/>
      <c r="D486" s="1"/>
      <c r="E486" s="1"/>
      <c r="F486" s="1"/>
      <c r="G486" s="2"/>
      <c r="H486" s="1"/>
      <c r="I486" s="1"/>
      <c r="J486" s="2"/>
      <c r="K486" s="1"/>
      <c r="L486" s="1"/>
      <c r="M486" s="1"/>
      <c r="N486" s="1"/>
      <c r="O486" s="1"/>
      <c r="P486" s="1"/>
      <c r="Q486" s="1"/>
      <c r="R486" s="1"/>
      <c r="S486" s="1"/>
      <c r="T486" s="1"/>
      <c r="U486" s="1"/>
      <c r="V486" s="1"/>
      <c r="W486" s="1"/>
    </row>
    <row r="487">
      <c r="A487" s="1"/>
      <c r="B487" s="1"/>
      <c r="C487" s="2"/>
      <c r="D487" s="1"/>
      <c r="E487" s="1"/>
      <c r="F487" s="1"/>
      <c r="G487" s="2"/>
      <c r="H487" s="1"/>
      <c r="I487" s="1"/>
      <c r="J487" s="2"/>
      <c r="K487" s="1"/>
      <c r="L487" s="1"/>
      <c r="M487" s="1"/>
      <c r="N487" s="1"/>
      <c r="O487" s="1"/>
      <c r="P487" s="1"/>
      <c r="Q487" s="1"/>
      <c r="R487" s="1"/>
      <c r="S487" s="1"/>
      <c r="T487" s="1"/>
      <c r="U487" s="1"/>
      <c r="V487" s="1"/>
      <c r="W487" s="1"/>
    </row>
    <row r="488">
      <c r="A488" s="1"/>
      <c r="B488" s="1"/>
      <c r="C488" s="2"/>
      <c r="D488" s="1"/>
      <c r="E488" s="1"/>
      <c r="F488" s="1"/>
      <c r="G488" s="2"/>
      <c r="H488" s="1"/>
      <c r="I488" s="1"/>
      <c r="J488" s="2"/>
      <c r="K488" s="1"/>
      <c r="L488" s="1"/>
      <c r="M488" s="1"/>
      <c r="N488" s="1"/>
      <c r="O488" s="1"/>
      <c r="P488" s="1"/>
      <c r="Q488" s="1"/>
      <c r="R488" s="1"/>
      <c r="S488" s="1"/>
      <c r="T488" s="1"/>
      <c r="U488" s="1"/>
      <c r="V488" s="1"/>
      <c r="W488" s="1"/>
    </row>
    <row r="489">
      <c r="A489" s="1"/>
      <c r="B489" s="1"/>
      <c r="C489" s="2"/>
      <c r="D489" s="1"/>
      <c r="E489" s="1"/>
      <c r="F489" s="1"/>
      <c r="G489" s="2"/>
      <c r="H489" s="1"/>
      <c r="I489" s="1"/>
      <c r="J489" s="2"/>
      <c r="K489" s="1"/>
      <c r="L489" s="1"/>
      <c r="M489" s="1"/>
      <c r="N489" s="1"/>
      <c r="O489" s="1"/>
      <c r="P489" s="1"/>
      <c r="Q489" s="1"/>
      <c r="R489" s="1"/>
      <c r="S489" s="1"/>
      <c r="T489" s="1"/>
      <c r="U489" s="1"/>
      <c r="V489" s="1"/>
      <c r="W489" s="1"/>
    </row>
    <row r="490">
      <c r="A490" s="1"/>
      <c r="B490" s="1"/>
      <c r="C490" s="2"/>
      <c r="D490" s="1"/>
      <c r="E490" s="1"/>
      <c r="F490" s="1"/>
      <c r="G490" s="2"/>
      <c r="H490" s="1"/>
      <c r="I490" s="1"/>
      <c r="J490" s="2"/>
      <c r="K490" s="1"/>
      <c r="L490" s="1"/>
      <c r="M490" s="1"/>
      <c r="N490" s="1"/>
      <c r="O490" s="1"/>
      <c r="P490" s="1"/>
      <c r="Q490" s="1"/>
      <c r="R490" s="1"/>
      <c r="S490" s="1"/>
      <c r="T490" s="1"/>
      <c r="U490" s="1"/>
      <c r="V490" s="1"/>
      <c r="W490" s="1"/>
    </row>
    <row r="491">
      <c r="A491" s="1"/>
      <c r="B491" s="1"/>
      <c r="C491" s="2"/>
      <c r="D491" s="1"/>
      <c r="E491" s="1"/>
      <c r="F491" s="1"/>
      <c r="G491" s="2"/>
      <c r="H491" s="1"/>
      <c r="I491" s="1"/>
      <c r="J491" s="2"/>
      <c r="K491" s="1"/>
      <c r="L491" s="1"/>
      <c r="M491" s="1"/>
      <c r="N491" s="1"/>
      <c r="O491" s="1"/>
      <c r="P491" s="1"/>
      <c r="Q491" s="1"/>
      <c r="R491" s="1"/>
      <c r="S491" s="1"/>
      <c r="T491" s="1"/>
      <c r="U491" s="1"/>
      <c r="V491" s="1"/>
      <c r="W491" s="1"/>
    </row>
    <row r="492">
      <c r="A492" s="1"/>
      <c r="B492" s="1"/>
      <c r="C492" s="2"/>
      <c r="D492" s="1"/>
      <c r="E492" s="1"/>
      <c r="F492" s="1"/>
      <c r="G492" s="2"/>
      <c r="H492" s="1"/>
      <c r="I492" s="1"/>
      <c r="J492" s="2"/>
      <c r="K492" s="1"/>
      <c r="L492" s="1"/>
      <c r="M492" s="1"/>
      <c r="N492" s="1"/>
      <c r="O492" s="1"/>
      <c r="P492" s="1"/>
      <c r="Q492" s="1"/>
      <c r="R492" s="1"/>
      <c r="S492" s="1"/>
      <c r="T492" s="1"/>
      <c r="U492" s="1"/>
      <c r="V492" s="1"/>
      <c r="W492" s="1"/>
    </row>
    <row r="493">
      <c r="A493" s="1"/>
      <c r="B493" s="1"/>
      <c r="C493" s="2"/>
      <c r="D493" s="1"/>
      <c r="E493" s="1"/>
      <c r="F493" s="1"/>
      <c r="G493" s="2"/>
      <c r="H493" s="1"/>
      <c r="I493" s="1"/>
      <c r="J493" s="2"/>
      <c r="K493" s="1"/>
      <c r="L493" s="1"/>
      <c r="M493" s="1"/>
      <c r="N493" s="1"/>
      <c r="O493" s="1"/>
      <c r="P493" s="1"/>
      <c r="Q493" s="1"/>
      <c r="R493" s="1"/>
      <c r="S493" s="1"/>
      <c r="T493" s="1"/>
      <c r="U493" s="1"/>
      <c r="V493" s="1"/>
      <c r="W493" s="1"/>
    </row>
    <row r="494">
      <c r="A494" s="1"/>
      <c r="B494" s="1"/>
      <c r="C494" s="2"/>
      <c r="D494" s="1"/>
      <c r="E494" s="1"/>
      <c r="F494" s="1"/>
      <c r="G494" s="2"/>
      <c r="H494" s="1"/>
      <c r="I494" s="1"/>
      <c r="J494" s="2"/>
      <c r="K494" s="1"/>
      <c r="L494" s="1"/>
      <c r="M494" s="1"/>
      <c r="N494" s="1"/>
      <c r="O494" s="1"/>
      <c r="P494" s="1"/>
      <c r="Q494" s="1"/>
      <c r="R494" s="1"/>
      <c r="S494" s="1"/>
      <c r="T494" s="1"/>
      <c r="U494" s="1"/>
      <c r="V494" s="1"/>
      <c r="W494" s="1"/>
    </row>
    <row r="495">
      <c r="A495" s="1"/>
      <c r="B495" s="1"/>
      <c r="C495" s="2"/>
      <c r="D495" s="1"/>
      <c r="E495" s="1"/>
      <c r="F495" s="1"/>
      <c r="G495" s="2"/>
      <c r="H495" s="1"/>
      <c r="I495" s="1"/>
      <c r="J495" s="2"/>
      <c r="K495" s="1"/>
      <c r="L495" s="1"/>
      <c r="M495" s="1"/>
      <c r="N495" s="1"/>
      <c r="O495" s="1"/>
      <c r="P495" s="1"/>
      <c r="Q495" s="1"/>
      <c r="R495" s="1"/>
      <c r="S495" s="1"/>
      <c r="T495" s="1"/>
      <c r="U495" s="1"/>
      <c r="V495" s="1"/>
      <c r="W495" s="1"/>
    </row>
    <row r="496">
      <c r="A496" s="1"/>
      <c r="B496" s="1"/>
      <c r="C496" s="2"/>
      <c r="D496" s="1"/>
      <c r="E496" s="1"/>
      <c r="F496" s="1"/>
      <c r="G496" s="2"/>
      <c r="H496" s="1"/>
      <c r="I496" s="1"/>
      <c r="J496" s="2"/>
      <c r="K496" s="1"/>
      <c r="L496" s="1"/>
      <c r="M496" s="1"/>
      <c r="N496" s="1"/>
      <c r="O496" s="1"/>
      <c r="P496" s="1"/>
      <c r="Q496" s="1"/>
      <c r="R496" s="1"/>
      <c r="S496" s="1"/>
      <c r="T496" s="1"/>
      <c r="U496" s="1"/>
      <c r="V496" s="1"/>
      <c r="W496" s="1"/>
    </row>
    <row r="497">
      <c r="A497" s="1"/>
      <c r="B497" s="1"/>
      <c r="C497" s="2"/>
      <c r="D497" s="1"/>
      <c r="E497" s="1"/>
      <c r="F497" s="1"/>
      <c r="G497" s="2"/>
      <c r="H497" s="1"/>
      <c r="I497" s="1"/>
      <c r="J497" s="2"/>
      <c r="K497" s="1"/>
      <c r="L497" s="1"/>
      <c r="M497" s="1"/>
      <c r="N497" s="1"/>
      <c r="O497" s="1"/>
      <c r="P497" s="1"/>
      <c r="Q497" s="1"/>
      <c r="R497" s="1"/>
      <c r="S497" s="1"/>
      <c r="T497" s="1"/>
      <c r="U497" s="1"/>
      <c r="V497" s="1"/>
      <c r="W497" s="1"/>
    </row>
    <row r="498">
      <c r="A498" s="1"/>
      <c r="B498" s="1"/>
      <c r="C498" s="2"/>
      <c r="D498" s="1"/>
      <c r="E498" s="1"/>
      <c r="F498" s="1"/>
      <c r="G498" s="2"/>
      <c r="H498" s="1"/>
      <c r="I498" s="1"/>
      <c r="J498" s="2"/>
      <c r="K498" s="1"/>
      <c r="L498" s="1"/>
      <c r="M498" s="1"/>
      <c r="N498" s="1"/>
      <c r="O498" s="1"/>
      <c r="P498" s="1"/>
      <c r="Q498" s="1"/>
      <c r="R498" s="1"/>
      <c r="S498" s="1"/>
      <c r="T498" s="1"/>
      <c r="U498" s="1"/>
      <c r="V498" s="1"/>
      <c r="W498" s="1"/>
    </row>
    <row r="499">
      <c r="A499" s="1"/>
      <c r="B499" s="1"/>
      <c r="C499" s="2"/>
      <c r="D499" s="1"/>
      <c r="E499" s="1"/>
      <c r="F499" s="1"/>
      <c r="G499" s="2"/>
      <c r="H499" s="1"/>
      <c r="I499" s="1"/>
      <c r="J499" s="2"/>
      <c r="K499" s="1"/>
      <c r="L499" s="1"/>
      <c r="M499" s="1"/>
      <c r="N499" s="1"/>
      <c r="O499" s="1"/>
      <c r="P499" s="1"/>
      <c r="Q499" s="1"/>
      <c r="R499" s="1"/>
      <c r="S499" s="1"/>
      <c r="T499" s="1"/>
      <c r="U499" s="1"/>
      <c r="V499" s="1"/>
      <c r="W499" s="1"/>
    </row>
    <row r="500">
      <c r="A500" s="1"/>
      <c r="B500" s="1"/>
      <c r="C500" s="2"/>
      <c r="D500" s="1"/>
      <c r="E500" s="1"/>
      <c r="F500" s="1"/>
      <c r="G500" s="2"/>
      <c r="H500" s="1"/>
      <c r="I500" s="1"/>
      <c r="J500" s="2"/>
      <c r="K500" s="1"/>
      <c r="L500" s="1"/>
      <c r="M500" s="1"/>
      <c r="N500" s="1"/>
      <c r="O500" s="1"/>
      <c r="P500" s="1"/>
      <c r="Q500" s="1"/>
      <c r="R500" s="1"/>
      <c r="S500" s="1"/>
      <c r="T500" s="1"/>
      <c r="U500" s="1"/>
      <c r="V500" s="1"/>
      <c r="W500" s="1"/>
    </row>
    <row r="501">
      <c r="A501" s="1"/>
      <c r="B501" s="1"/>
      <c r="C501" s="2"/>
      <c r="D501" s="1"/>
      <c r="E501" s="1"/>
      <c r="F501" s="1"/>
      <c r="G501" s="2"/>
      <c r="H501" s="1"/>
      <c r="I501" s="1"/>
      <c r="J501" s="2"/>
      <c r="K501" s="1"/>
      <c r="L501" s="1"/>
      <c r="M501" s="1"/>
      <c r="N501" s="1"/>
      <c r="O501" s="1"/>
      <c r="P501" s="1"/>
      <c r="Q501" s="1"/>
      <c r="R501" s="1"/>
      <c r="S501" s="1"/>
      <c r="T501" s="1"/>
      <c r="U501" s="1"/>
      <c r="V501" s="1"/>
      <c r="W501" s="1"/>
    </row>
    <row r="502">
      <c r="A502" s="1"/>
      <c r="B502" s="1"/>
      <c r="C502" s="2"/>
      <c r="D502" s="1"/>
      <c r="E502" s="1"/>
      <c r="F502" s="1"/>
      <c r="G502" s="2"/>
      <c r="H502" s="1"/>
      <c r="I502" s="1"/>
      <c r="J502" s="2"/>
      <c r="K502" s="1"/>
      <c r="L502" s="1"/>
      <c r="M502" s="1"/>
      <c r="N502" s="1"/>
      <c r="O502" s="1"/>
      <c r="P502" s="1"/>
      <c r="Q502" s="1"/>
      <c r="R502" s="1"/>
      <c r="S502" s="1"/>
      <c r="T502" s="1"/>
      <c r="U502" s="1"/>
      <c r="V502" s="1"/>
      <c r="W502" s="1"/>
    </row>
    <row r="503">
      <c r="A503" s="1"/>
      <c r="B503" s="1"/>
      <c r="C503" s="2"/>
      <c r="D503" s="1"/>
      <c r="E503" s="1"/>
      <c r="F503" s="1"/>
      <c r="G503" s="2"/>
      <c r="H503" s="1"/>
      <c r="I503" s="1"/>
      <c r="J503" s="2"/>
      <c r="K503" s="1"/>
      <c r="L503" s="1"/>
      <c r="M503" s="1"/>
      <c r="N503" s="1"/>
      <c r="O503" s="1"/>
      <c r="P503" s="1"/>
      <c r="Q503" s="1"/>
      <c r="R503" s="1"/>
      <c r="S503" s="1"/>
      <c r="T503" s="1"/>
      <c r="U503" s="1"/>
      <c r="V503" s="1"/>
      <c r="W503" s="1"/>
    </row>
    <row r="504">
      <c r="A504" s="1"/>
      <c r="B504" s="1"/>
      <c r="C504" s="2"/>
      <c r="D504" s="1"/>
      <c r="E504" s="1"/>
      <c r="F504" s="1"/>
      <c r="G504" s="2"/>
      <c r="H504" s="1"/>
      <c r="I504" s="1"/>
      <c r="J504" s="2"/>
      <c r="K504" s="1"/>
      <c r="L504" s="1"/>
      <c r="M504" s="1"/>
      <c r="N504" s="1"/>
      <c r="O504" s="1"/>
      <c r="P504" s="1"/>
      <c r="Q504" s="1"/>
      <c r="R504" s="1"/>
      <c r="S504" s="1"/>
      <c r="T504" s="1"/>
      <c r="U504" s="1"/>
      <c r="V504" s="1"/>
      <c r="W504" s="1"/>
    </row>
    <row r="505">
      <c r="A505" s="1"/>
      <c r="B505" s="1"/>
      <c r="C505" s="2"/>
      <c r="D505" s="1"/>
      <c r="E505" s="1"/>
      <c r="F505" s="1"/>
      <c r="G505" s="2"/>
      <c r="H505" s="1"/>
      <c r="I505" s="1"/>
      <c r="J505" s="2"/>
      <c r="K505" s="1"/>
      <c r="L505" s="1"/>
      <c r="M505" s="1"/>
      <c r="N505" s="1"/>
      <c r="O505" s="1"/>
      <c r="P505" s="1"/>
      <c r="Q505" s="1"/>
      <c r="R505" s="1"/>
      <c r="S505" s="1"/>
      <c r="T505" s="1"/>
      <c r="U505" s="1"/>
      <c r="V505" s="1"/>
      <c r="W505" s="1"/>
    </row>
    <row r="506">
      <c r="A506" s="1"/>
      <c r="B506" s="1"/>
      <c r="C506" s="2"/>
      <c r="D506" s="1"/>
      <c r="E506" s="1"/>
      <c r="F506" s="1"/>
      <c r="G506" s="2"/>
      <c r="H506" s="1"/>
      <c r="I506" s="1"/>
      <c r="J506" s="2"/>
      <c r="K506" s="1"/>
      <c r="L506" s="1"/>
      <c r="M506" s="1"/>
      <c r="N506" s="1"/>
      <c r="O506" s="1"/>
      <c r="P506" s="1"/>
      <c r="Q506" s="1"/>
      <c r="R506" s="1"/>
      <c r="S506" s="1"/>
      <c r="T506" s="1"/>
      <c r="U506" s="1"/>
      <c r="V506" s="1"/>
      <c r="W506" s="1"/>
    </row>
    <row r="507">
      <c r="A507" s="1"/>
      <c r="B507" s="1"/>
      <c r="C507" s="2"/>
      <c r="D507" s="1"/>
      <c r="E507" s="1"/>
      <c r="F507" s="1"/>
      <c r="G507" s="2"/>
      <c r="H507" s="1"/>
      <c r="I507" s="1"/>
      <c r="J507" s="2"/>
      <c r="K507" s="1"/>
      <c r="L507" s="1"/>
      <c r="M507" s="1"/>
      <c r="N507" s="1"/>
      <c r="O507" s="1"/>
      <c r="P507" s="1"/>
      <c r="Q507" s="1"/>
      <c r="R507" s="1"/>
      <c r="S507" s="1"/>
      <c r="T507" s="1"/>
      <c r="U507" s="1"/>
      <c r="V507" s="1"/>
      <c r="W507" s="1"/>
    </row>
    <row r="508">
      <c r="A508" s="1"/>
      <c r="B508" s="1"/>
      <c r="C508" s="2"/>
      <c r="D508" s="1"/>
      <c r="E508" s="1"/>
      <c r="F508" s="1"/>
      <c r="G508" s="2"/>
      <c r="H508" s="1"/>
      <c r="I508" s="1"/>
      <c r="J508" s="2"/>
      <c r="K508" s="1"/>
      <c r="L508" s="1"/>
      <c r="M508" s="1"/>
      <c r="N508" s="1"/>
      <c r="O508" s="1"/>
      <c r="P508" s="1"/>
      <c r="Q508" s="1"/>
      <c r="R508" s="1"/>
      <c r="S508" s="1"/>
      <c r="T508" s="1"/>
      <c r="U508" s="1"/>
      <c r="V508" s="1"/>
      <c r="W508" s="1"/>
    </row>
    <row r="509">
      <c r="A509" s="1"/>
      <c r="B509" s="1"/>
      <c r="C509" s="2"/>
      <c r="D509" s="1"/>
      <c r="E509" s="1"/>
      <c r="F509" s="1"/>
      <c r="G509" s="2"/>
      <c r="H509" s="1"/>
      <c r="I509" s="1"/>
      <c r="J509" s="2"/>
      <c r="K509" s="1"/>
      <c r="L509" s="1"/>
      <c r="M509" s="1"/>
      <c r="N509" s="1"/>
      <c r="O509" s="1"/>
      <c r="P509" s="1"/>
      <c r="Q509" s="1"/>
      <c r="R509" s="1"/>
      <c r="S509" s="1"/>
      <c r="T509" s="1"/>
      <c r="U509" s="1"/>
      <c r="V509" s="1"/>
      <c r="W509" s="1"/>
    </row>
    <row r="510">
      <c r="A510" s="1"/>
      <c r="B510" s="1"/>
      <c r="C510" s="2"/>
      <c r="D510" s="1"/>
      <c r="E510" s="1"/>
      <c r="F510" s="1"/>
      <c r="G510" s="2"/>
      <c r="H510" s="1"/>
      <c r="I510" s="1"/>
      <c r="J510" s="2"/>
      <c r="K510" s="1"/>
      <c r="L510" s="1"/>
      <c r="M510" s="1"/>
      <c r="N510" s="1"/>
      <c r="O510" s="1"/>
      <c r="P510" s="1"/>
      <c r="Q510" s="1"/>
      <c r="R510" s="1"/>
      <c r="S510" s="1"/>
      <c r="T510" s="1"/>
      <c r="U510" s="1"/>
      <c r="V510" s="1"/>
      <c r="W510" s="1"/>
    </row>
    <row r="511">
      <c r="A511" s="1"/>
      <c r="B511" s="1"/>
      <c r="C511" s="2"/>
      <c r="D511" s="1"/>
      <c r="E511" s="1"/>
      <c r="F511" s="1"/>
      <c r="G511" s="2"/>
      <c r="H511" s="1"/>
      <c r="I511" s="1"/>
      <c r="J511" s="2"/>
      <c r="K511" s="1"/>
      <c r="L511" s="1"/>
      <c r="M511" s="1"/>
      <c r="N511" s="1"/>
      <c r="O511" s="1"/>
      <c r="P511" s="1"/>
      <c r="Q511" s="1"/>
      <c r="R511" s="1"/>
      <c r="S511" s="1"/>
      <c r="T511" s="1"/>
      <c r="U511" s="1"/>
      <c r="V511" s="1"/>
      <c r="W511" s="1"/>
    </row>
    <row r="512">
      <c r="A512" s="1"/>
      <c r="B512" s="1"/>
      <c r="C512" s="2"/>
      <c r="D512" s="1"/>
      <c r="E512" s="1"/>
      <c r="F512" s="1"/>
      <c r="G512" s="2"/>
      <c r="H512" s="1"/>
      <c r="I512" s="1"/>
      <c r="J512" s="2"/>
      <c r="K512" s="1"/>
      <c r="L512" s="1"/>
      <c r="M512" s="1"/>
      <c r="N512" s="1"/>
      <c r="O512" s="1"/>
      <c r="P512" s="1"/>
      <c r="Q512" s="1"/>
      <c r="R512" s="1"/>
      <c r="S512" s="1"/>
      <c r="T512" s="1"/>
      <c r="U512" s="1"/>
      <c r="V512" s="1"/>
      <c r="W512" s="1"/>
    </row>
    <row r="513">
      <c r="A513" s="1"/>
      <c r="B513" s="1"/>
      <c r="C513" s="2"/>
      <c r="D513" s="1"/>
      <c r="E513" s="1"/>
      <c r="F513" s="1"/>
      <c r="G513" s="2"/>
      <c r="H513" s="1"/>
      <c r="I513" s="1"/>
      <c r="J513" s="2"/>
      <c r="K513" s="1"/>
      <c r="L513" s="1"/>
      <c r="M513" s="1"/>
      <c r="N513" s="1"/>
      <c r="O513" s="1"/>
      <c r="P513" s="1"/>
      <c r="Q513" s="1"/>
      <c r="R513" s="1"/>
      <c r="S513" s="1"/>
      <c r="T513" s="1"/>
      <c r="U513" s="1"/>
      <c r="V513" s="1"/>
      <c r="W513" s="1"/>
    </row>
    <row r="514">
      <c r="A514" s="1"/>
      <c r="B514" s="1"/>
      <c r="C514" s="2"/>
      <c r="D514" s="1"/>
      <c r="E514" s="1"/>
      <c r="F514" s="1"/>
      <c r="G514" s="2"/>
      <c r="H514" s="1"/>
      <c r="I514" s="1"/>
      <c r="J514" s="2"/>
      <c r="K514" s="1"/>
      <c r="L514" s="1"/>
      <c r="M514" s="1"/>
      <c r="N514" s="1"/>
      <c r="O514" s="1"/>
      <c r="P514" s="1"/>
      <c r="Q514" s="1"/>
      <c r="R514" s="1"/>
      <c r="S514" s="1"/>
      <c r="T514" s="1"/>
      <c r="U514" s="1"/>
      <c r="V514" s="1"/>
      <c r="W514" s="1"/>
    </row>
    <row r="515">
      <c r="A515" s="1"/>
      <c r="B515" s="1"/>
      <c r="C515" s="2"/>
      <c r="D515" s="1"/>
      <c r="E515" s="1"/>
      <c r="F515" s="1"/>
      <c r="G515" s="2"/>
      <c r="H515" s="1"/>
      <c r="I515" s="1"/>
      <c r="J515" s="2"/>
      <c r="K515" s="1"/>
      <c r="L515" s="1"/>
      <c r="M515" s="1"/>
      <c r="N515" s="1"/>
      <c r="O515" s="1"/>
      <c r="P515" s="1"/>
      <c r="Q515" s="1"/>
      <c r="R515" s="1"/>
      <c r="S515" s="1"/>
      <c r="T515" s="1"/>
      <c r="U515" s="1"/>
      <c r="V515" s="1"/>
      <c r="W515" s="1"/>
    </row>
    <row r="516">
      <c r="A516" s="1"/>
      <c r="B516" s="1"/>
      <c r="C516" s="2"/>
      <c r="D516" s="1"/>
      <c r="E516" s="1"/>
      <c r="F516" s="1"/>
      <c r="G516" s="2"/>
      <c r="H516" s="1"/>
      <c r="I516" s="1"/>
      <c r="J516" s="2"/>
      <c r="K516" s="1"/>
      <c r="L516" s="1"/>
      <c r="M516" s="1"/>
      <c r="N516" s="1"/>
      <c r="O516" s="1"/>
      <c r="P516" s="1"/>
      <c r="Q516" s="1"/>
      <c r="R516" s="1"/>
      <c r="S516" s="1"/>
      <c r="T516" s="1"/>
      <c r="U516" s="1"/>
      <c r="V516" s="1"/>
      <c r="W516" s="1"/>
    </row>
    <row r="517">
      <c r="A517" s="1"/>
      <c r="B517" s="1"/>
      <c r="C517" s="2"/>
      <c r="D517" s="1"/>
      <c r="E517" s="1"/>
      <c r="F517" s="1"/>
      <c r="G517" s="2"/>
      <c r="H517" s="1"/>
      <c r="I517" s="1"/>
      <c r="J517" s="2"/>
      <c r="K517" s="1"/>
      <c r="L517" s="1"/>
      <c r="M517" s="1"/>
      <c r="N517" s="1"/>
      <c r="O517" s="1"/>
      <c r="P517" s="1"/>
      <c r="Q517" s="1"/>
      <c r="R517" s="1"/>
      <c r="S517" s="1"/>
      <c r="T517" s="1"/>
      <c r="U517" s="1"/>
      <c r="V517" s="1"/>
      <c r="W517" s="1"/>
    </row>
    <row r="518">
      <c r="A518" s="1"/>
      <c r="B518" s="1"/>
      <c r="C518" s="2"/>
      <c r="D518" s="1"/>
      <c r="E518" s="1"/>
      <c r="F518" s="1"/>
      <c r="G518" s="2"/>
      <c r="H518" s="1"/>
      <c r="I518" s="1"/>
      <c r="J518" s="2"/>
      <c r="K518" s="1"/>
      <c r="L518" s="1"/>
      <c r="M518" s="1"/>
      <c r="N518" s="1"/>
      <c r="O518" s="1"/>
      <c r="P518" s="1"/>
      <c r="Q518" s="1"/>
      <c r="R518" s="1"/>
      <c r="S518" s="1"/>
      <c r="T518" s="1"/>
      <c r="U518" s="1"/>
      <c r="V518" s="1"/>
      <c r="W518" s="1"/>
    </row>
    <row r="519">
      <c r="A519" s="1"/>
      <c r="B519" s="1"/>
      <c r="C519" s="2"/>
      <c r="D519" s="1"/>
      <c r="E519" s="1"/>
      <c r="F519" s="1"/>
      <c r="G519" s="2"/>
      <c r="H519" s="1"/>
      <c r="I519" s="1"/>
      <c r="J519" s="2"/>
      <c r="K519" s="1"/>
      <c r="L519" s="1"/>
      <c r="M519" s="1"/>
      <c r="N519" s="1"/>
      <c r="O519" s="1"/>
      <c r="P519" s="1"/>
      <c r="Q519" s="1"/>
      <c r="R519" s="1"/>
      <c r="S519" s="1"/>
      <c r="T519" s="1"/>
      <c r="U519" s="1"/>
      <c r="V519" s="1"/>
      <c r="W519" s="1"/>
    </row>
    <row r="520">
      <c r="A520" s="1"/>
      <c r="B520" s="1"/>
      <c r="C520" s="2"/>
      <c r="D520" s="1"/>
      <c r="E520" s="1"/>
      <c r="F520" s="1"/>
      <c r="G520" s="2"/>
      <c r="H520" s="1"/>
      <c r="I520" s="1"/>
      <c r="J520" s="2"/>
      <c r="K520" s="1"/>
      <c r="L520" s="1"/>
      <c r="M520" s="1"/>
      <c r="N520" s="1"/>
      <c r="O520" s="1"/>
      <c r="P520" s="1"/>
      <c r="Q520" s="1"/>
      <c r="R520" s="1"/>
      <c r="S520" s="1"/>
      <c r="T520" s="1"/>
      <c r="U520" s="1"/>
      <c r="V520" s="1"/>
      <c r="W520" s="1"/>
    </row>
    <row r="521">
      <c r="A521" s="1"/>
      <c r="B521" s="1"/>
      <c r="C521" s="2"/>
      <c r="D521" s="1"/>
      <c r="E521" s="1"/>
      <c r="F521" s="1"/>
      <c r="G521" s="2"/>
      <c r="H521" s="1"/>
      <c r="I521" s="1"/>
      <c r="J521" s="2"/>
      <c r="K521" s="1"/>
      <c r="L521" s="1"/>
      <c r="M521" s="1"/>
      <c r="N521" s="1"/>
      <c r="O521" s="1"/>
      <c r="P521" s="1"/>
      <c r="Q521" s="1"/>
      <c r="R521" s="1"/>
      <c r="S521" s="1"/>
      <c r="T521" s="1"/>
      <c r="U521" s="1"/>
      <c r="V521" s="1"/>
      <c r="W521" s="1"/>
    </row>
    <row r="522">
      <c r="A522" s="1"/>
      <c r="B522" s="1"/>
      <c r="C522" s="2"/>
      <c r="D522" s="1"/>
      <c r="E522" s="1"/>
      <c r="F522" s="1"/>
      <c r="G522" s="2"/>
      <c r="H522" s="1"/>
      <c r="I522" s="1"/>
      <c r="J522" s="2"/>
      <c r="K522" s="1"/>
      <c r="L522" s="1"/>
      <c r="M522" s="1"/>
      <c r="N522" s="1"/>
      <c r="O522" s="1"/>
      <c r="P522" s="1"/>
      <c r="Q522" s="1"/>
      <c r="R522" s="1"/>
      <c r="S522" s="1"/>
      <c r="T522" s="1"/>
      <c r="U522" s="1"/>
      <c r="V522" s="1"/>
      <c r="W522" s="1"/>
    </row>
    <row r="523">
      <c r="A523" s="1"/>
      <c r="B523" s="1"/>
      <c r="C523" s="2"/>
      <c r="D523" s="1"/>
      <c r="E523" s="1"/>
      <c r="F523" s="1"/>
      <c r="G523" s="2"/>
      <c r="H523" s="1"/>
      <c r="I523" s="1"/>
      <c r="J523" s="2"/>
      <c r="K523" s="1"/>
      <c r="L523" s="1"/>
      <c r="M523" s="1"/>
      <c r="N523" s="1"/>
      <c r="O523" s="1"/>
      <c r="P523" s="1"/>
      <c r="Q523" s="1"/>
      <c r="R523" s="1"/>
      <c r="S523" s="1"/>
      <c r="T523" s="1"/>
      <c r="U523" s="1"/>
      <c r="V523" s="1"/>
      <c r="W523" s="1"/>
    </row>
    <row r="524">
      <c r="A524" s="1"/>
      <c r="B524" s="1"/>
      <c r="C524" s="2"/>
      <c r="D524" s="1"/>
      <c r="E524" s="1"/>
      <c r="F524" s="1"/>
      <c r="G524" s="2"/>
      <c r="H524" s="1"/>
      <c r="I524" s="1"/>
      <c r="J524" s="2"/>
      <c r="K524" s="1"/>
      <c r="L524" s="1"/>
      <c r="M524" s="1"/>
      <c r="N524" s="1"/>
      <c r="O524" s="1"/>
      <c r="P524" s="1"/>
      <c r="Q524" s="1"/>
      <c r="R524" s="1"/>
      <c r="S524" s="1"/>
      <c r="T524" s="1"/>
      <c r="U524" s="1"/>
      <c r="V524" s="1"/>
      <c r="W524" s="1"/>
    </row>
    <row r="525">
      <c r="A525" s="1"/>
      <c r="B525" s="1"/>
      <c r="C525" s="2"/>
      <c r="D525" s="1"/>
      <c r="E525" s="1"/>
      <c r="F525" s="1"/>
      <c r="G525" s="2"/>
      <c r="H525" s="1"/>
      <c r="I525" s="1"/>
      <c r="J525" s="2"/>
      <c r="K525" s="1"/>
      <c r="L525" s="1"/>
      <c r="M525" s="1"/>
      <c r="N525" s="1"/>
      <c r="O525" s="1"/>
      <c r="P525" s="1"/>
      <c r="Q525" s="1"/>
      <c r="R525" s="1"/>
      <c r="S525" s="1"/>
      <c r="T525" s="1"/>
      <c r="U525" s="1"/>
      <c r="V525" s="1"/>
      <c r="W525" s="1"/>
    </row>
    <row r="526">
      <c r="A526" s="1"/>
      <c r="B526" s="1"/>
      <c r="C526" s="2"/>
      <c r="D526" s="1"/>
      <c r="E526" s="1"/>
      <c r="F526" s="1"/>
      <c r="G526" s="2"/>
      <c r="H526" s="1"/>
      <c r="I526" s="1"/>
      <c r="J526" s="2"/>
      <c r="K526" s="1"/>
      <c r="L526" s="1"/>
      <c r="M526" s="1"/>
      <c r="N526" s="1"/>
      <c r="O526" s="1"/>
      <c r="P526" s="1"/>
      <c r="Q526" s="1"/>
      <c r="R526" s="1"/>
      <c r="S526" s="1"/>
      <c r="T526" s="1"/>
      <c r="U526" s="1"/>
      <c r="V526" s="1"/>
      <c r="W526" s="1"/>
    </row>
    <row r="527">
      <c r="A527" s="1"/>
      <c r="B527" s="1"/>
      <c r="C527" s="2"/>
      <c r="D527" s="1"/>
      <c r="E527" s="1"/>
      <c r="F527" s="1"/>
      <c r="G527" s="2"/>
      <c r="H527" s="1"/>
      <c r="I527" s="1"/>
      <c r="J527" s="2"/>
      <c r="K527" s="1"/>
      <c r="L527" s="1"/>
      <c r="M527" s="1"/>
      <c r="N527" s="1"/>
      <c r="O527" s="1"/>
      <c r="P527" s="1"/>
      <c r="Q527" s="1"/>
      <c r="R527" s="1"/>
      <c r="S527" s="1"/>
      <c r="T527" s="1"/>
      <c r="U527" s="1"/>
      <c r="V527" s="1"/>
      <c r="W527" s="1"/>
    </row>
    <row r="528">
      <c r="A528" s="1"/>
      <c r="B528" s="1"/>
      <c r="C528" s="2"/>
      <c r="D528" s="1"/>
      <c r="E528" s="1"/>
      <c r="F528" s="1"/>
      <c r="G528" s="2"/>
      <c r="H528" s="1"/>
      <c r="I528" s="1"/>
      <c r="J528" s="2"/>
      <c r="K528" s="1"/>
      <c r="L528" s="1"/>
      <c r="M528" s="1"/>
      <c r="N528" s="1"/>
      <c r="O528" s="1"/>
      <c r="P528" s="1"/>
      <c r="Q528" s="1"/>
      <c r="R528" s="1"/>
      <c r="S528" s="1"/>
      <c r="T528" s="1"/>
      <c r="U528" s="1"/>
      <c r="V528" s="1"/>
      <c r="W528" s="1"/>
    </row>
    <row r="529">
      <c r="A529" s="1"/>
      <c r="B529" s="1"/>
      <c r="C529" s="2"/>
      <c r="D529" s="1"/>
      <c r="E529" s="1"/>
      <c r="F529" s="1"/>
      <c r="G529" s="2"/>
      <c r="H529" s="1"/>
      <c r="I529" s="1"/>
      <c r="J529" s="2"/>
      <c r="K529" s="1"/>
      <c r="L529" s="1"/>
      <c r="M529" s="1"/>
      <c r="N529" s="1"/>
      <c r="O529" s="1"/>
      <c r="P529" s="1"/>
      <c r="Q529" s="1"/>
      <c r="R529" s="1"/>
      <c r="S529" s="1"/>
      <c r="T529" s="1"/>
      <c r="U529" s="1"/>
      <c r="V529" s="1"/>
      <c r="W529" s="1"/>
    </row>
    <row r="530">
      <c r="A530" s="1"/>
      <c r="B530" s="1"/>
      <c r="C530" s="2"/>
      <c r="D530" s="1"/>
      <c r="E530" s="1"/>
      <c r="F530" s="1"/>
      <c r="G530" s="2"/>
      <c r="H530" s="1"/>
      <c r="I530" s="1"/>
      <c r="J530" s="2"/>
      <c r="K530" s="1"/>
      <c r="L530" s="1"/>
      <c r="M530" s="1"/>
      <c r="N530" s="1"/>
      <c r="O530" s="1"/>
      <c r="P530" s="1"/>
      <c r="Q530" s="1"/>
      <c r="R530" s="1"/>
      <c r="S530" s="1"/>
      <c r="T530" s="1"/>
      <c r="U530" s="1"/>
      <c r="V530" s="1"/>
      <c r="W530" s="1"/>
    </row>
    <row r="531">
      <c r="A531" s="1"/>
      <c r="B531" s="1"/>
      <c r="C531" s="2"/>
      <c r="D531" s="1"/>
      <c r="E531" s="1"/>
      <c r="F531" s="1"/>
      <c r="G531" s="2"/>
      <c r="H531" s="1"/>
      <c r="I531" s="1"/>
      <c r="J531" s="2"/>
      <c r="K531" s="1"/>
      <c r="L531" s="1"/>
      <c r="M531" s="1"/>
      <c r="N531" s="1"/>
      <c r="O531" s="1"/>
      <c r="P531" s="1"/>
      <c r="Q531" s="1"/>
      <c r="R531" s="1"/>
      <c r="S531" s="1"/>
      <c r="T531" s="1"/>
      <c r="U531" s="1"/>
      <c r="V531" s="1"/>
      <c r="W531" s="1"/>
    </row>
    <row r="532">
      <c r="A532" s="1"/>
      <c r="B532" s="1"/>
      <c r="C532" s="2"/>
      <c r="D532" s="1"/>
      <c r="E532" s="1"/>
      <c r="F532" s="1"/>
      <c r="G532" s="2"/>
      <c r="H532" s="1"/>
      <c r="I532" s="1"/>
      <c r="J532" s="2"/>
      <c r="K532" s="1"/>
      <c r="L532" s="1"/>
      <c r="M532" s="1"/>
      <c r="N532" s="1"/>
      <c r="O532" s="1"/>
      <c r="P532" s="1"/>
      <c r="Q532" s="1"/>
      <c r="R532" s="1"/>
      <c r="S532" s="1"/>
      <c r="T532" s="1"/>
      <c r="U532" s="1"/>
      <c r="V532" s="1"/>
      <c r="W532" s="1"/>
    </row>
    <row r="533">
      <c r="A533" s="1"/>
      <c r="B533" s="1"/>
      <c r="C533" s="2"/>
      <c r="D533" s="1"/>
      <c r="E533" s="1"/>
      <c r="F533" s="1"/>
      <c r="G533" s="2"/>
      <c r="H533" s="1"/>
      <c r="I533" s="1"/>
      <c r="J533" s="2"/>
      <c r="K533" s="1"/>
      <c r="L533" s="1"/>
      <c r="M533" s="1"/>
      <c r="N533" s="1"/>
      <c r="O533" s="1"/>
      <c r="P533" s="1"/>
      <c r="Q533" s="1"/>
      <c r="R533" s="1"/>
      <c r="S533" s="1"/>
      <c r="T533" s="1"/>
      <c r="U533" s="1"/>
      <c r="V533" s="1"/>
      <c r="W533" s="1"/>
    </row>
    <row r="534">
      <c r="A534" s="1"/>
      <c r="B534" s="1"/>
      <c r="C534" s="2"/>
      <c r="D534" s="1"/>
      <c r="E534" s="1"/>
      <c r="F534" s="1"/>
      <c r="G534" s="2"/>
      <c r="H534" s="1"/>
      <c r="I534" s="1"/>
      <c r="J534" s="2"/>
      <c r="K534" s="1"/>
      <c r="L534" s="1"/>
      <c r="M534" s="1"/>
      <c r="N534" s="1"/>
      <c r="O534" s="1"/>
      <c r="P534" s="1"/>
      <c r="Q534" s="1"/>
      <c r="R534" s="1"/>
      <c r="S534" s="1"/>
      <c r="T534" s="1"/>
      <c r="U534" s="1"/>
      <c r="V534" s="1"/>
      <c r="W534" s="1"/>
    </row>
    <row r="535">
      <c r="A535" s="1"/>
      <c r="B535" s="1"/>
      <c r="C535" s="2"/>
      <c r="D535" s="1"/>
      <c r="E535" s="1"/>
      <c r="F535" s="1"/>
      <c r="G535" s="2"/>
      <c r="H535" s="1"/>
      <c r="I535" s="1"/>
      <c r="J535" s="2"/>
      <c r="K535" s="1"/>
      <c r="L535" s="1"/>
      <c r="M535" s="1"/>
      <c r="N535" s="1"/>
      <c r="O535" s="1"/>
      <c r="P535" s="1"/>
      <c r="Q535" s="1"/>
      <c r="R535" s="1"/>
      <c r="S535" s="1"/>
      <c r="T535" s="1"/>
      <c r="U535" s="1"/>
      <c r="V535" s="1"/>
      <c r="W535" s="1"/>
    </row>
    <row r="536">
      <c r="A536" s="1"/>
      <c r="B536" s="1"/>
      <c r="C536" s="2"/>
      <c r="D536" s="1"/>
      <c r="E536" s="1"/>
      <c r="F536" s="1"/>
      <c r="G536" s="2"/>
      <c r="H536" s="1"/>
      <c r="I536" s="1"/>
      <c r="J536" s="2"/>
      <c r="K536" s="1"/>
      <c r="L536" s="1"/>
      <c r="M536" s="1"/>
      <c r="N536" s="1"/>
      <c r="O536" s="1"/>
      <c r="P536" s="1"/>
      <c r="Q536" s="1"/>
      <c r="R536" s="1"/>
      <c r="S536" s="1"/>
      <c r="T536" s="1"/>
      <c r="U536" s="1"/>
      <c r="V536" s="1"/>
      <c r="W536" s="1"/>
    </row>
    <row r="537">
      <c r="A537" s="1"/>
      <c r="B537" s="1"/>
      <c r="C537" s="2"/>
      <c r="D537" s="1"/>
      <c r="E537" s="1"/>
      <c r="F537" s="1"/>
      <c r="G537" s="2"/>
      <c r="H537" s="1"/>
      <c r="I537" s="1"/>
      <c r="J537" s="2"/>
      <c r="K537" s="1"/>
      <c r="L537" s="1"/>
      <c r="M537" s="1"/>
      <c r="N537" s="1"/>
      <c r="O537" s="1"/>
      <c r="P537" s="1"/>
      <c r="Q537" s="1"/>
      <c r="R537" s="1"/>
      <c r="S537" s="1"/>
      <c r="T537" s="1"/>
      <c r="U537" s="1"/>
      <c r="V537" s="1"/>
      <c r="W537" s="1"/>
    </row>
    <row r="538">
      <c r="A538" s="1"/>
      <c r="B538" s="1"/>
      <c r="C538" s="2"/>
      <c r="D538" s="1"/>
      <c r="E538" s="1"/>
      <c r="F538" s="1"/>
      <c r="G538" s="2"/>
      <c r="H538" s="1"/>
      <c r="I538" s="1"/>
      <c r="J538" s="2"/>
      <c r="K538" s="1"/>
      <c r="L538" s="1"/>
      <c r="M538" s="1"/>
      <c r="N538" s="1"/>
      <c r="O538" s="1"/>
      <c r="P538" s="1"/>
      <c r="Q538" s="1"/>
      <c r="R538" s="1"/>
      <c r="S538" s="1"/>
      <c r="T538" s="1"/>
      <c r="U538" s="1"/>
      <c r="V538" s="1"/>
      <c r="W538" s="1"/>
    </row>
    <row r="539">
      <c r="A539" s="1"/>
      <c r="B539" s="1"/>
      <c r="C539" s="2"/>
      <c r="D539" s="1"/>
      <c r="E539" s="1"/>
      <c r="F539" s="1"/>
      <c r="G539" s="2"/>
      <c r="H539" s="1"/>
      <c r="I539" s="1"/>
      <c r="J539" s="2"/>
      <c r="K539" s="1"/>
      <c r="L539" s="1"/>
      <c r="M539" s="1"/>
      <c r="N539" s="1"/>
      <c r="O539" s="1"/>
      <c r="P539" s="1"/>
      <c r="Q539" s="1"/>
      <c r="R539" s="1"/>
      <c r="S539" s="1"/>
      <c r="T539" s="1"/>
      <c r="U539" s="1"/>
      <c r="V539" s="1"/>
      <c r="W539" s="1"/>
    </row>
    <row r="540">
      <c r="A540" s="1"/>
      <c r="B540" s="1"/>
      <c r="C540" s="2"/>
      <c r="D540" s="1"/>
      <c r="E540" s="1"/>
      <c r="F540" s="1"/>
      <c r="G540" s="2"/>
      <c r="H540" s="1"/>
      <c r="I540" s="1"/>
      <c r="J540" s="2"/>
      <c r="K540" s="1"/>
      <c r="L540" s="1"/>
      <c r="M540" s="1"/>
      <c r="N540" s="1"/>
      <c r="O540" s="1"/>
      <c r="P540" s="1"/>
      <c r="Q540" s="1"/>
      <c r="R540" s="1"/>
      <c r="S540" s="1"/>
      <c r="T540" s="1"/>
      <c r="U540" s="1"/>
      <c r="V540" s="1"/>
      <c r="W540" s="1"/>
    </row>
    <row r="541">
      <c r="A541" s="1"/>
      <c r="B541" s="1"/>
      <c r="C541" s="2"/>
      <c r="D541" s="1"/>
      <c r="E541" s="1"/>
      <c r="F541" s="1"/>
      <c r="G541" s="2"/>
      <c r="H541" s="1"/>
      <c r="I541" s="1"/>
      <c r="J541" s="2"/>
      <c r="K541" s="1"/>
      <c r="L541" s="1"/>
      <c r="M541" s="1"/>
      <c r="N541" s="1"/>
      <c r="O541" s="1"/>
      <c r="P541" s="1"/>
      <c r="Q541" s="1"/>
      <c r="R541" s="1"/>
      <c r="S541" s="1"/>
      <c r="T541" s="1"/>
      <c r="U541" s="1"/>
      <c r="V541" s="1"/>
      <c r="W541" s="1"/>
    </row>
    <row r="542">
      <c r="A542" s="1"/>
      <c r="B542" s="1"/>
      <c r="C542" s="2"/>
      <c r="D542" s="1"/>
      <c r="E542" s="1"/>
      <c r="F542" s="1"/>
      <c r="G542" s="2"/>
      <c r="H542" s="1"/>
      <c r="I542" s="1"/>
      <c r="J542" s="2"/>
      <c r="K542" s="1"/>
      <c r="L542" s="1"/>
      <c r="M542" s="1"/>
      <c r="N542" s="1"/>
      <c r="O542" s="1"/>
      <c r="P542" s="1"/>
      <c r="Q542" s="1"/>
      <c r="R542" s="1"/>
      <c r="S542" s="1"/>
      <c r="T542" s="1"/>
      <c r="U542" s="1"/>
      <c r="V542" s="1"/>
      <c r="W542" s="1"/>
    </row>
    <row r="543">
      <c r="A543" s="1"/>
      <c r="B543" s="1"/>
      <c r="C543" s="2"/>
      <c r="D543" s="1"/>
      <c r="E543" s="1"/>
      <c r="F543" s="1"/>
      <c r="G543" s="2"/>
      <c r="H543" s="1"/>
      <c r="I543" s="1"/>
      <c r="J543" s="2"/>
      <c r="K543" s="1"/>
      <c r="L543" s="1"/>
      <c r="M543" s="1"/>
      <c r="N543" s="1"/>
      <c r="O543" s="1"/>
      <c r="P543" s="1"/>
      <c r="Q543" s="1"/>
      <c r="R543" s="1"/>
      <c r="S543" s="1"/>
      <c r="T543" s="1"/>
      <c r="U543" s="1"/>
      <c r="V543" s="1"/>
      <c r="W543" s="1"/>
    </row>
    <row r="544">
      <c r="A544" s="1"/>
      <c r="B544" s="1"/>
      <c r="C544" s="2"/>
      <c r="D544" s="1"/>
      <c r="E544" s="1"/>
      <c r="F544" s="1"/>
      <c r="G544" s="2"/>
      <c r="H544" s="1"/>
      <c r="I544" s="1"/>
      <c r="J544" s="2"/>
      <c r="K544" s="1"/>
      <c r="L544" s="1"/>
      <c r="M544" s="1"/>
      <c r="N544" s="1"/>
      <c r="O544" s="1"/>
      <c r="P544" s="1"/>
      <c r="Q544" s="1"/>
      <c r="R544" s="1"/>
      <c r="S544" s="1"/>
      <c r="T544" s="1"/>
      <c r="U544" s="1"/>
      <c r="V544" s="1"/>
      <c r="W544" s="1"/>
    </row>
    <row r="545">
      <c r="A545" s="1"/>
      <c r="B545" s="1"/>
      <c r="C545" s="2"/>
      <c r="D545" s="1"/>
      <c r="E545" s="1"/>
      <c r="F545" s="1"/>
      <c r="G545" s="2"/>
      <c r="H545" s="1"/>
      <c r="I545" s="1"/>
      <c r="J545" s="2"/>
      <c r="K545" s="1"/>
      <c r="L545" s="1"/>
      <c r="M545" s="1"/>
      <c r="N545" s="1"/>
      <c r="O545" s="1"/>
      <c r="P545" s="1"/>
      <c r="Q545" s="1"/>
      <c r="R545" s="1"/>
      <c r="S545" s="1"/>
      <c r="T545" s="1"/>
      <c r="U545" s="1"/>
      <c r="V545" s="1"/>
      <c r="W545" s="1"/>
    </row>
    <row r="546">
      <c r="A546" s="1"/>
      <c r="B546" s="1"/>
      <c r="C546" s="2"/>
      <c r="D546" s="1"/>
      <c r="E546" s="1"/>
      <c r="F546" s="1"/>
      <c r="G546" s="2"/>
      <c r="H546" s="1"/>
      <c r="I546" s="1"/>
      <c r="J546" s="2"/>
      <c r="K546" s="1"/>
      <c r="L546" s="1"/>
      <c r="M546" s="1"/>
      <c r="N546" s="1"/>
      <c r="O546" s="1"/>
      <c r="P546" s="1"/>
      <c r="Q546" s="1"/>
      <c r="R546" s="1"/>
      <c r="S546" s="1"/>
      <c r="T546" s="1"/>
      <c r="U546" s="1"/>
      <c r="V546" s="1"/>
      <c r="W546" s="1"/>
    </row>
    <row r="547">
      <c r="A547" s="1"/>
      <c r="B547" s="1"/>
      <c r="C547" s="2"/>
      <c r="D547" s="1"/>
      <c r="E547" s="1"/>
      <c r="F547" s="1"/>
      <c r="G547" s="2"/>
      <c r="H547" s="1"/>
      <c r="I547" s="1"/>
      <c r="J547" s="2"/>
      <c r="K547" s="1"/>
      <c r="L547" s="1"/>
      <c r="M547" s="1"/>
      <c r="N547" s="1"/>
      <c r="O547" s="1"/>
      <c r="P547" s="1"/>
      <c r="Q547" s="1"/>
      <c r="R547" s="1"/>
      <c r="S547" s="1"/>
      <c r="T547" s="1"/>
      <c r="U547" s="1"/>
      <c r="V547" s="1"/>
      <c r="W547" s="1"/>
    </row>
    <row r="548">
      <c r="A548" s="1"/>
      <c r="B548" s="1"/>
      <c r="C548" s="2"/>
      <c r="D548" s="1"/>
      <c r="E548" s="1"/>
      <c r="F548" s="1"/>
      <c r="G548" s="2"/>
      <c r="H548" s="1"/>
      <c r="I548" s="1"/>
      <c r="J548" s="2"/>
      <c r="K548" s="1"/>
      <c r="L548" s="1"/>
      <c r="M548" s="1"/>
      <c r="N548" s="1"/>
      <c r="O548" s="1"/>
      <c r="P548" s="1"/>
      <c r="Q548" s="1"/>
      <c r="R548" s="1"/>
      <c r="S548" s="1"/>
      <c r="T548" s="1"/>
      <c r="U548" s="1"/>
      <c r="V548" s="1"/>
      <c r="W548" s="1"/>
    </row>
    <row r="549">
      <c r="A549" s="1"/>
      <c r="B549" s="1"/>
      <c r="C549" s="2"/>
      <c r="D549" s="1"/>
      <c r="E549" s="1"/>
      <c r="F549" s="1"/>
      <c r="G549" s="2"/>
      <c r="H549" s="1"/>
      <c r="I549" s="1"/>
      <c r="J549" s="2"/>
      <c r="K549" s="1"/>
      <c r="L549" s="1"/>
      <c r="M549" s="1"/>
      <c r="N549" s="1"/>
      <c r="O549" s="1"/>
      <c r="P549" s="1"/>
      <c r="Q549" s="1"/>
      <c r="R549" s="1"/>
      <c r="S549" s="1"/>
      <c r="T549" s="1"/>
      <c r="U549" s="1"/>
      <c r="V549" s="1"/>
      <c r="W549" s="1"/>
    </row>
    <row r="550">
      <c r="A550" s="1"/>
      <c r="B550" s="1"/>
      <c r="C550" s="2"/>
      <c r="D550" s="1"/>
      <c r="E550" s="1"/>
      <c r="F550" s="1"/>
      <c r="G550" s="2"/>
      <c r="H550" s="1"/>
      <c r="I550" s="1"/>
      <c r="J550" s="2"/>
      <c r="K550" s="1"/>
      <c r="L550" s="1"/>
      <c r="M550" s="1"/>
      <c r="N550" s="1"/>
      <c r="O550" s="1"/>
      <c r="P550" s="1"/>
      <c r="Q550" s="1"/>
      <c r="R550" s="1"/>
      <c r="S550" s="1"/>
      <c r="T550" s="1"/>
      <c r="U550" s="1"/>
      <c r="V550" s="1"/>
      <c r="W550" s="1"/>
    </row>
    <row r="551">
      <c r="A551" s="1"/>
      <c r="B551" s="1"/>
      <c r="C551" s="2"/>
      <c r="D551" s="1"/>
      <c r="E551" s="1"/>
      <c r="F551" s="1"/>
      <c r="G551" s="2"/>
      <c r="H551" s="1"/>
      <c r="I551" s="1"/>
      <c r="J551" s="2"/>
      <c r="K551" s="1"/>
      <c r="L551" s="1"/>
      <c r="M551" s="1"/>
      <c r="N551" s="1"/>
      <c r="O551" s="1"/>
      <c r="P551" s="1"/>
      <c r="Q551" s="1"/>
      <c r="R551" s="1"/>
      <c r="S551" s="1"/>
      <c r="T551" s="1"/>
      <c r="U551" s="1"/>
      <c r="V551" s="1"/>
      <c r="W551" s="1"/>
    </row>
    <row r="552">
      <c r="A552" s="1"/>
      <c r="B552" s="1"/>
      <c r="C552" s="2"/>
      <c r="D552" s="1"/>
      <c r="E552" s="1"/>
      <c r="F552" s="1"/>
      <c r="G552" s="2"/>
      <c r="H552" s="1"/>
      <c r="I552" s="1"/>
      <c r="J552" s="2"/>
      <c r="K552" s="1"/>
      <c r="L552" s="1"/>
      <c r="M552" s="1"/>
      <c r="N552" s="1"/>
      <c r="O552" s="1"/>
      <c r="P552" s="1"/>
      <c r="Q552" s="1"/>
      <c r="R552" s="1"/>
      <c r="S552" s="1"/>
      <c r="T552" s="1"/>
      <c r="U552" s="1"/>
      <c r="V552" s="1"/>
      <c r="W552" s="1"/>
    </row>
    <row r="553">
      <c r="A553" s="1"/>
      <c r="B553" s="1"/>
      <c r="C553" s="2"/>
      <c r="D553" s="1"/>
      <c r="E553" s="1"/>
      <c r="F553" s="1"/>
      <c r="G553" s="2"/>
      <c r="H553" s="1"/>
      <c r="I553" s="1"/>
      <c r="J553" s="2"/>
      <c r="K553" s="1"/>
      <c r="L553" s="1"/>
      <c r="M553" s="1"/>
      <c r="N553" s="1"/>
      <c r="O553" s="1"/>
      <c r="P553" s="1"/>
      <c r="Q553" s="1"/>
      <c r="R553" s="1"/>
      <c r="S553" s="1"/>
      <c r="T553" s="1"/>
      <c r="U553" s="1"/>
      <c r="V553" s="1"/>
      <c r="W553" s="1"/>
    </row>
    <row r="554">
      <c r="A554" s="1"/>
      <c r="B554" s="1"/>
      <c r="C554" s="2"/>
      <c r="D554" s="1"/>
      <c r="E554" s="1"/>
      <c r="F554" s="1"/>
      <c r="G554" s="2"/>
      <c r="H554" s="1"/>
      <c r="I554" s="1"/>
      <c r="J554" s="2"/>
      <c r="K554" s="1"/>
      <c r="L554" s="1"/>
      <c r="M554" s="1"/>
      <c r="N554" s="1"/>
      <c r="O554" s="1"/>
      <c r="P554" s="1"/>
      <c r="Q554" s="1"/>
      <c r="R554" s="1"/>
      <c r="S554" s="1"/>
      <c r="T554" s="1"/>
      <c r="U554" s="1"/>
      <c r="V554" s="1"/>
      <c r="W554" s="1"/>
    </row>
    <row r="555">
      <c r="A555" s="1"/>
      <c r="B555" s="1"/>
      <c r="C555" s="2"/>
      <c r="D555" s="1"/>
      <c r="E555" s="1"/>
      <c r="F555" s="1"/>
      <c r="G555" s="2"/>
      <c r="H555" s="1"/>
      <c r="I555" s="1"/>
      <c r="J555" s="2"/>
      <c r="K555" s="1"/>
      <c r="L555" s="1"/>
      <c r="M555" s="1"/>
      <c r="N555" s="1"/>
      <c r="O555" s="1"/>
      <c r="P555" s="1"/>
      <c r="Q555" s="1"/>
      <c r="R555" s="1"/>
      <c r="S555" s="1"/>
      <c r="T555" s="1"/>
      <c r="U555" s="1"/>
      <c r="V555" s="1"/>
      <c r="W555" s="1"/>
    </row>
    <row r="556">
      <c r="A556" s="1"/>
      <c r="B556" s="1"/>
      <c r="C556" s="2"/>
      <c r="D556" s="1"/>
      <c r="E556" s="1"/>
      <c r="F556" s="1"/>
      <c r="G556" s="2"/>
      <c r="H556" s="1"/>
      <c r="I556" s="1"/>
      <c r="J556" s="2"/>
      <c r="K556" s="1"/>
      <c r="L556" s="1"/>
      <c r="M556" s="1"/>
      <c r="N556" s="1"/>
      <c r="O556" s="1"/>
      <c r="P556" s="1"/>
      <c r="Q556" s="1"/>
      <c r="R556" s="1"/>
      <c r="S556" s="1"/>
      <c r="T556" s="1"/>
      <c r="U556" s="1"/>
      <c r="V556" s="1"/>
      <c r="W556" s="1"/>
    </row>
    <row r="557">
      <c r="A557" s="1"/>
      <c r="B557" s="1"/>
      <c r="C557" s="2"/>
      <c r="D557" s="1"/>
      <c r="E557" s="1"/>
      <c r="F557" s="1"/>
      <c r="G557" s="2"/>
      <c r="H557" s="1"/>
      <c r="I557" s="1"/>
      <c r="J557" s="2"/>
      <c r="K557" s="1"/>
      <c r="L557" s="1"/>
      <c r="M557" s="1"/>
      <c r="N557" s="1"/>
      <c r="O557" s="1"/>
      <c r="P557" s="1"/>
      <c r="Q557" s="1"/>
      <c r="R557" s="1"/>
      <c r="S557" s="1"/>
      <c r="T557" s="1"/>
      <c r="U557" s="1"/>
      <c r="V557" s="1"/>
      <c r="W557" s="1"/>
    </row>
    <row r="558">
      <c r="A558" s="1"/>
      <c r="B558" s="1"/>
      <c r="C558" s="2"/>
      <c r="D558" s="1"/>
      <c r="E558" s="1"/>
      <c r="F558" s="1"/>
      <c r="G558" s="2"/>
      <c r="H558" s="1"/>
      <c r="I558" s="1"/>
      <c r="J558" s="2"/>
      <c r="K558" s="1"/>
      <c r="L558" s="1"/>
      <c r="M558" s="1"/>
      <c r="N558" s="1"/>
      <c r="O558" s="1"/>
      <c r="P558" s="1"/>
      <c r="Q558" s="1"/>
      <c r="R558" s="1"/>
      <c r="S558" s="1"/>
      <c r="T558" s="1"/>
      <c r="U558" s="1"/>
      <c r="V558" s="1"/>
      <c r="W558" s="1"/>
    </row>
    <row r="559">
      <c r="A559" s="1"/>
      <c r="B559" s="1"/>
      <c r="C559" s="2"/>
      <c r="D559" s="1"/>
      <c r="E559" s="1"/>
      <c r="F559" s="1"/>
      <c r="G559" s="2"/>
      <c r="H559" s="1"/>
      <c r="I559" s="1"/>
      <c r="J559" s="2"/>
      <c r="K559" s="1"/>
      <c r="L559" s="1"/>
      <c r="M559" s="1"/>
      <c r="N559" s="1"/>
      <c r="O559" s="1"/>
      <c r="P559" s="1"/>
      <c r="Q559" s="1"/>
      <c r="R559" s="1"/>
      <c r="S559" s="1"/>
      <c r="T559" s="1"/>
      <c r="U559" s="1"/>
      <c r="V559" s="1"/>
      <c r="W559" s="1"/>
    </row>
    <row r="560">
      <c r="A560" s="1"/>
      <c r="B560" s="1"/>
      <c r="C560" s="2"/>
      <c r="D560" s="1"/>
      <c r="E560" s="1"/>
      <c r="F560" s="1"/>
      <c r="G560" s="2"/>
      <c r="H560" s="1"/>
      <c r="I560" s="1"/>
      <c r="J560" s="2"/>
      <c r="K560" s="1"/>
      <c r="L560" s="1"/>
      <c r="M560" s="1"/>
      <c r="N560" s="1"/>
      <c r="O560" s="1"/>
      <c r="P560" s="1"/>
      <c r="Q560" s="1"/>
      <c r="R560" s="1"/>
      <c r="S560" s="1"/>
      <c r="T560" s="1"/>
      <c r="U560" s="1"/>
      <c r="V560" s="1"/>
      <c r="W560" s="1"/>
    </row>
    <row r="561">
      <c r="A561" s="1"/>
      <c r="B561" s="1"/>
      <c r="C561" s="2"/>
      <c r="D561" s="1"/>
      <c r="E561" s="1"/>
      <c r="F561" s="1"/>
      <c r="G561" s="2"/>
      <c r="H561" s="1"/>
      <c r="I561" s="1"/>
      <c r="J561" s="2"/>
      <c r="K561" s="1"/>
      <c r="L561" s="1"/>
      <c r="M561" s="1"/>
      <c r="N561" s="1"/>
      <c r="O561" s="1"/>
      <c r="P561" s="1"/>
      <c r="Q561" s="1"/>
      <c r="R561" s="1"/>
      <c r="S561" s="1"/>
      <c r="T561" s="1"/>
      <c r="U561" s="1"/>
      <c r="V561" s="1"/>
      <c r="W561" s="1"/>
    </row>
    <row r="562">
      <c r="A562" s="1"/>
      <c r="B562" s="1"/>
      <c r="C562" s="2"/>
      <c r="D562" s="1"/>
      <c r="E562" s="1"/>
      <c r="F562" s="1"/>
      <c r="G562" s="2"/>
      <c r="H562" s="1"/>
      <c r="I562" s="1"/>
      <c r="J562" s="2"/>
      <c r="K562" s="1"/>
      <c r="L562" s="1"/>
      <c r="M562" s="1"/>
      <c r="N562" s="1"/>
      <c r="O562" s="1"/>
      <c r="P562" s="1"/>
      <c r="Q562" s="1"/>
      <c r="R562" s="1"/>
      <c r="S562" s="1"/>
      <c r="T562" s="1"/>
      <c r="U562" s="1"/>
      <c r="V562" s="1"/>
      <c r="W562" s="1"/>
    </row>
    <row r="563">
      <c r="A563" s="1"/>
      <c r="B563" s="1"/>
      <c r="C563" s="2"/>
      <c r="D563" s="1"/>
      <c r="E563" s="1"/>
      <c r="F563" s="1"/>
      <c r="G563" s="2"/>
      <c r="H563" s="1"/>
      <c r="I563" s="1"/>
      <c r="J563" s="2"/>
      <c r="K563" s="1"/>
      <c r="L563" s="1"/>
      <c r="M563" s="1"/>
      <c r="N563" s="1"/>
      <c r="O563" s="1"/>
      <c r="P563" s="1"/>
      <c r="Q563" s="1"/>
      <c r="R563" s="1"/>
      <c r="S563" s="1"/>
      <c r="T563" s="1"/>
      <c r="U563" s="1"/>
      <c r="V563" s="1"/>
      <c r="W563" s="1"/>
    </row>
    <row r="564">
      <c r="A564" s="1"/>
      <c r="B564" s="1"/>
      <c r="C564" s="2"/>
      <c r="D564" s="1"/>
      <c r="E564" s="1"/>
      <c r="F564" s="1"/>
      <c r="G564" s="2"/>
      <c r="H564" s="1"/>
      <c r="I564" s="1"/>
      <c r="J564" s="2"/>
      <c r="K564" s="1"/>
      <c r="L564" s="1"/>
      <c r="M564" s="1"/>
      <c r="N564" s="1"/>
      <c r="O564" s="1"/>
      <c r="P564" s="1"/>
      <c r="Q564" s="1"/>
      <c r="R564" s="1"/>
      <c r="S564" s="1"/>
      <c r="T564" s="1"/>
      <c r="U564" s="1"/>
      <c r="V564" s="1"/>
      <c r="W564" s="1"/>
    </row>
    <row r="565">
      <c r="A565" s="1"/>
      <c r="B565" s="1"/>
      <c r="C565" s="2"/>
      <c r="D565" s="1"/>
      <c r="E565" s="1"/>
      <c r="F565" s="1"/>
      <c r="G565" s="2"/>
      <c r="H565" s="1"/>
      <c r="I565" s="1"/>
      <c r="J565" s="2"/>
      <c r="K565" s="1"/>
      <c r="L565" s="1"/>
      <c r="M565" s="1"/>
      <c r="N565" s="1"/>
      <c r="O565" s="1"/>
      <c r="P565" s="1"/>
      <c r="Q565" s="1"/>
      <c r="R565" s="1"/>
      <c r="S565" s="1"/>
      <c r="T565" s="1"/>
      <c r="U565" s="1"/>
      <c r="V565" s="1"/>
      <c r="W565" s="1"/>
    </row>
    <row r="566">
      <c r="A566" s="1"/>
      <c r="B566" s="1"/>
      <c r="C566" s="2"/>
      <c r="D566" s="1"/>
      <c r="E566" s="1"/>
      <c r="F566" s="1"/>
      <c r="G566" s="2"/>
      <c r="H566" s="1"/>
      <c r="I566" s="1"/>
      <c r="J566" s="2"/>
      <c r="K566" s="1"/>
      <c r="L566" s="1"/>
      <c r="M566" s="1"/>
      <c r="N566" s="1"/>
      <c r="O566" s="1"/>
      <c r="P566" s="1"/>
      <c r="Q566" s="1"/>
      <c r="R566" s="1"/>
      <c r="S566" s="1"/>
      <c r="T566" s="1"/>
      <c r="U566" s="1"/>
      <c r="V566" s="1"/>
      <c r="W566" s="1"/>
    </row>
    <row r="567">
      <c r="A567" s="1"/>
      <c r="B567" s="1"/>
      <c r="C567" s="2"/>
      <c r="D567" s="1"/>
      <c r="E567" s="1"/>
      <c r="F567" s="1"/>
      <c r="G567" s="2"/>
      <c r="H567" s="1"/>
      <c r="I567" s="1"/>
      <c r="J567" s="2"/>
      <c r="K567" s="1"/>
      <c r="L567" s="1"/>
      <c r="M567" s="1"/>
      <c r="N567" s="1"/>
      <c r="O567" s="1"/>
      <c r="P567" s="1"/>
      <c r="Q567" s="1"/>
      <c r="R567" s="1"/>
      <c r="S567" s="1"/>
      <c r="T567" s="1"/>
      <c r="U567" s="1"/>
      <c r="V567" s="1"/>
      <c r="W567" s="1"/>
    </row>
    <row r="568">
      <c r="A568" s="1"/>
      <c r="B568" s="1"/>
      <c r="C568" s="2"/>
      <c r="D568" s="1"/>
      <c r="E568" s="1"/>
      <c r="F568" s="1"/>
      <c r="G568" s="2"/>
      <c r="H568" s="1"/>
      <c r="I568" s="1"/>
      <c r="J568" s="2"/>
      <c r="K568" s="1"/>
      <c r="L568" s="1"/>
      <c r="M568" s="1"/>
      <c r="N568" s="1"/>
      <c r="O568" s="1"/>
      <c r="P568" s="1"/>
      <c r="Q568" s="1"/>
      <c r="R568" s="1"/>
      <c r="S568" s="1"/>
      <c r="T568" s="1"/>
      <c r="U568" s="1"/>
      <c r="V568" s="1"/>
      <c r="W568" s="1"/>
    </row>
    <row r="569">
      <c r="A569" s="1"/>
      <c r="B569" s="1"/>
      <c r="C569" s="2"/>
      <c r="D569" s="1"/>
      <c r="E569" s="1"/>
      <c r="F569" s="1"/>
      <c r="G569" s="2"/>
      <c r="H569" s="1"/>
      <c r="I569" s="1"/>
      <c r="J569" s="2"/>
      <c r="K569" s="1"/>
      <c r="L569" s="1"/>
      <c r="M569" s="1"/>
      <c r="N569" s="1"/>
      <c r="O569" s="1"/>
      <c r="P569" s="1"/>
      <c r="Q569" s="1"/>
      <c r="R569" s="1"/>
      <c r="S569" s="1"/>
      <c r="T569" s="1"/>
      <c r="U569" s="1"/>
      <c r="V569" s="1"/>
      <c r="W569" s="1"/>
    </row>
    <row r="570">
      <c r="A570" s="1"/>
      <c r="B570" s="1"/>
      <c r="C570" s="2"/>
      <c r="D570" s="1"/>
      <c r="E570" s="1"/>
      <c r="F570" s="1"/>
      <c r="G570" s="2"/>
      <c r="H570" s="1"/>
      <c r="I570" s="1"/>
      <c r="J570" s="2"/>
      <c r="K570" s="1"/>
      <c r="L570" s="1"/>
      <c r="M570" s="1"/>
      <c r="N570" s="1"/>
      <c r="O570" s="1"/>
      <c r="P570" s="1"/>
      <c r="Q570" s="1"/>
      <c r="R570" s="1"/>
      <c r="S570" s="1"/>
      <c r="T570" s="1"/>
      <c r="U570" s="1"/>
      <c r="V570" s="1"/>
      <c r="W570" s="1"/>
    </row>
    <row r="571">
      <c r="A571" s="1"/>
      <c r="B571" s="1"/>
      <c r="C571" s="2"/>
      <c r="D571" s="1"/>
      <c r="E571" s="1"/>
      <c r="F571" s="1"/>
      <c r="G571" s="2"/>
      <c r="H571" s="1"/>
      <c r="I571" s="1"/>
      <c r="J571" s="2"/>
      <c r="K571" s="1"/>
      <c r="L571" s="1"/>
      <c r="M571" s="1"/>
      <c r="N571" s="1"/>
      <c r="O571" s="1"/>
      <c r="P571" s="1"/>
      <c r="Q571" s="1"/>
      <c r="R571" s="1"/>
      <c r="S571" s="1"/>
      <c r="T571" s="1"/>
      <c r="U571" s="1"/>
      <c r="V571" s="1"/>
      <c r="W571" s="1"/>
    </row>
    <row r="572">
      <c r="A572" s="1"/>
      <c r="B572" s="1"/>
      <c r="C572" s="2"/>
      <c r="D572" s="1"/>
      <c r="E572" s="1"/>
      <c r="F572" s="1"/>
      <c r="G572" s="2"/>
      <c r="H572" s="1"/>
      <c r="I572" s="1"/>
      <c r="J572" s="2"/>
      <c r="K572" s="1"/>
      <c r="L572" s="1"/>
      <c r="M572" s="1"/>
      <c r="N572" s="1"/>
      <c r="O572" s="1"/>
      <c r="P572" s="1"/>
      <c r="Q572" s="1"/>
      <c r="R572" s="1"/>
      <c r="S572" s="1"/>
      <c r="T572" s="1"/>
      <c r="U572" s="1"/>
      <c r="V572" s="1"/>
      <c r="W572" s="1"/>
    </row>
    <row r="573">
      <c r="A573" s="1"/>
      <c r="B573" s="1"/>
      <c r="C573" s="2"/>
      <c r="D573" s="1"/>
      <c r="E573" s="1"/>
      <c r="F573" s="1"/>
      <c r="G573" s="2"/>
      <c r="H573" s="1"/>
      <c r="I573" s="1"/>
      <c r="J573" s="2"/>
      <c r="K573" s="1"/>
      <c r="L573" s="1"/>
      <c r="M573" s="1"/>
      <c r="N573" s="1"/>
      <c r="O573" s="1"/>
      <c r="P573" s="1"/>
      <c r="Q573" s="1"/>
      <c r="R573" s="1"/>
      <c r="S573" s="1"/>
      <c r="T573" s="1"/>
      <c r="U573" s="1"/>
      <c r="V573" s="1"/>
      <c r="W573" s="1"/>
    </row>
    <row r="574">
      <c r="A574" s="1"/>
      <c r="B574" s="1"/>
      <c r="C574" s="2"/>
      <c r="D574" s="1"/>
      <c r="E574" s="1"/>
      <c r="F574" s="1"/>
      <c r="G574" s="2"/>
      <c r="H574" s="1"/>
      <c r="I574" s="1"/>
      <c r="J574" s="2"/>
      <c r="K574" s="1"/>
      <c r="L574" s="1"/>
      <c r="M574" s="1"/>
      <c r="N574" s="1"/>
      <c r="O574" s="1"/>
      <c r="P574" s="1"/>
      <c r="Q574" s="1"/>
      <c r="R574" s="1"/>
      <c r="S574" s="1"/>
      <c r="T574" s="1"/>
      <c r="U574" s="1"/>
      <c r="V574" s="1"/>
      <c r="W574" s="1"/>
    </row>
    <row r="575">
      <c r="A575" s="1"/>
      <c r="B575" s="1"/>
      <c r="C575" s="2"/>
      <c r="D575" s="1"/>
      <c r="E575" s="1"/>
      <c r="F575" s="1"/>
      <c r="G575" s="2"/>
      <c r="H575" s="1"/>
      <c r="I575" s="1"/>
      <c r="J575" s="2"/>
      <c r="K575" s="1"/>
      <c r="L575" s="1"/>
      <c r="M575" s="1"/>
      <c r="N575" s="1"/>
      <c r="O575" s="1"/>
      <c r="P575" s="1"/>
      <c r="Q575" s="1"/>
      <c r="R575" s="1"/>
      <c r="S575" s="1"/>
      <c r="T575" s="1"/>
      <c r="U575" s="1"/>
      <c r="V575" s="1"/>
      <c r="W575" s="1"/>
    </row>
    <row r="576">
      <c r="A576" s="1"/>
      <c r="B576" s="1"/>
      <c r="C576" s="2"/>
      <c r="D576" s="1"/>
      <c r="E576" s="1"/>
      <c r="F576" s="1"/>
      <c r="G576" s="2"/>
      <c r="H576" s="1"/>
      <c r="I576" s="1"/>
      <c r="J576" s="2"/>
      <c r="K576" s="1"/>
      <c r="L576" s="1"/>
      <c r="M576" s="1"/>
      <c r="N576" s="1"/>
      <c r="O576" s="1"/>
      <c r="P576" s="1"/>
      <c r="Q576" s="1"/>
      <c r="R576" s="1"/>
      <c r="S576" s="1"/>
      <c r="T576" s="1"/>
      <c r="U576" s="1"/>
      <c r="V576" s="1"/>
      <c r="W576" s="1"/>
    </row>
    <row r="577">
      <c r="A577" s="1"/>
      <c r="B577" s="1"/>
      <c r="C577" s="2"/>
      <c r="D577" s="1"/>
      <c r="E577" s="1"/>
      <c r="F577" s="1"/>
      <c r="G577" s="2"/>
      <c r="H577" s="1"/>
      <c r="I577" s="1"/>
      <c r="J577" s="2"/>
      <c r="K577" s="1"/>
      <c r="L577" s="1"/>
      <c r="M577" s="1"/>
      <c r="N577" s="1"/>
      <c r="O577" s="1"/>
      <c r="P577" s="1"/>
      <c r="Q577" s="1"/>
      <c r="R577" s="1"/>
      <c r="S577" s="1"/>
      <c r="T577" s="1"/>
      <c r="U577" s="1"/>
      <c r="V577" s="1"/>
      <c r="W577" s="1"/>
    </row>
    <row r="578">
      <c r="A578" s="1"/>
      <c r="B578" s="1"/>
      <c r="C578" s="2"/>
      <c r="D578" s="1"/>
      <c r="E578" s="1"/>
      <c r="F578" s="1"/>
      <c r="G578" s="2"/>
      <c r="H578" s="1"/>
      <c r="I578" s="1"/>
      <c r="J578" s="2"/>
      <c r="K578" s="1"/>
      <c r="L578" s="1"/>
      <c r="M578" s="1"/>
      <c r="N578" s="1"/>
      <c r="O578" s="1"/>
      <c r="P578" s="1"/>
      <c r="Q578" s="1"/>
      <c r="R578" s="1"/>
      <c r="S578" s="1"/>
      <c r="T578" s="1"/>
      <c r="U578" s="1"/>
      <c r="V578" s="1"/>
      <c r="W578" s="1"/>
    </row>
    <row r="579">
      <c r="A579" s="1"/>
      <c r="B579" s="1"/>
      <c r="C579" s="2"/>
      <c r="D579" s="1"/>
      <c r="E579" s="1"/>
      <c r="F579" s="1"/>
      <c r="G579" s="2"/>
      <c r="H579" s="1"/>
      <c r="I579" s="1"/>
      <c r="J579" s="2"/>
      <c r="K579" s="1"/>
      <c r="L579" s="1"/>
      <c r="M579" s="1"/>
      <c r="N579" s="1"/>
      <c r="O579" s="1"/>
      <c r="P579" s="1"/>
      <c r="Q579" s="1"/>
      <c r="R579" s="1"/>
      <c r="S579" s="1"/>
      <c r="T579" s="1"/>
      <c r="U579" s="1"/>
      <c r="V579" s="1"/>
      <c r="W579" s="1"/>
    </row>
    <row r="580">
      <c r="A580" s="1"/>
      <c r="B580" s="1"/>
      <c r="C580" s="2"/>
      <c r="D580" s="1"/>
      <c r="E580" s="1"/>
      <c r="F580" s="1"/>
      <c r="G580" s="2"/>
      <c r="H580" s="1"/>
      <c r="I580" s="1"/>
      <c r="J580" s="2"/>
      <c r="K580" s="1"/>
      <c r="L580" s="1"/>
      <c r="M580" s="1"/>
      <c r="N580" s="1"/>
      <c r="O580" s="1"/>
      <c r="P580" s="1"/>
      <c r="Q580" s="1"/>
      <c r="R580" s="1"/>
      <c r="S580" s="1"/>
      <c r="T580" s="1"/>
      <c r="U580" s="1"/>
      <c r="V580" s="1"/>
      <c r="W580" s="1"/>
    </row>
    <row r="581">
      <c r="A581" s="1"/>
      <c r="B581" s="1"/>
      <c r="C581" s="2"/>
      <c r="D581" s="1"/>
      <c r="E581" s="1"/>
      <c r="F581" s="1"/>
      <c r="G581" s="2"/>
      <c r="H581" s="1"/>
      <c r="I581" s="1"/>
      <c r="J581" s="2"/>
      <c r="K581" s="1"/>
      <c r="L581" s="1"/>
      <c r="M581" s="1"/>
      <c r="N581" s="1"/>
      <c r="O581" s="1"/>
      <c r="P581" s="1"/>
      <c r="Q581" s="1"/>
      <c r="R581" s="1"/>
      <c r="S581" s="1"/>
      <c r="T581" s="1"/>
      <c r="U581" s="1"/>
      <c r="V581" s="1"/>
      <c r="W581" s="1"/>
    </row>
    <row r="582">
      <c r="A582" s="1"/>
      <c r="B582" s="1"/>
      <c r="C582" s="2"/>
      <c r="D582" s="1"/>
      <c r="E582" s="1"/>
      <c r="F582" s="1"/>
      <c r="G582" s="2"/>
      <c r="H582" s="1"/>
      <c r="I582" s="1"/>
      <c r="J582" s="2"/>
      <c r="K582" s="1"/>
      <c r="L582" s="1"/>
      <c r="M582" s="1"/>
      <c r="N582" s="1"/>
      <c r="O582" s="1"/>
      <c r="P582" s="1"/>
      <c r="Q582" s="1"/>
      <c r="R582" s="1"/>
      <c r="S582" s="1"/>
      <c r="T582" s="1"/>
      <c r="U582" s="1"/>
      <c r="V582" s="1"/>
      <c r="W582" s="1"/>
    </row>
    <row r="583">
      <c r="A583" s="1"/>
      <c r="B583" s="1"/>
      <c r="C583" s="2"/>
      <c r="D583" s="1"/>
      <c r="E583" s="1"/>
      <c r="F583" s="1"/>
      <c r="G583" s="2"/>
      <c r="H583" s="1"/>
      <c r="I583" s="1"/>
      <c r="J583" s="2"/>
      <c r="K583" s="1"/>
      <c r="L583" s="1"/>
      <c r="M583" s="1"/>
      <c r="N583" s="1"/>
      <c r="O583" s="1"/>
      <c r="P583" s="1"/>
      <c r="Q583" s="1"/>
      <c r="R583" s="1"/>
      <c r="S583" s="1"/>
      <c r="T583" s="1"/>
      <c r="U583" s="1"/>
      <c r="V583" s="1"/>
      <c r="W583" s="1"/>
    </row>
    <row r="584">
      <c r="A584" s="1"/>
      <c r="B584" s="1"/>
      <c r="C584" s="2"/>
      <c r="D584" s="1"/>
      <c r="E584" s="1"/>
      <c r="F584" s="1"/>
      <c r="G584" s="2"/>
      <c r="H584" s="1"/>
      <c r="I584" s="1"/>
      <c r="J584" s="2"/>
      <c r="K584" s="1"/>
      <c r="L584" s="1"/>
      <c r="M584" s="1"/>
      <c r="N584" s="1"/>
      <c r="O584" s="1"/>
      <c r="P584" s="1"/>
      <c r="Q584" s="1"/>
      <c r="R584" s="1"/>
      <c r="S584" s="1"/>
      <c r="T584" s="1"/>
      <c r="U584" s="1"/>
      <c r="V584" s="1"/>
      <c r="W584" s="1"/>
    </row>
    <row r="585">
      <c r="A585" s="1"/>
      <c r="B585" s="1"/>
      <c r="C585" s="2"/>
      <c r="D585" s="1"/>
      <c r="E585" s="1"/>
      <c r="F585" s="1"/>
      <c r="G585" s="2"/>
      <c r="H585" s="1"/>
      <c r="I585" s="1"/>
      <c r="J585" s="2"/>
      <c r="K585" s="1"/>
      <c r="L585" s="1"/>
      <c r="M585" s="1"/>
      <c r="N585" s="1"/>
      <c r="O585" s="1"/>
      <c r="P585" s="1"/>
      <c r="Q585" s="1"/>
      <c r="R585" s="1"/>
      <c r="S585" s="1"/>
      <c r="T585" s="1"/>
      <c r="U585" s="1"/>
      <c r="V585" s="1"/>
      <c r="W585" s="1"/>
    </row>
    <row r="586">
      <c r="A586" s="1"/>
      <c r="B586" s="1"/>
      <c r="C586" s="2"/>
      <c r="D586" s="1"/>
      <c r="E586" s="1"/>
      <c r="F586" s="1"/>
      <c r="G586" s="2"/>
      <c r="H586" s="1"/>
      <c r="I586" s="1"/>
      <c r="J586" s="2"/>
      <c r="K586" s="1"/>
      <c r="L586" s="1"/>
      <c r="M586" s="1"/>
      <c r="N586" s="1"/>
      <c r="O586" s="1"/>
      <c r="P586" s="1"/>
      <c r="Q586" s="1"/>
      <c r="R586" s="1"/>
      <c r="S586" s="1"/>
      <c r="T586" s="1"/>
      <c r="U586" s="1"/>
      <c r="V586" s="1"/>
      <c r="W586" s="1"/>
    </row>
    <row r="587">
      <c r="A587" s="1"/>
      <c r="B587" s="1"/>
      <c r="C587" s="2"/>
      <c r="D587" s="1"/>
      <c r="E587" s="1"/>
      <c r="F587" s="1"/>
      <c r="G587" s="2"/>
      <c r="H587" s="1"/>
      <c r="I587" s="1"/>
      <c r="J587" s="2"/>
      <c r="K587" s="1"/>
      <c r="L587" s="1"/>
      <c r="M587" s="1"/>
      <c r="N587" s="1"/>
      <c r="O587" s="1"/>
      <c r="P587" s="1"/>
      <c r="Q587" s="1"/>
      <c r="R587" s="1"/>
      <c r="S587" s="1"/>
      <c r="T587" s="1"/>
      <c r="U587" s="1"/>
      <c r="V587" s="1"/>
      <c r="W587" s="1"/>
    </row>
    <row r="588">
      <c r="A588" s="1"/>
      <c r="B588" s="1"/>
      <c r="C588" s="2"/>
      <c r="D588" s="1"/>
      <c r="E588" s="1"/>
      <c r="F588" s="1"/>
      <c r="G588" s="2"/>
      <c r="H588" s="1"/>
      <c r="I588" s="1"/>
      <c r="J588" s="2"/>
      <c r="K588" s="1"/>
      <c r="L588" s="1"/>
      <c r="M588" s="1"/>
      <c r="N588" s="1"/>
      <c r="O588" s="1"/>
      <c r="P588" s="1"/>
      <c r="Q588" s="1"/>
      <c r="R588" s="1"/>
      <c r="S588" s="1"/>
      <c r="T588" s="1"/>
      <c r="U588" s="1"/>
      <c r="V588" s="1"/>
      <c r="W588" s="1"/>
    </row>
    <row r="589">
      <c r="A589" s="1"/>
      <c r="B589" s="1"/>
      <c r="C589" s="2"/>
      <c r="D589" s="1"/>
      <c r="E589" s="1"/>
      <c r="F589" s="1"/>
      <c r="G589" s="2"/>
      <c r="H589" s="1"/>
      <c r="I589" s="1"/>
      <c r="J589" s="2"/>
      <c r="K589" s="1"/>
      <c r="L589" s="1"/>
      <c r="M589" s="1"/>
      <c r="N589" s="1"/>
      <c r="O589" s="1"/>
      <c r="P589" s="1"/>
      <c r="Q589" s="1"/>
      <c r="R589" s="1"/>
      <c r="S589" s="1"/>
      <c r="T589" s="1"/>
      <c r="U589" s="1"/>
      <c r="V589" s="1"/>
      <c r="W589" s="1"/>
    </row>
    <row r="590">
      <c r="A590" s="1"/>
      <c r="B590" s="1"/>
      <c r="C590" s="2"/>
      <c r="D590" s="1"/>
      <c r="E590" s="1"/>
      <c r="F590" s="1"/>
      <c r="G590" s="2"/>
      <c r="H590" s="1"/>
      <c r="I590" s="1"/>
      <c r="J590" s="2"/>
      <c r="K590" s="1"/>
      <c r="L590" s="1"/>
      <c r="M590" s="1"/>
      <c r="N590" s="1"/>
      <c r="O590" s="1"/>
      <c r="P590" s="1"/>
      <c r="Q590" s="1"/>
      <c r="R590" s="1"/>
      <c r="S590" s="1"/>
      <c r="T590" s="1"/>
      <c r="U590" s="1"/>
      <c r="V590" s="1"/>
      <c r="W590" s="1"/>
    </row>
    <row r="591">
      <c r="A591" s="1"/>
      <c r="B591" s="1"/>
      <c r="C591" s="2"/>
      <c r="D591" s="1"/>
      <c r="E591" s="1"/>
      <c r="F591" s="1"/>
      <c r="G591" s="2"/>
      <c r="H591" s="1"/>
      <c r="I591" s="1"/>
      <c r="J591" s="2"/>
      <c r="K591" s="1"/>
      <c r="L591" s="1"/>
      <c r="M591" s="1"/>
      <c r="N591" s="1"/>
      <c r="O591" s="1"/>
      <c r="P591" s="1"/>
      <c r="Q591" s="1"/>
      <c r="R591" s="1"/>
      <c r="S591" s="1"/>
      <c r="T591" s="1"/>
      <c r="U591" s="1"/>
      <c r="V591" s="1"/>
      <c r="W591" s="1"/>
    </row>
    <row r="592">
      <c r="A592" s="1"/>
      <c r="B592" s="1"/>
      <c r="C592" s="2"/>
      <c r="D592" s="1"/>
      <c r="E592" s="1"/>
      <c r="F592" s="1"/>
      <c r="G592" s="2"/>
      <c r="H592" s="1"/>
      <c r="I592" s="1"/>
      <c r="J592" s="2"/>
      <c r="K592" s="1"/>
      <c r="L592" s="1"/>
      <c r="M592" s="1"/>
      <c r="N592" s="1"/>
      <c r="O592" s="1"/>
      <c r="P592" s="1"/>
      <c r="Q592" s="1"/>
      <c r="R592" s="1"/>
      <c r="S592" s="1"/>
      <c r="T592" s="1"/>
      <c r="U592" s="1"/>
      <c r="V592" s="1"/>
      <c r="W592" s="1"/>
    </row>
    <row r="593">
      <c r="A593" s="1"/>
      <c r="B593" s="1"/>
      <c r="C593" s="2"/>
      <c r="D593" s="1"/>
      <c r="E593" s="1"/>
      <c r="F593" s="1"/>
      <c r="G593" s="2"/>
      <c r="H593" s="1"/>
      <c r="I593" s="1"/>
      <c r="J593" s="2"/>
      <c r="K593" s="1"/>
      <c r="L593" s="1"/>
      <c r="M593" s="1"/>
      <c r="N593" s="1"/>
      <c r="O593" s="1"/>
      <c r="P593" s="1"/>
      <c r="Q593" s="1"/>
      <c r="R593" s="1"/>
      <c r="S593" s="1"/>
      <c r="T593" s="1"/>
      <c r="U593" s="1"/>
      <c r="V593" s="1"/>
      <c r="W593" s="1"/>
    </row>
    <row r="594">
      <c r="A594" s="1"/>
      <c r="B594" s="1"/>
      <c r="C594" s="2"/>
      <c r="D594" s="1"/>
      <c r="E594" s="1"/>
      <c r="F594" s="1"/>
      <c r="G594" s="2"/>
      <c r="H594" s="1"/>
      <c r="I594" s="1"/>
      <c r="J594" s="2"/>
      <c r="K594" s="1"/>
      <c r="L594" s="1"/>
      <c r="M594" s="1"/>
      <c r="N594" s="1"/>
      <c r="O594" s="1"/>
      <c r="P594" s="1"/>
      <c r="Q594" s="1"/>
      <c r="R594" s="1"/>
      <c r="S594" s="1"/>
      <c r="T594" s="1"/>
      <c r="U594" s="1"/>
      <c r="V594" s="1"/>
      <c r="W594" s="1"/>
    </row>
    <row r="595">
      <c r="A595" s="1"/>
      <c r="B595" s="1"/>
      <c r="C595" s="2"/>
      <c r="D595" s="1"/>
      <c r="E595" s="1"/>
      <c r="F595" s="1"/>
      <c r="G595" s="2"/>
      <c r="H595" s="1"/>
      <c r="I595" s="1"/>
      <c r="J595" s="2"/>
      <c r="K595" s="1"/>
      <c r="L595" s="1"/>
      <c r="M595" s="1"/>
      <c r="N595" s="1"/>
      <c r="O595" s="1"/>
      <c r="P595" s="1"/>
      <c r="Q595" s="1"/>
      <c r="R595" s="1"/>
      <c r="S595" s="1"/>
      <c r="T595" s="1"/>
      <c r="U595" s="1"/>
      <c r="V595" s="1"/>
      <c r="W595" s="1"/>
    </row>
    <row r="596">
      <c r="A596" s="1"/>
      <c r="B596" s="1"/>
      <c r="C596" s="2"/>
      <c r="D596" s="1"/>
      <c r="E596" s="1"/>
      <c r="F596" s="1"/>
      <c r="G596" s="2"/>
      <c r="H596" s="1"/>
      <c r="I596" s="1"/>
      <c r="J596" s="2"/>
      <c r="K596" s="1"/>
      <c r="L596" s="1"/>
      <c r="M596" s="1"/>
      <c r="N596" s="1"/>
      <c r="O596" s="1"/>
      <c r="P596" s="1"/>
      <c r="Q596" s="1"/>
      <c r="R596" s="1"/>
      <c r="S596" s="1"/>
      <c r="T596" s="1"/>
      <c r="U596" s="1"/>
      <c r="V596" s="1"/>
      <c r="W596" s="1"/>
    </row>
    <row r="597">
      <c r="A597" s="1"/>
      <c r="B597" s="1"/>
      <c r="C597" s="2"/>
      <c r="D597" s="1"/>
      <c r="E597" s="1"/>
      <c r="F597" s="1"/>
      <c r="G597" s="2"/>
      <c r="H597" s="1"/>
      <c r="I597" s="1"/>
      <c r="J597" s="2"/>
      <c r="K597" s="1"/>
      <c r="L597" s="1"/>
      <c r="M597" s="1"/>
      <c r="N597" s="1"/>
      <c r="O597" s="1"/>
      <c r="P597" s="1"/>
      <c r="Q597" s="1"/>
      <c r="R597" s="1"/>
      <c r="S597" s="1"/>
      <c r="T597" s="1"/>
      <c r="U597" s="1"/>
      <c r="V597" s="1"/>
      <c r="W597" s="1"/>
    </row>
    <row r="598">
      <c r="A598" s="1"/>
      <c r="B598" s="1"/>
      <c r="C598" s="2"/>
      <c r="D598" s="1"/>
      <c r="E598" s="1"/>
      <c r="F598" s="1"/>
      <c r="G598" s="2"/>
      <c r="H598" s="1"/>
      <c r="I598" s="1"/>
      <c r="J598" s="2"/>
      <c r="K598" s="1"/>
      <c r="L598" s="1"/>
      <c r="M598" s="1"/>
      <c r="N598" s="1"/>
      <c r="O598" s="1"/>
      <c r="P598" s="1"/>
      <c r="Q598" s="1"/>
      <c r="R598" s="1"/>
      <c r="S598" s="1"/>
      <c r="T598" s="1"/>
      <c r="U598" s="1"/>
      <c r="V598" s="1"/>
      <c r="W598" s="1"/>
    </row>
    <row r="599">
      <c r="A599" s="1"/>
      <c r="B599" s="1"/>
      <c r="C599" s="2"/>
      <c r="D599" s="1"/>
      <c r="E599" s="1"/>
      <c r="F599" s="1"/>
      <c r="G599" s="2"/>
      <c r="H599" s="1"/>
      <c r="I599" s="1"/>
      <c r="J599" s="2"/>
      <c r="K599" s="1"/>
      <c r="L599" s="1"/>
      <c r="M599" s="1"/>
      <c r="N599" s="1"/>
      <c r="O599" s="1"/>
      <c r="P599" s="1"/>
      <c r="Q599" s="1"/>
      <c r="R599" s="1"/>
      <c r="S599" s="1"/>
      <c r="T599" s="1"/>
      <c r="U599" s="1"/>
      <c r="V599" s="1"/>
      <c r="W599" s="1"/>
    </row>
    <row r="600">
      <c r="A600" s="1"/>
      <c r="B600" s="1"/>
      <c r="C600" s="2"/>
      <c r="D600" s="1"/>
      <c r="E600" s="1"/>
      <c r="F600" s="1"/>
      <c r="G600" s="2"/>
      <c r="H600" s="1"/>
      <c r="I600" s="1"/>
      <c r="J600" s="2"/>
      <c r="K600" s="1"/>
      <c r="L600" s="1"/>
      <c r="M600" s="1"/>
      <c r="N600" s="1"/>
      <c r="O600" s="1"/>
      <c r="P600" s="1"/>
      <c r="Q600" s="1"/>
      <c r="R600" s="1"/>
      <c r="S600" s="1"/>
      <c r="T600" s="1"/>
      <c r="U600" s="1"/>
      <c r="V600" s="1"/>
      <c r="W600" s="1"/>
    </row>
    <row r="601">
      <c r="A601" s="1"/>
      <c r="B601" s="1"/>
      <c r="C601" s="2"/>
      <c r="D601" s="1"/>
      <c r="E601" s="1"/>
      <c r="F601" s="1"/>
      <c r="G601" s="2"/>
      <c r="H601" s="1"/>
      <c r="I601" s="1"/>
      <c r="J601" s="2"/>
      <c r="K601" s="1"/>
      <c r="L601" s="1"/>
      <c r="M601" s="1"/>
      <c r="N601" s="1"/>
      <c r="O601" s="1"/>
      <c r="P601" s="1"/>
      <c r="Q601" s="1"/>
      <c r="R601" s="1"/>
      <c r="S601" s="1"/>
      <c r="T601" s="1"/>
      <c r="U601" s="1"/>
      <c r="V601" s="1"/>
      <c r="W601" s="1"/>
    </row>
    <row r="602">
      <c r="A602" s="1"/>
      <c r="B602" s="1"/>
      <c r="C602" s="2"/>
      <c r="D602" s="1"/>
      <c r="E602" s="1"/>
      <c r="F602" s="1"/>
      <c r="G602" s="2"/>
      <c r="H602" s="1"/>
      <c r="I602" s="1"/>
      <c r="J602" s="2"/>
      <c r="K602" s="1"/>
      <c r="L602" s="1"/>
      <c r="M602" s="1"/>
      <c r="N602" s="1"/>
      <c r="O602" s="1"/>
      <c r="P602" s="1"/>
      <c r="Q602" s="1"/>
      <c r="R602" s="1"/>
      <c r="S602" s="1"/>
      <c r="T602" s="1"/>
      <c r="U602" s="1"/>
      <c r="V602" s="1"/>
      <c r="W602" s="1"/>
    </row>
    <row r="603">
      <c r="A603" s="1"/>
      <c r="B603" s="1"/>
      <c r="C603" s="2"/>
      <c r="D603" s="1"/>
      <c r="E603" s="1"/>
      <c r="F603" s="1"/>
      <c r="G603" s="2"/>
      <c r="H603" s="1"/>
      <c r="I603" s="1"/>
      <c r="J603" s="2"/>
      <c r="K603" s="1"/>
      <c r="L603" s="1"/>
      <c r="M603" s="1"/>
      <c r="N603" s="1"/>
      <c r="O603" s="1"/>
      <c r="P603" s="1"/>
      <c r="Q603" s="1"/>
      <c r="R603" s="1"/>
      <c r="S603" s="1"/>
      <c r="T603" s="1"/>
      <c r="U603" s="1"/>
      <c r="V603" s="1"/>
      <c r="W603" s="1"/>
    </row>
    <row r="604">
      <c r="A604" s="1"/>
      <c r="B604" s="1"/>
      <c r="C604" s="2"/>
      <c r="D604" s="1"/>
      <c r="E604" s="1"/>
      <c r="F604" s="1"/>
      <c r="G604" s="2"/>
      <c r="H604" s="1"/>
      <c r="I604" s="1"/>
      <c r="J604" s="2"/>
      <c r="K604" s="1"/>
      <c r="L604" s="1"/>
      <c r="M604" s="1"/>
      <c r="N604" s="1"/>
      <c r="O604" s="1"/>
      <c r="P604" s="1"/>
      <c r="Q604" s="1"/>
      <c r="R604" s="1"/>
      <c r="S604" s="1"/>
      <c r="T604" s="1"/>
      <c r="U604" s="1"/>
      <c r="V604" s="1"/>
      <c r="W604" s="1"/>
    </row>
    <row r="605">
      <c r="A605" s="1"/>
      <c r="B605" s="1"/>
      <c r="C605" s="2"/>
      <c r="D605" s="1"/>
      <c r="E605" s="1"/>
      <c r="F605" s="1"/>
      <c r="G605" s="2"/>
      <c r="H605" s="1"/>
      <c r="I605" s="1"/>
      <c r="J605" s="2"/>
      <c r="K605" s="1"/>
      <c r="L605" s="1"/>
      <c r="M605" s="1"/>
      <c r="N605" s="1"/>
      <c r="O605" s="1"/>
      <c r="P605" s="1"/>
      <c r="Q605" s="1"/>
      <c r="R605" s="1"/>
      <c r="S605" s="1"/>
      <c r="T605" s="1"/>
      <c r="U605" s="1"/>
      <c r="V605" s="1"/>
      <c r="W605" s="1"/>
    </row>
    <row r="606">
      <c r="A606" s="1"/>
      <c r="B606" s="1"/>
      <c r="C606" s="2"/>
      <c r="D606" s="1"/>
      <c r="E606" s="1"/>
      <c r="F606" s="1"/>
      <c r="G606" s="2"/>
      <c r="H606" s="1"/>
      <c r="I606" s="1"/>
      <c r="J606" s="2"/>
      <c r="K606" s="1"/>
      <c r="L606" s="1"/>
      <c r="M606" s="1"/>
      <c r="N606" s="1"/>
      <c r="O606" s="1"/>
      <c r="P606" s="1"/>
      <c r="Q606" s="1"/>
      <c r="R606" s="1"/>
      <c r="S606" s="1"/>
      <c r="T606" s="1"/>
      <c r="U606" s="1"/>
      <c r="V606" s="1"/>
      <c r="W606" s="1"/>
    </row>
    <row r="607">
      <c r="A607" s="1"/>
      <c r="B607" s="1"/>
      <c r="C607" s="2"/>
      <c r="D607" s="1"/>
      <c r="E607" s="1"/>
      <c r="F607" s="1"/>
      <c r="G607" s="2"/>
      <c r="H607" s="1"/>
      <c r="I607" s="1"/>
      <c r="J607" s="2"/>
      <c r="K607" s="1"/>
      <c r="L607" s="1"/>
      <c r="M607" s="1"/>
      <c r="N607" s="1"/>
      <c r="O607" s="1"/>
      <c r="P607" s="1"/>
      <c r="Q607" s="1"/>
      <c r="R607" s="1"/>
      <c r="S607" s="1"/>
      <c r="T607" s="1"/>
      <c r="U607" s="1"/>
      <c r="V607" s="1"/>
      <c r="W607" s="1"/>
    </row>
    <row r="608">
      <c r="A608" s="1"/>
      <c r="B608" s="1"/>
      <c r="C608" s="2"/>
      <c r="D608" s="1"/>
      <c r="E608" s="1"/>
      <c r="F608" s="1"/>
      <c r="G608" s="2"/>
      <c r="H608" s="1"/>
      <c r="I608" s="1"/>
      <c r="J608" s="2"/>
      <c r="K608" s="1"/>
      <c r="L608" s="1"/>
      <c r="M608" s="1"/>
      <c r="N608" s="1"/>
      <c r="O608" s="1"/>
      <c r="P608" s="1"/>
      <c r="Q608" s="1"/>
      <c r="R608" s="1"/>
      <c r="S608" s="1"/>
      <c r="T608" s="1"/>
      <c r="U608" s="1"/>
      <c r="V608" s="1"/>
      <c r="W608" s="1"/>
    </row>
    <row r="609">
      <c r="A609" s="1"/>
      <c r="B609" s="1"/>
      <c r="C609" s="2"/>
      <c r="D609" s="1"/>
      <c r="E609" s="1"/>
      <c r="F609" s="1"/>
      <c r="G609" s="2"/>
      <c r="H609" s="1"/>
      <c r="I609" s="1"/>
      <c r="J609" s="2"/>
      <c r="K609" s="1"/>
      <c r="L609" s="1"/>
      <c r="M609" s="1"/>
      <c r="N609" s="1"/>
      <c r="O609" s="1"/>
      <c r="P609" s="1"/>
      <c r="Q609" s="1"/>
      <c r="R609" s="1"/>
      <c r="S609" s="1"/>
      <c r="T609" s="1"/>
      <c r="U609" s="1"/>
      <c r="V609" s="1"/>
      <c r="W609" s="1"/>
    </row>
    <row r="610">
      <c r="A610" s="1"/>
      <c r="B610" s="1"/>
      <c r="C610" s="2"/>
      <c r="D610" s="1"/>
      <c r="E610" s="1"/>
      <c r="F610" s="1"/>
      <c r="G610" s="2"/>
      <c r="H610" s="1"/>
      <c r="I610" s="1"/>
      <c r="J610" s="2"/>
      <c r="K610" s="1"/>
      <c r="L610" s="1"/>
      <c r="M610" s="1"/>
      <c r="N610" s="1"/>
      <c r="O610" s="1"/>
      <c r="P610" s="1"/>
      <c r="Q610" s="1"/>
      <c r="R610" s="1"/>
      <c r="S610" s="1"/>
      <c r="T610" s="1"/>
      <c r="U610" s="1"/>
      <c r="V610" s="1"/>
      <c r="W610" s="1"/>
    </row>
    <row r="611">
      <c r="A611" s="1"/>
      <c r="B611" s="1"/>
      <c r="C611" s="2"/>
      <c r="D611" s="1"/>
      <c r="E611" s="1"/>
      <c r="F611" s="1"/>
      <c r="G611" s="2"/>
      <c r="H611" s="1"/>
      <c r="I611" s="1"/>
      <c r="J611" s="2"/>
      <c r="K611" s="1"/>
      <c r="L611" s="1"/>
      <c r="M611" s="1"/>
      <c r="N611" s="1"/>
      <c r="O611" s="1"/>
      <c r="P611" s="1"/>
      <c r="Q611" s="1"/>
      <c r="R611" s="1"/>
      <c r="S611" s="1"/>
      <c r="T611" s="1"/>
      <c r="U611" s="1"/>
      <c r="V611" s="1"/>
      <c r="W611" s="1"/>
    </row>
    <row r="612">
      <c r="A612" s="1"/>
      <c r="B612" s="1"/>
      <c r="C612" s="2"/>
      <c r="D612" s="1"/>
      <c r="E612" s="1"/>
      <c r="F612" s="1"/>
      <c r="G612" s="2"/>
      <c r="H612" s="1"/>
      <c r="I612" s="1"/>
      <c r="J612" s="2"/>
      <c r="K612" s="1"/>
      <c r="L612" s="1"/>
      <c r="M612" s="1"/>
      <c r="N612" s="1"/>
      <c r="O612" s="1"/>
      <c r="P612" s="1"/>
      <c r="Q612" s="1"/>
      <c r="R612" s="1"/>
      <c r="S612" s="1"/>
      <c r="T612" s="1"/>
      <c r="U612" s="1"/>
      <c r="V612" s="1"/>
      <c r="W612" s="1"/>
    </row>
    <row r="613">
      <c r="A613" s="1"/>
      <c r="B613" s="1"/>
      <c r="C613" s="2"/>
      <c r="D613" s="1"/>
      <c r="E613" s="1"/>
      <c r="F613" s="1"/>
      <c r="G613" s="2"/>
      <c r="H613" s="1"/>
      <c r="I613" s="1"/>
      <c r="J613" s="2"/>
      <c r="K613" s="1"/>
      <c r="L613" s="1"/>
      <c r="M613" s="1"/>
      <c r="N613" s="1"/>
      <c r="O613" s="1"/>
      <c r="P613" s="1"/>
      <c r="Q613" s="1"/>
      <c r="R613" s="1"/>
      <c r="S613" s="1"/>
      <c r="T613" s="1"/>
      <c r="U613" s="1"/>
      <c r="V613" s="1"/>
      <c r="W613" s="1"/>
    </row>
    <row r="614">
      <c r="A614" s="1"/>
      <c r="B614" s="1"/>
      <c r="C614" s="2"/>
      <c r="D614" s="1"/>
      <c r="E614" s="1"/>
      <c r="F614" s="1"/>
      <c r="G614" s="2"/>
      <c r="H614" s="1"/>
      <c r="I614" s="1"/>
      <c r="J614" s="2"/>
      <c r="K614" s="1"/>
      <c r="L614" s="1"/>
      <c r="M614" s="1"/>
      <c r="N614" s="1"/>
      <c r="O614" s="1"/>
      <c r="P614" s="1"/>
      <c r="Q614" s="1"/>
      <c r="R614" s="1"/>
      <c r="S614" s="1"/>
      <c r="T614" s="1"/>
      <c r="U614" s="1"/>
      <c r="V614" s="1"/>
      <c r="W614" s="1"/>
    </row>
    <row r="615">
      <c r="A615" s="1"/>
      <c r="B615" s="1"/>
      <c r="C615" s="2"/>
      <c r="D615" s="1"/>
      <c r="E615" s="1"/>
      <c r="F615" s="1"/>
      <c r="G615" s="2"/>
      <c r="H615" s="1"/>
      <c r="I615" s="1"/>
      <c r="J615" s="2"/>
      <c r="K615" s="1"/>
      <c r="L615" s="1"/>
      <c r="M615" s="1"/>
      <c r="N615" s="1"/>
      <c r="O615" s="1"/>
      <c r="P615" s="1"/>
      <c r="Q615" s="1"/>
      <c r="R615" s="1"/>
      <c r="S615" s="1"/>
      <c r="T615" s="1"/>
      <c r="U615" s="1"/>
      <c r="V615" s="1"/>
      <c r="W615" s="1"/>
    </row>
    <row r="616">
      <c r="A616" s="1"/>
      <c r="B616" s="1"/>
      <c r="C616" s="2"/>
      <c r="D616" s="1"/>
      <c r="E616" s="1"/>
      <c r="F616" s="1"/>
      <c r="G616" s="2"/>
      <c r="H616" s="1"/>
      <c r="I616" s="1"/>
      <c r="J616" s="2"/>
      <c r="K616" s="1"/>
      <c r="L616" s="1"/>
      <c r="M616" s="1"/>
      <c r="N616" s="1"/>
      <c r="O616" s="1"/>
      <c r="P616" s="1"/>
      <c r="Q616" s="1"/>
      <c r="R616" s="1"/>
      <c r="S616" s="1"/>
      <c r="T616" s="1"/>
      <c r="U616" s="1"/>
      <c r="V616" s="1"/>
      <c r="W616" s="1"/>
    </row>
    <row r="617">
      <c r="A617" s="1"/>
      <c r="B617" s="1"/>
      <c r="C617" s="2"/>
      <c r="D617" s="1"/>
      <c r="E617" s="1"/>
      <c r="F617" s="1"/>
      <c r="G617" s="2"/>
      <c r="H617" s="1"/>
      <c r="I617" s="1"/>
      <c r="J617" s="2"/>
      <c r="K617" s="1"/>
      <c r="L617" s="1"/>
      <c r="M617" s="1"/>
      <c r="N617" s="1"/>
      <c r="O617" s="1"/>
      <c r="P617" s="1"/>
      <c r="Q617" s="1"/>
      <c r="R617" s="1"/>
      <c r="S617" s="1"/>
      <c r="T617" s="1"/>
      <c r="U617" s="1"/>
      <c r="V617" s="1"/>
      <c r="W617" s="1"/>
    </row>
    <row r="618">
      <c r="A618" s="1"/>
      <c r="B618" s="1"/>
      <c r="C618" s="2"/>
      <c r="D618" s="1"/>
      <c r="E618" s="1"/>
      <c r="F618" s="1"/>
      <c r="G618" s="2"/>
      <c r="H618" s="1"/>
      <c r="I618" s="1"/>
      <c r="J618" s="2"/>
      <c r="K618" s="1"/>
      <c r="L618" s="1"/>
      <c r="M618" s="1"/>
      <c r="N618" s="1"/>
      <c r="O618" s="1"/>
      <c r="P618" s="1"/>
      <c r="Q618" s="1"/>
      <c r="R618" s="1"/>
      <c r="S618" s="1"/>
      <c r="T618" s="1"/>
      <c r="U618" s="1"/>
      <c r="V618" s="1"/>
      <c r="W618" s="1"/>
    </row>
    <row r="619">
      <c r="A619" s="1"/>
      <c r="B619" s="1"/>
      <c r="C619" s="2"/>
      <c r="D619" s="1"/>
      <c r="E619" s="1"/>
      <c r="F619" s="1"/>
      <c r="G619" s="2"/>
      <c r="H619" s="1"/>
      <c r="I619" s="1"/>
      <c r="J619" s="2"/>
      <c r="K619" s="1"/>
      <c r="L619" s="1"/>
      <c r="M619" s="1"/>
      <c r="N619" s="1"/>
      <c r="O619" s="1"/>
      <c r="P619" s="1"/>
      <c r="Q619" s="1"/>
      <c r="R619" s="1"/>
      <c r="S619" s="1"/>
      <c r="T619" s="1"/>
      <c r="U619" s="1"/>
      <c r="V619" s="1"/>
      <c r="W619" s="1"/>
    </row>
    <row r="620">
      <c r="A620" s="1"/>
      <c r="B620" s="1"/>
      <c r="C620" s="2"/>
      <c r="D620" s="1"/>
      <c r="E620" s="1"/>
      <c r="F620" s="1"/>
      <c r="G620" s="2"/>
      <c r="H620" s="1"/>
      <c r="I620" s="1"/>
      <c r="J620" s="2"/>
      <c r="K620" s="1"/>
      <c r="L620" s="1"/>
      <c r="M620" s="1"/>
      <c r="N620" s="1"/>
      <c r="O620" s="1"/>
      <c r="P620" s="1"/>
      <c r="Q620" s="1"/>
      <c r="R620" s="1"/>
      <c r="S620" s="1"/>
      <c r="T620" s="1"/>
      <c r="U620" s="1"/>
      <c r="V620" s="1"/>
      <c r="W620" s="1"/>
    </row>
    <row r="621">
      <c r="A621" s="1"/>
      <c r="B621" s="1"/>
      <c r="C621" s="2"/>
      <c r="D621" s="1"/>
      <c r="E621" s="1"/>
      <c r="F621" s="1"/>
      <c r="G621" s="2"/>
      <c r="H621" s="1"/>
      <c r="I621" s="1"/>
      <c r="J621" s="2"/>
      <c r="K621" s="1"/>
      <c r="L621" s="1"/>
      <c r="M621" s="1"/>
      <c r="N621" s="1"/>
      <c r="O621" s="1"/>
      <c r="P621" s="1"/>
      <c r="Q621" s="1"/>
      <c r="R621" s="1"/>
      <c r="S621" s="1"/>
      <c r="T621" s="1"/>
      <c r="U621" s="1"/>
      <c r="V621" s="1"/>
      <c r="W621" s="1"/>
    </row>
    <row r="622">
      <c r="A622" s="1"/>
      <c r="B622" s="1"/>
      <c r="C622" s="2"/>
      <c r="D622" s="1"/>
      <c r="E622" s="1"/>
      <c r="F622" s="1"/>
      <c r="G622" s="2"/>
      <c r="H622" s="1"/>
      <c r="I622" s="1"/>
      <c r="J622" s="2"/>
      <c r="K622" s="1"/>
      <c r="L622" s="1"/>
      <c r="M622" s="1"/>
      <c r="N622" s="1"/>
      <c r="O622" s="1"/>
      <c r="P622" s="1"/>
      <c r="Q622" s="1"/>
      <c r="R622" s="1"/>
      <c r="S622" s="1"/>
      <c r="T622" s="1"/>
      <c r="U622" s="1"/>
      <c r="V622" s="1"/>
      <c r="W622" s="1"/>
    </row>
    <row r="623">
      <c r="A623" s="1"/>
      <c r="B623" s="1"/>
      <c r="C623" s="2"/>
      <c r="D623" s="1"/>
      <c r="E623" s="1"/>
      <c r="F623" s="1"/>
      <c r="G623" s="2"/>
      <c r="H623" s="1"/>
      <c r="I623" s="1"/>
      <c r="J623" s="2"/>
      <c r="K623" s="1"/>
      <c r="L623" s="1"/>
      <c r="M623" s="1"/>
      <c r="N623" s="1"/>
      <c r="O623" s="1"/>
      <c r="P623" s="1"/>
      <c r="Q623" s="1"/>
      <c r="R623" s="1"/>
      <c r="S623" s="1"/>
      <c r="T623" s="1"/>
      <c r="U623" s="1"/>
      <c r="V623" s="1"/>
      <c r="W623" s="1"/>
    </row>
    <row r="624">
      <c r="A624" s="1"/>
      <c r="B624" s="1"/>
      <c r="C624" s="2"/>
      <c r="D624" s="1"/>
      <c r="E624" s="1"/>
      <c r="F624" s="1"/>
      <c r="G624" s="2"/>
      <c r="H624" s="1"/>
      <c r="I624" s="1"/>
      <c r="J624" s="2"/>
      <c r="K624" s="1"/>
      <c r="L624" s="1"/>
      <c r="M624" s="1"/>
      <c r="N624" s="1"/>
      <c r="O624" s="1"/>
      <c r="P624" s="1"/>
      <c r="Q624" s="1"/>
      <c r="R624" s="1"/>
      <c r="S624" s="1"/>
      <c r="T624" s="1"/>
      <c r="U624" s="1"/>
      <c r="V624" s="1"/>
      <c r="W624" s="1"/>
    </row>
    <row r="625">
      <c r="A625" s="1"/>
      <c r="B625" s="1"/>
      <c r="C625" s="2"/>
      <c r="D625" s="1"/>
      <c r="E625" s="1"/>
      <c r="F625" s="1"/>
      <c r="G625" s="2"/>
      <c r="H625" s="1"/>
      <c r="I625" s="1"/>
      <c r="J625" s="2"/>
      <c r="K625" s="1"/>
      <c r="L625" s="1"/>
      <c r="M625" s="1"/>
      <c r="N625" s="1"/>
      <c r="O625" s="1"/>
      <c r="P625" s="1"/>
      <c r="Q625" s="1"/>
      <c r="R625" s="1"/>
      <c r="S625" s="1"/>
      <c r="T625" s="1"/>
      <c r="U625" s="1"/>
      <c r="V625" s="1"/>
      <c r="W625" s="1"/>
    </row>
    <row r="626">
      <c r="A626" s="1"/>
      <c r="B626" s="1"/>
      <c r="C626" s="2"/>
      <c r="D626" s="1"/>
      <c r="E626" s="1"/>
      <c r="F626" s="1"/>
      <c r="G626" s="2"/>
      <c r="H626" s="1"/>
      <c r="I626" s="1"/>
      <c r="J626" s="2"/>
      <c r="K626" s="1"/>
      <c r="L626" s="1"/>
      <c r="M626" s="1"/>
      <c r="N626" s="1"/>
      <c r="O626" s="1"/>
      <c r="P626" s="1"/>
      <c r="Q626" s="1"/>
      <c r="R626" s="1"/>
      <c r="S626" s="1"/>
      <c r="T626" s="1"/>
      <c r="U626" s="1"/>
      <c r="V626" s="1"/>
      <c r="W626" s="1"/>
    </row>
    <row r="627">
      <c r="A627" s="1"/>
      <c r="B627" s="1"/>
      <c r="C627" s="2"/>
      <c r="D627" s="1"/>
      <c r="E627" s="1"/>
      <c r="F627" s="1"/>
      <c r="G627" s="2"/>
      <c r="H627" s="1"/>
      <c r="I627" s="1"/>
      <c r="J627" s="2"/>
      <c r="K627" s="1"/>
      <c r="L627" s="1"/>
      <c r="M627" s="1"/>
      <c r="N627" s="1"/>
      <c r="O627" s="1"/>
      <c r="P627" s="1"/>
      <c r="Q627" s="1"/>
      <c r="R627" s="1"/>
      <c r="S627" s="1"/>
      <c r="T627" s="1"/>
      <c r="U627" s="1"/>
      <c r="V627" s="1"/>
      <c r="W627" s="1"/>
    </row>
    <row r="628">
      <c r="A628" s="1"/>
      <c r="B628" s="1"/>
      <c r="C628" s="2"/>
      <c r="D628" s="1"/>
      <c r="E628" s="1"/>
      <c r="F628" s="1"/>
      <c r="G628" s="2"/>
      <c r="H628" s="1"/>
      <c r="I628" s="1"/>
      <c r="J628" s="2"/>
      <c r="K628" s="1"/>
      <c r="L628" s="1"/>
      <c r="M628" s="1"/>
      <c r="N628" s="1"/>
      <c r="O628" s="1"/>
      <c r="P628" s="1"/>
      <c r="Q628" s="1"/>
      <c r="R628" s="1"/>
      <c r="S628" s="1"/>
      <c r="T628" s="1"/>
      <c r="U628" s="1"/>
      <c r="V628" s="1"/>
      <c r="W628" s="1"/>
    </row>
    <row r="629">
      <c r="A629" s="1"/>
      <c r="B629" s="1"/>
      <c r="C629" s="2"/>
      <c r="D629" s="1"/>
      <c r="E629" s="1"/>
      <c r="F629" s="1"/>
      <c r="G629" s="2"/>
      <c r="H629" s="1"/>
      <c r="I629" s="1"/>
      <c r="J629" s="2"/>
      <c r="K629" s="1"/>
      <c r="L629" s="1"/>
      <c r="M629" s="1"/>
      <c r="N629" s="1"/>
      <c r="O629" s="1"/>
      <c r="P629" s="1"/>
      <c r="Q629" s="1"/>
      <c r="R629" s="1"/>
      <c r="S629" s="1"/>
      <c r="T629" s="1"/>
      <c r="U629" s="1"/>
      <c r="V629" s="1"/>
      <c r="W629" s="1"/>
    </row>
    <row r="630">
      <c r="A630" s="1"/>
      <c r="B630" s="1"/>
      <c r="C630" s="2"/>
      <c r="D630" s="1"/>
      <c r="E630" s="1"/>
      <c r="F630" s="1"/>
      <c r="G630" s="2"/>
      <c r="H630" s="1"/>
      <c r="I630" s="1"/>
      <c r="J630" s="2"/>
      <c r="K630" s="1"/>
      <c r="L630" s="1"/>
      <c r="M630" s="1"/>
      <c r="N630" s="1"/>
      <c r="O630" s="1"/>
      <c r="P630" s="1"/>
      <c r="Q630" s="1"/>
      <c r="R630" s="1"/>
      <c r="S630" s="1"/>
      <c r="T630" s="1"/>
      <c r="U630" s="1"/>
      <c r="V630" s="1"/>
      <c r="W630" s="1"/>
    </row>
    <row r="631">
      <c r="A631" s="1"/>
      <c r="B631" s="1"/>
      <c r="C631" s="2"/>
      <c r="D631" s="1"/>
      <c r="E631" s="1"/>
      <c r="F631" s="1"/>
      <c r="G631" s="2"/>
      <c r="H631" s="1"/>
      <c r="I631" s="1"/>
      <c r="J631" s="2"/>
      <c r="K631" s="1"/>
      <c r="L631" s="1"/>
      <c r="M631" s="1"/>
      <c r="N631" s="1"/>
      <c r="O631" s="1"/>
      <c r="P631" s="1"/>
      <c r="Q631" s="1"/>
      <c r="R631" s="1"/>
      <c r="S631" s="1"/>
      <c r="T631" s="1"/>
      <c r="U631" s="1"/>
      <c r="V631" s="1"/>
      <c r="W631" s="1"/>
    </row>
    <row r="632">
      <c r="A632" s="1"/>
      <c r="B632" s="1"/>
      <c r="C632" s="2"/>
      <c r="D632" s="1"/>
      <c r="E632" s="1"/>
      <c r="F632" s="1"/>
      <c r="G632" s="2"/>
      <c r="H632" s="1"/>
      <c r="I632" s="1"/>
      <c r="J632" s="2"/>
      <c r="K632" s="1"/>
      <c r="L632" s="1"/>
      <c r="M632" s="1"/>
      <c r="N632" s="1"/>
      <c r="O632" s="1"/>
      <c r="P632" s="1"/>
      <c r="Q632" s="1"/>
      <c r="R632" s="1"/>
      <c r="S632" s="1"/>
      <c r="T632" s="1"/>
      <c r="U632" s="1"/>
      <c r="V632" s="1"/>
      <c r="W632" s="1"/>
    </row>
    <row r="633">
      <c r="A633" s="1"/>
      <c r="B633" s="1"/>
      <c r="C633" s="2"/>
      <c r="D633" s="1"/>
      <c r="E633" s="1"/>
      <c r="F633" s="1"/>
      <c r="G633" s="2"/>
      <c r="H633" s="1"/>
      <c r="I633" s="1"/>
      <c r="J633" s="2"/>
      <c r="K633" s="1"/>
      <c r="L633" s="1"/>
      <c r="M633" s="1"/>
      <c r="N633" s="1"/>
      <c r="O633" s="1"/>
      <c r="P633" s="1"/>
      <c r="Q633" s="1"/>
      <c r="R633" s="1"/>
      <c r="S633" s="1"/>
      <c r="T633" s="1"/>
      <c r="U633" s="1"/>
      <c r="V633" s="1"/>
      <c r="W633" s="1"/>
    </row>
    <row r="634">
      <c r="A634" s="1"/>
      <c r="B634" s="1"/>
      <c r="C634" s="2"/>
      <c r="D634" s="1"/>
      <c r="E634" s="1"/>
      <c r="F634" s="1"/>
      <c r="G634" s="2"/>
      <c r="H634" s="1"/>
      <c r="I634" s="1"/>
      <c r="J634" s="2"/>
      <c r="K634" s="1"/>
      <c r="L634" s="1"/>
      <c r="M634" s="1"/>
      <c r="N634" s="1"/>
      <c r="O634" s="1"/>
      <c r="P634" s="1"/>
      <c r="Q634" s="1"/>
      <c r="R634" s="1"/>
      <c r="S634" s="1"/>
      <c r="T634" s="1"/>
      <c r="U634" s="1"/>
      <c r="V634" s="1"/>
      <c r="W634" s="1"/>
    </row>
    <row r="635">
      <c r="A635" s="1"/>
      <c r="B635" s="1"/>
      <c r="C635" s="2"/>
      <c r="D635" s="1"/>
      <c r="E635" s="1"/>
      <c r="F635" s="1"/>
      <c r="G635" s="2"/>
      <c r="H635" s="1"/>
      <c r="I635" s="1"/>
      <c r="J635" s="2"/>
      <c r="K635" s="1"/>
      <c r="L635" s="1"/>
      <c r="M635" s="1"/>
      <c r="N635" s="1"/>
      <c r="O635" s="1"/>
      <c r="P635" s="1"/>
      <c r="Q635" s="1"/>
      <c r="R635" s="1"/>
      <c r="S635" s="1"/>
      <c r="T635" s="1"/>
      <c r="U635" s="1"/>
      <c r="V635" s="1"/>
      <c r="W635" s="1"/>
    </row>
    <row r="636">
      <c r="A636" s="1"/>
      <c r="B636" s="1"/>
      <c r="C636" s="2"/>
      <c r="D636" s="1"/>
      <c r="E636" s="1"/>
      <c r="F636" s="1"/>
      <c r="G636" s="2"/>
      <c r="H636" s="1"/>
      <c r="I636" s="1"/>
      <c r="J636" s="2"/>
      <c r="K636" s="1"/>
      <c r="L636" s="1"/>
      <c r="M636" s="1"/>
      <c r="N636" s="1"/>
      <c r="O636" s="1"/>
      <c r="P636" s="1"/>
      <c r="Q636" s="1"/>
      <c r="R636" s="1"/>
      <c r="S636" s="1"/>
      <c r="T636" s="1"/>
      <c r="U636" s="1"/>
      <c r="V636" s="1"/>
      <c r="W636" s="1"/>
    </row>
    <row r="637">
      <c r="A637" s="1"/>
      <c r="B637" s="1"/>
      <c r="C637" s="2"/>
      <c r="D637" s="1"/>
      <c r="E637" s="1"/>
      <c r="F637" s="1"/>
      <c r="G637" s="2"/>
      <c r="H637" s="1"/>
      <c r="I637" s="1"/>
      <c r="J637" s="2"/>
      <c r="K637" s="1"/>
      <c r="L637" s="1"/>
      <c r="M637" s="1"/>
      <c r="N637" s="1"/>
      <c r="O637" s="1"/>
      <c r="P637" s="1"/>
      <c r="Q637" s="1"/>
      <c r="R637" s="1"/>
      <c r="S637" s="1"/>
      <c r="T637" s="1"/>
      <c r="U637" s="1"/>
      <c r="V637" s="1"/>
      <c r="W637" s="1"/>
    </row>
    <row r="638">
      <c r="A638" s="1"/>
      <c r="B638" s="1"/>
      <c r="C638" s="2"/>
      <c r="D638" s="1"/>
      <c r="E638" s="1"/>
      <c r="F638" s="1"/>
      <c r="G638" s="2"/>
      <c r="H638" s="1"/>
      <c r="I638" s="1"/>
      <c r="J638" s="2"/>
      <c r="K638" s="1"/>
      <c r="L638" s="1"/>
      <c r="M638" s="1"/>
      <c r="N638" s="1"/>
      <c r="O638" s="1"/>
      <c r="P638" s="1"/>
      <c r="Q638" s="1"/>
      <c r="R638" s="1"/>
      <c r="S638" s="1"/>
      <c r="T638" s="1"/>
      <c r="U638" s="1"/>
      <c r="V638" s="1"/>
      <c r="W638" s="1"/>
    </row>
    <row r="639">
      <c r="A639" s="1"/>
      <c r="B639" s="1"/>
      <c r="C639" s="2"/>
      <c r="D639" s="1"/>
      <c r="E639" s="1"/>
      <c r="F639" s="1"/>
      <c r="G639" s="2"/>
      <c r="H639" s="1"/>
      <c r="I639" s="1"/>
      <c r="J639" s="2"/>
      <c r="K639" s="1"/>
      <c r="L639" s="1"/>
      <c r="M639" s="1"/>
      <c r="N639" s="1"/>
      <c r="O639" s="1"/>
      <c r="P639" s="1"/>
      <c r="Q639" s="1"/>
      <c r="R639" s="1"/>
      <c r="S639" s="1"/>
      <c r="T639" s="1"/>
      <c r="U639" s="1"/>
      <c r="V639" s="1"/>
      <c r="W639" s="1"/>
    </row>
    <row r="640">
      <c r="A640" s="1"/>
      <c r="B640" s="1"/>
      <c r="C640" s="2"/>
      <c r="D640" s="1"/>
      <c r="E640" s="1"/>
      <c r="F640" s="1"/>
      <c r="G640" s="2"/>
      <c r="H640" s="1"/>
      <c r="I640" s="1"/>
      <c r="J640" s="2"/>
      <c r="K640" s="1"/>
      <c r="L640" s="1"/>
      <c r="M640" s="1"/>
      <c r="N640" s="1"/>
      <c r="O640" s="1"/>
      <c r="P640" s="1"/>
      <c r="Q640" s="1"/>
      <c r="R640" s="1"/>
      <c r="S640" s="1"/>
      <c r="T640" s="1"/>
      <c r="U640" s="1"/>
      <c r="V640" s="1"/>
      <c r="W640" s="1"/>
    </row>
    <row r="641">
      <c r="A641" s="1"/>
      <c r="B641" s="1"/>
      <c r="C641" s="2"/>
      <c r="D641" s="1"/>
      <c r="E641" s="1"/>
      <c r="F641" s="1"/>
      <c r="G641" s="2"/>
      <c r="H641" s="1"/>
      <c r="I641" s="1"/>
      <c r="J641" s="2"/>
      <c r="K641" s="1"/>
      <c r="L641" s="1"/>
      <c r="M641" s="1"/>
      <c r="N641" s="1"/>
      <c r="O641" s="1"/>
      <c r="P641" s="1"/>
      <c r="Q641" s="1"/>
      <c r="R641" s="1"/>
      <c r="S641" s="1"/>
      <c r="T641" s="1"/>
      <c r="U641" s="1"/>
      <c r="V641" s="1"/>
      <c r="W641" s="1"/>
    </row>
    <row r="642">
      <c r="A642" s="1"/>
      <c r="B642" s="1"/>
      <c r="C642" s="2"/>
      <c r="D642" s="1"/>
      <c r="E642" s="1"/>
      <c r="F642" s="1"/>
      <c r="G642" s="2"/>
      <c r="H642" s="1"/>
      <c r="I642" s="1"/>
      <c r="J642" s="2"/>
      <c r="K642" s="1"/>
      <c r="L642" s="1"/>
      <c r="M642" s="1"/>
      <c r="N642" s="1"/>
      <c r="O642" s="1"/>
      <c r="P642" s="1"/>
      <c r="Q642" s="1"/>
      <c r="R642" s="1"/>
      <c r="S642" s="1"/>
      <c r="T642" s="1"/>
      <c r="U642" s="1"/>
      <c r="V642" s="1"/>
      <c r="W642" s="1"/>
    </row>
    <row r="643">
      <c r="A643" s="1"/>
      <c r="B643" s="1"/>
      <c r="C643" s="2"/>
      <c r="D643" s="1"/>
      <c r="E643" s="1"/>
      <c r="F643" s="1"/>
      <c r="G643" s="2"/>
      <c r="H643" s="1"/>
      <c r="I643" s="1"/>
      <c r="J643" s="2"/>
      <c r="K643" s="1"/>
      <c r="L643" s="1"/>
      <c r="M643" s="1"/>
      <c r="N643" s="1"/>
      <c r="O643" s="1"/>
      <c r="P643" s="1"/>
      <c r="Q643" s="1"/>
      <c r="R643" s="1"/>
      <c r="S643" s="1"/>
      <c r="T643" s="1"/>
      <c r="U643" s="1"/>
      <c r="V643" s="1"/>
      <c r="W643" s="1"/>
    </row>
    <row r="644">
      <c r="A644" s="1"/>
      <c r="B644" s="1"/>
      <c r="C644" s="2"/>
      <c r="D644" s="1"/>
      <c r="E644" s="1"/>
      <c r="F644" s="1"/>
      <c r="G644" s="2"/>
      <c r="H644" s="1"/>
      <c r="I644" s="1"/>
      <c r="J644" s="2"/>
      <c r="K644" s="1"/>
      <c r="L644" s="1"/>
      <c r="M644" s="1"/>
      <c r="N644" s="1"/>
      <c r="O644" s="1"/>
      <c r="P644" s="1"/>
      <c r="Q644" s="1"/>
      <c r="R644" s="1"/>
      <c r="S644" s="1"/>
      <c r="T644" s="1"/>
      <c r="U644" s="1"/>
      <c r="V644" s="1"/>
      <c r="W644" s="1"/>
    </row>
    <row r="645">
      <c r="A645" s="1"/>
      <c r="B645" s="1"/>
      <c r="C645" s="2"/>
      <c r="D645" s="1"/>
      <c r="E645" s="1"/>
      <c r="F645" s="1"/>
      <c r="G645" s="2"/>
      <c r="H645" s="1"/>
      <c r="I645" s="1"/>
      <c r="J645" s="2"/>
      <c r="K645" s="1"/>
      <c r="L645" s="1"/>
      <c r="M645" s="1"/>
      <c r="N645" s="1"/>
      <c r="O645" s="1"/>
      <c r="P645" s="1"/>
      <c r="Q645" s="1"/>
      <c r="R645" s="1"/>
      <c r="S645" s="1"/>
      <c r="T645" s="1"/>
      <c r="U645" s="1"/>
      <c r="V645" s="1"/>
      <c r="W645" s="1"/>
    </row>
    <row r="646">
      <c r="A646" s="1"/>
      <c r="B646" s="1"/>
      <c r="C646" s="2"/>
      <c r="D646" s="1"/>
      <c r="E646" s="1"/>
      <c r="F646" s="1"/>
      <c r="G646" s="2"/>
      <c r="H646" s="1"/>
      <c r="I646" s="1"/>
      <c r="J646" s="2"/>
      <c r="K646" s="1"/>
      <c r="L646" s="1"/>
      <c r="M646" s="1"/>
      <c r="N646" s="1"/>
      <c r="O646" s="1"/>
      <c r="P646" s="1"/>
      <c r="Q646" s="1"/>
      <c r="R646" s="1"/>
      <c r="S646" s="1"/>
      <c r="T646" s="1"/>
      <c r="U646" s="1"/>
      <c r="V646" s="1"/>
      <c r="W646" s="1"/>
    </row>
    <row r="647">
      <c r="A647" s="1"/>
      <c r="B647" s="1"/>
      <c r="C647" s="2"/>
      <c r="D647" s="1"/>
      <c r="E647" s="1"/>
      <c r="F647" s="1"/>
      <c r="G647" s="2"/>
      <c r="H647" s="1"/>
      <c r="I647" s="1"/>
      <c r="J647" s="2"/>
      <c r="K647" s="1"/>
      <c r="L647" s="1"/>
      <c r="M647" s="1"/>
      <c r="N647" s="1"/>
      <c r="O647" s="1"/>
      <c r="P647" s="1"/>
      <c r="Q647" s="1"/>
      <c r="R647" s="1"/>
      <c r="S647" s="1"/>
      <c r="T647" s="1"/>
      <c r="U647" s="1"/>
      <c r="V647" s="1"/>
      <c r="W647" s="1"/>
    </row>
    <row r="648">
      <c r="A648" s="1"/>
      <c r="B648" s="1"/>
      <c r="C648" s="2"/>
      <c r="D648" s="1"/>
      <c r="E648" s="1"/>
      <c r="F648" s="1"/>
      <c r="G648" s="2"/>
      <c r="H648" s="1"/>
      <c r="I648" s="1"/>
      <c r="J648" s="2"/>
      <c r="K648" s="1"/>
      <c r="L648" s="1"/>
      <c r="M648" s="1"/>
      <c r="N648" s="1"/>
      <c r="O648" s="1"/>
      <c r="P648" s="1"/>
      <c r="Q648" s="1"/>
      <c r="R648" s="1"/>
      <c r="S648" s="1"/>
      <c r="T648" s="1"/>
      <c r="U648" s="1"/>
      <c r="V648" s="1"/>
      <c r="W648" s="1"/>
    </row>
    <row r="649">
      <c r="A649" s="1"/>
      <c r="B649" s="1"/>
      <c r="C649" s="2"/>
      <c r="D649" s="1"/>
      <c r="E649" s="1"/>
      <c r="F649" s="1"/>
      <c r="G649" s="2"/>
      <c r="H649" s="1"/>
      <c r="I649" s="1"/>
      <c r="J649" s="2"/>
      <c r="K649" s="1"/>
      <c r="L649" s="1"/>
      <c r="M649" s="1"/>
      <c r="N649" s="1"/>
      <c r="O649" s="1"/>
      <c r="P649" s="1"/>
      <c r="Q649" s="1"/>
      <c r="R649" s="1"/>
      <c r="S649" s="1"/>
      <c r="T649" s="1"/>
      <c r="U649" s="1"/>
      <c r="V649" s="1"/>
      <c r="W649" s="1"/>
    </row>
    <row r="650">
      <c r="A650" s="1"/>
      <c r="B650" s="1"/>
      <c r="C650" s="2"/>
      <c r="D650" s="1"/>
      <c r="E650" s="1"/>
      <c r="F650" s="1"/>
      <c r="G650" s="2"/>
      <c r="H650" s="1"/>
      <c r="I650" s="1"/>
      <c r="J650" s="2"/>
      <c r="K650" s="1"/>
      <c r="L650" s="1"/>
      <c r="M650" s="1"/>
      <c r="N650" s="1"/>
      <c r="O650" s="1"/>
      <c r="P650" s="1"/>
      <c r="Q650" s="1"/>
      <c r="R650" s="1"/>
      <c r="S650" s="1"/>
      <c r="T650" s="1"/>
      <c r="U650" s="1"/>
      <c r="V650" s="1"/>
      <c r="W650" s="1"/>
    </row>
    <row r="651">
      <c r="A651" s="1"/>
      <c r="B651" s="1"/>
      <c r="C651" s="2"/>
      <c r="D651" s="1"/>
      <c r="E651" s="1"/>
      <c r="F651" s="1"/>
      <c r="G651" s="2"/>
      <c r="H651" s="1"/>
      <c r="I651" s="1"/>
      <c r="J651" s="2"/>
      <c r="K651" s="1"/>
      <c r="L651" s="1"/>
      <c r="M651" s="1"/>
      <c r="N651" s="1"/>
      <c r="O651" s="1"/>
      <c r="P651" s="1"/>
      <c r="Q651" s="1"/>
      <c r="R651" s="1"/>
      <c r="S651" s="1"/>
      <c r="T651" s="1"/>
      <c r="U651" s="1"/>
      <c r="V651" s="1"/>
      <c r="W651" s="1"/>
    </row>
    <row r="652">
      <c r="A652" s="1"/>
      <c r="B652" s="1"/>
      <c r="C652" s="2"/>
      <c r="D652" s="1"/>
      <c r="E652" s="1"/>
      <c r="F652" s="1"/>
      <c r="G652" s="2"/>
      <c r="H652" s="1"/>
      <c r="I652" s="1"/>
      <c r="J652" s="2"/>
      <c r="K652" s="1"/>
      <c r="L652" s="1"/>
      <c r="M652" s="1"/>
      <c r="N652" s="1"/>
      <c r="O652" s="1"/>
      <c r="P652" s="1"/>
      <c r="Q652" s="1"/>
      <c r="R652" s="1"/>
      <c r="S652" s="1"/>
      <c r="T652" s="1"/>
      <c r="U652" s="1"/>
      <c r="V652" s="1"/>
      <c r="W652" s="1"/>
    </row>
    <row r="653">
      <c r="A653" s="1"/>
      <c r="B653" s="1"/>
      <c r="C653" s="2"/>
      <c r="D653" s="1"/>
      <c r="E653" s="1"/>
      <c r="F653" s="1"/>
      <c r="G653" s="2"/>
      <c r="H653" s="1"/>
      <c r="I653" s="1"/>
      <c r="J653" s="2"/>
      <c r="K653" s="1"/>
      <c r="L653" s="1"/>
      <c r="M653" s="1"/>
      <c r="N653" s="1"/>
      <c r="O653" s="1"/>
      <c r="P653" s="1"/>
      <c r="Q653" s="1"/>
      <c r="R653" s="1"/>
      <c r="S653" s="1"/>
      <c r="T653" s="1"/>
      <c r="U653" s="1"/>
      <c r="V653" s="1"/>
      <c r="W653" s="1"/>
    </row>
    <row r="654">
      <c r="A654" s="1"/>
      <c r="B654" s="1"/>
      <c r="C654" s="2"/>
      <c r="D654" s="1"/>
      <c r="E654" s="1"/>
      <c r="F654" s="1"/>
      <c r="G654" s="2"/>
      <c r="H654" s="1"/>
      <c r="I654" s="1"/>
      <c r="J654" s="2"/>
      <c r="K654" s="1"/>
      <c r="L654" s="1"/>
      <c r="M654" s="1"/>
      <c r="N654" s="1"/>
      <c r="O654" s="1"/>
      <c r="P654" s="1"/>
      <c r="Q654" s="1"/>
      <c r="R654" s="1"/>
      <c r="S654" s="1"/>
      <c r="T654" s="1"/>
      <c r="U654" s="1"/>
      <c r="V654" s="1"/>
      <c r="W654" s="1"/>
    </row>
    <row r="655">
      <c r="A655" s="1"/>
      <c r="B655" s="1"/>
      <c r="C655" s="2"/>
      <c r="D655" s="1"/>
      <c r="E655" s="1"/>
      <c r="F655" s="1"/>
      <c r="G655" s="2"/>
      <c r="H655" s="1"/>
      <c r="I655" s="1"/>
      <c r="J655" s="2"/>
      <c r="K655" s="1"/>
      <c r="L655" s="1"/>
      <c r="M655" s="1"/>
      <c r="N655" s="1"/>
      <c r="O655" s="1"/>
      <c r="P655" s="1"/>
      <c r="Q655" s="1"/>
      <c r="R655" s="1"/>
      <c r="S655" s="1"/>
      <c r="T655" s="1"/>
      <c r="U655" s="1"/>
      <c r="V655" s="1"/>
      <c r="W655" s="1"/>
    </row>
    <row r="656">
      <c r="A656" s="1"/>
      <c r="B656" s="1"/>
      <c r="C656" s="2"/>
      <c r="D656" s="1"/>
      <c r="E656" s="1"/>
      <c r="F656" s="1"/>
      <c r="G656" s="2"/>
      <c r="H656" s="1"/>
      <c r="I656" s="1"/>
      <c r="J656" s="2"/>
      <c r="K656" s="1"/>
      <c r="L656" s="1"/>
      <c r="M656" s="1"/>
      <c r="N656" s="1"/>
      <c r="O656" s="1"/>
      <c r="P656" s="1"/>
      <c r="Q656" s="1"/>
      <c r="R656" s="1"/>
      <c r="S656" s="1"/>
      <c r="T656" s="1"/>
      <c r="U656" s="1"/>
      <c r="V656" s="1"/>
      <c r="W656" s="1"/>
    </row>
    <row r="657">
      <c r="A657" s="1"/>
      <c r="B657" s="1"/>
      <c r="C657" s="2"/>
      <c r="D657" s="1"/>
      <c r="E657" s="1"/>
      <c r="F657" s="1"/>
      <c r="G657" s="2"/>
      <c r="H657" s="1"/>
      <c r="I657" s="1"/>
      <c r="J657" s="2"/>
      <c r="K657" s="1"/>
      <c r="L657" s="1"/>
      <c r="M657" s="1"/>
      <c r="N657" s="1"/>
      <c r="O657" s="1"/>
      <c r="P657" s="1"/>
      <c r="Q657" s="1"/>
      <c r="R657" s="1"/>
      <c r="S657" s="1"/>
      <c r="T657" s="1"/>
      <c r="U657" s="1"/>
      <c r="V657" s="1"/>
      <c r="W657" s="1"/>
    </row>
    <row r="658">
      <c r="A658" s="1"/>
      <c r="B658" s="1"/>
      <c r="C658" s="2"/>
      <c r="D658" s="1"/>
      <c r="E658" s="1"/>
      <c r="F658" s="1"/>
      <c r="G658" s="2"/>
      <c r="H658" s="1"/>
      <c r="I658" s="1"/>
      <c r="J658" s="2"/>
      <c r="K658" s="1"/>
      <c r="L658" s="1"/>
      <c r="M658" s="1"/>
      <c r="N658" s="1"/>
      <c r="O658" s="1"/>
      <c r="P658" s="1"/>
      <c r="Q658" s="1"/>
      <c r="R658" s="1"/>
      <c r="S658" s="1"/>
      <c r="T658" s="1"/>
      <c r="U658" s="1"/>
      <c r="V658" s="1"/>
      <c r="W658" s="1"/>
    </row>
    <row r="659">
      <c r="A659" s="1"/>
      <c r="B659" s="1"/>
      <c r="C659" s="2"/>
      <c r="D659" s="1"/>
      <c r="E659" s="1"/>
      <c r="F659" s="1"/>
      <c r="G659" s="2"/>
      <c r="H659" s="1"/>
      <c r="I659" s="1"/>
      <c r="J659" s="2"/>
      <c r="K659" s="1"/>
      <c r="L659" s="1"/>
      <c r="M659" s="1"/>
      <c r="N659" s="1"/>
      <c r="O659" s="1"/>
      <c r="P659" s="1"/>
      <c r="Q659" s="1"/>
      <c r="R659" s="1"/>
      <c r="S659" s="1"/>
      <c r="T659" s="1"/>
      <c r="U659" s="1"/>
      <c r="V659" s="1"/>
      <c r="W659" s="1"/>
    </row>
    <row r="660">
      <c r="A660" s="1"/>
      <c r="B660" s="1"/>
      <c r="C660" s="2"/>
      <c r="D660" s="1"/>
      <c r="E660" s="1"/>
      <c r="F660" s="1"/>
      <c r="G660" s="2"/>
      <c r="H660" s="1"/>
      <c r="I660" s="1"/>
      <c r="J660" s="2"/>
      <c r="K660" s="1"/>
      <c r="L660" s="1"/>
      <c r="M660" s="1"/>
      <c r="N660" s="1"/>
      <c r="O660" s="1"/>
      <c r="P660" s="1"/>
      <c r="Q660" s="1"/>
      <c r="R660" s="1"/>
      <c r="S660" s="1"/>
      <c r="T660" s="1"/>
      <c r="U660" s="1"/>
      <c r="V660" s="1"/>
      <c r="W660" s="1"/>
    </row>
    <row r="661">
      <c r="A661" s="1"/>
      <c r="B661" s="1"/>
      <c r="C661" s="2"/>
      <c r="D661" s="1"/>
      <c r="E661" s="1"/>
      <c r="F661" s="1"/>
      <c r="G661" s="2"/>
      <c r="H661" s="1"/>
      <c r="I661" s="1"/>
      <c r="J661" s="2"/>
      <c r="K661" s="1"/>
      <c r="L661" s="1"/>
      <c r="M661" s="1"/>
      <c r="N661" s="1"/>
      <c r="O661" s="1"/>
      <c r="P661" s="1"/>
      <c r="Q661" s="1"/>
      <c r="R661" s="1"/>
      <c r="S661" s="1"/>
      <c r="T661" s="1"/>
      <c r="U661" s="1"/>
      <c r="V661" s="1"/>
      <c r="W661" s="1"/>
    </row>
    <row r="662">
      <c r="A662" s="1"/>
      <c r="B662" s="1"/>
      <c r="C662" s="2"/>
      <c r="D662" s="1"/>
      <c r="E662" s="1"/>
      <c r="F662" s="1"/>
      <c r="G662" s="2"/>
      <c r="H662" s="1"/>
      <c r="I662" s="1"/>
      <c r="J662" s="2"/>
      <c r="K662" s="1"/>
      <c r="L662" s="1"/>
      <c r="M662" s="1"/>
      <c r="N662" s="1"/>
      <c r="O662" s="1"/>
      <c r="P662" s="1"/>
      <c r="Q662" s="1"/>
      <c r="R662" s="1"/>
      <c r="S662" s="1"/>
      <c r="T662" s="1"/>
      <c r="U662" s="1"/>
      <c r="V662" s="1"/>
      <c r="W662" s="1"/>
    </row>
    <row r="663">
      <c r="A663" s="1"/>
      <c r="B663" s="1"/>
      <c r="C663" s="2"/>
      <c r="D663" s="1"/>
      <c r="E663" s="1"/>
      <c r="F663" s="1"/>
      <c r="G663" s="2"/>
      <c r="H663" s="1"/>
      <c r="I663" s="1"/>
      <c r="J663" s="2"/>
      <c r="K663" s="1"/>
      <c r="L663" s="1"/>
      <c r="M663" s="1"/>
      <c r="N663" s="1"/>
      <c r="O663" s="1"/>
      <c r="P663" s="1"/>
      <c r="Q663" s="1"/>
      <c r="R663" s="1"/>
      <c r="S663" s="1"/>
      <c r="T663" s="1"/>
      <c r="U663" s="1"/>
      <c r="V663" s="1"/>
      <c r="W663" s="1"/>
    </row>
    <row r="664">
      <c r="A664" s="1"/>
      <c r="B664" s="1"/>
      <c r="C664" s="2"/>
      <c r="D664" s="1"/>
      <c r="E664" s="1"/>
      <c r="F664" s="1"/>
      <c r="G664" s="2"/>
      <c r="H664" s="1"/>
      <c r="I664" s="1"/>
      <c r="J664" s="2"/>
      <c r="K664" s="1"/>
      <c r="L664" s="1"/>
      <c r="M664" s="1"/>
      <c r="N664" s="1"/>
      <c r="O664" s="1"/>
      <c r="P664" s="1"/>
      <c r="Q664" s="1"/>
      <c r="R664" s="1"/>
      <c r="S664" s="1"/>
      <c r="T664" s="1"/>
      <c r="U664" s="1"/>
      <c r="V664" s="1"/>
      <c r="W664" s="1"/>
    </row>
    <row r="665">
      <c r="A665" s="1"/>
      <c r="B665" s="1"/>
      <c r="C665" s="2"/>
      <c r="D665" s="1"/>
      <c r="E665" s="1"/>
      <c r="F665" s="1"/>
      <c r="G665" s="2"/>
      <c r="H665" s="1"/>
      <c r="I665" s="1"/>
      <c r="J665" s="2"/>
      <c r="K665" s="1"/>
      <c r="L665" s="1"/>
      <c r="M665" s="1"/>
      <c r="N665" s="1"/>
      <c r="O665" s="1"/>
      <c r="P665" s="1"/>
      <c r="Q665" s="1"/>
      <c r="R665" s="1"/>
      <c r="S665" s="1"/>
      <c r="T665" s="1"/>
      <c r="U665" s="1"/>
      <c r="V665" s="1"/>
      <c r="W665" s="1"/>
    </row>
    <row r="666">
      <c r="A666" s="1"/>
      <c r="B666" s="1"/>
      <c r="C666" s="2"/>
      <c r="D666" s="1"/>
      <c r="E666" s="1"/>
      <c r="F666" s="1"/>
      <c r="G666" s="2"/>
      <c r="H666" s="1"/>
      <c r="I666" s="1"/>
      <c r="J666" s="2"/>
      <c r="K666" s="1"/>
      <c r="L666" s="1"/>
      <c r="M666" s="1"/>
      <c r="N666" s="1"/>
      <c r="O666" s="1"/>
      <c r="P666" s="1"/>
      <c r="Q666" s="1"/>
      <c r="R666" s="1"/>
      <c r="S666" s="1"/>
      <c r="T666" s="1"/>
      <c r="U666" s="1"/>
      <c r="V666" s="1"/>
      <c r="W666" s="1"/>
    </row>
    <row r="667">
      <c r="A667" s="1"/>
      <c r="B667" s="1"/>
      <c r="C667" s="2"/>
      <c r="D667" s="1"/>
      <c r="E667" s="1"/>
      <c r="F667" s="1"/>
      <c r="G667" s="2"/>
      <c r="H667" s="1"/>
      <c r="I667" s="1"/>
      <c r="J667" s="2"/>
      <c r="K667" s="1"/>
      <c r="L667" s="1"/>
      <c r="M667" s="1"/>
      <c r="N667" s="1"/>
      <c r="O667" s="1"/>
      <c r="P667" s="1"/>
      <c r="Q667" s="1"/>
      <c r="R667" s="1"/>
      <c r="S667" s="1"/>
      <c r="T667" s="1"/>
      <c r="U667" s="1"/>
      <c r="V667" s="1"/>
      <c r="W667" s="1"/>
    </row>
    <row r="668">
      <c r="A668" s="1"/>
      <c r="B668" s="1"/>
      <c r="C668" s="2"/>
      <c r="D668" s="1"/>
      <c r="E668" s="1"/>
      <c r="F668" s="1"/>
      <c r="G668" s="2"/>
      <c r="H668" s="1"/>
      <c r="I668" s="1"/>
      <c r="J668" s="2"/>
      <c r="K668" s="1"/>
      <c r="L668" s="1"/>
      <c r="M668" s="1"/>
      <c r="N668" s="1"/>
      <c r="O668" s="1"/>
      <c r="P668" s="1"/>
      <c r="Q668" s="1"/>
      <c r="R668" s="1"/>
      <c r="S668" s="1"/>
      <c r="T668" s="1"/>
      <c r="U668" s="1"/>
      <c r="V668" s="1"/>
      <c r="W668" s="1"/>
    </row>
    <row r="669">
      <c r="A669" s="1"/>
      <c r="B669" s="1"/>
      <c r="C669" s="2"/>
      <c r="D669" s="1"/>
      <c r="E669" s="1"/>
      <c r="F669" s="1"/>
      <c r="G669" s="2"/>
      <c r="H669" s="1"/>
      <c r="I669" s="1"/>
      <c r="J669" s="2"/>
      <c r="K669" s="1"/>
      <c r="L669" s="1"/>
      <c r="M669" s="1"/>
      <c r="N669" s="1"/>
      <c r="O669" s="1"/>
      <c r="P669" s="1"/>
      <c r="Q669" s="1"/>
      <c r="R669" s="1"/>
      <c r="S669" s="1"/>
      <c r="T669" s="1"/>
      <c r="U669" s="1"/>
      <c r="V669" s="1"/>
      <c r="W669" s="1"/>
    </row>
    <row r="670">
      <c r="A670" s="1"/>
      <c r="B670" s="1"/>
      <c r="C670" s="2"/>
      <c r="D670" s="1"/>
      <c r="E670" s="1"/>
      <c r="F670" s="1"/>
      <c r="G670" s="2"/>
      <c r="H670" s="1"/>
      <c r="I670" s="1"/>
      <c r="J670" s="2"/>
      <c r="K670" s="1"/>
      <c r="L670" s="1"/>
      <c r="M670" s="1"/>
      <c r="N670" s="1"/>
      <c r="O670" s="1"/>
      <c r="P670" s="1"/>
      <c r="Q670" s="1"/>
      <c r="R670" s="1"/>
      <c r="S670" s="1"/>
      <c r="T670" s="1"/>
      <c r="U670" s="1"/>
      <c r="V670" s="1"/>
      <c r="W670" s="1"/>
    </row>
    <row r="671">
      <c r="A671" s="1"/>
      <c r="B671" s="1"/>
      <c r="C671" s="2"/>
      <c r="D671" s="1"/>
      <c r="E671" s="1"/>
      <c r="F671" s="1"/>
      <c r="G671" s="2"/>
      <c r="H671" s="1"/>
      <c r="I671" s="1"/>
      <c r="J671" s="2"/>
      <c r="K671" s="1"/>
      <c r="L671" s="1"/>
      <c r="M671" s="1"/>
      <c r="N671" s="1"/>
      <c r="O671" s="1"/>
      <c r="P671" s="1"/>
      <c r="Q671" s="1"/>
      <c r="R671" s="1"/>
      <c r="S671" s="1"/>
      <c r="T671" s="1"/>
      <c r="U671" s="1"/>
      <c r="V671" s="1"/>
      <c r="W671" s="1"/>
    </row>
    <row r="672">
      <c r="A672" s="1"/>
      <c r="B672" s="1"/>
      <c r="C672" s="2"/>
      <c r="D672" s="1"/>
      <c r="E672" s="1"/>
      <c r="F672" s="1"/>
      <c r="G672" s="2"/>
      <c r="H672" s="1"/>
      <c r="I672" s="1"/>
      <c r="J672" s="2"/>
      <c r="K672" s="1"/>
      <c r="L672" s="1"/>
      <c r="M672" s="1"/>
      <c r="N672" s="1"/>
      <c r="O672" s="1"/>
      <c r="P672" s="1"/>
      <c r="Q672" s="1"/>
      <c r="R672" s="1"/>
      <c r="S672" s="1"/>
      <c r="T672" s="1"/>
      <c r="U672" s="1"/>
      <c r="V672" s="1"/>
      <c r="W672" s="1"/>
    </row>
    <row r="673">
      <c r="A673" s="1"/>
      <c r="B673" s="1"/>
      <c r="C673" s="2"/>
      <c r="D673" s="1"/>
      <c r="E673" s="1"/>
      <c r="F673" s="1"/>
      <c r="G673" s="2"/>
      <c r="H673" s="1"/>
      <c r="I673" s="1"/>
      <c r="J673" s="2"/>
      <c r="K673" s="1"/>
      <c r="L673" s="1"/>
      <c r="M673" s="1"/>
      <c r="N673" s="1"/>
      <c r="O673" s="1"/>
      <c r="P673" s="1"/>
      <c r="Q673" s="1"/>
      <c r="R673" s="1"/>
      <c r="S673" s="1"/>
      <c r="T673" s="1"/>
      <c r="U673" s="1"/>
      <c r="V673" s="1"/>
      <c r="W673" s="1"/>
    </row>
    <row r="674">
      <c r="A674" s="1"/>
      <c r="B674" s="1"/>
      <c r="C674" s="2"/>
      <c r="D674" s="1"/>
      <c r="E674" s="1"/>
      <c r="F674" s="1"/>
      <c r="G674" s="2"/>
      <c r="H674" s="1"/>
      <c r="I674" s="1"/>
      <c r="J674" s="2"/>
      <c r="K674" s="1"/>
      <c r="L674" s="1"/>
      <c r="M674" s="1"/>
      <c r="N674" s="1"/>
      <c r="O674" s="1"/>
      <c r="P674" s="1"/>
      <c r="Q674" s="1"/>
      <c r="R674" s="1"/>
      <c r="S674" s="1"/>
      <c r="T674" s="1"/>
      <c r="U674" s="1"/>
      <c r="V674" s="1"/>
      <c r="W674" s="1"/>
    </row>
    <row r="675">
      <c r="A675" s="1"/>
      <c r="B675" s="1"/>
      <c r="C675" s="2"/>
      <c r="D675" s="1"/>
      <c r="E675" s="1"/>
      <c r="F675" s="1"/>
      <c r="G675" s="2"/>
      <c r="H675" s="1"/>
      <c r="I675" s="1"/>
      <c r="J675" s="2"/>
      <c r="K675" s="1"/>
      <c r="L675" s="1"/>
      <c r="M675" s="1"/>
      <c r="N675" s="1"/>
      <c r="O675" s="1"/>
      <c r="P675" s="1"/>
      <c r="Q675" s="1"/>
      <c r="R675" s="1"/>
      <c r="S675" s="1"/>
      <c r="T675" s="1"/>
      <c r="U675" s="1"/>
      <c r="V675" s="1"/>
      <c r="W675" s="1"/>
    </row>
    <row r="676">
      <c r="A676" s="1"/>
      <c r="B676" s="1"/>
      <c r="C676" s="2"/>
      <c r="D676" s="1"/>
      <c r="E676" s="1"/>
      <c r="F676" s="1"/>
      <c r="G676" s="2"/>
      <c r="H676" s="1"/>
      <c r="I676" s="1"/>
      <c r="J676" s="2"/>
      <c r="K676" s="1"/>
      <c r="L676" s="1"/>
      <c r="M676" s="1"/>
      <c r="N676" s="1"/>
      <c r="O676" s="1"/>
      <c r="P676" s="1"/>
      <c r="Q676" s="1"/>
      <c r="R676" s="1"/>
      <c r="S676" s="1"/>
      <c r="T676" s="1"/>
      <c r="U676" s="1"/>
      <c r="V676" s="1"/>
      <c r="W676" s="1"/>
    </row>
    <row r="677">
      <c r="A677" s="1"/>
      <c r="B677" s="1"/>
      <c r="C677" s="2"/>
      <c r="D677" s="1"/>
      <c r="E677" s="1"/>
      <c r="F677" s="1"/>
      <c r="G677" s="2"/>
      <c r="H677" s="1"/>
      <c r="I677" s="1"/>
      <c r="J677" s="2"/>
      <c r="K677" s="1"/>
      <c r="L677" s="1"/>
      <c r="M677" s="1"/>
      <c r="N677" s="1"/>
      <c r="O677" s="1"/>
      <c r="P677" s="1"/>
      <c r="Q677" s="1"/>
      <c r="R677" s="1"/>
      <c r="S677" s="1"/>
      <c r="T677" s="1"/>
      <c r="U677" s="1"/>
      <c r="V677" s="1"/>
      <c r="W677" s="1"/>
    </row>
    <row r="678">
      <c r="A678" s="1"/>
      <c r="B678" s="1"/>
      <c r="C678" s="2"/>
      <c r="D678" s="1"/>
      <c r="E678" s="1"/>
      <c r="F678" s="1"/>
      <c r="G678" s="2"/>
      <c r="H678" s="1"/>
      <c r="I678" s="1"/>
      <c r="J678" s="2"/>
      <c r="K678" s="1"/>
      <c r="L678" s="1"/>
      <c r="M678" s="1"/>
      <c r="N678" s="1"/>
      <c r="O678" s="1"/>
      <c r="P678" s="1"/>
      <c r="Q678" s="1"/>
      <c r="R678" s="1"/>
      <c r="S678" s="1"/>
      <c r="T678" s="1"/>
      <c r="U678" s="1"/>
      <c r="V678" s="1"/>
      <c r="W678" s="1"/>
    </row>
    <row r="679">
      <c r="A679" s="1"/>
      <c r="B679" s="1"/>
      <c r="C679" s="2"/>
      <c r="D679" s="1"/>
      <c r="E679" s="1"/>
      <c r="F679" s="1"/>
      <c r="G679" s="2"/>
      <c r="H679" s="1"/>
      <c r="I679" s="1"/>
      <c r="J679" s="2"/>
      <c r="K679" s="1"/>
      <c r="L679" s="1"/>
      <c r="M679" s="1"/>
      <c r="N679" s="1"/>
      <c r="O679" s="1"/>
      <c r="P679" s="1"/>
      <c r="Q679" s="1"/>
      <c r="R679" s="1"/>
      <c r="S679" s="1"/>
      <c r="T679" s="1"/>
      <c r="U679" s="1"/>
      <c r="V679" s="1"/>
      <c r="W679" s="1"/>
    </row>
    <row r="680">
      <c r="A680" s="1"/>
      <c r="B680" s="1"/>
      <c r="C680" s="2"/>
      <c r="D680" s="1"/>
      <c r="E680" s="1"/>
      <c r="F680" s="1"/>
      <c r="G680" s="2"/>
      <c r="H680" s="1"/>
      <c r="I680" s="1"/>
      <c r="J680" s="2"/>
      <c r="K680" s="1"/>
      <c r="L680" s="1"/>
      <c r="M680" s="1"/>
      <c r="N680" s="1"/>
      <c r="O680" s="1"/>
      <c r="P680" s="1"/>
      <c r="Q680" s="1"/>
      <c r="R680" s="1"/>
      <c r="S680" s="1"/>
      <c r="T680" s="1"/>
      <c r="U680" s="1"/>
      <c r="V680" s="1"/>
      <c r="W680" s="1"/>
    </row>
    <row r="681">
      <c r="A681" s="1"/>
      <c r="B681" s="1"/>
      <c r="C681" s="2"/>
      <c r="D681" s="1"/>
      <c r="E681" s="1"/>
      <c r="F681" s="1"/>
      <c r="G681" s="2"/>
      <c r="H681" s="1"/>
      <c r="I681" s="1"/>
      <c r="J681" s="2"/>
      <c r="K681" s="1"/>
      <c r="L681" s="1"/>
      <c r="M681" s="1"/>
      <c r="N681" s="1"/>
      <c r="O681" s="1"/>
      <c r="P681" s="1"/>
      <c r="Q681" s="1"/>
      <c r="R681" s="1"/>
      <c r="S681" s="1"/>
      <c r="T681" s="1"/>
      <c r="U681" s="1"/>
      <c r="V681" s="1"/>
      <c r="W681" s="1"/>
    </row>
    <row r="682">
      <c r="A682" s="1"/>
      <c r="B682" s="1"/>
      <c r="C682" s="2"/>
      <c r="D682" s="1"/>
      <c r="E682" s="1"/>
      <c r="F682" s="1"/>
      <c r="G682" s="2"/>
      <c r="H682" s="1"/>
      <c r="I682" s="1"/>
      <c r="J682" s="2"/>
      <c r="K682" s="1"/>
      <c r="L682" s="1"/>
      <c r="M682" s="1"/>
      <c r="N682" s="1"/>
      <c r="O682" s="1"/>
      <c r="P682" s="1"/>
      <c r="Q682" s="1"/>
      <c r="R682" s="1"/>
      <c r="S682" s="1"/>
      <c r="T682" s="1"/>
      <c r="U682" s="1"/>
      <c r="V682" s="1"/>
      <c r="W682" s="1"/>
    </row>
    <row r="683">
      <c r="A683" s="1"/>
      <c r="B683" s="1"/>
      <c r="C683" s="2"/>
      <c r="D683" s="1"/>
      <c r="E683" s="1"/>
      <c r="F683" s="1"/>
      <c r="G683" s="2"/>
      <c r="H683" s="1"/>
      <c r="I683" s="1"/>
      <c r="J683" s="2"/>
      <c r="K683" s="1"/>
      <c r="L683" s="1"/>
      <c r="M683" s="1"/>
      <c r="N683" s="1"/>
      <c r="O683" s="1"/>
      <c r="P683" s="1"/>
      <c r="Q683" s="1"/>
      <c r="R683" s="1"/>
      <c r="S683" s="1"/>
      <c r="T683" s="1"/>
      <c r="U683" s="1"/>
      <c r="V683" s="1"/>
      <c r="W683" s="1"/>
    </row>
    <row r="684">
      <c r="A684" s="1"/>
      <c r="B684" s="1"/>
      <c r="C684" s="2"/>
      <c r="D684" s="1"/>
      <c r="E684" s="1"/>
      <c r="F684" s="1"/>
      <c r="G684" s="2"/>
      <c r="H684" s="1"/>
      <c r="I684" s="1"/>
      <c r="J684" s="2"/>
      <c r="K684" s="1"/>
      <c r="L684" s="1"/>
      <c r="M684" s="1"/>
      <c r="N684" s="1"/>
      <c r="O684" s="1"/>
      <c r="P684" s="1"/>
      <c r="Q684" s="1"/>
      <c r="R684" s="1"/>
      <c r="S684" s="1"/>
      <c r="T684" s="1"/>
      <c r="U684" s="1"/>
      <c r="V684" s="1"/>
      <c r="W684" s="1"/>
    </row>
    <row r="685">
      <c r="A685" s="1"/>
      <c r="B685" s="1"/>
      <c r="C685" s="2"/>
      <c r="D685" s="1"/>
      <c r="E685" s="1"/>
      <c r="F685" s="1"/>
      <c r="G685" s="2"/>
      <c r="H685" s="1"/>
      <c r="I685" s="1"/>
      <c r="J685" s="2"/>
      <c r="K685" s="1"/>
      <c r="L685" s="1"/>
      <c r="M685" s="1"/>
      <c r="N685" s="1"/>
      <c r="O685" s="1"/>
      <c r="P685" s="1"/>
      <c r="Q685" s="1"/>
      <c r="R685" s="1"/>
      <c r="S685" s="1"/>
      <c r="T685" s="1"/>
      <c r="U685" s="1"/>
      <c r="V685" s="1"/>
      <c r="W685" s="1"/>
    </row>
    <row r="686">
      <c r="A686" s="1"/>
      <c r="B686" s="1"/>
      <c r="C686" s="2"/>
      <c r="D686" s="1"/>
      <c r="E686" s="1"/>
      <c r="F686" s="1"/>
      <c r="G686" s="2"/>
      <c r="H686" s="1"/>
      <c r="I686" s="1"/>
      <c r="J686" s="2"/>
      <c r="K686" s="1"/>
      <c r="L686" s="1"/>
      <c r="M686" s="1"/>
      <c r="N686" s="1"/>
      <c r="O686" s="1"/>
      <c r="P686" s="1"/>
      <c r="Q686" s="1"/>
      <c r="R686" s="1"/>
      <c r="S686" s="1"/>
      <c r="T686" s="1"/>
      <c r="U686" s="1"/>
      <c r="V686" s="1"/>
      <c r="W686" s="1"/>
    </row>
    <row r="687">
      <c r="A687" s="1"/>
      <c r="B687" s="1"/>
      <c r="C687" s="2"/>
      <c r="D687" s="1"/>
      <c r="E687" s="1"/>
      <c r="F687" s="1"/>
      <c r="G687" s="2"/>
      <c r="H687" s="1"/>
      <c r="I687" s="1"/>
      <c r="J687" s="2"/>
      <c r="K687" s="1"/>
      <c r="L687" s="1"/>
      <c r="M687" s="1"/>
      <c r="N687" s="1"/>
      <c r="O687" s="1"/>
      <c r="P687" s="1"/>
      <c r="Q687" s="1"/>
      <c r="R687" s="1"/>
      <c r="S687" s="1"/>
      <c r="T687" s="1"/>
      <c r="U687" s="1"/>
      <c r="V687" s="1"/>
      <c r="W687" s="1"/>
    </row>
    <row r="688">
      <c r="A688" s="1"/>
      <c r="B688" s="1"/>
      <c r="C688" s="2"/>
      <c r="D688" s="1"/>
      <c r="E688" s="1"/>
      <c r="F688" s="1"/>
      <c r="G688" s="2"/>
      <c r="H688" s="1"/>
      <c r="I688" s="1"/>
      <c r="J688" s="2"/>
      <c r="K688" s="1"/>
      <c r="L688" s="1"/>
      <c r="M688" s="1"/>
      <c r="N688" s="1"/>
      <c r="O688" s="1"/>
      <c r="P688" s="1"/>
      <c r="Q688" s="1"/>
      <c r="R688" s="1"/>
      <c r="S688" s="1"/>
      <c r="T688" s="1"/>
      <c r="U688" s="1"/>
      <c r="V688" s="1"/>
      <c r="W688" s="1"/>
    </row>
    <row r="689">
      <c r="A689" s="1"/>
      <c r="B689" s="1"/>
      <c r="C689" s="2"/>
      <c r="D689" s="1"/>
      <c r="E689" s="1"/>
      <c r="F689" s="1"/>
      <c r="G689" s="2"/>
      <c r="H689" s="1"/>
      <c r="I689" s="1"/>
      <c r="J689" s="2"/>
      <c r="K689" s="1"/>
      <c r="L689" s="1"/>
      <c r="M689" s="1"/>
      <c r="N689" s="1"/>
      <c r="O689" s="1"/>
      <c r="P689" s="1"/>
      <c r="Q689" s="1"/>
      <c r="R689" s="1"/>
      <c r="S689" s="1"/>
      <c r="T689" s="1"/>
      <c r="U689" s="1"/>
      <c r="V689" s="1"/>
      <c r="W689" s="1"/>
    </row>
    <row r="690">
      <c r="A690" s="1"/>
      <c r="B690" s="1"/>
      <c r="C690" s="2"/>
      <c r="D690" s="1"/>
      <c r="E690" s="1"/>
      <c r="F690" s="1"/>
      <c r="G690" s="2"/>
      <c r="H690" s="1"/>
      <c r="I690" s="1"/>
      <c r="J690" s="2"/>
      <c r="K690" s="1"/>
      <c r="L690" s="1"/>
      <c r="M690" s="1"/>
      <c r="N690" s="1"/>
      <c r="O690" s="1"/>
      <c r="P690" s="1"/>
      <c r="Q690" s="1"/>
      <c r="R690" s="1"/>
      <c r="S690" s="1"/>
      <c r="T690" s="1"/>
      <c r="U690" s="1"/>
      <c r="V690" s="1"/>
      <c r="W690" s="1"/>
    </row>
    <row r="691">
      <c r="A691" s="1"/>
      <c r="B691" s="1"/>
      <c r="C691" s="2"/>
      <c r="D691" s="1"/>
      <c r="E691" s="1"/>
      <c r="F691" s="1"/>
      <c r="G691" s="2"/>
      <c r="H691" s="1"/>
      <c r="I691" s="1"/>
      <c r="J691" s="2"/>
      <c r="K691" s="1"/>
      <c r="L691" s="1"/>
      <c r="M691" s="1"/>
      <c r="N691" s="1"/>
      <c r="O691" s="1"/>
      <c r="P691" s="1"/>
      <c r="Q691" s="1"/>
      <c r="R691" s="1"/>
      <c r="S691" s="1"/>
      <c r="T691" s="1"/>
      <c r="U691" s="1"/>
      <c r="V691" s="1"/>
      <c r="W691" s="1"/>
    </row>
    <row r="692">
      <c r="A692" s="1"/>
      <c r="B692" s="1"/>
      <c r="C692" s="2"/>
      <c r="D692" s="1"/>
      <c r="E692" s="1"/>
      <c r="F692" s="1"/>
      <c r="G692" s="2"/>
      <c r="H692" s="1"/>
      <c r="I692" s="1"/>
      <c r="J692" s="2"/>
      <c r="K692" s="1"/>
      <c r="L692" s="1"/>
      <c r="M692" s="1"/>
      <c r="N692" s="1"/>
      <c r="O692" s="1"/>
      <c r="P692" s="1"/>
      <c r="Q692" s="1"/>
      <c r="R692" s="1"/>
      <c r="S692" s="1"/>
      <c r="T692" s="1"/>
      <c r="U692" s="1"/>
      <c r="V692" s="1"/>
      <c r="W692" s="1"/>
    </row>
    <row r="693">
      <c r="A693" s="1"/>
      <c r="B693" s="1"/>
      <c r="C693" s="2"/>
      <c r="D693" s="1"/>
      <c r="E693" s="1"/>
      <c r="F693" s="1"/>
      <c r="G693" s="2"/>
      <c r="H693" s="1"/>
      <c r="I693" s="1"/>
      <c r="J693" s="2"/>
      <c r="K693" s="1"/>
      <c r="L693" s="1"/>
      <c r="M693" s="1"/>
      <c r="N693" s="1"/>
      <c r="O693" s="1"/>
      <c r="P693" s="1"/>
      <c r="Q693" s="1"/>
      <c r="R693" s="1"/>
      <c r="S693" s="1"/>
      <c r="T693" s="1"/>
      <c r="U693" s="1"/>
      <c r="V693" s="1"/>
      <c r="W693" s="1"/>
    </row>
    <row r="694">
      <c r="A694" s="1"/>
      <c r="B694" s="1"/>
      <c r="C694" s="2"/>
      <c r="D694" s="1"/>
      <c r="E694" s="1"/>
      <c r="F694" s="1"/>
      <c r="G694" s="2"/>
      <c r="H694" s="1"/>
      <c r="I694" s="1"/>
      <c r="J694" s="2"/>
      <c r="K694" s="1"/>
      <c r="L694" s="1"/>
      <c r="M694" s="1"/>
      <c r="N694" s="1"/>
      <c r="O694" s="1"/>
      <c r="P694" s="1"/>
      <c r="Q694" s="1"/>
      <c r="R694" s="1"/>
      <c r="S694" s="1"/>
      <c r="T694" s="1"/>
      <c r="U694" s="1"/>
      <c r="V694" s="1"/>
      <c r="W694" s="1"/>
    </row>
    <row r="695">
      <c r="A695" s="1"/>
      <c r="B695" s="1"/>
      <c r="C695" s="2"/>
      <c r="D695" s="1"/>
      <c r="E695" s="1"/>
      <c r="F695" s="1"/>
      <c r="G695" s="2"/>
      <c r="H695" s="1"/>
      <c r="I695" s="1"/>
      <c r="J695" s="2"/>
      <c r="K695" s="1"/>
      <c r="L695" s="1"/>
      <c r="M695" s="1"/>
      <c r="N695" s="1"/>
      <c r="O695" s="1"/>
      <c r="P695" s="1"/>
      <c r="Q695" s="1"/>
      <c r="R695" s="1"/>
      <c r="S695" s="1"/>
      <c r="T695" s="1"/>
      <c r="U695" s="1"/>
      <c r="V695" s="1"/>
      <c r="W695" s="1"/>
    </row>
    <row r="696">
      <c r="A696" s="1"/>
      <c r="B696" s="1"/>
      <c r="C696" s="2"/>
      <c r="D696" s="1"/>
      <c r="E696" s="1"/>
      <c r="F696" s="1"/>
      <c r="G696" s="2"/>
      <c r="H696" s="1"/>
      <c r="I696" s="1"/>
      <c r="J696" s="2"/>
      <c r="K696" s="1"/>
      <c r="L696" s="1"/>
      <c r="M696" s="1"/>
      <c r="N696" s="1"/>
      <c r="O696" s="1"/>
      <c r="P696" s="1"/>
      <c r="Q696" s="1"/>
      <c r="R696" s="1"/>
      <c r="S696" s="1"/>
      <c r="T696" s="1"/>
      <c r="U696" s="1"/>
      <c r="V696" s="1"/>
      <c r="W696" s="1"/>
    </row>
    <row r="697">
      <c r="A697" s="1"/>
      <c r="B697" s="1"/>
      <c r="C697" s="2"/>
      <c r="D697" s="1"/>
      <c r="E697" s="1"/>
      <c r="F697" s="1"/>
      <c r="G697" s="2"/>
      <c r="H697" s="1"/>
      <c r="I697" s="1"/>
      <c r="J697" s="2"/>
      <c r="K697" s="1"/>
      <c r="L697" s="1"/>
      <c r="M697" s="1"/>
      <c r="N697" s="1"/>
      <c r="O697" s="1"/>
      <c r="P697" s="1"/>
      <c r="Q697" s="1"/>
      <c r="R697" s="1"/>
      <c r="S697" s="1"/>
      <c r="T697" s="1"/>
      <c r="U697" s="1"/>
      <c r="V697" s="1"/>
      <c r="W697" s="1"/>
    </row>
    <row r="698">
      <c r="A698" s="1"/>
      <c r="B698" s="1"/>
      <c r="C698" s="2"/>
      <c r="D698" s="1"/>
      <c r="E698" s="1"/>
      <c r="F698" s="1"/>
      <c r="G698" s="2"/>
      <c r="H698" s="1"/>
      <c r="I698" s="1"/>
      <c r="J698" s="2"/>
      <c r="K698" s="1"/>
      <c r="L698" s="1"/>
      <c r="M698" s="1"/>
      <c r="N698" s="1"/>
      <c r="O698" s="1"/>
      <c r="P698" s="1"/>
      <c r="Q698" s="1"/>
      <c r="R698" s="1"/>
      <c r="S698" s="1"/>
      <c r="T698" s="1"/>
      <c r="U698" s="1"/>
      <c r="V698" s="1"/>
      <c r="W698" s="1"/>
    </row>
    <row r="699">
      <c r="A699" s="1"/>
      <c r="B699" s="1"/>
      <c r="C699" s="2"/>
      <c r="D699" s="1"/>
      <c r="E699" s="1"/>
      <c r="F699" s="1"/>
      <c r="G699" s="2"/>
      <c r="H699" s="1"/>
      <c r="I699" s="1"/>
      <c r="J699" s="2"/>
      <c r="K699" s="1"/>
      <c r="L699" s="1"/>
      <c r="M699" s="1"/>
      <c r="N699" s="1"/>
      <c r="O699" s="1"/>
      <c r="P699" s="1"/>
      <c r="Q699" s="1"/>
      <c r="R699" s="1"/>
      <c r="S699" s="1"/>
      <c r="T699" s="1"/>
      <c r="U699" s="1"/>
      <c r="V699" s="1"/>
      <c r="W699" s="1"/>
    </row>
    <row r="700">
      <c r="A700" s="1"/>
      <c r="B700" s="1"/>
      <c r="C700" s="2"/>
      <c r="D700" s="1"/>
      <c r="E700" s="1"/>
      <c r="F700" s="1"/>
      <c r="G700" s="2"/>
      <c r="H700" s="1"/>
      <c r="I700" s="1"/>
      <c r="J700" s="2"/>
      <c r="K700" s="1"/>
      <c r="L700" s="1"/>
      <c r="M700" s="1"/>
      <c r="N700" s="1"/>
      <c r="O700" s="1"/>
      <c r="P700" s="1"/>
      <c r="Q700" s="1"/>
      <c r="R700" s="1"/>
      <c r="S700" s="1"/>
      <c r="T700" s="1"/>
      <c r="U700" s="1"/>
      <c r="V700" s="1"/>
      <c r="W700" s="1"/>
    </row>
    <row r="701">
      <c r="A701" s="1"/>
      <c r="B701" s="1"/>
      <c r="C701" s="2"/>
      <c r="D701" s="1"/>
      <c r="E701" s="1"/>
      <c r="F701" s="1"/>
      <c r="G701" s="2"/>
      <c r="H701" s="1"/>
      <c r="I701" s="1"/>
      <c r="J701" s="2"/>
      <c r="K701" s="1"/>
      <c r="L701" s="1"/>
      <c r="M701" s="1"/>
      <c r="N701" s="1"/>
      <c r="O701" s="1"/>
      <c r="P701" s="1"/>
      <c r="Q701" s="1"/>
      <c r="R701" s="1"/>
      <c r="S701" s="1"/>
      <c r="T701" s="1"/>
      <c r="U701" s="1"/>
      <c r="V701" s="1"/>
      <c r="W701" s="1"/>
    </row>
    <row r="702">
      <c r="A702" s="1"/>
      <c r="B702" s="1"/>
      <c r="C702" s="2"/>
      <c r="D702" s="1"/>
      <c r="E702" s="1"/>
      <c r="F702" s="1"/>
      <c r="G702" s="2"/>
      <c r="H702" s="1"/>
      <c r="I702" s="1"/>
      <c r="J702" s="2"/>
      <c r="K702" s="1"/>
      <c r="L702" s="1"/>
      <c r="M702" s="1"/>
      <c r="N702" s="1"/>
      <c r="O702" s="1"/>
      <c r="P702" s="1"/>
      <c r="Q702" s="1"/>
      <c r="R702" s="1"/>
      <c r="S702" s="1"/>
      <c r="T702" s="1"/>
      <c r="U702" s="1"/>
      <c r="V702" s="1"/>
      <c r="W702" s="1"/>
    </row>
    <row r="703">
      <c r="A703" s="1"/>
      <c r="B703" s="1"/>
      <c r="C703" s="2"/>
      <c r="D703" s="1"/>
      <c r="E703" s="1"/>
      <c r="F703" s="1"/>
      <c r="G703" s="2"/>
      <c r="H703" s="1"/>
      <c r="I703" s="1"/>
      <c r="J703" s="2"/>
      <c r="K703" s="1"/>
      <c r="L703" s="1"/>
      <c r="M703" s="1"/>
      <c r="N703" s="1"/>
      <c r="O703" s="1"/>
      <c r="P703" s="1"/>
      <c r="Q703" s="1"/>
      <c r="R703" s="1"/>
      <c r="S703" s="1"/>
      <c r="T703" s="1"/>
      <c r="U703" s="1"/>
      <c r="V703" s="1"/>
      <c r="W703" s="1"/>
    </row>
    <row r="704">
      <c r="A704" s="1"/>
      <c r="B704" s="1"/>
      <c r="C704" s="2"/>
      <c r="D704" s="1"/>
      <c r="E704" s="1"/>
      <c r="F704" s="1"/>
      <c r="G704" s="2"/>
      <c r="H704" s="1"/>
      <c r="I704" s="1"/>
      <c r="J704" s="2"/>
      <c r="K704" s="1"/>
      <c r="L704" s="1"/>
      <c r="M704" s="1"/>
      <c r="N704" s="1"/>
      <c r="O704" s="1"/>
      <c r="P704" s="1"/>
      <c r="Q704" s="1"/>
      <c r="R704" s="1"/>
      <c r="S704" s="1"/>
      <c r="T704" s="1"/>
      <c r="U704" s="1"/>
      <c r="V704" s="1"/>
      <c r="W704" s="1"/>
    </row>
    <row r="705">
      <c r="A705" s="1"/>
      <c r="B705" s="1"/>
      <c r="C705" s="2"/>
      <c r="D705" s="1"/>
      <c r="E705" s="1"/>
      <c r="F705" s="1"/>
      <c r="G705" s="2"/>
      <c r="H705" s="1"/>
      <c r="I705" s="1"/>
      <c r="J705" s="2"/>
      <c r="K705" s="1"/>
      <c r="L705" s="1"/>
      <c r="M705" s="1"/>
      <c r="N705" s="1"/>
      <c r="O705" s="1"/>
      <c r="P705" s="1"/>
      <c r="Q705" s="1"/>
      <c r="R705" s="1"/>
      <c r="S705" s="1"/>
      <c r="T705" s="1"/>
      <c r="U705" s="1"/>
      <c r="V705" s="1"/>
      <c r="W705" s="1"/>
    </row>
    <row r="706">
      <c r="A706" s="1"/>
      <c r="B706" s="1"/>
      <c r="C706" s="2"/>
      <c r="D706" s="1"/>
      <c r="E706" s="1"/>
      <c r="F706" s="1"/>
      <c r="G706" s="2"/>
      <c r="H706" s="1"/>
      <c r="I706" s="1"/>
      <c r="J706" s="2"/>
      <c r="K706" s="1"/>
      <c r="L706" s="1"/>
      <c r="M706" s="1"/>
      <c r="N706" s="1"/>
      <c r="O706" s="1"/>
      <c r="P706" s="1"/>
      <c r="Q706" s="1"/>
      <c r="R706" s="1"/>
      <c r="S706" s="1"/>
      <c r="T706" s="1"/>
      <c r="U706" s="1"/>
      <c r="V706" s="1"/>
      <c r="W706" s="1"/>
    </row>
    <row r="707">
      <c r="A707" s="1"/>
      <c r="B707" s="1"/>
      <c r="C707" s="2"/>
      <c r="D707" s="1"/>
      <c r="E707" s="1"/>
      <c r="F707" s="1"/>
      <c r="G707" s="2"/>
      <c r="H707" s="1"/>
      <c r="I707" s="1"/>
      <c r="J707" s="2"/>
      <c r="K707" s="1"/>
      <c r="L707" s="1"/>
      <c r="M707" s="1"/>
      <c r="N707" s="1"/>
      <c r="O707" s="1"/>
      <c r="P707" s="1"/>
      <c r="Q707" s="1"/>
      <c r="R707" s="1"/>
      <c r="S707" s="1"/>
      <c r="T707" s="1"/>
      <c r="U707" s="1"/>
      <c r="V707" s="1"/>
      <c r="W707" s="1"/>
    </row>
    <row r="708">
      <c r="A708" s="1"/>
      <c r="B708" s="1"/>
      <c r="C708" s="2"/>
      <c r="D708" s="1"/>
      <c r="E708" s="1"/>
      <c r="F708" s="1"/>
      <c r="G708" s="2"/>
      <c r="H708" s="1"/>
      <c r="I708" s="1"/>
      <c r="J708" s="2"/>
      <c r="K708" s="1"/>
      <c r="L708" s="1"/>
      <c r="M708" s="1"/>
      <c r="N708" s="1"/>
      <c r="O708" s="1"/>
      <c r="P708" s="1"/>
      <c r="Q708" s="1"/>
      <c r="R708" s="1"/>
      <c r="S708" s="1"/>
      <c r="T708" s="1"/>
      <c r="U708" s="1"/>
      <c r="V708" s="1"/>
      <c r="W708" s="1"/>
    </row>
    <row r="709">
      <c r="A709" s="1"/>
      <c r="B709" s="1"/>
      <c r="C709" s="2"/>
      <c r="D709" s="1"/>
      <c r="E709" s="1"/>
      <c r="F709" s="1"/>
      <c r="G709" s="2"/>
      <c r="H709" s="1"/>
      <c r="I709" s="1"/>
      <c r="J709" s="2"/>
      <c r="K709" s="1"/>
      <c r="L709" s="1"/>
      <c r="M709" s="1"/>
      <c r="N709" s="1"/>
      <c r="O709" s="1"/>
      <c r="P709" s="1"/>
      <c r="Q709" s="1"/>
      <c r="R709" s="1"/>
      <c r="S709" s="1"/>
      <c r="T709" s="1"/>
      <c r="U709" s="1"/>
      <c r="V709" s="1"/>
      <c r="W709" s="1"/>
    </row>
    <row r="710">
      <c r="A710" s="1"/>
      <c r="B710" s="1"/>
      <c r="C710" s="2"/>
      <c r="D710" s="1"/>
      <c r="E710" s="1"/>
      <c r="F710" s="1"/>
      <c r="G710" s="2"/>
      <c r="H710" s="1"/>
      <c r="I710" s="1"/>
      <c r="J710" s="2"/>
      <c r="K710" s="1"/>
      <c r="L710" s="1"/>
      <c r="M710" s="1"/>
      <c r="N710" s="1"/>
      <c r="O710" s="1"/>
      <c r="P710" s="1"/>
      <c r="Q710" s="1"/>
      <c r="R710" s="1"/>
      <c r="S710" s="1"/>
      <c r="T710" s="1"/>
      <c r="U710" s="1"/>
      <c r="V710" s="1"/>
      <c r="W710" s="1"/>
    </row>
    <row r="711">
      <c r="A711" s="1"/>
      <c r="B711" s="1"/>
      <c r="C711" s="2"/>
      <c r="D711" s="1"/>
      <c r="E711" s="1"/>
      <c r="F711" s="1"/>
      <c r="G711" s="2"/>
      <c r="H711" s="1"/>
      <c r="I711" s="1"/>
      <c r="J711" s="2"/>
      <c r="K711" s="1"/>
      <c r="L711" s="1"/>
      <c r="M711" s="1"/>
      <c r="N711" s="1"/>
      <c r="O711" s="1"/>
      <c r="P711" s="1"/>
      <c r="Q711" s="1"/>
      <c r="R711" s="1"/>
      <c r="S711" s="1"/>
      <c r="T711" s="1"/>
      <c r="U711" s="1"/>
      <c r="V711" s="1"/>
      <c r="W711" s="1"/>
    </row>
    <row r="712">
      <c r="A712" s="1"/>
      <c r="B712" s="1"/>
      <c r="C712" s="2"/>
      <c r="D712" s="1"/>
      <c r="E712" s="1"/>
      <c r="F712" s="1"/>
      <c r="G712" s="2"/>
      <c r="H712" s="1"/>
      <c r="I712" s="1"/>
      <c r="J712" s="2"/>
      <c r="K712" s="1"/>
      <c r="L712" s="1"/>
      <c r="M712" s="1"/>
      <c r="N712" s="1"/>
      <c r="O712" s="1"/>
      <c r="P712" s="1"/>
      <c r="Q712" s="1"/>
      <c r="R712" s="1"/>
      <c r="S712" s="1"/>
      <c r="T712" s="1"/>
      <c r="U712" s="1"/>
      <c r="V712" s="1"/>
      <c r="W712" s="1"/>
    </row>
    <row r="713">
      <c r="A713" s="1"/>
      <c r="B713" s="1"/>
      <c r="C713" s="2"/>
      <c r="D713" s="1"/>
      <c r="E713" s="1"/>
      <c r="F713" s="1"/>
      <c r="G713" s="2"/>
      <c r="H713" s="1"/>
      <c r="I713" s="1"/>
      <c r="J713" s="2"/>
      <c r="K713" s="1"/>
      <c r="L713" s="1"/>
      <c r="M713" s="1"/>
      <c r="N713" s="1"/>
      <c r="O713" s="1"/>
      <c r="P713" s="1"/>
      <c r="Q713" s="1"/>
      <c r="R713" s="1"/>
      <c r="S713" s="1"/>
      <c r="T713" s="1"/>
      <c r="U713" s="1"/>
      <c r="V713" s="1"/>
      <c r="W713" s="1"/>
    </row>
    <row r="714">
      <c r="A714" s="1"/>
      <c r="B714" s="1"/>
      <c r="C714" s="2"/>
      <c r="D714" s="1"/>
      <c r="E714" s="1"/>
      <c r="F714" s="1"/>
      <c r="G714" s="2"/>
      <c r="H714" s="1"/>
      <c r="I714" s="1"/>
      <c r="J714" s="2"/>
      <c r="K714" s="1"/>
      <c r="L714" s="1"/>
      <c r="M714" s="1"/>
      <c r="N714" s="1"/>
      <c r="O714" s="1"/>
      <c r="P714" s="1"/>
      <c r="Q714" s="1"/>
      <c r="R714" s="1"/>
      <c r="S714" s="1"/>
      <c r="T714" s="1"/>
      <c r="U714" s="1"/>
      <c r="V714" s="1"/>
      <c r="W714" s="1"/>
    </row>
    <row r="715">
      <c r="A715" s="1"/>
      <c r="B715" s="1"/>
      <c r="C715" s="2"/>
      <c r="D715" s="1"/>
      <c r="E715" s="1"/>
      <c r="F715" s="1"/>
      <c r="G715" s="2"/>
      <c r="H715" s="1"/>
      <c r="I715" s="1"/>
      <c r="J715" s="2"/>
      <c r="K715" s="1"/>
      <c r="L715" s="1"/>
      <c r="M715" s="1"/>
      <c r="N715" s="1"/>
      <c r="O715" s="1"/>
      <c r="P715" s="1"/>
      <c r="Q715" s="1"/>
      <c r="R715" s="1"/>
      <c r="S715" s="1"/>
      <c r="T715" s="1"/>
      <c r="U715" s="1"/>
      <c r="V715" s="1"/>
      <c r="W715" s="1"/>
    </row>
    <row r="716">
      <c r="A716" s="1"/>
      <c r="B716" s="1"/>
      <c r="C716" s="2"/>
      <c r="D716" s="1"/>
      <c r="E716" s="1"/>
      <c r="F716" s="1"/>
      <c r="G716" s="2"/>
      <c r="H716" s="1"/>
      <c r="I716" s="1"/>
      <c r="J716" s="2"/>
      <c r="K716" s="1"/>
      <c r="L716" s="1"/>
      <c r="M716" s="1"/>
      <c r="N716" s="1"/>
      <c r="O716" s="1"/>
      <c r="P716" s="1"/>
      <c r="Q716" s="1"/>
      <c r="R716" s="1"/>
      <c r="S716" s="1"/>
      <c r="T716" s="1"/>
      <c r="U716" s="1"/>
      <c r="V716" s="1"/>
      <c r="W716" s="1"/>
    </row>
    <row r="717">
      <c r="A717" s="1"/>
      <c r="B717" s="1"/>
      <c r="C717" s="2"/>
      <c r="D717" s="1"/>
      <c r="E717" s="1"/>
      <c r="F717" s="1"/>
      <c r="G717" s="2"/>
      <c r="H717" s="1"/>
      <c r="I717" s="1"/>
      <c r="J717" s="2"/>
      <c r="K717" s="1"/>
      <c r="L717" s="1"/>
      <c r="M717" s="1"/>
      <c r="N717" s="1"/>
      <c r="O717" s="1"/>
      <c r="P717" s="1"/>
      <c r="Q717" s="1"/>
      <c r="R717" s="1"/>
      <c r="S717" s="1"/>
      <c r="T717" s="1"/>
      <c r="U717" s="1"/>
      <c r="V717" s="1"/>
      <c r="W717" s="1"/>
    </row>
    <row r="718">
      <c r="A718" s="1"/>
      <c r="B718" s="1"/>
      <c r="C718" s="2"/>
      <c r="D718" s="1"/>
      <c r="E718" s="1"/>
      <c r="F718" s="1"/>
      <c r="G718" s="2"/>
      <c r="H718" s="1"/>
      <c r="I718" s="1"/>
      <c r="J718" s="2"/>
      <c r="K718" s="1"/>
      <c r="L718" s="1"/>
      <c r="M718" s="1"/>
      <c r="N718" s="1"/>
      <c r="O718" s="1"/>
      <c r="P718" s="1"/>
      <c r="Q718" s="1"/>
      <c r="R718" s="1"/>
      <c r="S718" s="1"/>
      <c r="T718" s="1"/>
      <c r="U718" s="1"/>
      <c r="V718" s="1"/>
      <c r="W718" s="1"/>
    </row>
    <row r="719">
      <c r="A719" s="1"/>
      <c r="B719" s="1"/>
      <c r="C719" s="2"/>
      <c r="D719" s="1"/>
      <c r="E719" s="1"/>
      <c r="F719" s="1"/>
      <c r="G719" s="2"/>
      <c r="H719" s="1"/>
      <c r="I719" s="1"/>
      <c r="J719" s="2"/>
      <c r="K719" s="1"/>
      <c r="L719" s="1"/>
      <c r="M719" s="1"/>
      <c r="N719" s="1"/>
      <c r="O719" s="1"/>
      <c r="P719" s="1"/>
      <c r="Q719" s="1"/>
      <c r="R719" s="1"/>
      <c r="S719" s="1"/>
      <c r="T719" s="1"/>
      <c r="U719" s="1"/>
      <c r="V719" s="1"/>
      <c r="W719" s="1"/>
    </row>
    <row r="720">
      <c r="A720" s="1"/>
      <c r="B720" s="1"/>
      <c r="C720" s="2"/>
      <c r="D720" s="1"/>
      <c r="E720" s="1"/>
      <c r="F720" s="1"/>
      <c r="G720" s="2"/>
      <c r="H720" s="1"/>
      <c r="I720" s="1"/>
      <c r="J720" s="2"/>
      <c r="K720" s="1"/>
      <c r="L720" s="1"/>
      <c r="M720" s="1"/>
      <c r="N720" s="1"/>
      <c r="O720" s="1"/>
      <c r="P720" s="1"/>
      <c r="Q720" s="1"/>
      <c r="R720" s="1"/>
      <c r="S720" s="1"/>
      <c r="T720" s="1"/>
      <c r="U720" s="1"/>
      <c r="V720" s="1"/>
      <c r="W720" s="1"/>
    </row>
    <row r="721">
      <c r="A721" s="1"/>
      <c r="B721" s="1"/>
      <c r="C721" s="2"/>
      <c r="D721" s="1"/>
      <c r="E721" s="1"/>
      <c r="F721" s="1"/>
      <c r="G721" s="2"/>
      <c r="H721" s="1"/>
      <c r="I721" s="1"/>
      <c r="J721" s="2"/>
      <c r="K721" s="1"/>
      <c r="L721" s="1"/>
      <c r="M721" s="1"/>
      <c r="N721" s="1"/>
      <c r="O721" s="1"/>
      <c r="P721" s="1"/>
      <c r="Q721" s="1"/>
      <c r="R721" s="1"/>
      <c r="S721" s="1"/>
      <c r="T721" s="1"/>
      <c r="U721" s="1"/>
      <c r="V721" s="1"/>
      <c r="W721" s="1"/>
    </row>
    <row r="722">
      <c r="A722" s="1"/>
      <c r="B722" s="1"/>
      <c r="C722" s="2"/>
      <c r="D722" s="1"/>
      <c r="E722" s="1"/>
      <c r="F722" s="1"/>
      <c r="G722" s="2"/>
      <c r="H722" s="1"/>
      <c r="I722" s="1"/>
      <c r="J722" s="2"/>
      <c r="K722" s="1"/>
      <c r="L722" s="1"/>
      <c r="M722" s="1"/>
      <c r="N722" s="1"/>
      <c r="O722" s="1"/>
      <c r="P722" s="1"/>
      <c r="Q722" s="1"/>
      <c r="R722" s="1"/>
      <c r="S722" s="1"/>
      <c r="T722" s="1"/>
      <c r="U722" s="1"/>
      <c r="V722" s="1"/>
      <c r="W722" s="1"/>
    </row>
    <row r="723">
      <c r="A723" s="1"/>
      <c r="B723" s="1"/>
      <c r="C723" s="2"/>
      <c r="D723" s="1"/>
      <c r="E723" s="1"/>
      <c r="F723" s="1"/>
      <c r="G723" s="2"/>
      <c r="H723" s="1"/>
      <c r="I723" s="1"/>
      <c r="J723" s="2"/>
      <c r="K723" s="1"/>
      <c r="L723" s="1"/>
      <c r="M723" s="1"/>
      <c r="N723" s="1"/>
      <c r="O723" s="1"/>
      <c r="P723" s="1"/>
      <c r="Q723" s="1"/>
      <c r="R723" s="1"/>
      <c r="S723" s="1"/>
      <c r="T723" s="1"/>
      <c r="U723" s="1"/>
      <c r="V723" s="1"/>
      <c r="W723" s="1"/>
    </row>
    <row r="724">
      <c r="A724" s="1"/>
      <c r="B724" s="1"/>
      <c r="C724" s="2"/>
      <c r="D724" s="1"/>
      <c r="E724" s="1"/>
      <c r="F724" s="1"/>
      <c r="G724" s="2"/>
      <c r="H724" s="1"/>
      <c r="I724" s="1"/>
      <c r="J724" s="2"/>
      <c r="K724" s="1"/>
      <c r="L724" s="1"/>
      <c r="M724" s="1"/>
      <c r="N724" s="1"/>
      <c r="O724" s="1"/>
      <c r="P724" s="1"/>
      <c r="Q724" s="1"/>
      <c r="R724" s="1"/>
      <c r="S724" s="1"/>
      <c r="T724" s="1"/>
      <c r="U724" s="1"/>
      <c r="V724" s="1"/>
      <c r="W724" s="1"/>
    </row>
    <row r="725">
      <c r="A725" s="1"/>
      <c r="B725" s="1"/>
      <c r="C725" s="2"/>
      <c r="D725" s="1"/>
      <c r="E725" s="1"/>
      <c r="F725" s="1"/>
      <c r="G725" s="2"/>
      <c r="H725" s="1"/>
      <c r="I725" s="1"/>
      <c r="J725" s="2"/>
      <c r="K725" s="1"/>
      <c r="L725" s="1"/>
      <c r="M725" s="1"/>
      <c r="N725" s="1"/>
      <c r="O725" s="1"/>
      <c r="P725" s="1"/>
      <c r="Q725" s="1"/>
      <c r="R725" s="1"/>
      <c r="S725" s="1"/>
      <c r="T725" s="1"/>
      <c r="U725" s="1"/>
      <c r="V725" s="1"/>
      <c r="W725" s="1"/>
    </row>
    <row r="726">
      <c r="A726" s="1"/>
      <c r="B726" s="1"/>
      <c r="C726" s="2"/>
      <c r="D726" s="1"/>
      <c r="E726" s="1"/>
      <c r="F726" s="1"/>
      <c r="G726" s="2"/>
      <c r="H726" s="1"/>
      <c r="I726" s="1"/>
      <c r="J726" s="2"/>
      <c r="K726" s="1"/>
      <c r="L726" s="1"/>
      <c r="M726" s="1"/>
      <c r="N726" s="1"/>
      <c r="O726" s="1"/>
      <c r="P726" s="1"/>
      <c r="Q726" s="1"/>
      <c r="R726" s="1"/>
      <c r="S726" s="1"/>
      <c r="T726" s="1"/>
      <c r="U726" s="1"/>
      <c r="V726" s="1"/>
      <c r="W726" s="1"/>
    </row>
    <row r="727">
      <c r="A727" s="1"/>
      <c r="B727" s="1"/>
      <c r="C727" s="2"/>
      <c r="D727" s="1"/>
      <c r="E727" s="1"/>
      <c r="F727" s="1"/>
      <c r="G727" s="2"/>
      <c r="H727" s="1"/>
      <c r="I727" s="1"/>
      <c r="J727" s="2"/>
      <c r="K727" s="1"/>
      <c r="L727" s="1"/>
      <c r="M727" s="1"/>
      <c r="N727" s="1"/>
      <c r="O727" s="1"/>
      <c r="P727" s="1"/>
      <c r="Q727" s="1"/>
      <c r="R727" s="1"/>
      <c r="S727" s="1"/>
      <c r="T727" s="1"/>
      <c r="U727" s="1"/>
      <c r="V727" s="1"/>
      <c r="W727" s="1"/>
    </row>
    <row r="728">
      <c r="A728" s="1"/>
      <c r="B728" s="1"/>
      <c r="C728" s="2"/>
      <c r="D728" s="1"/>
      <c r="E728" s="1"/>
      <c r="F728" s="1"/>
      <c r="G728" s="2"/>
      <c r="H728" s="1"/>
      <c r="I728" s="1"/>
      <c r="J728" s="2"/>
      <c r="K728" s="1"/>
      <c r="L728" s="1"/>
      <c r="M728" s="1"/>
      <c r="N728" s="1"/>
      <c r="O728" s="1"/>
      <c r="P728" s="1"/>
      <c r="Q728" s="1"/>
      <c r="R728" s="1"/>
      <c r="S728" s="1"/>
      <c r="T728" s="1"/>
      <c r="U728" s="1"/>
      <c r="V728" s="1"/>
      <c r="W728" s="1"/>
    </row>
    <row r="729">
      <c r="A729" s="1"/>
      <c r="B729" s="1"/>
      <c r="C729" s="2"/>
      <c r="D729" s="1"/>
      <c r="E729" s="1"/>
      <c r="F729" s="1"/>
      <c r="G729" s="2"/>
      <c r="H729" s="1"/>
      <c r="I729" s="1"/>
      <c r="J729" s="2"/>
      <c r="K729" s="1"/>
      <c r="L729" s="1"/>
      <c r="M729" s="1"/>
      <c r="N729" s="1"/>
      <c r="O729" s="1"/>
      <c r="P729" s="1"/>
      <c r="Q729" s="1"/>
      <c r="R729" s="1"/>
      <c r="S729" s="1"/>
      <c r="T729" s="1"/>
      <c r="U729" s="1"/>
      <c r="V729" s="1"/>
      <c r="W729" s="1"/>
    </row>
    <row r="730">
      <c r="A730" s="1"/>
      <c r="B730" s="1"/>
      <c r="C730" s="2"/>
      <c r="D730" s="1"/>
      <c r="E730" s="1"/>
      <c r="F730" s="1"/>
      <c r="G730" s="2"/>
      <c r="H730" s="1"/>
      <c r="I730" s="1"/>
      <c r="J730" s="2"/>
      <c r="K730" s="1"/>
      <c r="L730" s="1"/>
      <c r="M730" s="1"/>
      <c r="N730" s="1"/>
      <c r="O730" s="1"/>
      <c r="P730" s="1"/>
      <c r="Q730" s="1"/>
      <c r="R730" s="1"/>
      <c r="S730" s="1"/>
      <c r="T730" s="1"/>
      <c r="U730" s="1"/>
      <c r="V730" s="1"/>
      <c r="W730" s="1"/>
    </row>
    <row r="731">
      <c r="A731" s="1"/>
      <c r="B731" s="1"/>
      <c r="C731" s="2"/>
      <c r="D731" s="1"/>
      <c r="E731" s="1"/>
      <c r="F731" s="1"/>
      <c r="G731" s="2"/>
      <c r="H731" s="1"/>
      <c r="I731" s="1"/>
      <c r="J731" s="2"/>
      <c r="K731" s="1"/>
      <c r="L731" s="1"/>
      <c r="M731" s="1"/>
      <c r="N731" s="1"/>
      <c r="O731" s="1"/>
      <c r="P731" s="1"/>
      <c r="Q731" s="1"/>
      <c r="R731" s="1"/>
      <c r="S731" s="1"/>
      <c r="T731" s="1"/>
      <c r="U731" s="1"/>
      <c r="V731" s="1"/>
      <c r="W731" s="1"/>
    </row>
    <row r="732">
      <c r="A732" s="1"/>
      <c r="B732" s="1"/>
      <c r="C732" s="2"/>
      <c r="D732" s="1"/>
      <c r="E732" s="1"/>
      <c r="F732" s="1"/>
      <c r="G732" s="2"/>
      <c r="H732" s="1"/>
      <c r="I732" s="1"/>
      <c r="J732" s="2"/>
      <c r="K732" s="1"/>
      <c r="L732" s="1"/>
      <c r="M732" s="1"/>
      <c r="N732" s="1"/>
      <c r="O732" s="1"/>
      <c r="P732" s="1"/>
      <c r="Q732" s="1"/>
      <c r="R732" s="1"/>
      <c r="S732" s="1"/>
      <c r="T732" s="1"/>
      <c r="U732" s="1"/>
      <c r="V732" s="1"/>
      <c r="W732" s="1"/>
    </row>
    <row r="733">
      <c r="A733" s="1"/>
      <c r="B733" s="1"/>
      <c r="C733" s="2"/>
      <c r="D733" s="1"/>
      <c r="E733" s="1"/>
      <c r="F733" s="1"/>
      <c r="G733" s="2"/>
      <c r="H733" s="1"/>
      <c r="I733" s="1"/>
      <c r="J733" s="2"/>
      <c r="K733" s="1"/>
      <c r="L733" s="1"/>
      <c r="M733" s="1"/>
      <c r="N733" s="1"/>
      <c r="O733" s="1"/>
      <c r="P733" s="1"/>
      <c r="Q733" s="1"/>
      <c r="R733" s="1"/>
      <c r="S733" s="1"/>
      <c r="T733" s="1"/>
      <c r="U733" s="1"/>
      <c r="V733" s="1"/>
      <c r="W733" s="1"/>
    </row>
    <row r="734">
      <c r="A734" s="1"/>
      <c r="B734" s="1"/>
      <c r="C734" s="2"/>
      <c r="D734" s="1"/>
      <c r="E734" s="1"/>
      <c r="F734" s="1"/>
      <c r="G734" s="2"/>
      <c r="H734" s="1"/>
      <c r="I734" s="1"/>
      <c r="J734" s="2"/>
      <c r="K734" s="1"/>
      <c r="L734" s="1"/>
      <c r="M734" s="1"/>
      <c r="N734" s="1"/>
      <c r="O734" s="1"/>
      <c r="P734" s="1"/>
      <c r="Q734" s="1"/>
      <c r="R734" s="1"/>
      <c r="S734" s="1"/>
      <c r="T734" s="1"/>
      <c r="U734" s="1"/>
      <c r="V734" s="1"/>
      <c r="W734" s="1"/>
    </row>
    <row r="735">
      <c r="A735" s="1"/>
      <c r="B735" s="1"/>
      <c r="C735" s="2"/>
      <c r="D735" s="1"/>
      <c r="E735" s="1"/>
      <c r="F735" s="1"/>
      <c r="G735" s="2"/>
      <c r="H735" s="1"/>
      <c r="I735" s="1"/>
      <c r="J735" s="2"/>
      <c r="K735" s="1"/>
      <c r="L735" s="1"/>
      <c r="M735" s="1"/>
      <c r="N735" s="1"/>
      <c r="O735" s="1"/>
      <c r="P735" s="1"/>
      <c r="Q735" s="1"/>
      <c r="R735" s="1"/>
      <c r="S735" s="1"/>
      <c r="T735" s="1"/>
      <c r="U735" s="1"/>
      <c r="V735" s="1"/>
      <c r="W735" s="1"/>
    </row>
    <row r="736">
      <c r="A736" s="1"/>
      <c r="B736" s="1"/>
      <c r="C736" s="2"/>
      <c r="D736" s="1"/>
      <c r="E736" s="1"/>
      <c r="F736" s="1"/>
      <c r="G736" s="2"/>
      <c r="H736" s="1"/>
      <c r="I736" s="1"/>
      <c r="J736" s="2"/>
      <c r="K736" s="1"/>
      <c r="L736" s="1"/>
      <c r="M736" s="1"/>
      <c r="N736" s="1"/>
      <c r="O736" s="1"/>
      <c r="P736" s="1"/>
      <c r="Q736" s="1"/>
      <c r="R736" s="1"/>
      <c r="S736" s="1"/>
      <c r="T736" s="1"/>
      <c r="U736" s="1"/>
      <c r="V736" s="1"/>
      <c r="W736" s="1"/>
    </row>
    <row r="737">
      <c r="A737" s="1"/>
      <c r="B737" s="1"/>
      <c r="C737" s="2"/>
      <c r="D737" s="1"/>
      <c r="E737" s="1"/>
      <c r="F737" s="1"/>
      <c r="G737" s="2"/>
      <c r="H737" s="1"/>
      <c r="I737" s="1"/>
      <c r="J737" s="2"/>
      <c r="K737" s="1"/>
      <c r="L737" s="1"/>
      <c r="M737" s="1"/>
      <c r="N737" s="1"/>
      <c r="O737" s="1"/>
      <c r="P737" s="1"/>
      <c r="Q737" s="1"/>
      <c r="R737" s="1"/>
      <c r="S737" s="1"/>
      <c r="T737" s="1"/>
      <c r="U737" s="1"/>
      <c r="V737" s="1"/>
      <c r="W737" s="1"/>
    </row>
    <row r="738">
      <c r="A738" s="1"/>
      <c r="B738" s="1"/>
      <c r="C738" s="2"/>
      <c r="D738" s="1"/>
      <c r="E738" s="1"/>
      <c r="F738" s="1"/>
      <c r="G738" s="2"/>
      <c r="H738" s="1"/>
      <c r="I738" s="1"/>
      <c r="J738" s="2"/>
      <c r="K738" s="1"/>
      <c r="L738" s="1"/>
      <c r="M738" s="1"/>
      <c r="N738" s="1"/>
      <c r="O738" s="1"/>
      <c r="P738" s="1"/>
      <c r="Q738" s="1"/>
      <c r="R738" s="1"/>
      <c r="S738" s="1"/>
      <c r="T738" s="1"/>
      <c r="U738" s="1"/>
      <c r="V738" s="1"/>
      <c r="W738" s="1"/>
    </row>
    <row r="739">
      <c r="A739" s="1"/>
      <c r="B739" s="1"/>
      <c r="C739" s="2"/>
      <c r="D739" s="1"/>
      <c r="E739" s="1"/>
      <c r="F739" s="1"/>
      <c r="G739" s="2"/>
      <c r="H739" s="1"/>
      <c r="I739" s="1"/>
      <c r="J739" s="2"/>
      <c r="K739" s="1"/>
      <c r="L739" s="1"/>
      <c r="M739" s="1"/>
      <c r="N739" s="1"/>
      <c r="O739" s="1"/>
      <c r="P739" s="1"/>
      <c r="Q739" s="1"/>
      <c r="R739" s="1"/>
      <c r="S739" s="1"/>
      <c r="T739" s="1"/>
      <c r="U739" s="1"/>
      <c r="V739" s="1"/>
      <c r="W739" s="1"/>
    </row>
    <row r="740">
      <c r="A740" s="1"/>
      <c r="B740" s="1"/>
      <c r="C740" s="2"/>
      <c r="D740" s="1"/>
      <c r="E740" s="1"/>
      <c r="F740" s="1"/>
      <c r="G740" s="2"/>
      <c r="H740" s="1"/>
      <c r="I740" s="1"/>
      <c r="J740" s="2"/>
      <c r="K740" s="1"/>
      <c r="L740" s="1"/>
      <c r="M740" s="1"/>
      <c r="N740" s="1"/>
      <c r="O740" s="1"/>
      <c r="P740" s="1"/>
      <c r="Q740" s="1"/>
      <c r="R740" s="1"/>
      <c r="S740" s="1"/>
      <c r="T740" s="1"/>
      <c r="U740" s="1"/>
      <c r="V740" s="1"/>
      <c r="W740" s="1"/>
    </row>
    <row r="741">
      <c r="A741" s="1"/>
      <c r="B741" s="1"/>
      <c r="C741" s="2"/>
      <c r="D741" s="1"/>
      <c r="E741" s="1"/>
      <c r="F741" s="1"/>
      <c r="G741" s="2"/>
      <c r="H741" s="1"/>
      <c r="I741" s="1"/>
      <c r="J741" s="2"/>
      <c r="K741" s="1"/>
      <c r="L741" s="1"/>
      <c r="M741" s="1"/>
      <c r="N741" s="1"/>
      <c r="O741" s="1"/>
      <c r="P741" s="1"/>
      <c r="Q741" s="1"/>
      <c r="R741" s="1"/>
      <c r="S741" s="1"/>
      <c r="T741" s="1"/>
      <c r="U741" s="1"/>
      <c r="V741" s="1"/>
      <c r="W741" s="1"/>
    </row>
    <row r="742">
      <c r="A742" s="1"/>
      <c r="B742" s="1"/>
      <c r="C742" s="2"/>
      <c r="D742" s="1"/>
      <c r="E742" s="1"/>
      <c r="F742" s="1"/>
      <c r="G742" s="2"/>
      <c r="H742" s="1"/>
      <c r="I742" s="1"/>
      <c r="J742" s="2"/>
      <c r="K742" s="1"/>
      <c r="L742" s="1"/>
      <c r="M742" s="1"/>
      <c r="N742" s="1"/>
      <c r="O742" s="1"/>
      <c r="P742" s="1"/>
      <c r="Q742" s="1"/>
      <c r="R742" s="1"/>
      <c r="S742" s="1"/>
      <c r="T742" s="1"/>
      <c r="U742" s="1"/>
      <c r="V742" s="1"/>
      <c r="W742" s="1"/>
    </row>
    <row r="743">
      <c r="A743" s="1"/>
      <c r="B743" s="1"/>
      <c r="C743" s="2"/>
      <c r="D743" s="1"/>
      <c r="E743" s="1"/>
      <c r="F743" s="1"/>
      <c r="G743" s="2"/>
      <c r="H743" s="1"/>
      <c r="I743" s="1"/>
      <c r="J743" s="2"/>
      <c r="K743" s="1"/>
      <c r="L743" s="1"/>
      <c r="M743" s="1"/>
      <c r="N743" s="1"/>
      <c r="O743" s="1"/>
      <c r="P743" s="1"/>
      <c r="Q743" s="1"/>
      <c r="R743" s="1"/>
      <c r="S743" s="1"/>
      <c r="T743" s="1"/>
      <c r="U743" s="1"/>
      <c r="V743" s="1"/>
      <c r="W743" s="1"/>
    </row>
    <row r="744">
      <c r="A744" s="1"/>
      <c r="B744" s="1"/>
      <c r="C744" s="2"/>
      <c r="D744" s="1"/>
      <c r="E744" s="1"/>
      <c r="F744" s="1"/>
      <c r="G744" s="2"/>
      <c r="H744" s="1"/>
      <c r="I744" s="1"/>
      <c r="J744" s="2"/>
      <c r="K744" s="1"/>
      <c r="L744" s="1"/>
      <c r="M744" s="1"/>
      <c r="N744" s="1"/>
      <c r="O744" s="1"/>
      <c r="P744" s="1"/>
      <c r="Q744" s="1"/>
      <c r="R744" s="1"/>
      <c r="S744" s="1"/>
      <c r="T744" s="1"/>
      <c r="U744" s="1"/>
      <c r="V744" s="1"/>
      <c r="W744" s="1"/>
    </row>
    <row r="745">
      <c r="A745" s="1"/>
      <c r="B745" s="1"/>
      <c r="C745" s="2"/>
      <c r="D745" s="1"/>
      <c r="E745" s="1"/>
      <c r="F745" s="1"/>
      <c r="G745" s="2"/>
      <c r="H745" s="1"/>
      <c r="I745" s="1"/>
      <c r="J745" s="2"/>
      <c r="K745" s="1"/>
      <c r="L745" s="1"/>
      <c r="M745" s="1"/>
      <c r="N745" s="1"/>
      <c r="O745" s="1"/>
      <c r="P745" s="1"/>
      <c r="Q745" s="1"/>
      <c r="R745" s="1"/>
      <c r="S745" s="1"/>
      <c r="T745" s="1"/>
      <c r="U745" s="1"/>
      <c r="V745" s="1"/>
      <c r="W745" s="1"/>
    </row>
    <row r="746">
      <c r="A746" s="1"/>
      <c r="B746" s="1"/>
      <c r="C746" s="2"/>
      <c r="D746" s="1"/>
      <c r="E746" s="1"/>
      <c r="F746" s="1"/>
      <c r="G746" s="2"/>
      <c r="H746" s="1"/>
      <c r="I746" s="1"/>
      <c r="J746" s="2"/>
      <c r="K746" s="1"/>
      <c r="L746" s="1"/>
      <c r="M746" s="1"/>
      <c r="N746" s="1"/>
      <c r="O746" s="1"/>
      <c r="P746" s="1"/>
      <c r="Q746" s="1"/>
      <c r="R746" s="1"/>
      <c r="S746" s="1"/>
      <c r="T746" s="1"/>
      <c r="U746" s="1"/>
      <c r="V746" s="1"/>
      <c r="W746" s="1"/>
    </row>
    <row r="747">
      <c r="A747" s="1"/>
      <c r="B747" s="1"/>
      <c r="C747" s="2"/>
      <c r="D747" s="1"/>
      <c r="E747" s="1"/>
      <c r="F747" s="1"/>
      <c r="G747" s="2"/>
      <c r="H747" s="1"/>
      <c r="I747" s="1"/>
      <c r="J747" s="2"/>
      <c r="K747" s="1"/>
      <c r="L747" s="1"/>
      <c r="M747" s="1"/>
      <c r="N747" s="1"/>
      <c r="O747" s="1"/>
      <c r="P747" s="1"/>
      <c r="Q747" s="1"/>
      <c r="R747" s="1"/>
      <c r="S747" s="1"/>
      <c r="T747" s="1"/>
      <c r="U747" s="1"/>
      <c r="V747" s="1"/>
      <c r="W747" s="1"/>
    </row>
    <row r="748">
      <c r="A748" s="1"/>
      <c r="B748" s="1"/>
      <c r="C748" s="2"/>
      <c r="D748" s="1"/>
      <c r="E748" s="1"/>
      <c r="F748" s="1"/>
      <c r="G748" s="2"/>
      <c r="H748" s="1"/>
      <c r="I748" s="1"/>
      <c r="J748" s="2"/>
      <c r="K748" s="1"/>
      <c r="L748" s="1"/>
      <c r="M748" s="1"/>
      <c r="N748" s="1"/>
      <c r="O748" s="1"/>
      <c r="P748" s="1"/>
      <c r="Q748" s="1"/>
      <c r="R748" s="1"/>
      <c r="S748" s="1"/>
      <c r="T748" s="1"/>
      <c r="U748" s="1"/>
      <c r="V748" s="1"/>
      <c r="W748" s="1"/>
    </row>
    <row r="749">
      <c r="A749" s="1"/>
      <c r="B749" s="1"/>
      <c r="C749" s="2"/>
      <c r="D749" s="1"/>
      <c r="E749" s="1"/>
      <c r="F749" s="1"/>
      <c r="G749" s="2"/>
      <c r="H749" s="1"/>
      <c r="I749" s="1"/>
      <c r="J749" s="2"/>
      <c r="K749" s="1"/>
      <c r="L749" s="1"/>
      <c r="M749" s="1"/>
      <c r="N749" s="1"/>
      <c r="O749" s="1"/>
      <c r="P749" s="1"/>
      <c r="Q749" s="1"/>
      <c r="R749" s="1"/>
      <c r="S749" s="1"/>
      <c r="T749" s="1"/>
      <c r="U749" s="1"/>
      <c r="V749" s="1"/>
      <c r="W749" s="1"/>
    </row>
    <row r="750">
      <c r="A750" s="1"/>
      <c r="B750" s="1"/>
      <c r="C750" s="2"/>
      <c r="D750" s="1"/>
      <c r="E750" s="1"/>
      <c r="F750" s="1"/>
      <c r="G750" s="2"/>
      <c r="H750" s="1"/>
      <c r="I750" s="1"/>
      <c r="J750" s="2"/>
      <c r="K750" s="1"/>
      <c r="L750" s="1"/>
      <c r="M750" s="1"/>
      <c r="N750" s="1"/>
      <c r="O750" s="1"/>
      <c r="P750" s="1"/>
      <c r="Q750" s="1"/>
      <c r="R750" s="1"/>
      <c r="S750" s="1"/>
      <c r="T750" s="1"/>
      <c r="U750" s="1"/>
      <c r="V750" s="1"/>
      <c r="W750" s="1"/>
    </row>
    <row r="751">
      <c r="A751" s="1"/>
      <c r="B751" s="1"/>
      <c r="C751" s="2"/>
      <c r="D751" s="1"/>
      <c r="E751" s="1"/>
      <c r="F751" s="1"/>
      <c r="G751" s="2"/>
      <c r="H751" s="1"/>
      <c r="I751" s="1"/>
      <c r="J751" s="2"/>
      <c r="K751" s="1"/>
      <c r="L751" s="1"/>
      <c r="M751" s="1"/>
      <c r="N751" s="1"/>
      <c r="O751" s="1"/>
      <c r="P751" s="1"/>
      <c r="Q751" s="1"/>
      <c r="R751" s="1"/>
      <c r="S751" s="1"/>
      <c r="T751" s="1"/>
      <c r="U751" s="1"/>
      <c r="V751" s="1"/>
      <c r="W751" s="1"/>
    </row>
    <row r="752">
      <c r="A752" s="1"/>
      <c r="B752" s="1"/>
      <c r="C752" s="2"/>
      <c r="D752" s="1"/>
      <c r="E752" s="1"/>
      <c r="F752" s="1"/>
      <c r="G752" s="2"/>
      <c r="H752" s="1"/>
      <c r="I752" s="1"/>
      <c r="J752" s="2"/>
      <c r="K752" s="1"/>
      <c r="L752" s="1"/>
      <c r="M752" s="1"/>
      <c r="N752" s="1"/>
      <c r="O752" s="1"/>
      <c r="P752" s="1"/>
      <c r="Q752" s="1"/>
      <c r="R752" s="1"/>
      <c r="S752" s="1"/>
      <c r="T752" s="1"/>
      <c r="U752" s="1"/>
      <c r="V752" s="1"/>
      <c r="W752" s="1"/>
    </row>
    <row r="753">
      <c r="A753" s="1"/>
      <c r="B753" s="1"/>
      <c r="C753" s="2"/>
      <c r="D753" s="1"/>
      <c r="E753" s="1"/>
      <c r="F753" s="1"/>
      <c r="G753" s="2"/>
      <c r="H753" s="1"/>
      <c r="I753" s="1"/>
      <c r="J753" s="2"/>
      <c r="K753" s="1"/>
      <c r="L753" s="1"/>
      <c r="M753" s="1"/>
      <c r="N753" s="1"/>
      <c r="O753" s="1"/>
      <c r="P753" s="1"/>
      <c r="Q753" s="1"/>
      <c r="R753" s="1"/>
      <c r="S753" s="1"/>
      <c r="T753" s="1"/>
      <c r="U753" s="1"/>
      <c r="V753" s="1"/>
      <c r="W753" s="1"/>
    </row>
    <row r="754">
      <c r="A754" s="1"/>
      <c r="B754" s="1"/>
      <c r="C754" s="2"/>
      <c r="D754" s="1"/>
      <c r="E754" s="1"/>
      <c r="F754" s="1"/>
      <c r="G754" s="2"/>
      <c r="H754" s="1"/>
      <c r="I754" s="1"/>
      <c r="J754" s="2"/>
      <c r="K754" s="1"/>
      <c r="L754" s="1"/>
      <c r="M754" s="1"/>
      <c r="N754" s="1"/>
      <c r="O754" s="1"/>
      <c r="P754" s="1"/>
      <c r="Q754" s="1"/>
      <c r="R754" s="1"/>
      <c r="S754" s="1"/>
      <c r="T754" s="1"/>
      <c r="U754" s="1"/>
      <c r="V754" s="1"/>
      <c r="W754" s="1"/>
    </row>
    <row r="755">
      <c r="A755" s="1"/>
      <c r="B755" s="1"/>
      <c r="C755" s="2"/>
      <c r="D755" s="1"/>
      <c r="E755" s="1"/>
      <c r="F755" s="1"/>
      <c r="G755" s="2"/>
      <c r="H755" s="1"/>
      <c r="I755" s="1"/>
      <c r="J755" s="2"/>
      <c r="K755" s="1"/>
      <c r="L755" s="1"/>
      <c r="M755" s="1"/>
      <c r="N755" s="1"/>
      <c r="O755" s="1"/>
      <c r="P755" s="1"/>
      <c r="Q755" s="1"/>
      <c r="R755" s="1"/>
      <c r="S755" s="1"/>
      <c r="T755" s="1"/>
      <c r="U755" s="1"/>
      <c r="V755" s="1"/>
      <c r="W755" s="1"/>
    </row>
    <row r="756">
      <c r="A756" s="1"/>
      <c r="B756" s="1"/>
      <c r="C756" s="2"/>
      <c r="D756" s="1"/>
      <c r="E756" s="1"/>
      <c r="F756" s="1"/>
      <c r="G756" s="2"/>
      <c r="H756" s="1"/>
      <c r="I756" s="1"/>
      <c r="J756" s="2"/>
      <c r="K756" s="1"/>
      <c r="L756" s="1"/>
      <c r="M756" s="1"/>
      <c r="N756" s="1"/>
      <c r="O756" s="1"/>
      <c r="P756" s="1"/>
      <c r="Q756" s="1"/>
      <c r="R756" s="1"/>
      <c r="S756" s="1"/>
      <c r="T756" s="1"/>
      <c r="U756" s="1"/>
      <c r="V756" s="1"/>
      <c r="W756" s="1"/>
    </row>
    <row r="757">
      <c r="A757" s="1"/>
      <c r="B757" s="1"/>
      <c r="C757" s="2"/>
      <c r="D757" s="1"/>
      <c r="E757" s="1"/>
      <c r="F757" s="1"/>
      <c r="G757" s="2"/>
      <c r="H757" s="1"/>
      <c r="I757" s="1"/>
      <c r="J757" s="2"/>
      <c r="K757" s="1"/>
      <c r="L757" s="1"/>
      <c r="M757" s="1"/>
      <c r="N757" s="1"/>
      <c r="O757" s="1"/>
      <c r="P757" s="1"/>
      <c r="Q757" s="1"/>
      <c r="R757" s="1"/>
      <c r="S757" s="1"/>
      <c r="T757" s="1"/>
      <c r="U757" s="1"/>
      <c r="V757" s="1"/>
      <c r="W757" s="1"/>
    </row>
    <row r="758">
      <c r="A758" s="1"/>
      <c r="B758" s="1"/>
      <c r="C758" s="2"/>
      <c r="D758" s="1"/>
      <c r="E758" s="1"/>
      <c r="F758" s="1"/>
      <c r="G758" s="2"/>
      <c r="H758" s="1"/>
      <c r="I758" s="1"/>
      <c r="J758" s="2"/>
      <c r="K758" s="1"/>
      <c r="L758" s="1"/>
      <c r="M758" s="1"/>
      <c r="N758" s="1"/>
      <c r="O758" s="1"/>
      <c r="P758" s="1"/>
      <c r="Q758" s="1"/>
      <c r="R758" s="1"/>
      <c r="S758" s="1"/>
      <c r="T758" s="1"/>
      <c r="U758" s="1"/>
      <c r="V758" s="1"/>
      <c r="W758" s="1"/>
    </row>
    <row r="759">
      <c r="A759" s="1"/>
      <c r="B759" s="1"/>
      <c r="C759" s="2"/>
      <c r="D759" s="1"/>
      <c r="E759" s="1"/>
      <c r="F759" s="1"/>
      <c r="G759" s="2"/>
      <c r="H759" s="1"/>
      <c r="I759" s="1"/>
      <c r="J759" s="2"/>
      <c r="K759" s="1"/>
      <c r="L759" s="1"/>
      <c r="M759" s="1"/>
      <c r="N759" s="1"/>
      <c r="O759" s="1"/>
      <c r="P759" s="1"/>
      <c r="Q759" s="1"/>
      <c r="R759" s="1"/>
      <c r="S759" s="1"/>
      <c r="T759" s="1"/>
      <c r="U759" s="1"/>
      <c r="V759" s="1"/>
      <c r="W759" s="1"/>
    </row>
    <row r="760">
      <c r="A760" s="1"/>
      <c r="B760" s="1"/>
      <c r="C760" s="2"/>
      <c r="D760" s="1"/>
      <c r="E760" s="1"/>
      <c r="F760" s="1"/>
      <c r="G760" s="2"/>
      <c r="H760" s="1"/>
      <c r="I760" s="1"/>
      <c r="J760" s="2"/>
      <c r="K760" s="1"/>
      <c r="L760" s="1"/>
      <c r="M760" s="1"/>
      <c r="N760" s="1"/>
      <c r="O760" s="1"/>
      <c r="P760" s="1"/>
      <c r="Q760" s="1"/>
      <c r="R760" s="1"/>
      <c r="S760" s="1"/>
      <c r="T760" s="1"/>
      <c r="U760" s="1"/>
      <c r="V760" s="1"/>
      <c r="W760" s="1"/>
    </row>
    <row r="761">
      <c r="A761" s="1"/>
      <c r="B761" s="1"/>
      <c r="C761" s="2"/>
      <c r="D761" s="1"/>
      <c r="E761" s="1"/>
      <c r="F761" s="1"/>
      <c r="G761" s="2"/>
      <c r="H761" s="1"/>
      <c r="I761" s="1"/>
      <c r="J761" s="2"/>
      <c r="K761" s="1"/>
      <c r="L761" s="1"/>
      <c r="M761" s="1"/>
      <c r="N761" s="1"/>
      <c r="O761" s="1"/>
      <c r="P761" s="1"/>
      <c r="Q761" s="1"/>
      <c r="R761" s="1"/>
      <c r="S761" s="1"/>
      <c r="T761" s="1"/>
      <c r="U761" s="1"/>
      <c r="V761" s="1"/>
      <c r="W761" s="1"/>
    </row>
    <row r="762">
      <c r="A762" s="1"/>
      <c r="B762" s="1"/>
      <c r="C762" s="2"/>
      <c r="D762" s="1"/>
      <c r="E762" s="1"/>
      <c r="F762" s="1"/>
      <c r="G762" s="2"/>
      <c r="H762" s="1"/>
      <c r="I762" s="1"/>
      <c r="J762" s="2"/>
      <c r="K762" s="1"/>
      <c r="L762" s="1"/>
      <c r="M762" s="1"/>
      <c r="N762" s="1"/>
      <c r="O762" s="1"/>
      <c r="P762" s="1"/>
      <c r="Q762" s="1"/>
      <c r="R762" s="1"/>
      <c r="S762" s="1"/>
      <c r="T762" s="1"/>
      <c r="U762" s="1"/>
      <c r="V762" s="1"/>
      <c r="W762" s="1"/>
    </row>
    <row r="763">
      <c r="A763" s="1"/>
      <c r="B763" s="1"/>
      <c r="C763" s="2"/>
      <c r="D763" s="1"/>
      <c r="E763" s="1"/>
      <c r="F763" s="1"/>
      <c r="G763" s="2"/>
      <c r="H763" s="1"/>
      <c r="I763" s="1"/>
      <c r="J763" s="2"/>
      <c r="K763" s="1"/>
      <c r="L763" s="1"/>
      <c r="M763" s="1"/>
      <c r="N763" s="1"/>
      <c r="O763" s="1"/>
      <c r="P763" s="1"/>
      <c r="Q763" s="1"/>
      <c r="R763" s="1"/>
      <c r="S763" s="1"/>
      <c r="T763" s="1"/>
      <c r="U763" s="1"/>
      <c r="V763" s="1"/>
      <c r="W763" s="1"/>
    </row>
    <row r="764">
      <c r="A764" s="1"/>
      <c r="B764" s="1"/>
      <c r="C764" s="2"/>
      <c r="D764" s="1"/>
      <c r="E764" s="1"/>
      <c r="F764" s="1"/>
      <c r="G764" s="2"/>
      <c r="H764" s="1"/>
      <c r="I764" s="1"/>
      <c r="J764" s="2"/>
      <c r="K764" s="1"/>
      <c r="L764" s="1"/>
      <c r="M764" s="1"/>
      <c r="N764" s="1"/>
      <c r="O764" s="1"/>
      <c r="P764" s="1"/>
      <c r="Q764" s="1"/>
      <c r="R764" s="1"/>
      <c r="S764" s="1"/>
      <c r="T764" s="1"/>
      <c r="U764" s="1"/>
      <c r="V764" s="1"/>
      <c r="W764" s="1"/>
    </row>
    <row r="765">
      <c r="A765" s="1"/>
      <c r="B765" s="1"/>
      <c r="C765" s="2"/>
      <c r="D765" s="1"/>
      <c r="E765" s="1"/>
      <c r="F765" s="1"/>
      <c r="G765" s="2"/>
      <c r="H765" s="1"/>
      <c r="I765" s="1"/>
      <c r="J765" s="2"/>
      <c r="K765" s="1"/>
      <c r="L765" s="1"/>
      <c r="M765" s="1"/>
      <c r="N765" s="1"/>
      <c r="O765" s="1"/>
      <c r="P765" s="1"/>
      <c r="Q765" s="1"/>
      <c r="R765" s="1"/>
      <c r="S765" s="1"/>
      <c r="T765" s="1"/>
      <c r="U765" s="1"/>
      <c r="V765" s="1"/>
      <c r="W765" s="1"/>
    </row>
    <row r="766">
      <c r="A766" s="1"/>
      <c r="B766" s="1"/>
      <c r="C766" s="2"/>
      <c r="D766" s="1"/>
      <c r="E766" s="1"/>
      <c r="F766" s="1"/>
      <c r="G766" s="2"/>
      <c r="H766" s="1"/>
      <c r="I766" s="1"/>
      <c r="J766" s="2"/>
      <c r="K766" s="1"/>
      <c r="L766" s="1"/>
      <c r="M766" s="1"/>
      <c r="N766" s="1"/>
      <c r="O766" s="1"/>
      <c r="P766" s="1"/>
      <c r="Q766" s="1"/>
      <c r="R766" s="1"/>
      <c r="S766" s="1"/>
      <c r="T766" s="1"/>
      <c r="U766" s="1"/>
      <c r="V766" s="1"/>
      <c r="W766" s="1"/>
    </row>
    <row r="767">
      <c r="A767" s="1"/>
      <c r="B767" s="1"/>
      <c r="C767" s="2"/>
      <c r="D767" s="1"/>
      <c r="E767" s="1"/>
      <c r="F767" s="1"/>
      <c r="G767" s="2"/>
      <c r="H767" s="1"/>
      <c r="I767" s="1"/>
      <c r="J767" s="2"/>
      <c r="K767" s="1"/>
      <c r="L767" s="1"/>
      <c r="M767" s="1"/>
      <c r="N767" s="1"/>
      <c r="O767" s="1"/>
      <c r="P767" s="1"/>
      <c r="Q767" s="1"/>
      <c r="R767" s="1"/>
      <c r="S767" s="1"/>
      <c r="T767" s="1"/>
      <c r="U767" s="1"/>
      <c r="V767" s="1"/>
      <c r="W767" s="1"/>
    </row>
    <row r="768">
      <c r="A768" s="1"/>
      <c r="B768" s="1"/>
      <c r="C768" s="2"/>
      <c r="D768" s="1"/>
      <c r="E768" s="1"/>
      <c r="F768" s="1"/>
      <c r="G768" s="2"/>
      <c r="H768" s="1"/>
      <c r="I768" s="1"/>
      <c r="J768" s="2"/>
      <c r="K768" s="1"/>
      <c r="L768" s="1"/>
      <c r="M768" s="1"/>
      <c r="N768" s="1"/>
      <c r="O768" s="1"/>
      <c r="P768" s="1"/>
      <c r="Q768" s="1"/>
      <c r="R768" s="1"/>
      <c r="S768" s="1"/>
      <c r="T768" s="1"/>
      <c r="U768" s="1"/>
      <c r="V768" s="1"/>
      <c r="W768" s="1"/>
    </row>
    <row r="769">
      <c r="A769" s="1"/>
      <c r="B769" s="1"/>
      <c r="C769" s="2"/>
      <c r="D769" s="1"/>
      <c r="E769" s="1"/>
      <c r="F769" s="1"/>
      <c r="G769" s="2"/>
      <c r="H769" s="1"/>
      <c r="I769" s="1"/>
      <c r="J769" s="2"/>
      <c r="K769" s="1"/>
      <c r="L769" s="1"/>
      <c r="M769" s="1"/>
      <c r="N769" s="1"/>
      <c r="O769" s="1"/>
      <c r="P769" s="1"/>
      <c r="Q769" s="1"/>
      <c r="R769" s="1"/>
      <c r="S769" s="1"/>
      <c r="T769" s="1"/>
      <c r="U769" s="1"/>
      <c r="V769" s="1"/>
      <c r="W769" s="1"/>
    </row>
    <row r="770">
      <c r="A770" s="1"/>
      <c r="B770" s="1"/>
      <c r="C770" s="2"/>
      <c r="D770" s="1"/>
      <c r="E770" s="1"/>
      <c r="F770" s="1"/>
      <c r="G770" s="2"/>
      <c r="H770" s="1"/>
      <c r="I770" s="1"/>
      <c r="J770" s="2"/>
      <c r="K770" s="1"/>
      <c r="L770" s="1"/>
      <c r="M770" s="1"/>
      <c r="N770" s="1"/>
      <c r="O770" s="1"/>
      <c r="P770" s="1"/>
      <c r="Q770" s="1"/>
      <c r="R770" s="1"/>
      <c r="S770" s="1"/>
      <c r="T770" s="1"/>
      <c r="U770" s="1"/>
      <c r="V770" s="1"/>
      <c r="W770" s="1"/>
    </row>
    <row r="771">
      <c r="A771" s="1"/>
      <c r="B771" s="1"/>
      <c r="C771" s="2"/>
      <c r="D771" s="1"/>
      <c r="E771" s="1"/>
      <c r="F771" s="1"/>
      <c r="G771" s="2"/>
      <c r="H771" s="1"/>
      <c r="I771" s="1"/>
      <c r="J771" s="2"/>
      <c r="K771" s="1"/>
      <c r="L771" s="1"/>
      <c r="M771" s="1"/>
      <c r="N771" s="1"/>
      <c r="O771" s="1"/>
      <c r="P771" s="1"/>
      <c r="Q771" s="1"/>
      <c r="R771" s="1"/>
      <c r="S771" s="1"/>
      <c r="T771" s="1"/>
      <c r="U771" s="1"/>
      <c r="V771" s="1"/>
      <c r="W771" s="1"/>
    </row>
    <row r="772">
      <c r="A772" s="1"/>
      <c r="B772" s="1"/>
      <c r="C772" s="2"/>
      <c r="D772" s="1"/>
      <c r="E772" s="1"/>
      <c r="F772" s="1"/>
      <c r="G772" s="2"/>
      <c r="H772" s="1"/>
      <c r="I772" s="1"/>
      <c r="J772" s="2"/>
      <c r="K772" s="1"/>
      <c r="L772" s="1"/>
      <c r="M772" s="1"/>
      <c r="N772" s="1"/>
      <c r="O772" s="1"/>
      <c r="P772" s="1"/>
      <c r="Q772" s="1"/>
      <c r="R772" s="1"/>
      <c r="S772" s="1"/>
      <c r="T772" s="1"/>
      <c r="U772" s="1"/>
      <c r="V772" s="1"/>
      <c r="W772" s="1"/>
    </row>
    <row r="773">
      <c r="A773" s="1"/>
      <c r="B773" s="1"/>
      <c r="C773" s="2"/>
      <c r="D773" s="1"/>
      <c r="E773" s="1"/>
      <c r="F773" s="1"/>
      <c r="G773" s="2"/>
      <c r="H773" s="1"/>
      <c r="I773" s="1"/>
      <c r="J773" s="2"/>
      <c r="K773" s="1"/>
      <c r="L773" s="1"/>
      <c r="M773" s="1"/>
      <c r="N773" s="1"/>
      <c r="O773" s="1"/>
      <c r="P773" s="1"/>
      <c r="Q773" s="1"/>
      <c r="R773" s="1"/>
      <c r="S773" s="1"/>
      <c r="T773" s="1"/>
      <c r="U773" s="1"/>
      <c r="V773" s="1"/>
      <c r="W773" s="1"/>
    </row>
    <row r="774">
      <c r="A774" s="1"/>
      <c r="B774" s="1"/>
      <c r="C774" s="2"/>
      <c r="D774" s="1"/>
      <c r="E774" s="1"/>
      <c r="F774" s="1"/>
      <c r="G774" s="2"/>
      <c r="H774" s="1"/>
      <c r="I774" s="1"/>
      <c r="J774" s="2"/>
      <c r="K774" s="1"/>
      <c r="L774" s="1"/>
      <c r="M774" s="1"/>
      <c r="N774" s="1"/>
      <c r="O774" s="1"/>
      <c r="P774" s="1"/>
      <c r="Q774" s="1"/>
      <c r="R774" s="1"/>
      <c r="S774" s="1"/>
      <c r="T774" s="1"/>
      <c r="U774" s="1"/>
      <c r="V774" s="1"/>
      <c r="W774" s="1"/>
    </row>
    <row r="775">
      <c r="A775" s="1"/>
      <c r="B775" s="1"/>
      <c r="C775" s="2"/>
      <c r="D775" s="1"/>
      <c r="E775" s="1"/>
      <c r="F775" s="1"/>
      <c r="G775" s="2"/>
      <c r="H775" s="1"/>
      <c r="I775" s="1"/>
      <c r="J775" s="2"/>
      <c r="K775" s="1"/>
      <c r="L775" s="1"/>
      <c r="M775" s="1"/>
      <c r="N775" s="1"/>
      <c r="O775" s="1"/>
      <c r="P775" s="1"/>
      <c r="Q775" s="1"/>
      <c r="R775" s="1"/>
      <c r="S775" s="1"/>
      <c r="T775" s="1"/>
      <c r="U775" s="1"/>
      <c r="V775" s="1"/>
      <c r="W775" s="1"/>
    </row>
    <row r="776">
      <c r="A776" s="1"/>
      <c r="B776" s="1"/>
      <c r="C776" s="2"/>
      <c r="D776" s="1"/>
      <c r="E776" s="1"/>
      <c r="F776" s="1"/>
      <c r="G776" s="2"/>
      <c r="H776" s="1"/>
      <c r="I776" s="1"/>
      <c r="J776" s="2"/>
      <c r="K776" s="1"/>
      <c r="L776" s="1"/>
      <c r="M776" s="1"/>
      <c r="N776" s="1"/>
      <c r="O776" s="1"/>
      <c r="P776" s="1"/>
      <c r="Q776" s="1"/>
      <c r="R776" s="1"/>
      <c r="S776" s="1"/>
      <c r="T776" s="1"/>
      <c r="U776" s="1"/>
      <c r="V776" s="1"/>
      <c r="W776" s="1"/>
    </row>
    <row r="777">
      <c r="A777" s="1"/>
      <c r="B777" s="1"/>
      <c r="C777" s="2"/>
      <c r="D777" s="1"/>
      <c r="E777" s="1"/>
      <c r="F777" s="1"/>
      <c r="G777" s="2"/>
      <c r="H777" s="1"/>
      <c r="I777" s="1"/>
      <c r="J777" s="2"/>
      <c r="K777" s="1"/>
      <c r="L777" s="1"/>
      <c r="M777" s="1"/>
      <c r="N777" s="1"/>
      <c r="O777" s="1"/>
      <c r="P777" s="1"/>
      <c r="Q777" s="1"/>
      <c r="R777" s="1"/>
      <c r="S777" s="1"/>
      <c r="T777" s="1"/>
      <c r="U777" s="1"/>
      <c r="V777" s="1"/>
      <c r="W777" s="1"/>
    </row>
    <row r="778">
      <c r="A778" s="1"/>
      <c r="B778" s="1"/>
      <c r="C778" s="2"/>
      <c r="D778" s="1"/>
      <c r="E778" s="1"/>
      <c r="F778" s="1"/>
      <c r="G778" s="2"/>
      <c r="H778" s="1"/>
      <c r="I778" s="1"/>
      <c r="J778" s="2"/>
      <c r="K778" s="1"/>
      <c r="L778" s="1"/>
      <c r="M778" s="1"/>
      <c r="N778" s="1"/>
      <c r="O778" s="1"/>
      <c r="P778" s="1"/>
      <c r="Q778" s="1"/>
      <c r="R778" s="1"/>
      <c r="S778" s="1"/>
      <c r="T778" s="1"/>
      <c r="U778" s="1"/>
      <c r="V778" s="1"/>
      <c r="W778" s="1"/>
    </row>
    <row r="779">
      <c r="A779" s="1"/>
      <c r="B779" s="1"/>
      <c r="C779" s="2"/>
      <c r="D779" s="1"/>
      <c r="E779" s="1"/>
      <c r="F779" s="1"/>
      <c r="G779" s="2"/>
      <c r="H779" s="1"/>
      <c r="I779" s="1"/>
      <c r="J779" s="2"/>
      <c r="K779" s="1"/>
      <c r="L779" s="1"/>
      <c r="M779" s="1"/>
      <c r="N779" s="1"/>
      <c r="O779" s="1"/>
      <c r="P779" s="1"/>
      <c r="Q779" s="1"/>
      <c r="R779" s="1"/>
      <c r="S779" s="1"/>
      <c r="T779" s="1"/>
      <c r="U779" s="1"/>
      <c r="V779" s="1"/>
      <c r="W779" s="1"/>
    </row>
    <row r="780">
      <c r="A780" s="1"/>
      <c r="B780" s="1"/>
      <c r="C780" s="2"/>
      <c r="D780" s="1"/>
      <c r="E780" s="1"/>
      <c r="F780" s="1"/>
      <c r="G780" s="2"/>
      <c r="H780" s="1"/>
      <c r="I780" s="1"/>
      <c r="J780" s="2"/>
      <c r="K780" s="1"/>
      <c r="L780" s="1"/>
      <c r="M780" s="1"/>
      <c r="N780" s="1"/>
      <c r="O780" s="1"/>
      <c r="P780" s="1"/>
      <c r="Q780" s="1"/>
      <c r="R780" s="1"/>
      <c r="S780" s="1"/>
      <c r="T780" s="1"/>
      <c r="U780" s="1"/>
      <c r="V780" s="1"/>
      <c r="W780" s="1"/>
    </row>
    <row r="781">
      <c r="A781" s="1"/>
      <c r="B781" s="1"/>
      <c r="C781" s="2"/>
      <c r="D781" s="1"/>
      <c r="E781" s="1"/>
      <c r="F781" s="1"/>
      <c r="G781" s="2"/>
      <c r="H781" s="1"/>
      <c r="I781" s="1"/>
      <c r="J781" s="2"/>
      <c r="K781" s="1"/>
      <c r="L781" s="1"/>
      <c r="M781" s="1"/>
      <c r="N781" s="1"/>
      <c r="O781" s="1"/>
      <c r="P781" s="1"/>
      <c r="Q781" s="1"/>
      <c r="R781" s="1"/>
      <c r="S781" s="1"/>
      <c r="T781" s="1"/>
      <c r="U781" s="1"/>
      <c r="V781" s="1"/>
      <c r="W781" s="1"/>
    </row>
    <row r="782">
      <c r="A782" s="1"/>
      <c r="B782" s="1"/>
      <c r="C782" s="2"/>
      <c r="D782" s="1"/>
      <c r="E782" s="1"/>
      <c r="F782" s="1"/>
      <c r="G782" s="2"/>
      <c r="H782" s="1"/>
      <c r="I782" s="1"/>
      <c r="J782" s="2"/>
      <c r="K782" s="1"/>
      <c r="L782" s="1"/>
      <c r="M782" s="1"/>
      <c r="N782" s="1"/>
      <c r="O782" s="1"/>
      <c r="P782" s="1"/>
      <c r="Q782" s="1"/>
      <c r="R782" s="1"/>
      <c r="S782" s="1"/>
      <c r="T782" s="1"/>
      <c r="U782" s="1"/>
      <c r="V782" s="1"/>
      <c r="W782" s="1"/>
    </row>
    <row r="783">
      <c r="A783" s="1"/>
      <c r="B783" s="1"/>
      <c r="C783" s="2"/>
      <c r="D783" s="1"/>
      <c r="E783" s="1"/>
      <c r="F783" s="1"/>
      <c r="G783" s="2"/>
      <c r="H783" s="1"/>
      <c r="I783" s="1"/>
      <c r="J783" s="2"/>
      <c r="K783" s="1"/>
      <c r="L783" s="1"/>
      <c r="M783" s="1"/>
      <c r="N783" s="1"/>
      <c r="O783" s="1"/>
      <c r="P783" s="1"/>
      <c r="Q783" s="1"/>
      <c r="R783" s="1"/>
      <c r="S783" s="1"/>
      <c r="T783" s="1"/>
      <c r="U783" s="1"/>
      <c r="V783" s="1"/>
      <c r="W783" s="1"/>
    </row>
    <row r="784">
      <c r="A784" s="1"/>
      <c r="B784" s="1"/>
      <c r="C784" s="2"/>
      <c r="D784" s="1"/>
      <c r="E784" s="1"/>
      <c r="F784" s="1"/>
      <c r="G784" s="2"/>
      <c r="H784" s="1"/>
      <c r="I784" s="1"/>
      <c r="J784" s="2"/>
      <c r="K784" s="1"/>
      <c r="L784" s="1"/>
      <c r="M784" s="1"/>
      <c r="N784" s="1"/>
      <c r="O784" s="1"/>
      <c r="P784" s="1"/>
      <c r="Q784" s="1"/>
      <c r="R784" s="1"/>
      <c r="S784" s="1"/>
      <c r="T784" s="1"/>
      <c r="U784" s="1"/>
      <c r="V784" s="1"/>
      <c r="W784" s="1"/>
    </row>
    <row r="785">
      <c r="A785" s="1"/>
      <c r="B785" s="1"/>
      <c r="C785" s="2"/>
      <c r="D785" s="1"/>
      <c r="E785" s="1"/>
      <c r="F785" s="1"/>
      <c r="G785" s="2"/>
      <c r="H785" s="1"/>
      <c r="I785" s="1"/>
      <c r="J785" s="2"/>
      <c r="K785" s="1"/>
      <c r="L785" s="1"/>
      <c r="M785" s="1"/>
      <c r="N785" s="1"/>
      <c r="O785" s="1"/>
      <c r="P785" s="1"/>
      <c r="Q785" s="1"/>
      <c r="R785" s="1"/>
      <c r="S785" s="1"/>
      <c r="T785" s="1"/>
      <c r="U785" s="1"/>
      <c r="V785" s="1"/>
      <c r="W785" s="1"/>
    </row>
    <row r="786">
      <c r="A786" s="1"/>
      <c r="B786" s="1"/>
      <c r="C786" s="2"/>
      <c r="D786" s="1"/>
      <c r="E786" s="1"/>
      <c r="F786" s="1"/>
      <c r="G786" s="2"/>
      <c r="H786" s="1"/>
      <c r="I786" s="1"/>
      <c r="J786" s="2"/>
      <c r="K786" s="1"/>
      <c r="L786" s="1"/>
      <c r="M786" s="1"/>
      <c r="N786" s="1"/>
      <c r="O786" s="1"/>
      <c r="P786" s="1"/>
      <c r="Q786" s="1"/>
      <c r="R786" s="1"/>
      <c r="S786" s="1"/>
      <c r="T786" s="1"/>
      <c r="U786" s="1"/>
      <c r="V786" s="1"/>
      <c r="W786" s="1"/>
    </row>
    <row r="787">
      <c r="A787" s="1"/>
      <c r="B787" s="1"/>
      <c r="C787" s="2"/>
      <c r="D787" s="1"/>
      <c r="E787" s="1"/>
      <c r="F787" s="1"/>
      <c r="G787" s="2"/>
      <c r="H787" s="1"/>
      <c r="I787" s="1"/>
      <c r="J787" s="2"/>
      <c r="K787" s="1"/>
      <c r="L787" s="1"/>
      <c r="M787" s="1"/>
      <c r="N787" s="1"/>
      <c r="O787" s="1"/>
      <c r="P787" s="1"/>
      <c r="Q787" s="1"/>
      <c r="R787" s="1"/>
      <c r="S787" s="1"/>
      <c r="T787" s="1"/>
      <c r="U787" s="1"/>
      <c r="V787" s="1"/>
      <c r="W787" s="1"/>
    </row>
    <row r="788">
      <c r="A788" s="1"/>
      <c r="B788" s="1"/>
      <c r="C788" s="2"/>
      <c r="D788" s="1"/>
      <c r="E788" s="1"/>
      <c r="F788" s="1"/>
      <c r="G788" s="2"/>
      <c r="H788" s="1"/>
      <c r="I788" s="1"/>
      <c r="J788" s="2"/>
      <c r="K788" s="1"/>
      <c r="L788" s="1"/>
      <c r="M788" s="1"/>
      <c r="N788" s="1"/>
      <c r="O788" s="1"/>
      <c r="P788" s="1"/>
      <c r="Q788" s="1"/>
      <c r="R788" s="1"/>
      <c r="S788" s="1"/>
      <c r="T788" s="1"/>
      <c r="U788" s="1"/>
      <c r="V788" s="1"/>
      <c r="W788" s="1"/>
    </row>
    <row r="789">
      <c r="A789" s="1"/>
      <c r="B789" s="1"/>
      <c r="C789" s="2"/>
      <c r="D789" s="1"/>
      <c r="E789" s="1"/>
      <c r="F789" s="1"/>
      <c r="G789" s="2"/>
      <c r="H789" s="1"/>
      <c r="I789" s="1"/>
      <c r="J789" s="2"/>
      <c r="K789" s="1"/>
      <c r="L789" s="1"/>
      <c r="M789" s="1"/>
      <c r="N789" s="1"/>
      <c r="O789" s="1"/>
      <c r="P789" s="1"/>
      <c r="Q789" s="1"/>
      <c r="R789" s="1"/>
      <c r="S789" s="1"/>
      <c r="T789" s="1"/>
      <c r="U789" s="1"/>
      <c r="V789" s="1"/>
      <c r="W789" s="1"/>
    </row>
    <row r="790">
      <c r="A790" s="1"/>
      <c r="B790" s="1"/>
      <c r="C790" s="2"/>
      <c r="D790" s="1"/>
      <c r="E790" s="1"/>
      <c r="F790" s="1"/>
      <c r="G790" s="2"/>
      <c r="H790" s="1"/>
      <c r="I790" s="1"/>
      <c r="J790" s="2"/>
      <c r="K790" s="1"/>
      <c r="L790" s="1"/>
      <c r="M790" s="1"/>
      <c r="N790" s="1"/>
      <c r="O790" s="1"/>
      <c r="P790" s="1"/>
      <c r="Q790" s="1"/>
      <c r="R790" s="1"/>
      <c r="S790" s="1"/>
      <c r="T790" s="1"/>
      <c r="U790" s="1"/>
      <c r="V790" s="1"/>
      <c r="W790" s="1"/>
    </row>
    <row r="791">
      <c r="A791" s="1"/>
      <c r="B791" s="1"/>
      <c r="C791" s="2"/>
      <c r="D791" s="1"/>
      <c r="E791" s="1"/>
      <c r="F791" s="1"/>
      <c r="G791" s="2"/>
      <c r="H791" s="1"/>
      <c r="I791" s="1"/>
      <c r="J791" s="2"/>
      <c r="K791" s="1"/>
      <c r="L791" s="1"/>
      <c r="M791" s="1"/>
      <c r="N791" s="1"/>
      <c r="O791" s="1"/>
      <c r="P791" s="1"/>
      <c r="Q791" s="1"/>
      <c r="R791" s="1"/>
      <c r="S791" s="1"/>
      <c r="T791" s="1"/>
      <c r="U791" s="1"/>
      <c r="V791" s="1"/>
      <c r="W791" s="1"/>
    </row>
    <row r="792">
      <c r="A792" s="1"/>
      <c r="B792" s="1"/>
      <c r="C792" s="2"/>
      <c r="D792" s="1"/>
      <c r="E792" s="1"/>
      <c r="F792" s="1"/>
      <c r="G792" s="2"/>
      <c r="H792" s="1"/>
      <c r="I792" s="1"/>
      <c r="J792" s="2"/>
      <c r="K792" s="1"/>
      <c r="L792" s="1"/>
      <c r="M792" s="1"/>
      <c r="N792" s="1"/>
      <c r="O792" s="1"/>
      <c r="P792" s="1"/>
      <c r="Q792" s="1"/>
      <c r="R792" s="1"/>
      <c r="S792" s="1"/>
      <c r="T792" s="1"/>
      <c r="U792" s="1"/>
      <c r="V792" s="1"/>
      <c r="W792" s="1"/>
    </row>
    <row r="793">
      <c r="A793" s="1"/>
      <c r="B793" s="1"/>
      <c r="C793" s="2"/>
      <c r="D793" s="1"/>
      <c r="E793" s="1"/>
      <c r="F793" s="1"/>
      <c r="G793" s="2"/>
      <c r="H793" s="1"/>
      <c r="I793" s="1"/>
      <c r="J793" s="2"/>
      <c r="K793" s="1"/>
      <c r="L793" s="1"/>
      <c r="M793" s="1"/>
      <c r="N793" s="1"/>
      <c r="O793" s="1"/>
      <c r="P793" s="1"/>
      <c r="Q793" s="1"/>
      <c r="R793" s="1"/>
      <c r="S793" s="1"/>
      <c r="T793" s="1"/>
      <c r="U793" s="1"/>
      <c r="V793" s="1"/>
      <c r="W793" s="1"/>
    </row>
    <row r="794">
      <c r="A794" s="1"/>
      <c r="B794" s="1"/>
      <c r="C794" s="2"/>
      <c r="D794" s="1"/>
      <c r="E794" s="1"/>
      <c r="F794" s="1"/>
      <c r="G794" s="2"/>
      <c r="H794" s="1"/>
      <c r="I794" s="1"/>
      <c r="J794" s="2"/>
      <c r="K794" s="1"/>
      <c r="L794" s="1"/>
      <c r="M794" s="1"/>
      <c r="N794" s="1"/>
      <c r="O794" s="1"/>
      <c r="P794" s="1"/>
      <c r="Q794" s="1"/>
      <c r="R794" s="1"/>
      <c r="S794" s="1"/>
      <c r="T794" s="1"/>
      <c r="U794" s="1"/>
      <c r="V794" s="1"/>
      <c r="W794" s="1"/>
    </row>
    <row r="795">
      <c r="A795" s="1"/>
      <c r="B795" s="1"/>
      <c r="C795" s="2"/>
      <c r="D795" s="1"/>
      <c r="E795" s="1"/>
      <c r="F795" s="1"/>
      <c r="G795" s="2"/>
      <c r="H795" s="1"/>
      <c r="I795" s="1"/>
      <c r="J795" s="2"/>
      <c r="K795" s="1"/>
      <c r="L795" s="1"/>
      <c r="M795" s="1"/>
      <c r="N795" s="1"/>
      <c r="O795" s="1"/>
      <c r="P795" s="1"/>
      <c r="Q795" s="1"/>
      <c r="R795" s="1"/>
      <c r="S795" s="1"/>
      <c r="T795" s="1"/>
      <c r="U795" s="1"/>
      <c r="V795" s="1"/>
      <c r="W795" s="1"/>
    </row>
    <row r="796">
      <c r="A796" s="1"/>
      <c r="B796" s="1"/>
      <c r="C796" s="2"/>
      <c r="D796" s="1"/>
      <c r="E796" s="1"/>
      <c r="F796" s="1"/>
      <c r="G796" s="2"/>
      <c r="H796" s="1"/>
      <c r="I796" s="1"/>
      <c r="J796" s="2"/>
      <c r="K796" s="1"/>
      <c r="L796" s="1"/>
      <c r="M796" s="1"/>
      <c r="N796" s="1"/>
      <c r="O796" s="1"/>
      <c r="P796" s="1"/>
      <c r="Q796" s="1"/>
      <c r="R796" s="1"/>
      <c r="S796" s="1"/>
      <c r="T796" s="1"/>
      <c r="U796" s="1"/>
      <c r="V796" s="1"/>
      <c r="W796" s="1"/>
    </row>
    <row r="797">
      <c r="A797" s="1"/>
      <c r="B797" s="1"/>
      <c r="C797" s="2"/>
      <c r="D797" s="1"/>
      <c r="E797" s="1"/>
      <c r="F797" s="1"/>
      <c r="G797" s="2"/>
      <c r="H797" s="1"/>
      <c r="I797" s="1"/>
      <c r="J797" s="2"/>
      <c r="K797" s="1"/>
      <c r="L797" s="1"/>
      <c r="M797" s="1"/>
      <c r="N797" s="1"/>
      <c r="O797" s="1"/>
      <c r="P797" s="1"/>
      <c r="Q797" s="1"/>
      <c r="R797" s="1"/>
      <c r="S797" s="1"/>
      <c r="T797" s="1"/>
      <c r="U797" s="1"/>
      <c r="V797" s="1"/>
      <c r="W797" s="1"/>
    </row>
    <row r="798">
      <c r="A798" s="1"/>
      <c r="B798" s="1"/>
      <c r="C798" s="2"/>
      <c r="D798" s="1"/>
      <c r="E798" s="1"/>
      <c r="F798" s="1"/>
      <c r="G798" s="2"/>
      <c r="H798" s="1"/>
      <c r="I798" s="1"/>
      <c r="J798" s="2"/>
      <c r="K798" s="1"/>
      <c r="L798" s="1"/>
      <c r="M798" s="1"/>
      <c r="N798" s="1"/>
      <c r="O798" s="1"/>
      <c r="P798" s="1"/>
      <c r="Q798" s="1"/>
      <c r="R798" s="1"/>
      <c r="S798" s="1"/>
      <c r="T798" s="1"/>
      <c r="U798" s="1"/>
      <c r="V798" s="1"/>
      <c r="W798" s="1"/>
    </row>
    <row r="799">
      <c r="A799" s="1"/>
      <c r="B799" s="1"/>
      <c r="C799" s="2"/>
      <c r="D799" s="1"/>
      <c r="E799" s="1"/>
      <c r="F799" s="1"/>
      <c r="G799" s="2"/>
      <c r="H799" s="1"/>
      <c r="I799" s="1"/>
      <c r="J799" s="2"/>
      <c r="K799" s="1"/>
      <c r="L799" s="1"/>
      <c r="M799" s="1"/>
      <c r="N799" s="1"/>
      <c r="O799" s="1"/>
      <c r="P799" s="1"/>
      <c r="Q799" s="1"/>
      <c r="R799" s="1"/>
      <c r="S799" s="1"/>
      <c r="T799" s="1"/>
      <c r="U799" s="1"/>
      <c r="V799" s="1"/>
      <c r="W799" s="1"/>
    </row>
    <row r="800">
      <c r="A800" s="1"/>
      <c r="B800" s="1"/>
      <c r="C800" s="2"/>
      <c r="D800" s="1"/>
      <c r="E800" s="1"/>
      <c r="F800" s="1"/>
      <c r="G800" s="2"/>
      <c r="H800" s="1"/>
      <c r="I800" s="1"/>
      <c r="J800" s="2"/>
      <c r="K800" s="1"/>
      <c r="L800" s="1"/>
      <c r="M800" s="1"/>
      <c r="N800" s="1"/>
      <c r="O800" s="1"/>
      <c r="P800" s="1"/>
      <c r="Q800" s="1"/>
      <c r="R800" s="1"/>
      <c r="S800" s="1"/>
      <c r="T800" s="1"/>
      <c r="U800" s="1"/>
      <c r="V800" s="1"/>
      <c r="W800" s="1"/>
    </row>
    <row r="801">
      <c r="A801" s="1"/>
      <c r="B801" s="1"/>
      <c r="C801" s="2"/>
      <c r="D801" s="1"/>
      <c r="E801" s="1"/>
      <c r="F801" s="1"/>
      <c r="G801" s="2"/>
      <c r="H801" s="1"/>
      <c r="I801" s="1"/>
      <c r="J801" s="2"/>
      <c r="K801" s="1"/>
      <c r="L801" s="1"/>
      <c r="M801" s="1"/>
      <c r="N801" s="1"/>
      <c r="O801" s="1"/>
      <c r="P801" s="1"/>
      <c r="Q801" s="1"/>
      <c r="R801" s="1"/>
      <c r="S801" s="1"/>
      <c r="T801" s="1"/>
      <c r="U801" s="1"/>
      <c r="V801" s="1"/>
      <c r="W801" s="1"/>
    </row>
    <row r="802">
      <c r="A802" s="1"/>
      <c r="B802" s="1"/>
      <c r="C802" s="2"/>
      <c r="D802" s="1"/>
      <c r="E802" s="1"/>
      <c r="F802" s="1"/>
      <c r="G802" s="2"/>
      <c r="H802" s="1"/>
      <c r="I802" s="1"/>
      <c r="J802" s="2"/>
      <c r="K802" s="1"/>
      <c r="L802" s="1"/>
      <c r="M802" s="1"/>
      <c r="N802" s="1"/>
      <c r="O802" s="1"/>
      <c r="P802" s="1"/>
      <c r="Q802" s="1"/>
      <c r="R802" s="1"/>
      <c r="S802" s="1"/>
      <c r="T802" s="1"/>
      <c r="U802" s="1"/>
      <c r="V802" s="1"/>
      <c r="W802" s="1"/>
    </row>
    <row r="803">
      <c r="A803" s="1"/>
      <c r="B803" s="1"/>
      <c r="C803" s="2"/>
      <c r="D803" s="1"/>
      <c r="E803" s="1"/>
      <c r="F803" s="1"/>
      <c r="G803" s="2"/>
      <c r="H803" s="1"/>
      <c r="I803" s="1"/>
      <c r="J803" s="2"/>
      <c r="K803" s="1"/>
      <c r="L803" s="1"/>
      <c r="M803" s="1"/>
      <c r="N803" s="1"/>
      <c r="O803" s="1"/>
      <c r="P803" s="1"/>
      <c r="Q803" s="1"/>
      <c r="R803" s="1"/>
      <c r="S803" s="1"/>
      <c r="T803" s="1"/>
      <c r="U803" s="1"/>
      <c r="V803" s="1"/>
      <c r="W803" s="1"/>
    </row>
    <row r="804">
      <c r="A804" s="1"/>
      <c r="B804" s="1"/>
      <c r="C804" s="2"/>
      <c r="D804" s="1"/>
      <c r="E804" s="1"/>
      <c r="F804" s="1"/>
      <c r="G804" s="2"/>
      <c r="H804" s="1"/>
      <c r="I804" s="1"/>
      <c r="J804" s="2"/>
      <c r="K804" s="1"/>
      <c r="L804" s="1"/>
      <c r="M804" s="1"/>
      <c r="N804" s="1"/>
      <c r="O804" s="1"/>
      <c r="P804" s="1"/>
      <c r="Q804" s="1"/>
      <c r="R804" s="1"/>
      <c r="S804" s="1"/>
      <c r="T804" s="1"/>
      <c r="U804" s="1"/>
      <c r="V804" s="1"/>
      <c r="W804" s="1"/>
    </row>
    <row r="805">
      <c r="A805" s="1"/>
      <c r="B805" s="1"/>
      <c r="C805" s="2"/>
      <c r="D805" s="1"/>
      <c r="E805" s="1"/>
      <c r="F805" s="1"/>
      <c r="G805" s="2"/>
      <c r="H805" s="1"/>
      <c r="I805" s="1"/>
      <c r="J805" s="2"/>
      <c r="K805" s="1"/>
      <c r="L805" s="1"/>
      <c r="M805" s="1"/>
      <c r="N805" s="1"/>
      <c r="O805" s="1"/>
      <c r="P805" s="1"/>
      <c r="Q805" s="1"/>
      <c r="R805" s="1"/>
      <c r="S805" s="1"/>
      <c r="T805" s="1"/>
      <c r="U805" s="1"/>
      <c r="V805" s="1"/>
      <c r="W805" s="1"/>
    </row>
    <row r="806">
      <c r="A806" s="1"/>
      <c r="B806" s="1"/>
      <c r="C806" s="2"/>
      <c r="D806" s="1"/>
      <c r="E806" s="1"/>
      <c r="F806" s="1"/>
      <c r="G806" s="2"/>
      <c r="H806" s="1"/>
      <c r="I806" s="1"/>
      <c r="J806" s="2"/>
      <c r="K806" s="1"/>
      <c r="L806" s="1"/>
      <c r="M806" s="1"/>
      <c r="N806" s="1"/>
      <c r="O806" s="1"/>
      <c r="P806" s="1"/>
      <c r="Q806" s="1"/>
      <c r="R806" s="1"/>
      <c r="S806" s="1"/>
      <c r="T806" s="1"/>
      <c r="U806" s="1"/>
      <c r="V806" s="1"/>
      <c r="W806" s="1"/>
    </row>
    <row r="807">
      <c r="A807" s="1"/>
      <c r="B807" s="1"/>
      <c r="C807" s="2"/>
      <c r="D807" s="1"/>
      <c r="E807" s="1"/>
      <c r="F807" s="1"/>
      <c r="G807" s="2"/>
      <c r="H807" s="1"/>
      <c r="I807" s="1"/>
      <c r="J807" s="2"/>
      <c r="K807" s="1"/>
      <c r="L807" s="1"/>
      <c r="M807" s="1"/>
      <c r="N807" s="1"/>
      <c r="O807" s="1"/>
      <c r="P807" s="1"/>
      <c r="Q807" s="1"/>
      <c r="R807" s="1"/>
      <c r="S807" s="1"/>
      <c r="T807" s="1"/>
      <c r="U807" s="1"/>
      <c r="V807" s="1"/>
      <c r="W807" s="1"/>
    </row>
    <row r="808">
      <c r="A808" s="1"/>
      <c r="B808" s="1"/>
      <c r="C808" s="2"/>
      <c r="D808" s="1"/>
      <c r="E808" s="1"/>
      <c r="F808" s="1"/>
      <c r="G808" s="2"/>
      <c r="H808" s="1"/>
      <c r="I808" s="1"/>
      <c r="J808" s="2"/>
      <c r="K808" s="1"/>
      <c r="L808" s="1"/>
      <c r="M808" s="1"/>
      <c r="N808" s="1"/>
      <c r="O808" s="1"/>
      <c r="P808" s="1"/>
      <c r="Q808" s="1"/>
      <c r="R808" s="1"/>
      <c r="S808" s="1"/>
      <c r="T808" s="1"/>
      <c r="U808" s="1"/>
      <c r="V808" s="1"/>
      <c r="W808" s="1"/>
    </row>
    <row r="809">
      <c r="A809" s="1"/>
      <c r="B809" s="1"/>
      <c r="C809" s="2"/>
      <c r="D809" s="1"/>
      <c r="E809" s="1"/>
      <c r="F809" s="1"/>
      <c r="G809" s="2"/>
      <c r="H809" s="1"/>
      <c r="I809" s="1"/>
      <c r="J809" s="2"/>
      <c r="K809" s="1"/>
      <c r="L809" s="1"/>
      <c r="M809" s="1"/>
      <c r="N809" s="1"/>
      <c r="O809" s="1"/>
      <c r="P809" s="1"/>
      <c r="Q809" s="1"/>
      <c r="R809" s="1"/>
      <c r="S809" s="1"/>
      <c r="T809" s="1"/>
      <c r="U809" s="1"/>
      <c r="V809" s="1"/>
      <c r="W809" s="1"/>
    </row>
    <row r="810">
      <c r="A810" s="1"/>
      <c r="B810" s="1"/>
      <c r="C810" s="2"/>
      <c r="D810" s="1"/>
      <c r="E810" s="1"/>
      <c r="F810" s="1"/>
      <c r="G810" s="2"/>
      <c r="H810" s="1"/>
      <c r="I810" s="1"/>
      <c r="J810" s="2"/>
      <c r="K810" s="1"/>
      <c r="L810" s="1"/>
      <c r="M810" s="1"/>
      <c r="N810" s="1"/>
      <c r="O810" s="1"/>
      <c r="P810" s="1"/>
      <c r="Q810" s="1"/>
      <c r="R810" s="1"/>
      <c r="S810" s="1"/>
      <c r="T810" s="1"/>
      <c r="U810" s="1"/>
      <c r="V810" s="1"/>
      <c r="W810" s="1"/>
    </row>
    <row r="811">
      <c r="A811" s="1"/>
      <c r="B811" s="1"/>
      <c r="C811" s="2"/>
      <c r="D811" s="1"/>
      <c r="E811" s="1"/>
      <c r="F811" s="1"/>
      <c r="G811" s="2"/>
      <c r="H811" s="1"/>
      <c r="I811" s="1"/>
      <c r="J811" s="2"/>
      <c r="K811" s="1"/>
      <c r="L811" s="1"/>
      <c r="M811" s="1"/>
      <c r="N811" s="1"/>
      <c r="O811" s="1"/>
      <c r="P811" s="1"/>
      <c r="Q811" s="1"/>
      <c r="R811" s="1"/>
      <c r="S811" s="1"/>
      <c r="T811" s="1"/>
      <c r="U811" s="1"/>
      <c r="V811" s="1"/>
      <c r="W811" s="1"/>
    </row>
    <row r="812">
      <c r="A812" s="1"/>
      <c r="B812" s="1"/>
      <c r="C812" s="2"/>
      <c r="D812" s="1"/>
      <c r="E812" s="1"/>
      <c r="F812" s="1"/>
      <c r="G812" s="2"/>
      <c r="H812" s="1"/>
      <c r="I812" s="1"/>
      <c r="J812" s="2"/>
      <c r="K812" s="1"/>
      <c r="L812" s="1"/>
      <c r="M812" s="1"/>
      <c r="N812" s="1"/>
      <c r="O812" s="1"/>
      <c r="P812" s="1"/>
      <c r="Q812" s="1"/>
      <c r="R812" s="1"/>
      <c r="S812" s="1"/>
      <c r="T812" s="1"/>
      <c r="U812" s="1"/>
      <c r="V812" s="1"/>
      <c r="W812" s="1"/>
    </row>
    <row r="813">
      <c r="A813" s="1"/>
      <c r="B813" s="1"/>
      <c r="C813" s="2"/>
      <c r="D813" s="1"/>
      <c r="E813" s="1"/>
      <c r="F813" s="1"/>
      <c r="G813" s="2"/>
      <c r="H813" s="1"/>
      <c r="I813" s="1"/>
      <c r="J813" s="2"/>
      <c r="K813" s="1"/>
      <c r="L813" s="1"/>
      <c r="M813" s="1"/>
      <c r="N813" s="1"/>
      <c r="O813" s="1"/>
      <c r="P813" s="1"/>
      <c r="Q813" s="1"/>
      <c r="R813" s="1"/>
      <c r="S813" s="1"/>
      <c r="T813" s="1"/>
      <c r="U813" s="1"/>
      <c r="V813" s="1"/>
      <c r="W813" s="1"/>
    </row>
    <row r="814">
      <c r="A814" s="1"/>
      <c r="B814" s="1"/>
      <c r="C814" s="2"/>
      <c r="D814" s="1"/>
      <c r="E814" s="1"/>
      <c r="F814" s="1"/>
      <c r="G814" s="2"/>
      <c r="H814" s="1"/>
      <c r="I814" s="1"/>
      <c r="J814" s="2"/>
      <c r="K814" s="1"/>
      <c r="L814" s="1"/>
      <c r="M814" s="1"/>
      <c r="N814" s="1"/>
      <c r="O814" s="1"/>
      <c r="P814" s="1"/>
      <c r="Q814" s="1"/>
      <c r="R814" s="1"/>
      <c r="S814" s="1"/>
      <c r="T814" s="1"/>
      <c r="U814" s="1"/>
      <c r="V814" s="1"/>
      <c r="W814" s="1"/>
    </row>
    <row r="815">
      <c r="A815" s="1"/>
      <c r="B815" s="1"/>
      <c r="C815" s="2"/>
      <c r="D815" s="1"/>
      <c r="E815" s="1"/>
      <c r="F815" s="1"/>
      <c r="G815" s="2"/>
      <c r="H815" s="1"/>
      <c r="I815" s="1"/>
      <c r="J815" s="2"/>
      <c r="K815" s="1"/>
      <c r="L815" s="1"/>
      <c r="M815" s="1"/>
      <c r="N815" s="1"/>
      <c r="O815" s="1"/>
      <c r="P815" s="1"/>
      <c r="Q815" s="1"/>
      <c r="R815" s="1"/>
      <c r="S815" s="1"/>
      <c r="T815" s="1"/>
      <c r="U815" s="1"/>
      <c r="V815" s="1"/>
      <c r="W815" s="1"/>
    </row>
    <row r="816">
      <c r="A816" s="1"/>
      <c r="B816" s="1"/>
      <c r="C816" s="2"/>
      <c r="D816" s="1"/>
      <c r="E816" s="1"/>
      <c r="F816" s="1"/>
      <c r="G816" s="2"/>
      <c r="H816" s="1"/>
      <c r="I816" s="1"/>
      <c r="J816" s="2"/>
      <c r="K816" s="1"/>
      <c r="L816" s="1"/>
      <c r="M816" s="1"/>
      <c r="N816" s="1"/>
      <c r="O816" s="1"/>
      <c r="P816" s="1"/>
      <c r="Q816" s="1"/>
      <c r="R816" s="1"/>
      <c r="S816" s="1"/>
      <c r="T816" s="1"/>
      <c r="U816" s="1"/>
      <c r="V816" s="1"/>
      <c r="W816" s="1"/>
    </row>
    <row r="817">
      <c r="A817" s="1"/>
      <c r="B817" s="1"/>
      <c r="C817" s="2"/>
      <c r="D817" s="1"/>
      <c r="E817" s="1"/>
      <c r="F817" s="1"/>
      <c r="G817" s="2"/>
      <c r="H817" s="1"/>
      <c r="I817" s="1"/>
      <c r="J817" s="2"/>
      <c r="K817" s="1"/>
      <c r="L817" s="1"/>
      <c r="M817" s="1"/>
      <c r="N817" s="1"/>
      <c r="O817" s="1"/>
      <c r="P817" s="1"/>
      <c r="Q817" s="1"/>
      <c r="R817" s="1"/>
      <c r="S817" s="1"/>
      <c r="T817" s="1"/>
      <c r="U817" s="1"/>
      <c r="V817" s="1"/>
      <c r="W817" s="1"/>
    </row>
    <row r="818">
      <c r="A818" s="1"/>
      <c r="B818" s="1"/>
      <c r="C818" s="2"/>
      <c r="D818" s="1"/>
      <c r="E818" s="1"/>
      <c r="F818" s="1"/>
      <c r="G818" s="2"/>
      <c r="H818" s="1"/>
      <c r="I818" s="1"/>
      <c r="J818" s="2"/>
      <c r="K818" s="1"/>
      <c r="L818" s="1"/>
      <c r="M818" s="1"/>
      <c r="N818" s="1"/>
      <c r="O818" s="1"/>
      <c r="P818" s="1"/>
      <c r="Q818" s="1"/>
      <c r="R818" s="1"/>
      <c r="S818" s="1"/>
      <c r="T818" s="1"/>
      <c r="U818" s="1"/>
      <c r="V818" s="1"/>
      <c r="W818" s="1"/>
    </row>
    <row r="819">
      <c r="A819" s="1"/>
      <c r="B819" s="1"/>
      <c r="C819" s="2"/>
      <c r="D819" s="1"/>
      <c r="E819" s="1"/>
      <c r="F819" s="1"/>
      <c r="G819" s="2"/>
      <c r="H819" s="1"/>
      <c r="I819" s="1"/>
      <c r="J819" s="2"/>
      <c r="K819" s="1"/>
      <c r="L819" s="1"/>
      <c r="M819" s="1"/>
      <c r="N819" s="1"/>
      <c r="O819" s="1"/>
      <c r="P819" s="1"/>
      <c r="Q819" s="1"/>
      <c r="R819" s="1"/>
      <c r="S819" s="1"/>
      <c r="T819" s="1"/>
      <c r="U819" s="1"/>
      <c r="V819" s="1"/>
      <c r="W819" s="1"/>
    </row>
    <row r="820">
      <c r="A820" s="1"/>
      <c r="B820" s="1"/>
      <c r="C820" s="2"/>
      <c r="D820" s="1"/>
      <c r="E820" s="1"/>
      <c r="F820" s="1"/>
      <c r="G820" s="2"/>
      <c r="H820" s="1"/>
      <c r="I820" s="1"/>
      <c r="J820" s="2"/>
      <c r="K820" s="1"/>
      <c r="L820" s="1"/>
      <c r="M820" s="1"/>
      <c r="N820" s="1"/>
      <c r="O820" s="1"/>
      <c r="P820" s="1"/>
      <c r="Q820" s="1"/>
      <c r="R820" s="1"/>
      <c r="S820" s="1"/>
      <c r="T820" s="1"/>
      <c r="U820" s="1"/>
      <c r="V820" s="1"/>
      <c r="W820" s="1"/>
    </row>
    <row r="821">
      <c r="A821" s="1"/>
      <c r="B821" s="1"/>
      <c r="C821" s="2"/>
      <c r="D821" s="1"/>
      <c r="E821" s="1"/>
      <c r="F821" s="1"/>
      <c r="G821" s="2"/>
      <c r="H821" s="1"/>
      <c r="I821" s="1"/>
      <c r="J821" s="2"/>
      <c r="K821" s="1"/>
      <c r="L821" s="1"/>
      <c r="M821" s="1"/>
      <c r="N821" s="1"/>
      <c r="O821" s="1"/>
      <c r="P821" s="1"/>
      <c r="Q821" s="1"/>
      <c r="R821" s="1"/>
      <c r="S821" s="1"/>
      <c r="T821" s="1"/>
      <c r="U821" s="1"/>
      <c r="V821" s="1"/>
      <c r="W821" s="1"/>
    </row>
    <row r="822">
      <c r="A822" s="1"/>
      <c r="B822" s="1"/>
      <c r="C822" s="2"/>
      <c r="D822" s="1"/>
      <c r="E822" s="1"/>
      <c r="F822" s="1"/>
      <c r="G822" s="2"/>
      <c r="H822" s="1"/>
      <c r="I822" s="1"/>
      <c r="J822" s="2"/>
      <c r="K822" s="1"/>
      <c r="L822" s="1"/>
      <c r="M822" s="1"/>
      <c r="N822" s="1"/>
      <c r="O822" s="1"/>
      <c r="P822" s="1"/>
      <c r="Q822" s="1"/>
      <c r="R822" s="1"/>
      <c r="S822" s="1"/>
      <c r="T822" s="1"/>
      <c r="U822" s="1"/>
      <c r="V822" s="1"/>
      <c r="W822" s="1"/>
    </row>
    <row r="823">
      <c r="A823" s="1"/>
      <c r="B823" s="1"/>
      <c r="C823" s="2"/>
      <c r="D823" s="1"/>
      <c r="E823" s="1"/>
      <c r="F823" s="1"/>
      <c r="G823" s="2"/>
      <c r="H823" s="1"/>
      <c r="I823" s="1"/>
      <c r="J823" s="2"/>
      <c r="K823" s="1"/>
      <c r="L823" s="1"/>
      <c r="M823" s="1"/>
      <c r="N823" s="1"/>
      <c r="O823" s="1"/>
      <c r="P823" s="1"/>
      <c r="Q823" s="1"/>
      <c r="R823" s="1"/>
      <c r="S823" s="1"/>
      <c r="T823" s="1"/>
      <c r="U823" s="1"/>
      <c r="V823" s="1"/>
      <c r="W823" s="1"/>
    </row>
    <row r="824">
      <c r="A824" s="1"/>
      <c r="B824" s="1"/>
      <c r="C824" s="2"/>
      <c r="D824" s="1"/>
      <c r="E824" s="1"/>
      <c r="F824" s="1"/>
      <c r="G824" s="2"/>
      <c r="H824" s="1"/>
      <c r="I824" s="1"/>
      <c r="J824" s="2"/>
      <c r="K824" s="1"/>
      <c r="L824" s="1"/>
      <c r="M824" s="1"/>
      <c r="N824" s="1"/>
      <c r="O824" s="1"/>
      <c r="P824" s="1"/>
      <c r="Q824" s="1"/>
      <c r="R824" s="1"/>
      <c r="S824" s="1"/>
      <c r="T824" s="1"/>
      <c r="U824" s="1"/>
      <c r="V824" s="1"/>
      <c r="W824" s="1"/>
    </row>
    <row r="825">
      <c r="A825" s="1"/>
      <c r="B825" s="1"/>
      <c r="C825" s="2"/>
      <c r="D825" s="1"/>
      <c r="E825" s="1"/>
      <c r="F825" s="1"/>
      <c r="G825" s="2"/>
      <c r="H825" s="1"/>
      <c r="I825" s="1"/>
      <c r="J825" s="2"/>
      <c r="K825" s="1"/>
      <c r="L825" s="1"/>
      <c r="M825" s="1"/>
      <c r="N825" s="1"/>
      <c r="O825" s="1"/>
      <c r="P825" s="1"/>
      <c r="Q825" s="1"/>
      <c r="R825" s="1"/>
      <c r="S825" s="1"/>
      <c r="T825" s="1"/>
      <c r="U825" s="1"/>
      <c r="V825" s="1"/>
      <c r="W825" s="1"/>
    </row>
    <row r="826">
      <c r="A826" s="1"/>
      <c r="B826" s="1"/>
      <c r="C826" s="2"/>
      <c r="D826" s="1"/>
      <c r="E826" s="1"/>
      <c r="F826" s="1"/>
      <c r="G826" s="2"/>
      <c r="H826" s="1"/>
      <c r="I826" s="1"/>
      <c r="J826" s="2"/>
      <c r="K826" s="1"/>
      <c r="L826" s="1"/>
      <c r="M826" s="1"/>
      <c r="N826" s="1"/>
      <c r="O826" s="1"/>
      <c r="P826" s="1"/>
      <c r="Q826" s="1"/>
      <c r="R826" s="1"/>
      <c r="S826" s="1"/>
      <c r="T826" s="1"/>
      <c r="U826" s="1"/>
      <c r="V826" s="1"/>
      <c r="W826" s="1"/>
    </row>
    <row r="827">
      <c r="A827" s="1"/>
      <c r="B827" s="1"/>
      <c r="C827" s="2"/>
      <c r="D827" s="1"/>
      <c r="E827" s="1"/>
      <c r="F827" s="1"/>
      <c r="G827" s="2"/>
      <c r="H827" s="1"/>
      <c r="I827" s="1"/>
      <c r="J827" s="2"/>
      <c r="K827" s="1"/>
      <c r="L827" s="1"/>
      <c r="M827" s="1"/>
      <c r="N827" s="1"/>
      <c r="O827" s="1"/>
      <c r="P827" s="1"/>
      <c r="Q827" s="1"/>
      <c r="R827" s="1"/>
      <c r="S827" s="1"/>
      <c r="T827" s="1"/>
      <c r="U827" s="1"/>
      <c r="V827" s="1"/>
      <c r="W827" s="1"/>
    </row>
    <row r="828">
      <c r="A828" s="1"/>
      <c r="B828" s="1"/>
      <c r="C828" s="2"/>
      <c r="D828" s="1"/>
      <c r="E828" s="1"/>
      <c r="F828" s="1"/>
      <c r="G828" s="2"/>
      <c r="H828" s="1"/>
      <c r="I828" s="1"/>
      <c r="J828" s="2"/>
      <c r="K828" s="1"/>
      <c r="L828" s="1"/>
      <c r="M828" s="1"/>
      <c r="N828" s="1"/>
      <c r="O828" s="1"/>
      <c r="P828" s="1"/>
      <c r="Q828" s="1"/>
      <c r="R828" s="1"/>
      <c r="S828" s="1"/>
      <c r="T828" s="1"/>
      <c r="U828" s="1"/>
      <c r="V828" s="1"/>
      <c r="W828" s="1"/>
    </row>
    <row r="829">
      <c r="A829" s="1"/>
      <c r="B829" s="1"/>
      <c r="C829" s="2"/>
      <c r="D829" s="1"/>
      <c r="E829" s="1"/>
      <c r="F829" s="1"/>
      <c r="G829" s="2"/>
      <c r="H829" s="1"/>
      <c r="I829" s="1"/>
      <c r="J829" s="2"/>
      <c r="K829" s="1"/>
      <c r="L829" s="1"/>
      <c r="M829" s="1"/>
      <c r="N829" s="1"/>
      <c r="O829" s="1"/>
      <c r="P829" s="1"/>
      <c r="Q829" s="1"/>
      <c r="R829" s="1"/>
      <c r="S829" s="1"/>
      <c r="T829" s="1"/>
      <c r="U829" s="1"/>
      <c r="V829" s="1"/>
      <c r="W829" s="1"/>
    </row>
    <row r="830">
      <c r="A830" s="1"/>
      <c r="B830" s="1"/>
      <c r="C830" s="2"/>
      <c r="D830" s="1"/>
      <c r="E830" s="1"/>
      <c r="F830" s="1"/>
      <c r="G830" s="2"/>
      <c r="H830" s="1"/>
      <c r="I830" s="1"/>
      <c r="J830" s="2"/>
      <c r="K830" s="1"/>
      <c r="L830" s="1"/>
      <c r="M830" s="1"/>
      <c r="N830" s="1"/>
      <c r="O830" s="1"/>
      <c r="P830" s="1"/>
      <c r="Q830" s="1"/>
      <c r="R830" s="1"/>
      <c r="S830" s="1"/>
      <c r="T830" s="1"/>
      <c r="U830" s="1"/>
      <c r="V830" s="1"/>
      <c r="W830" s="1"/>
    </row>
    <row r="831">
      <c r="A831" s="1"/>
      <c r="B831" s="1"/>
      <c r="C831" s="2"/>
      <c r="D831" s="1"/>
      <c r="E831" s="1"/>
      <c r="F831" s="1"/>
      <c r="G831" s="2"/>
      <c r="H831" s="1"/>
      <c r="I831" s="1"/>
      <c r="J831" s="2"/>
      <c r="K831" s="1"/>
      <c r="L831" s="1"/>
      <c r="M831" s="1"/>
      <c r="N831" s="1"/>
      <c r="O831" s="1"/>
      <c r="P831" s="1"/>
      <c r="Q831" s="1"/>
      <c r="R831" s="1"/>
      <c r="S831" s="1"/>
      <c r="T831" s="1"/>
      <c r="U831" s="1"/>
      <c r="V831" s="1"/>
      <c r="W831" s="1"/>
    </row>
    <row r="832">
      <c r="A832" s="1"/>
      <c r="B832" s="1"/>
      <c r="C832" s="2"/>
      <c r="D832" s="1"/>
      <c r="E832" s="1"/>
      <c r="F832" s="1"/>
      <c r="G832" s="2"/>
      <c r="H832" s="1"/>
      <c r="I832" s="1"/>
      <c r="J832" s="2"/>
      <c r="K832" s="1"/>
      <c r="L832" s="1"/>
      <c r="M832" s="1"/>
      <c r="N832" s="1"/>
      <c r="O832" s="1"/>
      <c r="P832" s="1"/>
      <c r="Q832" s="1"/>
      <c r="R832" s="1"/>
      <c r="S832" s="1"/>
      <c r="T832" s="1"/>
      <c r="U832" s="1"/>
      <c r="V832" s="1"/>
      <c r="W832" s="1"/>
    </row>
    <row r="833">
      <c r="A833" s="1"/>
      <c r="B833" s="1"/>
      <c r="C833" s="2"/>
      <c r="D833" s="1"/>
      <c r="E833" s="1"/>
      <c r="F833" s="1"/>
      <c r="G833" s="2"/>
      <c r="H833" s="1"/>
      <c r="I833" s="1"/>
      <c r="J833" s="2"/>
      <c r="K833" s="1"/>
      <c r="L833" s="1"/>
      <c r="M833" s="1"/>
      <c r="N833" s="1"/>
      <c r="O833" s="1"/>
      <c r="P833" s="1"/>
      <c r="Q833" s="1"/>
      <c r="R833" s="1"/>
      <c r="S833" s="1"/>
      <c r="T833" s="1"/>
      <c r="U833" s="1"/>
      <c r="V833" s="1"/>
      <c r="W833" s="1"/>
    </row>
    <row r="834">
      <c r="A834" s="1"/>
      <c r="B834" s="1"/>
      <c r="C834" s="2"/>
      <c r="D834" s="1"/>
      <c r="E834" s="1"/>
      <c r="F834" s="1"/>
      <c r="G834" s="2"/>
      <c r="H834" s="1"/>
      <c r="I834" s="1"/>
      <c r="J834" s="2"/>
      <c r="K834" s="1"/>
      <c r="L834" s="1"/>
      <c r="M834" s="1"/>
      <c r="N834" s="1"/>
      <c r="O834" s="1"/>
      <c r="P834" s="1"/>
      <c r="Q834" s="1"/>
      <c r="R834" s="1"/>
      <c r="S834" s="1"/>
      <c r="T834" s="1"/>
      <c r="U834" s="1"/>
      <c r="V834" s="1"/>
      <c r="W834" s="1"/>
    </row>
    <row r="835">
      <c r="A835" s="1"/>
      <c r="B835" s="1"/>
      <c r="C835" s="2"/>
      <c r="D835" s="1"/>
      <c r="E835" s="1"/>
      <c r="F835" s="1"/>
      <c r="G835" s="2"/>
      <c r="H835" s="1"/>
      <c r="I835" s="1"/>
      <c r="J835" s="2"/>
      <c r="K835" s="1"/>
      <c r="L835" s="1"/>
      <c r="M835" s="1"/>
      <c r="N835" s="1"/>
      <c r="O835" s="1"/>
      <c r="P835" s="1"/>
      <c r="Q835" s="1"/>
      <c r="R835" s="1"/>
      <c r="S835" s="1"/>
      <c r="T835" s="1"/>
      <c r="U835" s="1"/>
      <c r="V835" s="1"/>
      <c r="W835" s="1"/>
    </row>
    <row r="836">
      <c r="A836" s="1"/>
      <c r="B836" s="1"/>
      <c r="C836" s="2"/>
      <c r="D836" s="1"/>
      <c r="E836" s="1"/>
      <c r="F836" s="1"/>
      <c r="G836" s="2"/>
      <c r="H836" s="1"/>
      <c r="I836" s="1"/>
      <c r="J836" s="2"/>
      <c r="K836" s="1"/>
      <c r="L836" s="1"/>
      <c r="M836" s="1"/>
      <c r="N836" s="1"/>
      <c r="O836" s="1"/>
      <c r="P836" s="1"/>
      <c r="Q836" s="1"/>
      <c r="R836" s="1"/>
      <c r="S836" s="1"/>
      <c r="T836" s="1"/>
      <c r="U836" s="1"/>
      <c r="V836" s="1"/>
      <c r="W836" s="1"/>
    </row>
    <row r="837">
      <c r="A837" s="1"/>
      <c r="B837" s="1"/>
      <c r="C837" s="2"/>
      <c r="D837" s="1"/>
      <c r="E837" s="1"/>
      <c r="F837" s="1"/>
      <c r="G837" s="2"/>
      <c r="H837" s="1"/>
      <c r="I837" s="1"/>
      <c r="J837" s="2"/>
      <c r="K837" s="1"/>
      <c r="L837" s="1"/>
      <c r="M837" s="1"/>
      <c r="N837" s="1"/>
      <c r="O837" s="1"/>
      <c r="P837" s="1"/>
      <c r="Q837" s="1"/>
      <c r="R837" s="1"/>
      <c r="S837" s="1"/>
      <c r="T837" s="1"/>
      <c r="U837" s="1"/>
      <c r="V837" s="1"/>
      <c r="W837" s="1"/>
    </row>
    <row r="838">
      <c r="A838" s="1"/>
      <c r="B838" s="1"/>
      <c r="C838" s="2"/>
      <c r="D838" s="1"/>
      <c r="E838" s="1"/>
      <c r="F838" s="1"/>
      <c r="G838" s="2"/>
      <c r="H838" s="1"/>
      <c r="I838" s="1"/>
      <c r="J838" s="2"/>
      <c r="K838" s="1"/>
      <c r="L838" s="1"/>
      <c r="M838" s="1"/>
      <c r="N838" s="1"/>
      <c r="O838" s="1"/>
      <c r="P838" s="1"/>
      <c r="Q838" s="1"/>
      <c r="R838" s="1"/>
      <c r="S838" s="1"/>
      <c r="T838" s="1"/>
      <c r="U838" s="1"/>
      <c r="V838" s="1"/>
      <c r="W838" s="1"/>
    </row>
    <row r="839">
      <c r="A839" s="1"/>
      <c r="B839" s="1"/>
      <c r="C839" s="2"/>
      <c r="D839" s="1"/>
      <c r="E839" s="1"/>
      <c r="F839" s="1"/>
      <c r="G839" s="2"/>
      <c r="H839" s="1"/>
      <c r="I839" s="1"/>
      <c r="J839" s="2"/>
      <c r="K839" s="1"/>
      <c r="L839" s="1"/>
      <c r="M839" s="1"/>
      <c r="N839" s="1"/>
      <c r="O839" s="1"/>
      <c r="P839" s="1"/>
      <c r="Q839" s="1"/>
      <c r="R839" s="1"/>
      <c r="S839" s="1"/>
      <c r="T839" s="1"/>
      <c r="U839" s="1"/>
      <c r="V839" s="1"/>
      <c r="W839" s="1"/>
    </row>
    <row r="840">
      <c r="A840" s="1"/>
      <c r="B840" s="1"/>
      <c r="C840" s="2"/>
      <c r="D840" s="1"/>
      <c r="E840" s="1"/>
      <c r="F840" s="1"/>
      <c r="G840" s="2"/>
      <c r="H840" s="1"/>
      <c r="I840" s="1"/>
      <c r="J840" s="2"/>
      <c r="K840" s="1"/>
      <c r="L840" s="1"/>
      <c r="M840" s="1"/>
      <c r="N840" s="1"/>
      <c r="O840" s="1"/>
      <c r="P840" s="1"/>
      <c r="Q840" s="1"/>
      <c r="R840" s="1"/>
      <c r="S840" s="1"/>
      <c r="T840" s="1"/>
      <c r="U840" s="1"/>
      <c r="V840" s="1"/>
      <c r="W840" s="1"/>
    </row>
    <row r="841">
      <c r="A841" s="1"/>
      <c r="B841" s="1"/>
      <c r="C841" s="2"/>
      <c r="D841" s="1"/>
      <c r="E841" s="1"/>
      <c r="F841" s="1"/>
      <c r="G841" s="2"/>
      <c r="H841" s="1"/>
      <c r="I841" s="1"/>
      <c r="J841" s="2"/>
      <c r="K841" s="1"/>
      <c r="L841" s="1"/>
      <c r="M841" s="1"/>
      <c r="N841" s="1"/>
      <c r="O841" s="1"/>
      <c r="P841" s="1"/>
      <c r="Q841" s="1"/>
      <c r="R841" s="1"/>
      <c r="S841" s="1"/>
      <c r="T841" s="1"/>
      <c r="U841" s="1"/>
      <c r="V841" s="1"/>
      <c r="W841" s="1"/>
    </row>
    <row r="842">
      <c r="A842" s="1"/>
      <c r="B842" s="1"/>
      <c r="C842" s="2"/>
      <c r="D842" s="1"/>
      <c r="E842" s="1"/>
      <c r="F842" s="1"/>
      <c r="G842" s="2"/>
      <c r="H842" s="1"/>
      <c r="I842" s="1"/>
      <c r="J842" s="2"/>
      <c r="K842" s="1"/>
      <c r="L842" s="1"/>
      <c r="M842" s="1"/>
      <c r="N842" s="1"/>
      <c r="O842" s="1"/>
      <c r="P842" s="1"/>
      <c r="Q842" s="1"/>
      <c r="R842" s="1"/>
      <c r="S842" s="1"/>
      <c r="T842" s="1"/>
      <c r="U842" s="1"/>
      <c r="V842" s="1"/>
      <c r="W842" s="1"/>
    </row>
    <row r="843">
      <c r="A843" s="1"/>
      <c r="B843" s="1"/>
      <c r="C843" s="2"/>
      <c r="D843" s="1"/>
      <c r="E843" s="1"/>
      <c r="F843" s="1"/>
      <c r="G843" s="2"/>
      <c r="H843" s="1"/>
      <c r="I843" s="1"/>
      <c r="J843" s="2"/>
      <c r="K843" s="1"/>
      <c r="L843" s="1"/>
      <c r="M843" s="1"/>
      <c r="N843" s="1"/>
      <c r="O843" s="1"/>
      <c r="P843" s="1"/>
      <c r="Q843" s="1"/>
      <c r="R843" s="1"/>
      <c r="S843" s="1"/>
      <c r="T843" s="1"/>
      <c r="U843" s="1"/>
      <c r="V843" s="1"/>
      <c r="W843" s="1"/>
    </row>
    <row r="844">
      <c r="A844" s="1"/>
      <c r="B844" s="1"/>
      <c r="C844" s="2"/>
      <c r="D844" s="1"/>
      <c r="E844" s="1"/>
      <c r="F844" s="1"/>
      <c r="G844" s="2"/>
      <c r="H844" s="1"/>
      <c r="I844" s="1"/>
      <c r="J844" s="2"/>
      <c r="K844" s="1"/>
      <c r="L844" s="1"/>
      <c r="M844" s="1"/>
      <c r="N844" s="1"/>
      <c r="O844" s="1"/>
      <c r="P844" s="1"/>
      <c r="Q844" s="1"/>
      <c r="R844" s="1"/>
      <c r="S844" s="1"/>
      <c r="T844" s="1"/>
      <c r="U844" s="1"/>
      <c r="V844" s="1"/>
      <c r="W844" s="1"/>
    </row>
    <row r="845">
      <c r="A845" s="1"/>
      <c r="B845" s="1"/>
      <c r="C845" s="2"/>
      <c r="D845" s="1"/>
      <c r="E845" s="1"/>
      <c r="F845" s="1"/>
      <c r="G845" s="2"/>
      <c r="H845" s="1"/>
      <c r="I845" s="1"/>
      <c r="J845" s="2"/>
      <c r="K845" s="1"/>
      <c r="L845" s="1"/>
      <c r="M845" s="1"/>
      <c r="N845" s="1"/>
      <c r="O845" s="1"/>
      <c r="P845" s="1"/>
      <c r="Q845" s="1"/>
      <c r="R845" s="1"/>
      <c r="S845" s="1"/>
      <c r="T845" s="1"/>
      <c r="U845" s="1"/>
      <c r="V845" s="1"/>
      <c r="W845" s="1"/>
    </row>
    <row r="846">
      <c r="A846" s="1"/>
      <c r="B846" s="1"/>
      <c r="C846" s="2"/>
      <c r="D846" s="1"/>
      <c r="E846" s="1"/>
      <c r="F846" s="1"/>
      <c r="G846" s="2"/>
      <c r="H846" s="1"/>
      <c r="I846" s="1"/>
      <c r="J846" s="2"/>
      <c r="K846" s="1"/>
      <c r="L846" s="1"/>
      <c r="M846" s="1"/>
      <c r="N846" s="1"/>
      <c r="O846" s="1"/>
      <c r="P846" s="1"/>
      <c r="Q846" s="1"/>
      <c r="R846" s="1"/>
      <c r="S846" s="1"/>
      <c r="T846" s="1"/>
      <c r="U846" s="1"/>
      <c r="V846" s="1"/>
      <c r="W846" s="1"/>
    </row>
    <row r="847">
      <c r="A847" s="1"/>
      <c r="B847" s="1"/>
      <c r="C847" s="2"/>
      <c r="D847" s="1"/>
      <c r="E847" s="1"/>
      <c r="F847" s="1"/>
      <c r="G847" s="2"/>
      <c r="H847" s="1"/>
      <c r="I847" s="1"/>
      <c r="J847" s="2"/>
      <c r="K847" s="1"/>
      <c r="L847" s="1"/>
      <c r="M847" s="1"/>
      <c r="N847" s="1"/>
      <c r="O847" s="1"/>
      <c r="P847" s="1"/>
      <c r="Q847" s="1"/>
      <c r="R847" s="1"/>
      <c r="S847" s="1"/>
      <c r="T847" s="1"/>
      <c r="U847" s="1"/>
      <c r="V847" s="1"/>
      <c r="W847" s="1"/>
    </row>
    <row r="848">
      <c r="A848" s="1"/>
      <c r="B848" s="1"/>
      <c r="C848" s="2"/>
      <c r="D848" s="1"/>
      <c r="E848" s="1"/>
      <c r="F848" s="1"/>
      <c r="G848" s="2"/>
      <c r="H848" s="1"/>
      <c r="I848" s="1"/>
      <c r="J848" s="2"/>
      <c r="K848" s="1"/>
      <c r="L848" s="1"/>
      <c r="M848" s="1"/>
      <c r="N848" s="1"/>
      <c r="O848" s="1"/>
      <c r="P848" s="1"/>
      <c r="Q848" s="1"/>
      <c r="R848" s="1"/>
      <c r="S848" s="1"/>
      <c r="T848" s="1"/>
      <c r="U848" s="1"/>
      <c r="V848" s="1"/>
      <c r="W848" s="1"/>
    </row>
    <row r="849">
      <c r="A849" s="1"/>
      <c r="B849" s="1"/>
      <c r="C849" s="2"/>
      <c r="D849" s="1"/>
      <c r="E849" s="1"/>
      <c r="F849" s="1"/>
      <c r="G849" s="2"/>
      <c r="H849" s="1"/>
      <c r="I849" s="1"/>
      <c r="J849" s="2"/>
      <c r="K849" s="1"/>
      <c r="L849" s="1"/>
      <c r="M849" s="1"/>
      <c r="N849" s="1"/>
      <c r="O849" s="1"/>
      <c r="P849" s="1"/>
      <c r="Q849" s="1"/>
      <c r="R849" s="1"/>
      <c r="S849" s="1"/>
      <c r="T849" s="1"/>
      <c r="U849" s="1"/>
      <c r="V849" s="1"/>
      <c r="W849" s="1"/>
    </row>
    <row r="850">
      <c r="A850" s="1"/>
      <c r="B850" s="1"/>
      <c r="C850" s="2"/>
      <c r="D850" s="1"/>
      <c r="E850" s="1"/>
      <c r="F850" s="1"/>
      <c r="G850" s="2"/>
      <c r="H850" s="1"/>
      <c r="I850" s="1"/>
      <c r="J850" s="2"/>
      <c r="K850" s="1"/>
      <c r="L850" s="1"/>
      <c r="M850" s="1"/>
      <c r="N850" s="1"/>
      <c r="O850" s="1"/>
      <c r="P850" s="1"/>
      <c r="Q850" s="1"/>
      <c r="R850" s="1"/>
      <c r="S850" s="1"/>
      <c r="T850" s="1"/>
      <c r="U850" s="1"/>
      <c r="V850" s="1"/>
      <c r="W850" s="1"/>
    </row>
    <row r="851">
      <c r="A851" s="1"/>
      <c r="B851" s="1"/>
      <c r="C851" s="2"/>
      <c r="D851" s="1"/>
      <c r="E851" s="1"/>
      <c r="F851" s="1"/>
      <c r="G851" s="2"/>
      <c r="H851" s="1"/>
      <c r="I851" s="1"/>
      <c r="J851" s="2"/>
      <c r="K851" s="1"/>
      <c r="L851" s="1"/>
      <c r="M851" s="1"/>
      <c r="N851" s="1"/>
      <c r="O851" s="1"/>
      <c r="P851" s="1"/>
      <c r="Q851" s="1"/>
      <c r="R851" s="1"/>
      <c r="S851" s="1"/>
      <c r="T851" s="1"/>
      <c r="U851" s="1"/>
      <c r="V851" s="1"/>
      <c r="W851" s="1"/>
    </row>
    <row r="852">
      <c r="A852" s="1"/>
      <c r="B852" s="1"/>
      <c r="C852" s="2"/>
      <c r="D852" s="1"/>
      <c r="E852" s="1"/>
      <c r="F852" s="1"/>
      <c r="G852" s="2"/>
      <c r="H852" s="1"/>
      <c r="I852" s="1"/>
      <c r="J852" s="2"/>
      <c r="K852" s="1"/>
      <c r="L852" s="1"/>
      <c r="M852" s="1"/>
      <c r="N852" s="1"/>
      <c r="O852" s="1"/>
      <c r="P852" s="1"/>
      <c r="Q852" s="1"/>
      <c r="R852" s="1"/>
      <c r="S852" s="1"/>
      <c r="T852" s="1"/>
      <c r="U852" s="1"/>
      <c r="V852" s="1"/>
      <c r="W852" s="1"/>
    </row>
    <row r="853">
      <c r="A853" s="1"/>
      <c r="B853" s="1"/>
      <c r="C853" s="2"/>
      <c r="D853" s="1"/>
      <c r="E853" s="1"/>
      <c r="F853" s="1"/>
      <c r="G853" s="2"/>
      <c r="H853" s="1"/>
      <c r="I853" s="1"/>
      <c r="J853" s="2"/>
      <c r="K853" s="1"/>
      <c r="L853" s="1"/>
      <c r="M853" s="1"/>
      <c r="N853" s="1"/>
      <c r="O853" s="1"/>
      <c r="P853" s="1"/>
      <c r="Q853" s="1"/>
      <c r="R853" s="1"/>
      <c r="S853" s="1"/>
      <c r="T853" s="1"/>
      <c r="U853" s="1"/>
      <c r="V853" s="1"/>
      <c r="W853" s="1"/>
    </row>
    <row r="854">
      <c r="A854" s="1"/>
      <c r="B854" s="1"/>
      <c r="C854" s="2"/>
      <c r="D854" s="1"/>
      <c r="E854" s="1"/>
      <c r="F854" s="1"/>
      <c r="G854" s="2"/>
      <c r="H854" s="1"/>
      <c r="I854" s="1"/>
      <c r="J854" s="2"/>
      <c r="K854" s="1"/>
      <c r="L854" s="1"/>
      <c r="M854" s="1"/>
      <c r="N854" s="1"/>
      <c r="O854" s="1"/>
      <c r="P854" s="1"/>
      <c r="Q854" s="1"/>
      <c r="R854" s="1"/>
      <c r="S854" s="1"/>
      <c r="T854" s="1"/>
      <c r="U854" s="1"/>
      <c r="V854" s="1"/>
      <c r="W854" s="1"/>
    </row>
    <row r="855">
      <c r="A855" s="1"/>
      <c r="B855" s="1"/>
      <c r="C855" s="2"/>
      <c r="D855" s="1"/>
      <c r="E855" s="1"/>
      <c r="F855" s="1"/>
      <c r="G855" s="2"/>
      <c r="H855" s="1"/>
      <c r="I855" s="1"/>
      <c r="J855" s="2"/>
      <c r="K855" s="1"/>
      <c r="L855" s="1"/>
      <c r="M855" s="1"/>
      <c r="N855" s="1"/>
      <c r="O855" s="1"/>
      <c r="P855" s="1"/>
      <c r="Q855" s="1"/>
      <c r="R855" s="1"/>
      <c r="S855" s="1"/>
      <c r="T855" s="1"/>
      <c r="U855" s="1"/>
      <c r="V855" s="1"/>
      <c r="W855" s="1"/>
    </row>
    <row r="856">
      <c r="A856" s="1"/>
      <c r="B856" s="1"/>
      <c r="C856" s="2"/>
      <c r="D856" s="1"/>
      <c r="E856" s="1"/>
      <c r="F856" s="1"/>
      <c r="G856" s="2"/>
      <c r="H856" s="1"/>
      <c r="I856" s="1"/>
      <c r="J856" s="2"/>
      <c r="K856" s="1"/>
      <c r="L856" s="1"/>
      <c r="M856" s="1"/>
      <c r="N856" s="1"/>
      <c r="O856" s="1"/>
      <c r="P856" s="1"/>
      <c r="Q856" s="1"/>
      <c r="R856" s="1"/>
      <c r="S856" s="1"/>
      <c r="T856" s="1"/>
      <c r="U856" s="1"/>
      <c r="V856" s="1"/>
      <c r="W856" s="1"/>
    </row>
    <row r="857">
      <c r="A857" s="1"/>
      <c r="B857" s="1"/>
      <c r="C857" s="2"/>
      <c r="D857" s="1"/>
      <c r="E857" s="1"/>
      <c r="F857" s="1"/>
      <c r="G857" s="2"/>
      <c r="H857" s="1"/>
      <c r="I857" s="1"/>
      <c r="J857" s="2"/>
      <c r="K857" s="1"/>
      <c r="L857" s="1"/>
      <c r="M857" s="1"/>
      <c r="N857" s="1"/>
      <c r="O857" s="1"/>
      <c r="P857" s="1"/>
      <c r="Q857" s="1"/>
      <c r="R857" s="1"/>
      <c r="S857" s="1"/>
      <c r="T857" s="1"/>
      <c r="U857" s="1"/>
      <c r="V857" s="1"/>
      <c r="W857" s="1"/>
    </row>
    <row r="858">
      <c r="A858" s="1"/>
      <c r="B858" s="1"/>
      <c r="C858" s="2"/>
      <c r="D858" s="1"/>
      <c r="E858" s="1"/>
      <c r="F858" s="1"/>
      <c r="G858" s="2"/>
      <c r="H858" s="1"/>
      <c r="I858" s="1"/>
      <c r="J858" s="2"/>
      <c r="K858" s="1"/>
      <c r="L858" s="1"/>
      <c r="M858" s="1"/>
      <c r="N858" s="1"/>
      <c r="O858" s="1"/>
      <c r="P858" s="1"/>
      <c r="Q858" s="1"/>
      <c r="R858" s="1"/>
      <c r="S858" s="1"/>
      <c r="T858" s="1"/>
      <c r="U858" s="1"/>
      <c r="V858" s="1"/>
      <c r="W858" s="1"/>
    </row>
    <row r="859">
      <c r="A859" s="1"/>
      <c r="B859" s="1"/>
      <c r="C859" s="2"/>
      <c r="D859" s="1"/>
      <c r="E859" s="1"/>
      <c r="F859" s="1"/>
      <c r="G859" s="2"/>
      <c r="H859" s="1"/>
      <c r="I859" s="1"/>
      <c r="J859" s="2"/>
      <c r="K859" s="1"/>
      <c r="L859" s="1"/>
      <c r="M859" s="1"/>
      <c r="N859" s="1"/>
      <c r="O859" s="1"/>
      <c r="P859" s="1"/>
      <c r="Q859" s="1"/>
      <c r="R859" s="1"/>
      <c r="S859" s="1"/>
      <c r="T859" s="1"/>
      <c r="U859" s="1"/>
      <c r="V859" s="1"/>
      <c r="W859" s="1"/>
    </row>
    <row r="860">
      <c r="A860" s="1"/>
      <c r="B860" s="1"/>
      <c r="C860" s="2"/>
      <c r="D860" s="1"/>
      <c r="E860" s="1"/>
      <c r="F860" s="1"/>
      <c r="G860" s="2"/>
      <c r="H860" s="1"/>
      <c r="I860" s="1"/>
      <c r="J860" s="2"/>
      <c r="K860" s="1"/>
      <c r="L860" s="1"/>
      <c r="M860" s="1"/>
      <c r="N860" s="1"/>
      <c r="O860" s="1"/>
      <c r="P860" s="1"/>
      <c r="Q860" s="1"/>
      <c r="R860" s="1"/>
      <c r="S860" s="1"/>
      <c r="T860" s="1"/>
      <c r="U860" s="1"/>
      <c r="V860" s="1"/>
      <c r="W860" s="1"/>
    </row>
    <row r="861">
      <c r="A861" s="1"/>
      <c r="B861" s="1"/>
      <c r="C861" s="2"/>
      <c r="D861" s="1"/>
      <c r="E861" s="1"/>
      <c r="F861" s="1"/>
      <c r="G861" s="2"/>
      <c r="H861" s="1"/>
      <c r="I861" s="1"/>
      <c r="J861" s="2"/>
      <c r="K861" s="1"/>
      <c r="L861" s="1"/>
      <c r="M861" s="1"/>
      <c r="N861" s="1"/>
      <c r="O861" s="1"/>
      <c r="P861" s="1"/>
      <c r="Q861" s="1"/>
      <c r="R861" s="1"/>
      <c r="S861" s="1"/>
      <c r="T861" s="1"/>
      <c r="U861" s="1"/>
      <c r="V861" s="1"/>
      <c r="W861" s="1"/>
    </row>
    <row r="862">
      <c r="A862" s="1"/>
      <c r="B862" s="1"/>
      <c r="C862" s="2"/>
      <c r="D862" s="1"/>
      <c r="E862" s="1"/>
      <c r="F862" s="1"/>
      <c r="G862" s="2"/>
      <c r="H862" s="1"/>
      <c r="I862" s="1"/>
      <c r="J862" s="2"/>
      <c r="K862" s="1"/>
      <c r="L862" s="1"/>
      <c r="M862" s="1"/>
      <c r="N862" s="1"/>
      <c r="O862" s="1"/>
      <c r="P862" s="1"/>
      <c r="Q862" s="1"/>
      <c r="R862" s="1"/>
      <c r="S862" s="1"/>
      <c r="T862" s="1"/>
      <c r="U862" s="1"/>
      <c r="V862" s="1"/>
      <c r="W862" s="1"/>
    </row>
    <row r="863">
      <c r="A863" s="1"/>
      <c r="B863" s="1"/>
      <c r="C863" s="2"/>
      <c r="D863" s="1"/>
      <c r="E863" s="1"/>
      <c r="F863" s="1"/>
      <c r="G863" s="2"/>
      <c r="H863" s="1"/>
      <c r="I863" s="1"/>
      <c r="J863" s="2"/>
      <c r="K863" s="1"/>
      <c r="L863" s="1"/>
      <c r="M863" s="1"/>
      <c r="N863" s="1"/>
      <c r="O863" s="1"/>
      <c r="P863" s="1"/>
      <c r="Q863" s="1"/>
      <c r="R863" s="1"/>
      <c r="S863" s="1"/>
      <c r="T863" s="1"/>
      <c r="U863" s="1"/>
      <c r="V863" s="1"/>
      <c r="W863" s="1"/>
    </row>
    <row r="864">
      <c r="A864" s="1"/>
      <c r="B864" s="1"/>
      <c r="C864" s="2"/>
      <c r="D864" s="1"/>
      <c r="E864" s="1"/>
      <c r="F864" s="1"/>
      <c r="G864" s="2"/>
      <c r="H864" s="1"/>
      <c r="I864" s="1"/>
      <c r="J864" s="2"/>
      <c r="K864" s="1"/>
      <c r="L864" s="1"/>
      <c r="M864" s="1"/>
      <c r="N864" s="1"/>
      <c r="O864" s="1"/>
      <c r="P864" s="1"/>
      <c r="Q864" s="1"/>
      <c r="R864" s="1"/>
      <c r="S864" s="1"/>
      <c r="T864" s="1"/>
      <c r="U864" s="1"/>
      <c r="V864" s="1"/>
      <c r="W864" s="1"/>
    </row>
    <row r="865">
      <c r="A865" s="1"/>
      <c r="B865" s="1"/>
      <c r="C865" s="2"/>
      <c r="D865" s="1"/>
      <c r="E865" s="1"/>
      <c r="F865" s="1"/>
      <c r="G865" s="2"/>
      <c r="H865" s="1"/>
      <c r="I865" s="1"/>
      <c r="J865" s="2"/>
      <c r="K865" s="1"/>
      <c r="L865" s="1"/>
      <c r="M865" s="1"/>
      <c r="N865" s="1"/>
      <c r="O865" s="1"/>
      <c r="P865" s="1"/>
      <c r="Q865" s="1"/>
      <c r="R865" s="1"/>
      <c r="S865" s="1"/>
      <c r="T865" s="1"/>
      <c r="U865" s="1"/>
      <c r="V865" s="1"/>
      <c r="W865" s="1"/>
    </row>
    <row r="866">
      <c r="A866" s="1"/>
      <c r="B866" s="1"/>
      <c r="C866" s="2"/>
      <c r="D866" s="1"/>
      <c r="E866" s="1"/>
      <c r="F866" s="1"/>
      <c r="G866" s="2"/>
      <c r="H866" s="1"/>
      <c r="I866" s="1"/>
      <c r="J866" s="2"/>
      <c r="K866" s="1"/>
      <c r="L866" s="1"/>
      <c r="M866" s="1"/>
      <c r="N866" s="1"/>
      <c r="O866" s="1"/>
      <c r="P866" s="1"/>
      <c r="Q866" s="1"/>
      <c r="R866" s="1"/>
      <c r="S866" s="1"/>
      <c r="T866" s="1"/>
      <c r="U866" s="1"/>
      <c r="V866" s="1"/>
      <c r="W866" s="1"/>
    </row>
    <row r="867">
      <c r="A867" s="1"/>
      <c r="B867" s="1"/>
      <c r="C867" s="2"/>
      <c r="D867" s="1"/>
      <c r="E867" s="1"/>
      <c r="F867" s="1"/>
      <c r="G867" s="2"/>
      <c r="H867" s="1"/>
      <c r="I867" s="1"/>
      <c r="J867" s="2"/>
      <c r="K867" s="1"/>
      <c r="L867" s="1"/>
      <c r="M867" s="1"/>
      <c r="N867" s="1"/>
      <c r="O867" s="1"/>
      <c r="P867" s="1"/>
      <c r="Q867" s="1"/>
      <c r="R867" s="1"/>
      <c r="S867" s="1"/>
      <c r="T867" s="1"/>
      <c r="U867" s="1"/>
      <c r="V867" s="1"/>
      <c r="W867" s="1"/>
    </row>
    <row r="868">
      <c r="A868" s="1"/>
      <c r="B868" s="1"/>
      <c r="C868" s="2"/>
      <c r="D868" s="1"/>
      <c r="E868" s="1"/>
      <c r="F868" s="1"/>
      <c r="G868" s="2"/>
      <c r="H868" s="1"/>
      <c r="I868" s="1"/>
      <c r="J868" s="2"/>
      <c r="K868" s="1"/>
      <c r="L868" s="1"/>
      <c r="M868" s="1"/>
      <c r="N868" s="1"/>
      <c r="O868" s="1"/>
      <c r="P868" s="1"/>
      <c r="Q868" s="1"/>
      <c r="R868" s="1"/>
      <c r="S868" s="1"/>
      <c r="T868" s="1"/>
      <c r="U868" s="1"/>
      <c r="V868" s="1"/>
      <c r="W868" s="1"/>
    </row>
    <row r="869">
      <c r="A869" s="1"/>
      <c r="B869" s="1"/>
      <c r="C869" s="2"/>
      <c r="D869" s="1"/>
      <c r="E869" s="1"/>
      <c r="F869" s="1"/>
      <c r="G869" s="2"/>
      <c r="H869" s="1"/>
      <c r="I869" s="1"/>
      <c r="J869" s="2"/>
      <c r="K869" s="1"/>
      <c r="L869" s="1"/>
      <c r="M869" s="1"/>
      <c r="N869" s="1"/>
      <c r="O869" s="1"/>
      <c r="P869" s="1"/>
      <c r="Q869" s="1"/>
      <c r="R869" s="1"/>
      <c r="S869" s="1"/>
      <c r="T869" s="1"/>
      <c r="U869" s="1"/>
      <c r="V869" s="1"/>
      <c r="W869" s="1"/>
    </row>
    <row r="870">
      <c r="A870" s="1"/>
      <c r="B870" s="1"/>
      <c r="C870" s="2"/>
      <c r="D870" s="1"/>
      <c r="E870" s="1"/>
      <c r="F870" s="1"/>
      <c r="G870" s="2"/>
      <c r="H870" s="1"/>
      <c r="I870" s="1"/>
      <c r="J870" s="2"/>
      <c r="K870" s="1"/>
      <c r="L870" s="1"/>
      <c r="M870" s="1"/>
      <c r="N870" s="1"/>
      <c r="O870" s="1"/>
      <c r="P870" s="1"/>
      <c r="Q870" s="1"/>
      <c r="R870" s="1"/>
      <c r="S870" s="1"/>
      <c r="T870" s="1"/>
      <c r="U870" s="1"/>
      <c r="V870" s="1"/>
      <c r="W870" s="1"/>
    </row>
    <row r="871">
      <c r="A871" s="1"/>
      <c r="B871" s="1"/>
      <c r="C871" s="2"/>
      <c r="D871" s="1"/>
      <c r="E871" s="1"/>
      <c r="F871" s="1"/>
      <c r="G871" s="2"/>
      <c r="H871" s="1"/>
      <c r="I871" s="1"/>
      <c r="J871" s="2"/>
      <c r="K871" s="1"/>
      <c r="L871" s="1"/>
      <c r="M871" s="1"/>
      <c r="N871" s="1"/>
      <c r="O871" s="1"/>
      <c r="P871" s="1"/>
      <c r="Q871" s="1"/>
      <c r="R871" s="1"/>
      <c r="S871" s="1"/>
      <c r="T871" s="1"/>
      <c r="U871" s="1"/>
      <c r="V871" s="1"/>
      <c r="W871" s="1"/>
    </row>
    <row r="872">
      <c r="A872" s="1"/>
      <c r="B872" s="1"/>
      <c r="C872" s="2"/>
      <c r="D872" s="1"/>
      <c r="E872" s="1"/>
      <c r="F872" s="1"/>
      <c r="G872" s="2"/>
      <c r="H872" s="1"/>
      <c r="I872" s="1"/>
      <c r="J872" s="2"/>
      <c r="K872" s="1"/>
      <c r="L872" s="1"/>
      <c r="M872" s="1"/>
      <c r="N872" s="1"/>
      <c r="O872" s="1"/>
      <c r="P872" s="1"/>
      <c r="Q872" s="1"/>
      <c r="R872" s="1"/>
      <c r="S872" s="1"/>
      <c r="T872" s="1"/>
      <c r="U872" s="1"/>
      <c r="V872" s="1"/>
      <c r="W872" s="1"/>
    </row>
    <row r="873">
      <c r="A873" s="1"/>
      <c r="B873" s="1"/>
      <c r="C873" s="2"/>
      <c r="D873" s="1"/>
      <c r="E873" s="1"/>
      <c r="F873" s="1"/>
      <c r="G873" s="2"/>
      <c r="H873" s="1"/>
      <c r="I873" s="1"/>
      <c r="J873" s="2"/>
      <c r="K873" s="1"/>
      <c r="L873" s="1"/>
      <c r="M873" s="1"/>
      <c r="N873" s="1"/>
      <c r="O873" s="1"/>
      <c r="P873" s="1"/>
      <c r="Q873" s="1"/>
      <c r="R873" s="1"/>
      <c r="S873" s="1"/>
      <c r="T873" s="1"/>
      <c r="U873" s="1"/>
      <c r="V873" s="1"/>
      <c r="W873" s="1"/>
    </row>
    <row r="874">
      <c r="A874" s="1"/>
      <c r="B874" s="1"/>
      <c r="C874" s="2"/>
      <c r="D874" s="1"/>
      <c r="E874" s="1"/>
      <c r="F874" s="1"/>
      <c r="G874" s="2"/>
      <c r="H874" s="1"/>
      <c r="I874" s="1"/>
      <c r="J874" s="2"/>
      <c r="K874" s="1"/>
      <c r="L874" s="1"/>
      <c r="M874" s="1"/>
      <c r="N874" s="1"/>
      <c r="O874" s="1"/>
      <c r="P874" s="1"/>
      <c r="Q874" s="1"/>
      <c r="R874" s="1"/>
      <c r="S874" s="1"/>
      <c r="T874" s="1"/>
      <c r="U874" s="1"/>
      <c r="V874" s="1"/>
      <c r="W874" s="1"/>
    </row>
    <row r="875">
      <c r="A875" s="1"/>
      <c r="B875" s="1"/>
      <c r="C875" s="2"/>
      <c r="D875" s="1"/>
      <c r="E875" s="1"/>
      <c r="F875" s="1"/>
      <c r="G875" s="2"/>
      <c r="H875" s="1"/>
      <c r="I875" s="1"/>
      <c r="J875" s="2"/>
      <c r="K875" s="1"/>
      <c r="L875" s="1"/>
      <c r="M875" s="1"/>
      <c r="N875" s="1"/>
      <c r="O875" s="1"/>
      <c r="P875" s="1"/>
      <c r="Q875" s="1"/>
      <c r="R875" s="1"/>
      <c r="S875" s="1"/>
      <c r="T875" s="1"/>
      <c r="U875" s="1"/>
      <c r="V875" s="1"/>
      <c r="W875" s="1"/>
    </row>
    <row r="876">
      <c r="A876" s="1"/>
      <c r="B876" s="1"/>
      <c r="C876" s="2"/>
      <c r="D876" s="1"/>
      <c r="E876" s="1"/>
      <c r="F876" s="1"/>
      <c r="G876" s="2"/>
      <c r="H876" s="1"/>
      <c r="I876" s="1"/>
      <c r="J876" s="2"/>
      <c r="K876" s="1"/>
      <c r="L876" s="1"/>
      <c r="M876" s="1"/>
      <c r="N876" s="1"/>
      <c r="O876" s="1"/>
      <c r="P876" s="1"/>
      <c r="Q876" s="1"/>
      <c r="R876" s="1"/>
      <c r="S876" s="1"/>
      <c r="T876" s="1"/>
      <c r="U876" s="1"/>
      <c r="V876" s="1"/>
      <c r="W876" s="1"/>
    </row>
    <row r="877">
      <c r="A877" s="1"/>
      <c r="B877" s="1"/>
      <c r="C877" s="2"/>
      <c r="D877" s="1"/>
      <c r="E877" s="1"/>
      <c r="F877" s="1"/>
      <c r="G877" s="2"/>
      <c r="H877" s="1"/>
      <c r="I877" s="1"/>
      <c r="J877" s="2"/>
      <c r="K877" s="1"/>
      <c r="L877" s="1"/>
      <c r="M877" s="1"/>
      <c r="N877" s="1"/>
      <c r="O877" s="1"/>
      <c r="P877" s="1"/>
      <c r="Q877" s="1"/>
      <c r="R877" s="1"/>
      <c r="S877" s="1"/>
      <c r="T877" s="1"/>
      <c r="U877" s="1"/>
      <c r="V877" s="1"/>
      <c r="W877" s="1"/>
    </row>
    <row r="878">
      <c r="A878" s="1"/>
      <c r="B878" s="1"/>
      <c r="C878" s="2"/>
      <c r="D878" s="1"/>
      <c r="E878" s="1"/>
      <c r="F878" s="1"/>
      <c r="G878" s="2"/>
      <c r="H878" s="1"/>
      <c r="I878" s="1"/>
      <c r="J878" s="2"/>
      <c r="K878" s="1"/>
      <c r="L878" s="1"/>
      <c r="M878" s="1"/>
      <c r="N878" s="1"/>
      <c r="O878" s="1"/>
      <c r="P878" s="1"/>
      <c r="Q878" s="1"/>
      <c r="R878" s="1"/>
      <c r="S878" s="1"/>
      <c r="T878" s="1"/>
      <c r="U878" s="1"/>
      <c r="V878" s="1"/>
      <c r="W878" s="1"/>
    </row>
    <row r="879">
      <c r="A879" s="1"/>
      <c r="B879" s="1"/>
      <c r="C879" s="2"/>
      <c r="D879" s="1"/>
      <c r="E879" s="1"/>
      <c r="F879" s="1"/>
      <c r="G879" s="2"/>
      <c r="H879" s="1"/>
      <c r="I879" s="1"/>
      <c r="J879" s="2"/>
      <c r="K879" s="1"/>
      <c r="L879" s="1"/>
      <c r="M879" s="1"/>
      <c r="N879" s="1"/>
      <c r="O879" s="1"/>
      <c r="P879" s="1"/>
      <c r="Q879" s="1"/>
      <c r="R879" s="1"/>
      <c r="S879" s="1"/>
      <c r="T879" s="1"/>
      <c r="U879" s="1"/>
      <c r="V879" s="1"/>
      <c r="W879" s="1"/>
    </row>
    <row r="880">
      <c r="A880" s="1"/>
      <c r="B880" s="1"/>
      <c r="C880" s="2"/>
      <c r="D880" s="1"/>
      <c r="E880" s="1"/>
      <c r="F880" s="1"/>
      <c r="G880" s="2"/>
      <c r="H880" s="1"/>
      <c r="I880" s="1"/>
      <c r="J880" s="2"/>
      <c r="K880" s="1"/>
      <c r="L880" s="1"/>
      <c r="M880" s="1"/>
      <c r="N880" s="1"/>
      <c r="O880" s="1"/>
      <c r="P880" s="1"/>
      <c r="Q880" s="1"/>
      <c r="R880" s="1"/>
      <c r="S880" s="1"/>
      <c r="T880" s="1"/>
      <c r="U880" s="1"/>
      <c r="V880" s="1"/>
      <c r="W880" s="1"/>
    </row>
    <row r="881">
      <c r="A881" s="1"/>
      <c r="B881" s="1"/>
      <c r="C881" s="2"/>
      <c r="D881" s="1"/>
      <c r="E881" s="1"/>
      <c r="F881" s="1"/>
      <c r="G881" s="2"/>
      <c r="H881" s="1"/>
      <c r="I881" s="1"/>
      <c r="J881" s="2"/>
      <c r="K881" s="1"/>
      <c r="L881" s="1"/>
      <c r="M881" s="1"/>
      <c r="N881" s="1"/>
      <c r="O881" s="1"/>
      <c r="P881" s="1"/>
      <c r="Q881" s="1"/>
      <c r="R881" s="1"/>
      <c r="S881" s="1"/>
      <c r="T881" s="1"/>
      <c r="U881" s="1"/>
      <c r="V881" s="1"/>
      <c r="W881" s="1"/>
    </row>
    <row r="882">
      <c r="A882" s="1"/>
      <c r="B882" s="1"/>
      <c r="C882" s="2"/>
      <c r="D882" s="1"/>
      <c r="E882" s="1"/>
      <c r="F882" s="1"/>
      <c r="G882" s="2"/>
      <c r="H882" s="1"/>
      <c r="I882" s="1"/>
      <c r="J882" s="2"/>
      <c r="K882" s="1"/>
      <c r="L882" s="1"/>
      <c r="M882" s="1"/>
      <c r="N882" s="1"/>
      <c r="O882" s="1"/>
      <c r="P882" s="1"/>
      <c r="Q882" s="1"/>
      <c r="R882" s="1"/>
      <c r="S882" s="1"/>
      <c r="T882" s="1"/>
      <c r="U882" s="1"/>
      <c r="V882" s="1"/>
      <c r="W882" s="1"/>
    </row>
    <row r="883">
      <c r="A883" s="1"/>
      <c r="B883" s="1"/>
      <c r="C883" s="2"/>
      <c r="D883" s="1"/>
      <c r="E883" s="1"/>
      <c r="F883" s="1"/>
      <c r="G883" s="2"/>
      <c r="H883" s="1"/>
      <c r="I883" s="1"/>
      <c r="J883" s="2"/>
      <c r="K883" s="1"/>
      <c r="L883" s="1"/>
      <c r="M883" s="1"/>
      <c r="N883" s="1"/>
      <c r="O883" s="1"/>
      <c r="P883" s="1"/>
      <c r="Q883" s="1"/>
      <c r="R883" s="1"/>
      <c r="S883" s="1"/>
      <c r="T883" s="1"/>
      <c r="U883" s="1"/>
      <c r="V883" s="1"/>
      <c r="W883" s="1"/>
    </row>
    <row r="884">
      <c r="A884" s="1"/>
      <c r="B884" s="1"/>
      <c r="C884" s="2"/>
      <c r="D884" s="1"/>
      <c r="E884" s="1"/>
      <c r="F884" s="1"/>
      <c r="G884" s="2"/>
      <c r="H884" s="1"/>
      <c r="I884" s="1"/>
      <c r="J884" s="2"/>
      <c r="K884" s="1"/>
      <c r="L884" s="1"/>
      <c r="M884" s="1"/>
      <c r="N884" s="1"/>
      <c r="O884" s="1"/>
      <c r="P884" s="1"/>
      <c r="Q884" s="1"/>
      <c r="R884" s="1"/>
      <c r="S884" s="1"/>
      <c r="T884" s="1"/>
      <c r="U884" s="1"/>
      <c r="V884" s="1"/>
      <c r="W884" s="1"/>
    </row>
    <row r="885">
      <c r="A885" s="1"/>
      <c r="B885" s="1"/>
      <c r="C885" s="2"/>
      <c r="D885" s="1"/>
      <c r="E885" s="1"/>
      <c r="F885" s="1"/>
      <c r="G885" s="2"/>
      <c r="H885" s="1"/>
      <c r="I885" s="1"/>
      <c r="J885" s="2"/>
      <c r="K885" s="1"/>
      <c r="L885" s="1"/>
      <c r="M885" s="1"/>
      <c r="N885" s="1"/>
      <c r="O885" s="1"/>
      <c r="P885" s="1"/>
      <c r="Q885" s="1"/>
      <c r="R885" s="1"/>
      <c r="S885" s="1"/>
      <c r="T885" s="1"/>
      <c r="U885" s="1"/>
      <c r="V885" s="1"/>
      <c r="W885" s="1"/>
    </row>
    <row r="886">
      <c r="A886" s="1"/>
      <c r="B886" s="1"/>
      <c r="C886" s="2"/>
      <c r="D886" s="1"/>
      <c r="E886" s="1"/>
      <c r="F886" s="1"/>
      <c r="G886" s="2"/>
      <c r="H886" s="1"/>
      <c r="I886" s="1"/>
      <c r="J886" s="2"/>
      <c r="K886" s="1"/>
      <c r="L886" s="1"/>
      <c r="M886" s="1"/>
      <c r="N886" s="1"/>
      <c r="O886" s="1"/>
      <c r="P886" s="1"/>
      <c r="Q886" s="1"/>
      <c r="R886" s="1"/>
      <c r="S886" s="1"/>
      <c r="T886" s="1"/>
      <c r="U886" s="1"/>
      <c r="V886" s="1"/>
      <c r="W886" s="1"/>
    </row>
    <row r="887">
      <c r="A887" s="1"/>
      <c r="B887" s="1"/>
      <c r="C887" s="2"/>
      <c r="D887" s="1"/>
      <c r="E887" s="1"/>
      <c r="F887" s="1"/>
      <c r="G887" s="2"/>
      <c r="H887" s="1"/>
      <c r="I887" s="1"/>
      <c r="J887" s="2"/>
      <c r="K887" s="1"/>
      <c r="L887" s="1"/>
      <c r="M887" s="1"/>
      <c r="N887" s="1"/>
      <c r="O887" s="1"/>
      <c r="P887" s="1"/>
      <c r="Q887" s="1"/>
      <c r="R887" s="1"/>
      <c r="S887" s="1"/>
      <c r="T887" s="1"/>
      <c r="U887" s="1"/>
      <c r="V887" s="1"/>
      <c r="W887" s="1"/>
    </row>
    <row r="888">
      <c r="A888" s="1"/>
      <c r="B888" s="1"/>
      <c r="C888" s="2"/>
      <c r="D888" s="1"/>
      <c r="E888" s="1"/>
      <c r="F888" s="1"/>
      <c r="G888" s="2"/>
      <c r="H888" s="1"/>
      <c r="I888" s="1"/>
      <c r="J888" s="2"/>
      <c r="K888" s="1"/>
      <c r="L888" s="1"/>
      <c r="M888" s="1"/>
      <c r="N888" s="1"/>
      <c r="O888" s="1"/>
      <c r="P888" s="1"/>
      <c r="Q888" s="1"/>
      <c r="R888" s="1"/>
      <c r="S888" s="1"/>
      <c r="T888" s="1"/>
      <c r="U888" s="1"/>
      <c r="V888" s="1"/>
      <c r="W888" s="1"/>
    </row>
    <row r="889">
      <c r="A889" s="1"/>
      <c r="B889" s="1"/>
      <c r="C889" s="2"/>
      <c r="D889" s="1"/>
      <c r="E889" s="1"/>
      <c r="F889" s="1"/>
      <c r="G889" s="2"/>
      <c r="H889" s="1"/>
      <c r="I889" s="1"/>
      <c r="J889" s="2"/>
      <c r="K889" s="1"/>
      <c r="L889" s="1"/>
      <c r="M889" s="1"/>
      <c r="N889" s="1"/>
      <c r="O889" s="1"/>
      <c r="P889" s="1"/>
      <c r="Q889" s="1"/>
      <c r="R889" s="1"/>
      <c r="S889" s="1"/>
      <c r="T889" s="1"/>
      <c r="U889" s="1"/>
      <c r="V889" s="1"/>
      <c r="W889" s="1"/>
    </row>
    <row r="890">
      <c r="A890" s="1"/>
      <c r="B890" s="1"/>
      <c r="C890" s="2"/>
      <c r="D890" s="1"/>
      <c r="E890" s="1"/>
      <c r="F890" s="1"/>
      <c r="G890" s="2"/>
      <c r="H890" s="1"/>
      <c r="I890" s="1"/>
      <c r="J890" s="2"/>
      <c r="K890" s="1"/>
      <c r="L890" s="1"/>
      <c r="M890" s="1"/>
      <c r="N890" s="1"/>
      <c r="O890" s="1"/>
      <c r="P890" s="1"/>
      <c r="Q890" s="1"/>
      <c r="R890" s="1"/>
      <c r="S890" s="1"/>
      <c r="T890" s="1"/>
      <c r="U890" s="1"/>
      <c r="V890" s="1"/>
      <c r="W890" s="1"/>
    </row>
    <row r="891">
      <c r="A891" s="1"/>
      <c r="B891" s="1"/>
      <c r="C891" s="2"/>
      <c r="D891" s="1"/>
      <c r="E891" s="1"/>
      <c r="F891" s="1"/>
      <c r="G891" s="2"/>
      <c r="H891" s="1"/>
      <c r="I891" s="1"/>
      <c r="J891" s="2"/>
      <c r="K891" s="1"/>
      <c r="L891" s="1"/>
      <c r="M891" s="1"/>
      <c r="N891" s="1"/>
      <c r="O891" s="1"/>
      <c r="P891" s="1"/>
      <c r="Q891" s="1"/>
      <c r="R891" s="1"/>
      <c r="S891" s="1"/>
      <c r="T891" s="1"/>
      <c r="U891" s="1"/>
      <c r="V891" s="1"/>
      <c r="W891" s="1"/>
    </row>
    <row r="892">
      <c r="A892" s="1"/>
      <c r="B892" s="1"/>
      <c r="C892" s="2"/>
      <c r="D892" s="1"/>
      <c r="E892" s="1"/>
      <c r="F892" s="1"/>
      <c r="G892" s="2"/>
      <c r="H892" s="1"/>
      <c r="I892" s="1"/>
      <c r="J892" s="2"/>
      <c r="K892" s="1"/>
      <c r="L892" s="1"/>
      <c r="M892" s="1"/>
      <c r="N892" s="1"/>
      <c r="O892" s="1"/>
      <c r="P892" s="1"/>
      <c r="Q892" s="1"/>
      <c r="R892" s="1"/>
      <c r="S892" s="1"/>
      <c r="T892" s="1"/>
      <c r="U892" s="1"/>
      <c r="V892" s="1"/>
      <c r="W892" s="1"/>
    </row>
    <row r="893">
      <c r="A893" s="1"/>
      <c r="B893" s="1"/>
      <c r="C893" s="2"/>
      <c r="D893" s="1"/>
      <c r="E893" s="1"/>
      <c r="F893" s="1"/>
      <c r="G893" s="2"/>
      <c r="H893" s="1"/>
      <c r="I893" s="1"/>
      <c r="J893" s="2"/>
      <c r="K893" s="1"/>
      <c r="L893" s="1"/>
      <c r="M893" s="1"/>
      <c r="N893" s="1"/>
      <c r="O893" s="1"/>
      <c r="P893" s="1"/>
      <c r="Q893" s="1"/>
      <c r="R893" s="1"/>
      <c r="S893" s="1"/>
      <c r="T893" s="1"/>
      <c r="U893" s="1"/>
      <c r="V893" s="1"/>
      <c r="W893" s="1"/>
    </row>
    <row r="894">
      <c r="A894" s="1"/>
      <c r="B894" s="1"/>
      <c r="C894" s="2"/>
      <c r="D894" s="1"/>
      <c r="E894" s="1"/>
      <c r="F894" s="1"/>
      <c r="G894" s="2"/>
      <c r="H894" s="1"/>
      <c r="I894" s="1"/>
      <c r="J894" s="2"/>
      <c r="K894" s="1"/>
      <c r="L894" s="1"/>
      <c r="M894" s="1"/>
      <c r="N894" s="1"/>
      <c r="O894" s="1"/>
      <c r="P894" s="1"/>
      <c r="Q894" s="1"/>
      <c r="R894" s="1"/>
      <c r="S894" s="1"/>
      <c r="T894" s="1"/>
      <c r="U894" s="1"/>
      <c r="V894" s="1"/>
      <c r="W894" s="1"/>
    </row>
    <row r="895">
      <c r="A895" s="1"/>
      <c r="B895" s="1"/>
      <c r="C895" s="2"/>
      <c r="D895" s="1"/>
      <c r="E895" s="1"/>
      <c r="F895" s="1"/>
      <c r="G895" s="2"/>
      <c r="H895" s="1"/>
      <c r="I895" s="1"/>
      <c r="J895" s="2"/>
      <c r="K895" s="1"/>
      <c r="L895" s="1"/>
      <c r="M895" s="1"/>
      <c r="N895" s="1"/>
      <c r="O895" s="1"/>
      <c r="P895" s="1"/>
      <c r="Q895" s="1"/>
      <c r="R895" s="1"/>
      <c r="S895" s="1"/>
      <c r="T895" s="1"/>
      <c r="U895" s="1"/>
      <c r="V895" s="1"/>
      <c r="W895" s="1"/>
    </row>
    <row r="896">
      <c r="A896" s="1"/>
      <c r="B896" s="1"/>
      <c r="C896" s="2"/>
      <c r="D896" s="1"/>
      <c r="E896" s="1"/>
      <c r="F896" s="1"/>
      <c r="G896" s="2"/>
      <c r="H896" s="1"/>
      <c r="I896" s="1"/>
      <c r="J896" s="2"/>
      <c r="K896" s="1"/>
      <c r="L896" s="1"/>
      <c r="M896" s="1"/>
      <c r="N896" s="1"/>
      <c r="O896" s="1"/>
      <c r="P896" s="1"/>
      <c r="Q896" s="1"/>
      <c r="R896" s="1"/>
      <c r="S896" s="1"/>
      <c r="T896" s="1"/>
      <c r="U896" s="1"/>
      <c r="V896" s="1"/>
      <c r="W896" s="1"/>
    </row>
    <row r="897">
      <c r="A897" s="1"/>
      <c r="B897" s="1"/>
      <c r="C897" s="2"/>
      <c r="D897" s="1"/>
      <c r="E897" s="1"/>
      <c r="F897" s="1"/>
      <c r="G897" s="2"/>
      <c r="H897" s="1"/>
      <c r="I897" s="1"/>
      <c r="J897" s="2"/>
      <c r="K897" s="1"/>
      <c r="L897" s="1"/>
      <c r="M897" s="1"/>
      <c r="N897" s="1"/>
      <c r="O897" s="1"/>
      <c r="P897" s="1"/>
      <c r="Q897" s="1"/>
      <c r="R897" s="1"/>
      <c r="S897" s="1"/>
      <c r="T897" s="1"/>
      <c r="U897" s="1"/>
      <c r="V897" s="1"/>
      <c r="W897" s="1"/>
    </row>
    <row r="898">
      <c r="A898" s="1"/>
      <c r="B898" s="1"/>
      <c r="C898" s="2"/>
      <c r="D898" s="1"/>
      <c r="E898" s="1"/>
      <c r="F898" s="1"/>
      <c r="G898" s="2"/>
      <c r="H898" s="1"/>
      <c r="I898" s="1"/>
      <c r="J898" s="2"/>
      <c r="K898" s="1"/>
      <c r="L898" s="1"/>
      <c r="M898" s="1"/>
      <c r="N898" s="1"/>
      <c r="O898" s="1"/>
      <c r="P898" s="1"/>
      <c r="Q898" s="1"/>
      <c r="R898" s="1"/>
      <c r="S898" s="1"/>
      <c r="T898" s="1"/>
      <c r="U898" s="1"/>
      <c r="V898" s="1"/>
      <c r="W898" s="1"/>
    </row>
    <row r="899">
      <c r="A899" s="1"/>
      <c r="B899" s="1"/>
      <c r="C899" s="2"/>
      <c r="D899" s="1"/>
      <c r="E899" s="1"/>
      <c r="F899" s="1"/>
      <c r="G899" s="2"/>
      <c r="H899" s="1"/>
      <c r="I899" s="1"/>
      <c r="J899" s="2"/>
      <c r="K899" s="1"/>
      <c r="L899" s="1"/>
      <c r="M899" s="1"/>
      <c r="N899" s="1"/>
      <c r="O899" s="1"/>
      <c r="P899" s="1"/>
      <c r="Q899" s="1"/>
      <c r="R899" s="1"/>
      <c r="S899" s="1"/>
      <c r="T899" s="1"/>
      <c r="U899" s="1"/>
      <c r="V899" s="1"/>
      <c r="W899" s="1"/>
    </row>
    <row r="900">
      <c r="A900" s="1"/>
      <c r="B900" s="1"/>
      <c r="C900" s="2"/>
      <c r="D900" s="1"/>
      <c r="E900" s="1"/>
      <c r="F900" s="1"/>
      <c r="G900" s="2"/>
      <c r="H900" s="1"/>
      <c r="I900" s="1"/>
      <c r="J900" s="2"/>
      <c r="K900" s="1"/>
      <c r="L900" s="1"/>
      <c r="M900" s="1"/>
      <c r="N900" s="1"/>
      <c r="O900" s="1"/>
      <c r="P900" s="1"/>
      <c r="Q900" s="1"/>
      <c r="R900" s="1"/>
      <c r="S900" s="1"/>
      <c r="T900" s="1"/>
      <c r="U900" s="1"/>
      <c r="V900" s="1"/>
      <c r="W900" s="1"/>
    </row>
    <row r="901">
      <c r="A901" s="1"/>
      <c r="B901" s="1"/>
      <c r="C901" s="2"/>
      <c r="D901" s="1"/>
      <c r="E901" s="1"/>
      <c r="F901" s="1"/>
      <c r="G901" s="2"/>
      <c r="H901" s="1"/>
      <c r="I901" s="1"/>
      <c r="J901" s="2"/>
      <c r="K901" s="1"/>
      <c r="L901" s="1"/>
      <c r="M901" s="1"/>
      <c r="N901" s="1"/>
      <c r="O901" s="1"/>
      <c r="P901" s="1"/>
      <c r="Q901" s="1"/>
      <c r="R901" s="1"/>
      <c r="S901" s="1"/>
      <c r="T901" s="1"/>
      <c r="U901" s="1"/>
      <c r="V901" s="1"/>
      <c r="W901" s="1"/>
    </row>
    <row r="902">
      <c r="A902" s="1"/>
      <c r="B902" s="1"/>
      <c r="C902" s="2"/>
      <c r="D902" s="1"/>
      <c r="E902" s="1"/>
      <c r="F902" s="1"/>
      <c r="G902" s="2"/>
      <c r="H902" s="1"/>
      <c r="I902" s="1"/>
      <c r="J902" s="2"/>
      <c r="K902" s="1"/>
      <c r="L902" s="1"/>
      <c r="M902" s="1"/>
      <c r="N902" s="1"/>
      <c r="O902" s="1"/>
      <c r="P902" s="1"/>
      <c r="Q902" s="1"/>
      <c r="R902" s="1"/>
      <c r="S902" s="1"/>
      <c r="T902" s="1"/>
      <c r="U902" s="1"/>
      <c r="V902" s="1"/>
      <c r="W902" s="1"/>
    </row>
    <row r="903">
      <c r="A903" s="1"/>
      <c r="B903" s="1"/>
      <c r="C903" s="2"/>
      <c r="D903" s="1"/>
      <c r="E903" s="1"/>
      <c r="F903" s="1"/>
      <c r="G903" s="2"/>
      <c r="H903" s="1"/>
      <c r="I903" s="1"/>
      <c r="J903" s="2"/>
      <c r="K903" s="1"/>
      <c r="L903" s="1"/>
      <c r="M903" s="1"/>
      <c r="N903" s="1"/>
      <c r="O903" s="1"/>
      <c r="P903" s="1"/>
      <c r="Q903" s="1"/>
      <c r="R903" s="1"/>
      <c r="S903" s="1"/>
      <c r="T903" s="1"/>
      <c r="U903" s="1"/>
      <c r="V903" s="1"/>
      <c r="W903" s="1"/>
    </row>
    <row r="904">
      <c r="A904" s="1"/>
      <c r="B904" s="1"/>
      <c r="C904" s="2"/>
      <c r="D904" s="1"/>
      <c r="E904" s="1"/>
      <c r="F904" s="1"/>
      <c r="G904" s="2"/>
      <c r="H904" s="1"/>
      <c r="I904" s="1"/>
      <c r="J904" s="2"/>
      <c r="K904" s="1"/>
      <c r="L904" s="1"/>
      <c r="M904" s="1"/>
      <c r="N904" s="1"/>
      <c r="O904" s="1"/>
      <c r="P904" s="1"/>
      <c r="Q904" s="1"/>
      <c r="R904" s="1"/>
      <c r="S904" s="1"/>
      <c r="T904" s="1"/>
      <c r="U904" s="1"/>
      <c r="V904" s="1"/>
      <c r="W904" s="1"/>
    </row>
    <row r="905">
      <c r="A905" s="1"/>
      <c r="B905" s="1"/>
      <c r="C905" s="2"/>
      <c r="D905" s="1"/>
      <c r="E905" s="1"/>
      <c r="F905" s="1"/>
      <c r="G905" s="2"/>
      <c r="H905" s="1"/>
      <c r="I905" s="1"/>
      <c r="J905" s="2"/>
      <c r="K905" s="1"/>
      <c r="L905" s="1"/>
      <c r="M905" s="1"/>
      <c r="N905" s="1"/>
      <c r="O905" s="1"/>
      <c r="P905" s="1"/>
      <c r="Q905" s="1"/>
      <c r="R905" s="1"/>
      <c r="S905" s="1"/>
      <c r="T905" s="1"/>
      <c r="U905" s="1"/>
      <c r="V905" s="1"/>
      <c r="W905" s="1"/>
    </row>
    <row r="906">
      <c r="A906" s="1"/>
      <c r="B906" s="1"/>
      <c r="C906" s="2"/>
      <c r="D906" s="1"/>
      <c r="E906" s="1"/>
      <c r="F906" s="1"/>
      <c r="G906" s="2"/>
      <c r="H906" s="1"/>
      <c r="I906" s="1"/>
      <c r="J906" s="2"/>
      <c r="K906" s="1"/>
      <c r="L906" s="1"/>
      <c r="M906" s="1"/>
      <c r="N906" s="1"/>
      <c r="O906" s="1"/>
      <c r="P906" s="1"/>
      <c r="Q906" s="1"/>
      <c r="R906" s="1"/>
      <c r="S906" s="1"/>
      <c r="T906" s="1"/>
      <c r="U906" s="1"/>
      <c r="V906" s="1"/>
      <c r="W906" s="1"/>
    </row>
    <row r="907">
      <c r="A907" s="1"/>
      <c r="B907" s="1"/>
      <c r="C907" s="2"/>
      <c r="D907" s="1"/>
      <c r="E907" s="1"/>
      <c r="F907" s="1"/>
      <c r="G907" s="2"/>
      <c r="H907" s="1"/>
      <c r="I907" s="1"/>
      <c r="J907" s="2"/>
      <c r="K907" s="1"/>
      <c r="L907" s="1"/>
      <c r="M907" s="1"/>
      <c r="N907" s="1"/>
      <c r="O907" s="1"/>
      <c r="P907" s="1"/>
      <c r="Q907" s="1"/>
      <c r="R907" s="1"/>
      <c r="S907" s="1"/>
      <c r="T907" s="1"/>
      <c r="U907" s="1"/>
      <c r="V907" s="1"/>
      <c r="W907" s="1"/>
    </row>
    <row r="908">
      <c r="A908" s="1"/>
      <c r="B908" s="1"/>
      <c r="C908" s="2"/>
      <c r="D908" s="1"/>
      <c r="E908" s="1"/>
      <c r="F908" s="1"/>
      <c r="G908" s="2"/>
      <c r="H908" s="1"/>
      <c r="I908" s="1"/>
      <c r="J908" s="2"/>
      <c r="K908" s="1"/>
      <c r="L908" s="1"/>
      <c r="M908" s="1"/>
      <c r="N908" s="1"/>
      <c r="O908" s="1"/>
      <c r="P908" s="1"/>
      <c r="Q908" s="1"/>
      <c r="R908" s="1"/>
      <c r="S908" s="1"/>
      <c r="T908" s="1"/>
      <c r="U908" s="1"/>
      <c r="V908" s="1"/>
      <c r="W908" s="1"/>
    </row>
    <row r="909">
      <c r="A909" s="1"/>
      <c r="B909" s="1"/>
      <c r="C909" s="2"/>
      <c r="D909" s="1"/>
      <c r="E909" s="1"/>
      <c r="F909" s="1"/>
      <c r="G909" s="2"/>
      <c r="H909" s="1"/>
      <c r="I909" s="1"/>
      <c r="J909" s="2"/>
      <c r="K909" s="1"/>
      <c r="L909" s="1"/>
      <c r="M909" s="1"/>
      <c r="N909" s="1"/>
      <c r="O909" s="1"/>
      <c r="P909" s="1"/>
      <c r="Q909" s="1"/>
      <c r="R909" s="1"/>
      <c r="S909" s="1"/>
      <c r="T909" s="1"/>
      <c r="U909" s="1"/>
      <c r="V909" s="1"/>
      <c r="W909" s="1"/>
    </row>
    <row r="910">
      <c r="A910" s="1"/>
      <c r="B910" s="1"/>
      <c r="C910" s="2"/>
      <c r="D910" s="1"/>
      <c r="E910" s="1"/>
      <c r="F910" s="1"/>
      <c r="G910" s="2"/>
      <c r="H910" s="1"/>
      <c r="I910" s="1"/>
      <c r="J910" s="2"/>
      <c r="K910" s="1"/>
      <c r="L910" s="1"/>
      <c r="M910" s="1"/>
      <c r="N910" s="1"/>
      <c r="O910" s="1"/>
      <c r="P910" s="1"/>
      <c r="Q910" s="1"/>
      <c r="R910" s="1"/>
      <c r="S910" s="1"/>
      <c r="T910" s="1"/>
      <c r="U910" s="1"/>
      <c r="V910" s="1"/>
      <c r="W910" s="1"/>
    </row>
    <row r="911">
      <c r="A911" s="1"/>
      <c r="B911" s="1"/>
      <c r="C911" s="2"/>
      <c r="D911" s="1"/>
      <c r="E911" s="1"/>
      <c r="F911" s="1"/>
      <c r="G911" s="2"/>
      <c r="H911" s="1"/>
      <c r="I911" s="1"/>
      <c r="J911" s="2"/>
      <c r="K911" s="1"/>
      <c r="L911" s="1"/>
      <c r="M911" s="1"/>
      <c r="N911" s="1"/>
      <c r="O911" s="1"/>
      <c r="P911" s="1"/>
      <c r="Q911" s="1"/>
      <c r="R911" s="1"/>
      <c r="S911" s="1"/>
      <c r="T911" s="1"/>
      <c r="U911" s="1"/>
      <c r="V911" s="1"/>
      <c r="W911" s="1"/>
    </row>
    <row r="912">
      <c r="A912" s="1"/>
      <c r="B912" s="1"/>
      <c r="C912" s="2"/>
      <c r="D912" s="1"/>
      <c r="E912" s="1"/>
      <c r="F912" s="1"/>
      <c r="G912" s="2"/>
      <c r="H912" s="1"/>
      <c r="I912" s="1"/>
      <c r="J912" s="2"/>
      <c r="K912" s="1"/>
      <c r="L912" s="1"/>
      <c r="M912" s="1"/>
      <c r="N912" s="1"/>
      <c r="O912" s="1"/>
      <c r="P912" s="1"/>
      <c r="Q912" s="1"/>
      <c r="R912" s="1"/>
      <c r="S912" s="1"/>
      <c r="T912" s="1"/>
      <c r="U912" s="1"/>
      <c r="V912" s="1"/>
      <c r="W912" s="1"/>
    </row>
    <row r="913">
      <c r="A913" s="1"/>
      <c r="B913" s="1"/>
      <c r="C913" s="2"/>
      <c r="D913" s="1"/>
      <c r="E913" s="1"/>
      <c r="F913" s="1"/>
      <c r="G913" s="2"/>
      <c r="H913" s="1"/>
      <c r="I913" s="1"/>
      <c r="J913" s="2"/>
      <c r="K913" s="1"/>
      <c r="L913" s="1"/>
      <c r="M913" s="1"/>
      <c r="N913" s="1"/>
      <c r="O913" s="1"/>
      <c r="P913" s="1"/>
      <c r="Q913" s="1"/>
      <c r="R913" s="1"/>
      <c r="S913" s="1"/>
      <c r="T913" s="1"/>
      <c r="U913" s="1"/>
      <c r="V913" s="1"/>
      <c r="W913" s="1"/>
    </row>
    <row r="914">
      <c r="A914" s="1"/>
      <c r="B914" s="1"/>
      <c r="C914" s="2"/>
      <c r="D914" s="1"/>
      <c r="E914" s="1"/>
      <c r="F914" s="1"/>
      <c r="G914" s="2"/>
      <c r="H914" s="1"/>
      <c r="I914" s="1"/>
      <c r="J914" s="2"/>
      <c r="K914" s="1"/>
      <c r="L914" s="1"/>
      <c r="M914" s="1"/>
      <c r="N914" s="1"/>
      <c r="O914" s="1"/>
      <c r="P914" s="1"/>
      <c r="Q914" s="1"/>
      <c r="R914" s="1"/>
      <c r="S914" s="1"/>
      <c r="T914" s="1"/>
      <c r="U914" s="1"/>
      <c r="V914" s="1"/>
      <c r="W914" s="1"/>
    </row>
    <row r="915">
      <c r="A915" s="1"/>
      <c r="B915" s="1"/>
      <c r="C915" s="2"/>
      <c r="D915" s="1"/>
      <c r="E915" s="1"/>
      <c r="F915" s="1"/>
      <c r="G915" s="2"/>
      <c r="H915" s="1"/>
      <c r="I915" s="1"/>
      <c r="J915" s="2"/>
      <c r="K915" s="1"/>
      <c r="L915" s="1"/>
      <c r="M915" s="1"/>
      <c r="N915" s="1"/>
      <c r="O915" s="1"/>
      <c r="P915" s="1"/>
      <c r="Q915" s="1"/>
      <c r="R915" s="1"/>
      <c r="S915" s="1"/>
      <c r="T915" s="1"/>
      <c r="U915" s="1"/>
      <c r="V915" s="1"/>
      <c r="W915" s="1"/>
    </row>
    <row r="916">
      <c r="A916" s="1"/>
      <c r="B916" s="1"/>
      <c r="C916" s="2"/>
      <c r="D916" s="1"/>
      <c r="E916" s="1"/>
      <c r="F916" s="1"/>
      <c r="G916" s="2"/>
      <c r="H916" s="1"/>
      <c r="I916" s="1"/>
      <c r="J916" s="2"/>
      <c r="K916" s="1"/>
      <c r="L916" s="1"/>
      <c r="M916" s="1"/>
      <c r="N916" s="1"/>
      <c r="O916" s="1"/>
      <c r="P916" s="1"/>
      <c r="Q916" s="1"/>
      <c r="R916" s="1"/>
      <c r="S916" s="1"/>
      <c r="T916" s="1"/>
      <c r="U916" s="1"/>
      <c r="V916" s="1"/>
      <c r="W916" s="1"/>
    </row>
    <row r="917">
      <c r="A917" s="1"/>
      <c r="B917" s="1"/>
      <c r="C917" s="2"/>
      <c r="D917" s="1"/>
      <c r="E917" s="1"/>
      <c r="F917" s="1"/>
      <c r="G917" s="2"/>
      <c r="H917" s="1"/>
      <c r="I917" s="1"/>
      <c r="J917" s="2"/>
      <c r="K917" s="1"/>
      <c r="L917" s="1"/>
      <c r="M917" s="1"/>
      <c r="N917" s="1"/>
      <c r="O917" s="1"/>
      <c r="P917" s="1"/>
      <c r="Q917" s="1"/>
      <c r="R917" s="1"/>
      <c r="S917" s="1"/>
      <c r="T917" s="1"/>
      <c r="U917" s="1"/>
      <c r="V917" s="1"/>
      <c r="W917" s="1"/>
    </row>
    <row r="918">
      <c r="A918" s="1"/>
      <c r="B918" s="1"/>
      <c r="C918" s="2"/>
      <c r="D918" s="1"/>
      <c r="E918" s="1"/>
      <c r="F918" s="1"/>
      <c r="G918" s="2"/>
      <c r="H918" s="1"/>
      <c r="I918" s="1"/>
      <c r="J918" s="2"/>
      <c r="K918" s="1"/>
      <c r="L918" s="1"/>
      <c r="M918" s="1"/>
      <c r="N918" s="1"/>
      <c r="O918" s="1"/>
      <c r="P918" s="1"/>
      <c r="Q918" s="1"/>
      <c r="R918" s="1"/>
      <c r="S918" s="1"/>
      <c r="T918" s="1"/>
      <c r="U918" s="1"/>
      <c r="V918" s="1"/>
      <c r="W918" s="1"/>
    </row>
    <row r="919">
      <c r="A919" s="1"/>
      <c r="B919" s="1"/>
      <c r="C919" s="2"/>
      <c r="D919" s="1"/>
      <c r="E919" s="1"/>
      <c r="F919" s="1"/>
      <c r="G919" s="2"/>
      <c r="H919" s="1"/>
      <c r="I919" s="1"/>
      <c r="J919" s="2"/>
      <c r="K919" s="1"/>
      <c r="L919" s="1"/>
      <c r="M919" s="1"/>
      <c r="N919" s="1"/>
      <c r="O919" s="1"/>
      <c r="P919" s="1"/>
      <c r="Q919" s="1"/>
      <c r="R919" s="1"/>
      <c r="S919" s="1"/>
      <c r="T919" s="1"/>
      <c r="U919" s="1"/>
      <c r="V919" s="1"/>
      <c r="W919" s="1"/>
    </row>
    <row r="920">
      <c r="A920" s="1"/>
      <c r="B920" s="1"/>
      <c r="C920" s="2"/>
      <c r="D920" s="1"/>
      <c r="E920" s="1"/>
      <c r="F920" s="1"/>
      <c r="G920" s="2"/>
      <c r="H920" s="1"/>
      <c r="I920" s="1"/>
      <c r="J920" s="2"/>
      <c r="K920" s="1"/>
      <c r="L920" s="1"/>
      <c r="M920" s="1"/>
      <c r="N920" s="1"/>
      <c r="O920" s="1"/>
      <c r="P920" s="1"/>
      <c r="Q920" s="1"/>
      <c r="R920" s="1"/>
      <c r="S920" s="1"/>
      <c r="T920" s="1"/>
      <c r="U920" s="1"/>
      <c r="V920" s="1"/>
      <c r="W920" s="1"/>
    </row>
    <row r="921">
      <c r="A921" s="1"/>
      <c r="B921" s="1"/>
      <c r="C921" s="2"/>
      <c r="D921" s="1"/>
      <c r="E921" s="1"/>
      <c r="F921" s="1"/>
      <c r="G921" s="2"/>
      <c r="H921" s="1"/>
      <c r="I921" s="1"/>
      <c r="J921" s="2"/>
      <c r="K921" s="1"/>
      <c r="L921" s="1"/>
      <c r="M921" s="1"/>
      <c r="N921" s="1"/>
      <c r="O921" s="1"/>
      <c r="P921" s="1"/>
      <c r="Q921" s="1"/>
      <c r="R921" s="1"/>
      <c r="S921" s="1"/>
      <c r="T921" s="1"/>
      <c r="U921" s="1"/>
      <c r="V921" s="1"/>
      <c r="W921" s="1"/>
    </row>
    <row r="922">
      <c r="A922" s="1"/>
      <c r="B922" s="1"/>
      <c r="C922" s="2"/>
      <c r="D922" s="1"/>
      <c r="E922" s="1"/>
      <c r="F922" s="1"/>
      <c r="G922" s="2"/>
      <c r="H922" s="1"/>
      <c r="I922" s="1"/>
      <c r="J922" s="2"/>
      <c r="K922" s="1"/>
      <c r="L922" s="1"/>
      <c r="M922" s="1"/>
      <c r="N922" s="1"/>
      <c r="O922" s="1"/>
      <c r="P922" s="1"/>
      <c r="Q922" s="1"/>
      <c r="R922" s="1"/>
      <c r="S922" s="1"/>
      <c r="T922" s="1"/>
      <c r="U922" s="1"/>
      <c r="V922" s="1"/>
      <c r="W922" s="1"/>
    </row>
    <row r="923">
      <c r="A923" s="1"/>
      <c r="B923" s="1"/>
      <c r="C923" s="2"/>
      <c r="D923" s="1"/>
      <c r="E923" s="1"/>
      <c r="F923" s="1"/>
      <c r="G923" s="2"/>
      <c r="H923" s="1"/>
      <c r="I923" s="1"/>
      <c r="J923" s="2"/>
      <c r="K923" s="1"/>
      <c r="L923" s="1"/>
      <c r="M923" s="1"/>
      <c r="N923" s="1"/>
      <c r="O923" s="1"/>
      <c r="P923" s="1"/>
      <c r="Q923" s="1"/>
      <c r="R923" s="1"/>
      <c r="S923" s="1"/>
      <c r="T923" s="1"/>
      <c r="U923" s="1"/>
      <c r="V923" s="1"/>
      <c r="W923" s="1"/>
    </row>
    <row r="924">
      <c r="A924" s="1"/>
      <c r="B924" s="1"/>
      <c r="C924" s="2"/>
      <c r="D924" s="1"/>
      <c r="E924" s="1"/>
      <c r="F924" s="1"/>
      <c r="G924" s="2"/>
      <c r="H924" s="1"/>
      <c r="I924" s="1"/>
      <c r="J924" s="2"/>
      <c r="K924" s="1"/>
      <c r="L924" s="1"/>
      <c r="M924" s="1"/>
      <c r="N924" s="1"/>
      <c r="O924" s="1"/>
      <c r="P924" s="1"/>
      <c r="Q924" s="1"/>
      <c r="R924" s="1"/>
      <c r="S924" s="1"/>
      <c r="T924" s="1"/>
      <c r="U924" s="1"/>
      <c r="V924" s="1"/>
      <c r="W924" s="1"/>
    </row>
    <row r="925">
      <c r="A925" s="1"/>
      <c r="B925" s="1"/>
      <c r="C925" s="2"/>
      <c r="D925" s="1"/>
      <c r="E925" s="1"/>
      <c r="F925" s="1"/>
      <c r="G925" s="2"/>
      <c r="H925" s="1"/>
      <c r="I925" s="1"/>
      <c r="J925" s="2"/>
      <c r="K925" s="1"/>
      <c r="L925" s="1"/>
      <c r="M925" s="1"/>
      <c r="N925" s="1"/>
      <c r="O925" s="1"/>
      <c r="P925" s="1"/>
      <c r="Q925" s="1"/>
      <c r="R925" s="1"/>
      <c r="S925" s="1"/>
      <c r="T925" s="1"/>
      <c r="U925" s="1"/>
      <c r="V925" s="1"/>
      <c r="W925" s="1"/>
    </row>
    <row r="926">
      <c r="A926" s="1"/>
      <c r="B926" s="1"/>
      <c r="C926" s="2"/>
      <c r="D926" s="1"/>
      <c r="E926" s="1"/>
      <c r="F926" s="1"/>
      <c r="G926" s="2"/>
      <c r="H926" s="1"/>
      <c r="I926" s="1"/>
      <c r="J926" s="2"/>
      <c r="K926" s="1"/>
      <c r="L926" s="1"/>
      <c r="M926" s="1"/>
      <c r="N926" s="1"/>
      <c r="O926" s="1"/>
      <c r="P926" s="1"/>
      <c r="Q926" s="1"/>
      <c r="R926" s="1"/>
      <c r="S926" s="1"/>
      <c r="T926" s="1"/>
      <c r="U926" s="1"/>
      <c r="V926" s="1"/>
      <c r="W926" s="1"/>
    </row>
    <row r="927">
      <c r="A927" s="1"/>
      <c r="B927" s="1"/>
      <c r="C927" s="2"/>
      <c r="D927" s="1"/>
      <c r="E927" s="1"/>
      <c r="F927" s="1"/>
      <c r="G927" s="2"/>
      <c r="H927" s="1"/>
      <c r="I927" s="1"/>
      <c r="J927" s="2"/>
      <c r="K927" s="1"/>
      <c r="L927" s="1"/>
      <c r="M927" s="1"/>
      <c r="N927" s="1"/>
      <c r="O927" s="1"/>
      <c r="P927" s="1"/>
      <c r="Q927" s="1"/>
      <c r="R927" s="1"/>
      <c r="S927" s="1"/>
      <c r="T927" s="1"/>
      <c r="U927" s="1"/>
      <c r="V927" s="1"/>
      <c r="W927" s="1"/>
    </row>
    <row r="928">
      <c r="A928" s="1"/>
      <c r="B928" s="1"/>
      <c r="C928" s="2"/>
      <c r="D928" s="1"/>
      <c r="E928" s="1"/>
      <c r="F928" s="1"/>
      <c r="G928" s="2"/>
      <c r="H928" s="1"/>
      <c r="I928" s="1"/>
      <c r="J928" s="2"/>
      <c r="K928" s="1"/>
      <c r="L928" s="1"/>
      <c r="M928" s="1"/>
      <c r="N928" s="1"/>
      <c r="O928" s="1"/>
      <c r="P928" s="1"/>
      <c r="Q928" s="1"/>
      <c r="R928" s="1"/>
      <c r="S928" s="1"/>
      <c r="T928" s="1"/>
      <c r="U928" s="1"/>
      <c r="V928" s="1"/>
      <c r="W928" s="1"/>
    </row>
    <row r="929">
      <c r="A929" s="1"/>
      <c r="B929" s="1"/>
      <c r="C929" s="2"/>
      <c r="D929" s="1"/>
      <c r="E929" s="1"/>
      <c r="F929" s="1"/>
      <c r="G929" s="2"/>
      <c r="H929" s="1"/>
      <c r="I929" s="1"/>
      <c r="J929" s="2"/>
      <c r="K929" s="1"/>
      <c r="L929" s="1"/>
      <c r="M929" s="1"/>
      <c r="N929" s="1"/>
      <c r="O929" s="1"/>
      <c r="P929" s="1"/>
      <c r="Q929" s="1"/>
      <c r="R929" s="1"/>
      <c r="S929" s="1"/>
      <c r="T929" s="1"/>
      <c r="U929" s="1"/>
      <c r="V929" s="1"/>
      <c r="W929" s="1"/>
    </row>
    <row r="930">
      <c r="A930" s="1"/>
      <c r="B930" s="1"/>
      <c r="C930" s="2"/>
      <c r="D930" s="1"/>
      <c r="E930" s="1"/>
      <c r="F930" s="1"/>
      <c r="G930" s="2"/>
      <c r="H930" s="1"/>
      <c r="I930" s="1"/>
      <c r="J930" s="2"/>
      <c r="K930" s="1"/>
      <c r="L930" s="1"/>
      <c r="M930" s="1"/>
      <c r="N930" s="1"/>
      <c r="O930" s="1"/>
      <c r="P930" s="1"/>
      <c r="Q930" s="1"/>
      <c r="R930" s="1"/>
      <c r="S930" s="1"/>
      <c r="T930" s="1"/>
      <c r="U930" s="1"/>
      <c r="V930" s="1"/>
      <c r="W930" s="1"/>
    </row>
    <row r="931">
      <c r="A931" s="1"/>
      <c r="B931" s="1"/>
      <c r="C931" s="2"/>
      <c r="D931" s="1"/>
      <c r="E931" s="1"/>
      <c r="F931" s="1"/>
      <c r="G931" s="2"/>
      <c r="H931" s="1"/>
      <c r="I931" s="1"/>
      <c r="J931" s="2"/>
      <c r="K931" s="1"/>
      <c r="L931" s="1"/>
      <c r="M931" s="1"/>
      <c r="N931" s="1"/>
      <c r="O931" s="1"/>
      <c r="P931" s="1"/>
      <c r="Q931" s="1"/>
      <c r="R931" s="1"/>
      <c r="S931" s="1"/>
      <c r="T931" s="1"/>
      <c r="U931" s="1"/>
      <c r="V931" s="1"/>
      <c r="W931" s="1"/>
    </row>
    <row r="932">
      <c r="A932" s="1"/>
      <c r="B932" s="1"/>
      <c r="C932" s="2"/>
      <c r="D932" s="1"/>
      <c r="E932" s="1"/>
      <c r="F932" s="1"/>
      <c r="G932" s="2"/>
      <c r="H932" s="1"/>
      <c r="I932" s="1"/>
      <c r="J932" s="2"/>
      <c r="K932" s="1"/>
      <c r="L932" s="1"/>
      <c r="M932" s="1"/>
      <c r="N932" s="1"/>
      <c r="O932" s="1"/>
      <c r="P932" s="1"/>
      <c r="Q932" s="1"/>
      <c r="R932" s="1"/>
      <c r="S932" s="1"/>
      <c r="T932" s="1"/>
      <c r="U932" s="1"/>
      <c r="V932" s="1"/>
      <c r="W932" s="1"/>
    </row>
    <row r="933">
      <c r="A933" s="1"/>
      <c r="B933" s="1"/>
      <c r="C933" s="2"/>
      <c r="D933" s="1"/>
      <c r="E933" s="1"/>
      <c r="F933" s="1"/>
      <c r="G933" s="2"/>
      <c r="H933" s="1"/>
      <c r="I933" s="1"/>
      <c r="J933" s="2"/>
      <c r="K933" s="1"/>
      <c r="L933" s="1"/>
      <c r="M933" s="1"/>
      <c r="N933" s="1"/>
      <c r="O933" s="1"/>
      <c r="P933" s="1"/>
      <c r="Q933" s="1"/>
      <c r="R933" s="1"/>
      <c r="S933" s="1"/>
      <c r="T933" s="1"/>
      <c r="U933" s="1"/>
      <c r="V933" s="1"/>
      <c r="W933" s="1"/>
    </row>
    <row r="934">
      <c r="A934" s="1"/>
      <c r="B934" s="1"/>
      <c r="C934" s="2"/>
      <c r="D934" s="1"/>
      <c r="E934" s="1"/>
      <c r="F934" s="1"/>
      <c r="G934" s="2"/>
      <c r="H934" s="1"/>
      <c r="I934" s="1"/>
      <c r="J934" s="2"/>
      <c r="K934" s="1"/>
      <c r="L934" s="1"/>
      <c r="M934" s="1"/>
      <c r="N934" s="1"/>
      <c r="O934" s="1"/>
      <c r="P934" s="1"/>
      <c r="Q934" s="1"/>
      <c r="R934" s="1"/>
      <c r="S934" s="1"/>
      <c r="T934" s="1"/>
      <c r="U934" s="1"/>
      <c r="V934" s="1"/>
      <c r="W934" s="1"/>
    </row>
    <row r="935">
      <c r="A935" s="1"/>
      <c r="B935" s="1"/>
      <c r="C935" s="2"/>
      <c r="D935" s="1"/>
      <c r="E935" s="1"/>
      <c r="F935" s="1"/>
      <c r="G935" s="2"/>
      <c r="H935" s="1"/>
      <c r="I935" s="1"/>
      <c r="J935" s="2"/>
      <c r="K935" s="1"/>
      <c r="L935" s="1"/>
      <c r="M935" s="1"/>
      <c r="N935" s="1"/>
      <c r="O935" s="1"/>
      <c r="P935" s="1"/>
      <c r="Q935" s="1"/>
      <c r="R935" s="1"/>
      <c r="S935" s="1"/>
      <c r="T935" s="1"/>
      <c r="U935" s="1"/>
      <c r="V935" s="1"/>
      <c r="W935" s="1"/>
    </row>
    <row r="936">
      <c r="A936" s="1"/>
      <c r="B936" s="1"/>
      <c r="C936" s="2"/>
      <c r="D936" s="1"/>
      <c r="E936" s="1"/>
      <c r="F936" s="1"/>
      <c r="G936" s="2"/>
      <c r="H936" s="1"/>
      <c r="I936" s="1"/>
      <c r="J936" s="2"/>
      <c r="K936" s="1"/>
      <c r="L936" s="1"/>
      <c r="M936" s="1"/>
      <c r="N936" s="1"/>
      <c r="O936" s="1"/>
      <c r="P936" s="1"/>
      <c r="Q936" s="1"/>
      <c r="R936" s="1"/>
      <c r="S936" s="1"/>
      <c r="T936" s="1"/>
      <c r="U936" s="1"/>
      <c r="V936" s="1"/>
      <c r="W936" s="1"/>
    </row>
    <row r="937">
      <c r="A937" s="1"/>
      <c r="B937" s="1"/>
      <c r="C937" s="2"/>
      <c r="D937" s="1"/>
      <c r="E937" s="1"/>
      <c r="F937" s="1"/>
      <c r="G937" s="2"/>
      <c r="H937" s="1"/>
      <c r="I937" s="1"/>
      <c r="J937" s="2"/>
      <c r="K937" s="1"/>
      <c r="L937" s="1"/>
      <c r="M937" s="1"/>
      <c r="N937" s="1"/>
      <c r="O937" s="1"/>
      <c r="P937" s="1"/>
      <c r="Q937" s="1"/>
      <c r="R937" s="1"/>
      <c r="S937" s="1"/>
      <c r="T937" s="1"/>
      <c r="U937" s="1"/>
      <c r="V937" s="1"/>
      <c r="W937" s="1"/>
    </row>
    <row r="938">
      <c r="A938" s="1"/>
      <c r="B938" s="1"/>
      <c r="C938" s="2"/>
      <c r="D938" s="1"/>
      <c r="E938" s="1"/>
      <c r="F938" s="1"/>
      <c r="G938" s="2"/>
      <c r="H938" s="1"/>
      <c r="I938" s="1"/>
      <c r="J938" s="2"/>
      <c r="K938" s="1"/>
      <c r="L938" s="1"/>
      <c r="M938" s="1"/>
      <c r="N938" s="1"/>
      <c r="O938" s="1"/>
      <c r="P938" s="1"/>
      <c r="Q938" s="1"/>
      <c r="R938" s="1"/>
      <c r="S938" s="1"/>
      <c r="T938" s="1"/>
      <c r="U938" s="1"/>
      <c r="V938" s="1"/>
      <c r="W938" s="1"/>
    </row>
    <row r="939">
      <c r="A939" s="1"/>
      <c r="B939" s="1"/>
      <c r="C939" s="2"/>
      <c r="D939" s="1"/>
      <c r="E939" s="1"/>
      <c r="F939" s="1"/>
      <c r="G939" s="2"/>
      <c r="H939" s="1"/>
      <c r="I939" s="1"/>
      <c r="J939" s="2"/>
      <c r="K939" s="1"/>
      <c r="L939" s="1"/>
      <c r="M939" s="1"/>
      <c r="N939" s="1"/>
      <c r="O939" s="1"/>
      <c r="P939" s="1"/>
      <c r="Q939" s="1"/>
      <c r="R939" s="1"/>
      <c r="S939" s="1"/>
      <c r="T939" s="1"/>
      <c r="U939" s="1"/>
      <c r="V939" s="1"/>
      <c r="W939" s="1"/>
    </row>
    <row r="940">
      <c r="A940" s="1"/>
      <c r="B940" s="1"/>
      <c r="C940" s="2"/>
      <c r="D940" s="1"/>
      <c r="E940" s="1"/>
      <c r="F940" s="1"/>
      <c r="G940" s="2"/>
      <c r="H940" s="1"/>
      <c r="I940" s="1"/>
      <c r="J940" s="2"/>
      <c r="K940" s="1"/>
      <c r="L940" s="1"/>
      <c r="M940" s="1"/>
      <c r="N940" s="1"/>
      <c r="O940" s="1"/>
      <c r="P940" s="1"/>
      <c r="Q940" s="1"/>
      <c r="R940" s="1"/>
      <c r="S940" s="1"/>
      <c r="T940" s="1"/>
      <c r="U940" s="1"/>
      <c r="V940" s="1"/>
      <c r="W940" s="1"/>
    </row>
    <row r="941">
      <c r="A941" s="1"/>
      <c r="B941" s="1"/>
      <c r="C941" s="2"/>
      <c r="D941" s="1"/>
      <c r="E941" s="1"/>
      <c r="F941" s="1"/>
      <c r="G941" s="2"/>
      <c r="H941" s="1"/>
      <c r="I941" s="1"/>
      <c r="J941" s="2"/>
      <c r="K941" s="1"/>
      <c r="L941" s="1"/>
      <c r="M941" s="1"/>
      <c r="N941" s="1"/>
      <c r="O941" s="1"/>
      <c r="P941" s="1"/>
      <c r="Q941" s="1"/>
      <c r="R941" s="1"/>
      <c r="S941" s="1"/>
      <c r="T941" s="1"/>
      <c r="U941" s="1"/>
      <c r="V941" s="1"/>
      <c r="W941" s="1"/>
    </row>
    <row r="942">
      <c r="A942" s="1"/>
      <c r="B942" s="1"/>
      <c r="C942" s="2"/>
      <c r="D942" s="1"/>
      <c r="E942" s="1"/>
      <c r="F942" s="1"/>
      <c r="G942" s="2"/>
      <c r="H942" s="1"/>
      <c r="I942" s="1"/>
      <c r="J942" s="2"/>
      <c r="K942" s="1"/>
      <c r="L942" s="1"/>
      <c r="M942" s="1"/>
      <c r="N942" s="1"/>
      <c r="O942" s="1"/>
      <c r="P942" s="1"/>
      <c r="Q942" s="1"/>
      <c r="R942" s="1"/>
      <c r="S942" s="1"/>
      <c r="T942" s="1"/>
      <c r="U942" s="1"/>
      <c r="V942" s="1"/>
      <c r="W942" s="1"/>
    </row>
    <row r="943">
      <c r="A943" s="1"/>
      <c r="B943" s="1"/>
      <c r="C943" s="2"/>
      <c r="D943" s="1"/>
      <c r="E943" s="1"/>
      <c r="F943" s="1"/>
      <c r="G943" s="2"/>
      <c r="H943" s="1"/>
      <c r="I943" s="1"/>
      <c r="J943" s="2"/>
      <c r="K943" s="1"/>
      <c r="L943" s="1"/>
      <c r="M943" s="1"/>
      <c r="N943" s="1"/>
      <c r="O943" s="1"/>
      <c r="P943" s="1"/>
      <c r="Q943" s="1"/>
      <c r="R943" s="1"/>
      <c r="S943" s="1"/>
      <c r="T943" s="1"/>
      <c r="U943" s="1"/>
      <c r="V943" s="1"/>
      <c r="W943" s="1"/>
    </row>
    <row r="944">
      <c r="A944" s="1"/>
      <c r="B944" s="1"/>
      <c r="C944" s="2"/>
      <c r="D944" s="1"/>
      <c r="E944" s="1"/>
      <c r="F944" s="1"/>
      <c r="G944" s="2"/>
      <c r="H944" s="1"/>
      <c r="I944" s="1"/>
      <c r="J944" s="2"/>
      <c r="K944" s="1"/>
      <c r="L944" s="1"/>
      <c r="M944" s="1"/>
      <c r="N944" s="1"/>
      <c r="O944" s="1"/>
      <c r="P944" s="1"/>
      <c r="Q944" s="1"/>
      <c r="R944" s="1"/>
      <c r="S944" s="1"/>
      <c r="T944" s="1"/>
      <c r="U944" s="1"/>
      <c r="V944" s="1"/>
      <c r="W944" s="1"/>
    </row>
    <row r="945">
      <c r="A945" s="1"/>
      <c r="B945" s="1"/>
      <c r="C945" s="2"/>
      <c r="D945" s="1"/>
      <c r="E945" s="1"/>
      <c r="F945" s="1"/>
      <c r="G945" s="2"/>
      <c r="H945" s="1"/>
      <c r="I945" s="1"/>
      <c r="J945" s="2"/>
      <c r="K945" s="1"/>
      <c r="L945" s="1"/>
      <c r="M945" s="1"/>
      <c r="N945" s="1"/>
      <c r="O945" s="1"/>
      <c r="P945" s="1"/>
      <c r="Q945" s="1"/>
      <c r="R945" s="1"/>
      <c r="S945" s="1"/>
      <c r="T945" s="1"/>
      <c r="U945" s="1"/>
      <c r="V945" s="1"/>
      <c r="W945" s="1"/>
    </row>
    <row r="946">
      <c r="A946" s="1"/>
      <c r="B946" s="1"/>
      <c r="C946" s="2"/>
      <c r="D946" s="1"/>
      <c r="E946" s="1"/>
      <c r="F946" s="1"/>
      <c r="G946" s="2"/>
      <c r="H946" s="1"/>
      <c r="I946" s="1"/>
      <c r="J946" s="2"/>
      <c r="K946" s="1"/>
      <c r="L946" s="1"/>
      <c r="M946" s="1"/>
      <c r="N946" s="1"/>
      <c r="O946" s="1"/>
      <c r="P946" s="1"/>
      <c r="Q946" s="1"/>
      <c r="R946" s="1"/>
      <c r="S946" s="1"/>
      <c r="T946" s="1"/>
      <c r="U946" s="1"/>
      <c r="V946" s="1"/>
      <c r="W946" s="1"/>
    </row>
    <row r="947">
      <c r="A947" s="1"/>
      <c r="B947" s="1"/>
      <c r="C947" s="2"/>
      <c r="D947" s="1"/>
      <c r="E947" s="1"/>
      <c r="F947" s="1"/>
      <c r="G947" s="2"/>
      <c r="H947" s="1"/>
      <c r="I947" s="1"/>
      <c r="J947" s="2"/>
      <c r="K947" s="1"/>
      <c r="L947" s="1"/>
      <c r="M947" s="1"/>
      <c r="N947" s="1"/>
      <c r="O947" s="1"/>
      <c r="P947" s="1"/>
      <c r="Q947" s="1"/>
      <c r="R947" s="1"/>
      <c r="S947" s="1"/>
      <c r="T947" s="1"/>
      <c r="U947" s="1"/>
      <c r="V947" s="1"/>
      <c r="W947" s="1"/>
    </row>
    <row r="948">
      <c r="A948" s="1"/>
      <c r="B948" s="1"/>
      <c r="C948" s="2"/>
      <c r="D948" s="1"/>
      <c r="E948" s="1"/>
      <c r="F948" s="1"/>
      <c r="G948" s="2"/>
      <c r="H948" s="1"/>
      <c r="I948" s="1"/>
      <c r="J948" s="2"/>
      <c r="K948" s="1"/>
      <c r="L948" s="1"/>
      <c r="M948" s="1"/>
      <c r="N948" s="1"/>
      <c r="O948" s="1"/>
      <c r="P948" s="1"/>
      <c r="Q948" s="1"/>
      <c r="R948" s="1"/>
      <c r="S948" s="1"/>
      <c r="T948" s="1"/>
      <c r="U948" s="1"/>
      <c r="V948" s="1"/>
      <c r="W948" s="1"/>
    </row>
    <row r="949">
      <c r="A949" s="1"/>
      <c r="B949" s="1"/>
      <c r="C949" s="2"/>
      <c r="D949" s="1"/>
      <c r="E949" s="1"/>
      <c r="F949" s="1"/>
      <c r="G949" s="2"/>
      <c r="H949" s="1"/>
      <c r="I949" s="1"/>
      <c r="J949" s="2"/>
      <c r="K949" s="1"/>
      <c r="L949" s="1"/>
      <c r="M949" s="1"/>
      <c r="N949" s="1"/>
      <c r="O949" s="1"/>
      <c r="P949" s="1"/>
      <c r="Q949" s="1"/>
      <c r="R949" s="1"/>
      <c r="S949" s="1"/>
      <c r="T949" s="1"/>
      <c r="U949" s="1"/>
      <c r="V949" s="1"/>
      <c r="W949" s="1"/>
    </row>
    <row r="950">
      <c r="A950" s="1"/>
      <c r="B950" s="1"/>
      <c r="C950" s="2"/>
      <c r="D950" s="1"/>
      <c r="E950" s="1"/>
      <c r="F950" s="1"/>
      <c r="G950" s="2"/>
      <c r="H950" s="1"/>
      <c r="I950" s="1"/>
      <c r="J950" s="2"/>
      <c r="K950" s="1"/>
      <c r="L950" s="1"/>
      <c r="M950" s="1"/>
      <c r="N950" s="1"/>
      <c r="O950" s="1"/>
      <c r="P950" s="1"/>
      <c r="Q950" s="1"/>
      <c r="R950" s="1"/>
      <c r="S950" s="1"/>
      <c r="T950" s="1"/>
      <c r="U950" s="1"/>
      <c r="V950" s="1"/>
      <c r="W950" s="1"/>
    </row>
    <row r="951">
      <c r="A951" s="1"/>
      <c r="B951" s="1"/>
      <c r="C951" s="2"/>
      <c r="D951" s="1"/>
      <c r="E951" s="1"/>
      <c r="F951" s="1"/>
      <c r="G951" s="2"/>
      <c r="H951" s="1"/>
      <c r="I951" s="1"/>
      <c r="J951" s="2"/>
      <c r="K951" s="1"/>
      <c r="L951" s="1"/>
      <c r="M951" s="1"/>
      <c r="N951" s="1"/>
      <c r="O951" s="1"/>
      <c r="P951" s="1"/>
      <c r="Q951" s="1"/>
      <c r="R951" s="1"/>
      <c r="S951" s="1"/>
      <c r="T951" s="1"/>
      <c r="U951" s="1"/>
      <c r="V951" s="1"/>
      <c r="W951" s="1"/>
    </row>
    <row r="952">
      <c r="A952" s="1"/>
      <c r="B952" s="1"/>
      <c r="C952" s="2"/>
      <c r="D952" s="1"/>
      <c r="E952" s="1"/>
      <c r="F952" s="1"/>
      <c r="G952" s="2"/>
      <c r="H952" s="1"/>
      <c r="I952" s="1"/>
      <c r="J952" s="2"/>
      <c r="K952" s="1"/>
      <c r="L952" s="1"/>
      <c r="M952" s="1"/>
      <c r="N952" s="1"/>
      <c r="O952" s="1"/>
      <c r="P952" s="1"/>
      <c r="Q952" s="1"/>
      <c r="R952" s="1"/>
      <c r="S952" s="1"/>
      <c r="T952" s="1"/>
      <c r="U952" s="1"/>
      <c r="V952" s="1"/>
      <c r="W952" s="1"/>
    </row>
    <row r="953">
      <c r="A953" s="1"/>
      <c r="B953" s="1"/>
      <c r="C953" s="2"/>
      <c r="D953" s="1"/>
      <c r="E953" s="1"/>
      <c r="F953" s="1"/>
      <c r="G953" s="2"/>
      <c r="H953" s="1"/>
      <c r="I953" s="1"/>
      <c r="J953" s="2"/>
      <c r="K953" s="1"/>
      <c r="L953" s="1"/>
      <c r="M953" s="1"/>
      <c r="N953" s="1"/>
      <c r="O953" s="1"/>
      <c r="P953" s="1"/>
      <c r="Q953" s="1"/>
      <c r="R953" s="1"/>
      <c r="S953" s="1"/>
      <c r="T953" s="1"/>
      <c r="U953" s="1"/>
      <c r="V953" s="1"/>
      <c r="W953" s="1"/>
    </row>
    <row r="954">
      <c r="A954" s="1"/>
      <c r="B954" s="1"/>
      <c r="C954" s="2"/>
      <c r="D954" s="1"/>
      <c r="E954" s="1"/>
      <c r="F954" s="1"/>
      <c r="G954" s="2"/>
      <c r="H954" s="1"/>
      <c r="I954" s="1"/>
      <c r="J954" s="2"/>
      <c r="K954" s="1"/>
      <c r="L954" s="1"/>
      <c r="M954" s="1"/>
      <c r="N954" s="1"/>
      <c r="O954" s="1"/>
      <c r="P954" s="1"/>
      <c r="Q954" s="1"/>
      <c r="R954" s="1"/>
      <c r="S954" s="1"/>
      <c r="T954" s="1"/>
      <c r="U954" s="1"/>
      <c r="V954" s="1"/>
      <c r="W954" s="1"/>
    </row>
    <row r="955">
      <c r="A955" s="1"/>
      <c r="B955" s="1"/>
      <c r="C955" s="2"/>
      <c r="D955" s="1"/>
      <c r="E955" s="1"/>
      <c r="F955" s="1"/>
      <c r="G955" s="2"/>
      <c r="H955" s="1"/>
      <c r="I955" s="1"/>
      <c r="J955" s="2"/>
      <c r="K955" s="1"/>
      <c r="L955" s="1"/>
      <c r="M955" s="1"/>
      <c r="N955" s="1"/>
      <c r="O955" s="1"/>
      <c r="P955" s="1"/>
      <c r="Q955" s="1"/>
      <c r="R955" s="1"/>
      <c r="S955" s="1"/>
      <c r="T955" s="1"/>
      <c r="U955" s="1"/>
      <c r="V955" s="1"/>
      <c r="W955" s="1"/>
    </row>
    <row r="956">
      <c r="A956" s="1"/>
      <c r="B956" s="1"/>
      <c r="C956" s="2"/>
      <c r="D956" s="1"/>
      <c r="E956" s="1"/>
      <c r="F956" s="1"/>
      <c r="G956" s="2"/>
      <c r="H956" s="1"/>
      <c r="I956" s="1"/>
      <c r="J956" s="2"/>
      <c r="K956" s="1"/>
      <c r="L956" s="1"/>
      <c r="M956" s="1"/>
      <c r="N956" s="1"/>
      <c r="O956" s="1"/>
      <c r="P956" s="1"/>
      <c r="Q956" s="1"/>
      <c r="R956" s="1"/>
      <c r="S956" s="1"/>
      <c r="T956" s="1"/>
      <c r="U956" s="1"/>
      <c r="V956" s="1"/>
      <c r="W956" s="1"/>
    </row>
    <row r="957">
      <c r="A957" s="1"/>
      <c r="B957" s="1"/>
      <c r="C957" s="2"/>
      <c r="D957" s="1"/>
      <c r="E957" s="1"/>
      <c r="F957" s="1"/>
      <c r="G957" s="2"/>
      <c r="H957" s="1"/>
      <c r="I957" s="1"/>
      <c r="J957" s="2"/>
      <c r="K957" s="1"/>
      <c r="L957" s="1"/>
      <c r="M957" s="1"/>
      <c r="N957" s="1"/>
      <c r="O957" s="1"/>
      <c r="P957" s="1"/>
      <c r="Q957" s="1"/>
      <c r="R957" s="1"/>
      <c r="S957" s="1"/>
      <c r="T957" s="1"/>
      <c r="U957" s="1"/>
      <c r="V957" s="1"/>
      <c r="W957" s="1"/>
    </row>
    <row r="958">
      <c r="A958" s="1"/>
      <c r="B958" s="1"/>
      <c r="C958" s="2"/>
      <c r="D958" s="1"/>
      <c r="E958" s="1"/>
      <c r="F958" s="1"/>
      <c r="G958" s="2"/>
      <c r="H958" s="1"/>
      <c r="I958" s="1"/>
      <c r="J958" s="2"/>
      <c r="K958" s="1"/>
      <c r="L958" s="1"/>
      <c r="M958" s="1"/>
      <c r="N958" s="1"/>
      <c r="O958" s="1"/>
      <c r="P958" s="1"/>
      <c r="Q958" s="1"/>
      <c r="R958" s="1"/>
      <c r="S958" s="1"/>
      <c r="T958" s="1"/>
      <c r="U958" s="1"/>
      <c r="V958" s="1"/>
      <c r="W958" s="1"/>
    </row>
    <row r="959">
      <c r="A959" s="1"/>
      <c r="B959" s="1"/>
      <c r="C959" s="2"/>
      <c r="D959" s="1"/>
      <c r="E959" s="1"/>
      <c r="F959" s="1"/>
      <c r="G959" s="2"/>
      <c r="H959" s="1"/>
      <c r="I959" s="1"/>
      <c r="J959" s="2"/>
      <c r="K959" s="1"/>
      <c r="L959" s="1"/>
      <c r="M959" s="1"/>
      <c r="N959" s="1"/>
      <c r="O959" s="1"/>
      <c r="P959" s="1"/>
      <c r="Q959" s="1"/>
      <c r="R959" s="1"/>
      <c r="S959" s="1"/>
      <c r="T959" s="1"/>
      <c r="U959" s="1"/>
      <c r="V959" s="1"/>
      <c r="W959" s="1"/>
    </row>
    <row r="960">
      <c r="A960" s="1"/>
      <c r="B960" s="1"/>
      <c r="C960" s="2"/>
      <c r="D960" s="1"/>
      <c r="E960" s="1"/>
      <c r="F960" s="1"/>
      <c r="G960" s="2"/>
      <c r="H960" s="1"/>
      <c r="I960" s="1"/>
      <c r="J960" s="2"/>
      <c r="K960" s="1"/>
      <c r="L960" s="1"/>
      <c r="M960" s="1"/>
      <c r="N960" s="1"/>
      <c r="O960" s="1"/>
      <c r="P960" s="1"/>
      <c r="Q960" s="1"/>
      <c r="R960" s="1"/>
      <c r="S960" s="1"/>
      <c r="T960" s="1"/>
      <c r="U960" s="1"/>
      <c r="V960" s="1"/>
      <c r="W960" s="1"/>
    </row>
    <row r="961">
      <c r="A961" s="1"/>
      <c r="B961" s="1"/>
      <c r="C961" s="2"/>
      <c r="D961" s="1"/>
      <c r="E961" s="1"/>
      <c r="F961" s="1"/>
      <c r="G961" s="2"/>
      <c r="H961" s="1"/>
      <c r="I961" s="1"/>
      <c r="J961" s="2"/>
      <c r="K961" s="1"/>
      <c r="L961" s="1"/>
      <c r="M961" s="1"/>
      <c r="N961" s="1"/>
      <c r="O961" s="1"/>
      <c r="P961" s="1"/>
      <c r="Q961" s="1"/>
      <c r="R961" s="1"/>
      <c r="S961" s="1"/>
      <c r="T961" s="1"/>
      <c r="U961" s="1"/>
      <c r="V961" s="1"/>
      <c r="W961" s="1"/>
    </row>
    <row r="962">
      <c r="A962" s="1"/>
      <c r="B962" s="1"/>
      <c r="C962" s="2"/>
      <c r="D962" s="1"/>
      <c r="E962" s="1"/>
      <c r="F962" s="1"/>
      <c r="G962" s="2"/>
      <c r="H962" s="1"/>
      <c r="I962" s="1"/>
      <c r="J962" s="2"/>
      <c r="K962" s="1"/>
      <c r="L962" s="1"/>
      <c r="M962" s="1"/>
      <c r="N962" s="1"/>
      <c r="O962" s="1"/>
      <c r="P962" s="1"/>
      <c r="Q962" s="1"/>
      <c r="R962" s="1"/>
      <c r="S962" s="1"/>
      <c r="T962" s="1"/>
      <c r="U962" s="1"/>
      <c r="V962" s="1"/>
      <c r="W962" s="1"/>
    </row>
    <row r="963">
      <c r="A963" s="1"/>
      <c r="B963" s="1"/>
      <c r="C963" s="2"/>
      <c r="D963" s="1"/>
      <c r="E963" s="1"/>
      <c r="F963" s="1"/>
      <c r="G963" s="2"/>
      <c r="H963" s="1"/>
      <c r="I963" s="1"/>
      <c r="J963" s="2"/>
      <c r="K963" s="1"/>
      <c r="L963" s="1"/>
      <c r="M963" s="1"/>
      <c r="N963" s="1"/>
      <c r="O963" s="1"/>
      <c r="P963" s="1"/>
      <c r="Q963" s="1"/>
      <c r="R963" s="1"/>
      <c r="S963" s="1"/>
      <c r="T963" s="1"/>
      <c r="U963" s="1"/>
      <c r="V963" s="1"/>
      <c r="W963" s="1"/>
    </row>
    <row r="964">
      <c r="A964" s="1"/>
      <c r="B964" s="1"/>
      <c r="C964" s="2"/>
      <c r="D964" s="1"/>
      <c r="E964" s="1"/>
      <c r="F964" s="1"/>
      <c r="G964" s="2"/>
      <c r="H964" s="1"/>
      <c r="I964" s="1"/>
      <c r="J964" s="2"/>
      <c r="K964" s="1"/>
      <c r="L964" s="1"/>
      <c r="M964" s="1"/>
      <c r="N964" s="1"/>
      <c r="O964" s="1"/>
      <c r="P964" s="1"/>
      <c r="Q964" s="1"/>
      <c r="R964" s="1"/>
      <c r="S964" s="1"/>
      <c r="T964" s="1"/>
      <c r="U964" s="1"/>
      <c r="V964" s="1"/>
      <c r="W964" s="1"/>
    </row>
    <row r="965">
      <c r="A965" s="1"/>
      <c r="B965" s="1"/>
      <c r="C965" s="2"/>
      <c r="D965" s="1"/>
      <c r="E965" s="1"/>
      <c r="F965" s="1"/>
      <c r="G965" s="2"/>
      <c r="H965" s="1"/>
      <c r="I965" s="1"/>
      <c r="J965" s="2"/>
      <c r="K965" s="1"/>
      <c r="L965" s="1"/>
      <c r="M965" s="1"/>
      <c r="N965" s="1"/>
      <c r="O965" s="1"/>
      <c r="P965" s="1"/>
      <c r="Q965" s="1"/>
      <c r="R965" s="1"/>
      <c r="S965" s="1"/>
      <c r="T965" s="1"/>
      <c r="U965" s="1"/>
      <c r="V965" s="1"/>
      <c r="W965" s="1"/>
    </row>
    <row r="966">
      <c r="A966" s="1"/>
      <c r="B966" s="1"/>
      <c r="C966" s="2"/>
      <c r="D966" s="1"/>
      <c r="E966" s="1"/>
      <c r="F966" s="1"/>
      <c r="G966" s="2"/>
      <c r="H966" s="1"/>
      <c r="I966" s="1"/>
      <c r="J966" s="2"/>
      <c r="K966" s="1"/>
      <c r="L966" s="1"/>
      <c r="M966" s="1"/>
      <c r="N966" s="1"/>
      <c r="O966" s="1"/>
      <c r="P966" s="1"/>
      <c r="Q966" s="1"/>
      <c r="R966" s="1"/>
      <c r="S966" s="1"/>
      <c r="T966" s="1"/>
      <c r="U966" s="1"/>
      <c r="V966" s="1"/>
      <c r="W966" s="1"/>
    </row>
    <row r="967">
      <c r="A967" s="1"/>
      <c r="B967" s="1"/>
      <c r="C967" s="2"/>
      <c r="D967" s="1"/>
      <c r="E967" s="1"/>
      <c r="F967" s="1"/>
      <c r="G967" s="2"/>
      <c r="H967" s="1"/>
      <c r="I967" s="1"/>
      <c r="J967" s="2"/>
      <c r="K967" s="1"/>
      <c r="L967" s="1"/>
      <c r="M967" s="1"/>
      <c r="N967" s="1"/>
      <c r="O967" s="1"/>
      <c r="P967" s="1"/>
      <c r="Q967" s="1"/>
      <c r="R967" s="1"/>
      <c r="S967" s="1"/>
      <c r="T967" s="1"/>
      <c r="U967" s="1"/>
      <c r="V967" s="1"/>
      <c r="W967" s="1"/>
    </row>
    <row r="968">
      <c r="A968" s="1"/>
      <c r="B968" s="1"/>
      <c r="C968" s="2"/>
      <c r="D968" s="1"/>
      <c r="E968" s="1"/>
      <c r="F968" s="1"/>
      <c r="G968" s="2"/>
      <c r="H968" s="1"/>
      <c r="I968" s="1"/>
      <c r="J968" s="2"/>
      <c r="K968" s="1"/>
      <c r="L968" s="1"/>
      <c r="M968" s="1"/>
      <c r="N968" s="1"/>
      <c r="O968" s="1"/>
      <c r="P968" s="1"/>
      <c r="Q968" s="1"/>
      <c r="R968" s="1"/>
      <c r="S968" s="1"/>
      <c r="T968" s="1"/>
      <c r="U968" s="1"/>
      <c r="V968" s="1"/>
      <c r="W968" s="1"/>
    </row>
    <row r="969">
      <c r="A969" s="1"/>
      <c r="B969" s="1"/>
      <c r="C969" s="2"/>
      <c r="D969" s="1"/>
      <c r="E969" s="1"/>
      <c r="F969" s="1"/>
      <c r="G969" s="2"/>
      <c r="H969" s="1"/>
      <c r="I969" s="1"/>
      <c r="J969" s="2"/>
      <c r="K969" s="1"/>
      <c r="L969" s="1"/>
      <c r="M969" s="1"/>
      <c r="N969" s="1"/>
      <c r="O969" s="1"/>
      <c r="P969" s="1"/>
      <c r="Q969" s="1"/>
      <c r="R969" s="1"/>
      <c r="S969" s="1"/>
      <c r="T969" s="1"/>
      <c r="U969" s="1"/>
      <c r="V969" s="1"/>
      <c r="W969" s="1"/>
    </row>
    <row r="970">
      <c r="A970" s="1"/>
      <c r="B970" s="1"/>
      <c r="C970" s="2"/>
      <c r="D970" s="1"/>
      <c r="E970" s="1"/>
      <c r="F970" s="1"/>
      <c r="G970" s="2"/>
      <c r="H970" s="1"/>
      <c r="I970" s="1"/>
      <c r="J970" s="2"/>
      <c r="K970" s="1"/>
      <c r="L970" s="1"/>
      <c r="M970" s="1"/>
      <c r="N970" s="1"/>
      <c r="O970" s="1"/>
      <c r="P970" s="1"/>
      <c r="Q970" s="1"/>
      <c r="R970" s="1"/>
      <c r="S970" s="1"/>
      <c r="T970" s="1"/>
      <c r="U970" s="1"/>
      <c r="V970" s="1"/>
      <c r="W970" s="1"/>
    </row>
    <row r="971">
      <c r="A971" s="1"/>
      <c r="B971" s="1"/>
      <c r="C971" s="2"/>
      <c r="D971" s="1"/>
      <c r="E971" s="1"/>
      <c r="F971" s="1"/>
      <c r="G971" s="2"/>
      <c r="H971" s="1"/>
      <c r="I971" s="1"/>
      <c r="J971" s="2"/>
      <c r="K971" s="1"/>
      <c r="L971" s="1"/>
      <c r="M971" s="1"/>
      <c r="N971" s="1"/>
      <c r="O971" s="1"/>
      <c r="P971" s="1"/>
      <c r="Q971" s="1"/>
      <c r="R971" s="1"/>
      <c r="S971" s="1"/>
      <c r="T971" s="1"/>
      <c r="U971" s="1"/>
      <c r="V971" s="1"/>
      <c r="W971" s="1"/>
    </row>
    <row r="972">
      <c r="A972" s="1"/>
      <c r="B972" s="1"/>
      <c r="C972" s="2"/>
      <c r="D972" s="1"/>
      <c r="E972" s="1"/>
      <c r="F972" s="1"/>
      <c r="G972" s="2"/>
      <c r="H972" s="1"/>
      <c r="I972" s="1"/>
      <c r="J972" s="2"/>
      <c r="K972" s="1"/>
      <c r="L972" s="1"/>
      <c r="M972" s="1"/>
      <c r="N972" s="1"/>
      <c r="O972" s="1"/>
      <c r="P972" s="1"/>
      <c r="Q972" s="1"/>
      <c r="R972" s="1"/>
      <c r="S972" s="1"/>
      <c r="T972" s="1"/>
      <c r="U972" s="1"/>
      <c r="V972" s="1"/>
      <c r="W972" s="1"/>
    </row>
    <row r="973">
      <c r="A973" s="1"/>
      <c r="B973" s="1"/>
      <c r="C973" s="2"/>
      <c r="D973" s="1"/>
      <c r="E973" s="1"/>
      <c r="F973" s="1"/>
      <c r="G973" s="2"/>
      <c r="H973" s="1"/>
      <c r="I973" s="1"/>
      <c r="J973" s="2"/>
      <c r="K973" s="1"/>
      <c r="L973" s="1"/>
      <c r="M973" s="1"/>
      <c r="N973" s="1"/>
      <c r="O973" s="1"/>
      <c r="P973" s="1"/>
      <c r="Q973" s="1"/>
      <c r="R973" s="1"/>
      <c r="S973" s="1"/>
      <c r="T973" s="1"/>
      <c r="U973" s="1"/>
      <c r="V973" s="1"/>
      <c r="W973" s="1"/>
    </row>
    <row r="974">
      <c r="A974" s="1"/>
      <c r="B974" s="1"/>
      <c r="C974" s="2"/>
      <c r="D974" s="1"/>
      <c r="E974" s="1"/>
      <c r="F974" s="1"/>
      <c r="G974" s="2"/>
      <c r="H974" s="1"/>
      <c r="I974" s="1"/>
      <c r="J974" s="2"/>
      <c r="K974" s="1"/>
      <c r="L974" s="1"/>
      <c r="M974" s="1"/>
      <c r="N974" s="1"/>
      <c r="O974" s="1"/>
      <c r="P974" s="1"/>
      <c r="Q974" s="1"/>
      <c r="R974" s="1"/>
      <c r="S974" s="1"/>
      <c r="T974" s="1"/>
      <c r="U974" s="1"/>
      <c r="V974" s="1"/>
      <c r="W974" s="1"/>
    </row>
    <row r="975">
      <c r="A975" s="1"/>
      <c r="B975" s="1"/>
      <c r="C975" s="2"/>
      <c r="D975" s="1"/>
      <c r="E975" s="1"/>
      <c r="F975" s="1"/>
      <c r="G975" s="2"/>
      <c r="H975" s="1"/>
      <c r="I975" s="1"/>
      <c r="J975" s="2"/>
      <c r="K975" s="1"/>
      <c r="L975" s="1"/>
      <c r="M975" s="1"/>
      <c r="N975" s="1"/>
      <c r="O975" s="1"/>
      <c r="P975" s="1"/>
      <c r="Q975" s="1"/>
      <c r="R975" s="1"/>
      <c r="S975" s="1"/>
      <c r="T975" s="1"/>
      <c r="U975" s="1"/>
      <c r="V975" s="1"/>
      <c r="W975" s="1"/>
    </row>
    <row r="976">
      <c r="A976" s="1"/>
      <c r="B976" s="1"/>
      <c r="C976" s="2"/>
      <c r="D976" s="1"/>
      <c r="E976" s="1"/>
      <c r="F976" s="1"/>
      <c r="G976" s="2"/>
      <c r="H976" s="1"/>
      <c r="I976" s="1"/>
      <c r="J976" s="2"/>
      <c r="K976" s="1"/>
      <c r="L976" s="1"/>
      <c r="M976" s="1"/>
      <c r="N976" s="1"/>
      <c r="O976" s="1"/>
      <c r="P976" s="1"/>
      <c r="Q976" s="1"/>
      <c r="R976" s="1"/>
      <c r="S976" s="1"/>
      <c r="T976" s="1"/>
      <c r="U976" s="1"/>
      <c r="V976" s="1"/>
      <c r="W976" s="1"/>
    </row>
    <row r="977">
      <c r="A977" s="1"/>
      <c r="B977" s="1"/>
      <c r="C977" s="2"/>
      <c r="D977" s="1"/>
      <c r="E977" s="1"/>
      <c r="F977" s="1"/>
      <c r="G977" s="2"/>
      <c r="H977" s="1"/>
      <c r="I977" s="1"/>
      <c r="J977" s="2"/>
      <c r="K977" s="1"/>
      <c r="L977" s="1"/>
      <c r="M977" s="1"/>
      <c r="N977" s="1"/>
      <c r="O977" s="1"/>
      <c r="P977" s="1"/>
      <c r="Q977" s="1"/>
      <c r="R977" s="1"/>
      <c r="S977" s="1"/>
      <c r="T977" s="1"/>
      <c r="U977" s="1"/>
      <c r="V977" s="1"/>
      <c r="W977" s="1"/>
    </row>
    <row r="978">
      <c r="A978" s="1"/>
      <c r="B978" s="1"/>
      <c r="C978" s="2"/>
      <c r="D978" s="1"/>
      <c r="E978" s="1"/>
      <c r="F978" s="1"/>
      <c r="G978" s="2"/>
      <c r="H978" s="1"/>
      <c r="I978" s="1"/>
      <c r="J978" s="2"/>
      <c r="K978" s="1"/>
      <c r="L978" s="1"/>
      <c r="M978" s="1"/>
      <c r="N978" s="1"/>
      <c r="O978" s="1"/>
      <c r="P978" s="1"/>
      <c r="Q978" s="1"/>
      <c r="R978" s="1"/>
      <c r="S978" s="1"/>
      <c r="T978" s="1"/>
      <c r="U978" s="1"/>
      <c r="V978" s="1"/>
      <c r="W978" s="1"/>
    </row>
    <row r="979">
      <c r="A979" s="1"/>
      <c r="B979" s="1"/>
      <c r="C979" s="2"/>
      <c r="D979" s="1"/>
      <c r="E979" s="1"/>
      <c r="F979" s="1"/>
      <c r="G979" s="2"/>
      <c r="H979" s="1"/>
      <c r="I979" s="1"/>
      <c r="J979" s="2"/>
      <c r="K979" s="1"/>
      <c r="L979" s="1"/>
      <c r="M979" s="1"/>
      <c r="N979" s="1"/>
      <c r="O979" s="1"/>
      <c r="P979" s="1"/>
      <c r="Q979" s="1"/>
      <c r="R979" s="1"/>
      <c r="S979" s="1"/>
      <c r="T979" s="1"/>
      <c r="U979" s="1"/>
      <c r="V979" s="1"/>
      <c r="W979" s="1"/>
    </row>
    <row r="980">
      <c r="A980" s="1"/>
      <c r="B980" s="1"/>
      <c r="C980" s="2"/>
      <c r="D980" s="1"/>
      <c r="E980" s="1"/>
      <c r="F980" s="1"/>
      <c r="G980" s="2"/>
      <c r="H980" s="1"/>
      <c r="I980" s="1"/>
      <c r="J980" s="2"/>
      <c r="K980" s="1"/>
      <c r="L980" s="1"/>
      <c r="M980" s="1"/>
      <c r="N980" s="1"/>
      <c r="O980" s="1"/>
      <c r="P980" s="1"/>
      <c r="Q980" s="1"/>
      <c r="R980" s="1"/>
      <c r="S980" s="1"/>
      <c r="T980" s="1"/>
      <c r="U980" s="1"/>
      <c r="V980" s="1"/>
      <c r="W980" s="1"/>
    </row>
    <row r="981">
      <c r="A981" s="1"/>
      <c r="B981" s="1"/>
      <c r="C981" s="2"/>
      <c r="D981" s="1"/>
      <c r="E981" s="1"/>
      <c r="F981" s="1"/>
      <c r="G981" s="2"/>
      <c r="H981" s="1"/>
      <c r="I981" s="1"/>
      <c r="J981" s="2"/>
      <c r="K981" s="1"/>
      <c r="L981" s="1"/>
      <c r="M981" s="1"/>
      <c r="N981" s="1"/>
      <c r="O981" s="1"/>
      <c r="P981" s="1"/>
      <c r="Q981" s="1"/>
      <c r="R981" s="1"/>
      <c r="S981" s="1"/>
      <c r="T981" s="1"/>
      <c r="U981" s="1"/>
      <c r="V981" s="1"/>
      <c r="W981" s="1"/>
    </row>
    <row r="982">
      <c r="A982" s="1"/>
      <c r="B982" s="1"/>
      <c r="C982" s="2"/>
      <c r="D982" s="1"/>
      <c r="E982" s="1"/>
      <c r="F982" s="1"/>
      <c r="G982" s="2"/>
      <c r="H982" s="1"/>
      <c r="I982" s="1"/>
      <c r="J982" s="2"/>
      <c r="K982" s="1"/>
      <c r="L982" s="1"/>
      <c r="M982" s="1"/>
      <c r="N982" s="1"/>
      <c r="O982" s="1"/>
      <c r="P982" s="1"/>
      <c r="Q982" s="1"/>
      <c r="R982" s="1"/>
      <c r="S982" s="1"/>
      <c r="T982" s="1"/>
      <c r="U982" s="1"/>
      <c r="V982" s="1"/>
      <c r="W982" s="1"/>
    </row>
    <row r="983">
      <c r="A983" s="1"/>
      <c r="B983" s="1"/>
      <c r="C983" s="2"/>
      <c r="D983" s="1"/>
      <c r="E983" s="1"/>
      <c r="F983" s="1"/>
      <c r="G983" s="2"/>
      <c r="H983" s="1"/>
      <c r="I983" s="1"/>
      <c r="J983" s="2"/>
      <c r="K983" s="1"/>
      <c r="L983" s="1"/>
      <c r="M983" s="1"/>
      <c r="N983" s="1"/>
      <c r="O983" s="1"/>
      <c r="P983" s="1"/>
      <c r="Q983" s="1"/>
      <c r="R983" s="1"/>
      <c r="S983" s="1"/>
      <c r="T983" s="1"/>
      <c r="U983" s="1"/>
      <c r="V983" s="1"/>
      <c r="W983" s="1"/>
    </row>
    <row r="984">
      <c r="A984" s="1"/>
      <c r="B984" s="1"/>
      <c r="C984" s="2"/>
      <c r="D984" s="1"/>
      <c r="E984" s="1"/>
      <c r="F984" s="1"/>
      <c r="G984" s="2"/>
      <c r="H984" s="1"/>
      <c r="I984" s="1"/>
      <c r="J984" s="2"/>
      <c r="K984" s="1"/>
      <c r="L984" s="1"/>
      <c r="M984" s="1"/>
      <c r="N984" s="1"/>
      <c r="O984" s="1"/>
      <c r="P984" s="1"/>
      <c r="Q984" s="1"/>
      <c r="R984" s="1"/>
      <c r="S984" s="1"/>
      <c r="T984" s="1"/>
      <c r="U984" s="1"/>
      <c r="V984" s="1"/>
      <c r="W984" s="1"/>
    </row>
    <row r="985">
      <c r="A985" s="1"/>
      <c r="B985" s="1"/>
      <c r="C985" s="2"/>
      <c r="D985" s="1"/>
      <c r="E985" s="1"/>
      <c r="F985" s="1"/>
      <c r="G985" s="2"/>
      <c r="H985" s="1"/>
      <c r="I985" s="1"/>
      <c r="J985" s="2"/>
      <c r="K985" s="1"/>
      <c r="L985" s="1"/>
      <c r="M985" s="1"/>
      <c r="N985" s="1"/>
      <c r="O985" s="1"/>
      <c r="P985" s="1"/>
      <c r="Q985" s="1"/>
      <c r="R985" s="1"/>
      <c r="S985" s="1"/>
      <c r="T985" s="1"/>
      <c r="U985" s="1"/>
      <c r="V985" s="1"/>
      <c r="W985" s="1"/>
    </row>
    <row r="986">
      <c r="A986" s="1"/>
      <c r="B986" s="1"/>
      <c r="C986" s="2"/>
      <c r="D986" s="1"/>
      <c r="E986" s="1"/>
      <c r="F986" s="1"/>
      <c r="G986" s="2"/>
      <c r="H986" s="1"/>
      <c r="I986" s="1"/>
      <c r="J986" s="2"/>
      <c r="K986" s="1"/>
      <c r="L986" s="1"/>
      <c r="M986" s="1"/>
      <c r="N986" s="1"/>
      <c r="O986" s="1"/>
      <c r="P986" s="1"/>
      <c r="Q986" s="1"/>
      <c r="R986" s="1"/>
      <c r="S986" s="1"/>
      <c r="T986" s="1"/>
      <c r="U986" s="1"/>
      <c r="V986" s="1"/>
      <c r="W986" s="1"/>
    </row>
    <row r="987">
      <c r="A987" s="1"/>
      <c r="B987" s="1"/>
      <c r="C987" s="2"/>
      <c r="D987" s="1"/>
      <c r="E987" s="1"/>
      <c r="F987" s="1"/>
      <c r="G987" s="2"/>
      <c r="H987" s="1"/>
      <c r="I987" s="1"/>
      <c r="J987" s="2"/>
      <c r="K987" s="1"/>
      <c r="L987" s="1"/>
      <c r="M987" s="1"/>
      <c r="N987" s="1"/>
      <c r="O987" s="1"/>
      <c r="P987" s="1"/>
      <c r="Q987" s="1"/>
      <c r="R987" s="1"/>
      <c r="S987" s="1"/>
      <c r="T987" s="1"/>
      <c r="U987" s="1"/>
      <c r="V987" s="1"/>
      <c r="W987" s="1"/>
    </row>
    <row r="988">
      <c r="A988" s="1"/>
      <c r="B988" s="1"/>
      <c r="C988" s="2"/>
      <c r="D988" s="1"/>
      <c r="E988" s="1"/>
      <c r="F988" s="1"/>
      <c r="G988" s="2"/>
      <c r="H988" s="1"/>
      <c r="I988" s="1"/>
      <c r="J988" s="2"/>
      <c r="K988" s="1"/>
      <c r="L988" s="1"/>
      <c r="M988" s="1"/>
      <c r="N988" s="1"/>
      <c r="O988" s="1"/>
      <c r="P988" s="1"/>
      <c r="Q988" s="1"/>
      <c r="R988" s="1"/>
      <c r="S988" s="1"/>
      <c r="T988" s="1"/>
      <c r="U988" s="1"/>
      <c r="V988" s="1"/>
      <c r="W988" s="1"/>
    </row>
    <row r="989">
      <c r="A989" s="1"/>
      <c r="B989" s="1"/>
      <c r="C989" s="2"/>
      <c r="D989" s="1"/>
      <c r="E989" s="1"/>
      <c r="F989" s="1"/>
      <c r="G989" s="2"/>
      <c r="H989" s="1"/>
      <c r="I989" s="1"/>
      <c r="J989" s="2"/>
      <c r="K989" s="1"/>
      <c r="L989" s="1"/>
      <c r="M989" s="1"/>
      <c r="N989" s="1"/>
      <c r="O989" s="1"/>
      <c r="P989" s="1"/>
      <c r="Q989" s="1"/>
      <c r="R989" s="1"/>
      <c r="S989" s="1"/>
      <c r="T989" s="1"/>
      <c r="U989" s="1"/>
      <c r="V989" s="1"/>
      <c r="W989" s="1"/>
    </row>
    <row r="990">
      <c r="A990" s="1"/>
      <c r="B990" s="1"/>
      <c r="C990" s="2"/>
      <c r="D990" s="1"/>
      <c r="E990" s="1"/>
      <c r="F990" s="1"/>
      <c r="G990" s="2"/>
      <c r="H990" s="1"/>
      <c r="I990" s="1"/>
      <c r="J990" s="2"/>
      <c r="K990" s="1"/>
      <c r="L990" s="1"/>
      <c r="M990" s="1"/>
      <c r="N990" s="1"/>
      <c r="O990" s="1"/>
      <c r="P990" s="1"/>
      <c r="Q990" s="1"/>
      <c r="R990" s="1"/>
      <c r="S990" s="1"/>
      <c r="T990" s="1"/>
      <c r="U990" s="1"/>
      <c r="V990" s="1"/>
      <c r="W990" s="1"/>
    </row>
    <row r="991">
      <c r="A991" s="1"/>
      <c r="B991" s="1"/>
      <c r="C991" s="2"/>
      <c r="D991" s="1"/>
      <c r="E991" s="1"/>
      <c r="F991" s="1"/>
      <c r="G991" s="2"/>
      <c r="H991" s="1"/>
      <c r="I991" s="1"/>
      <c r="J991" s="2"/>
      <c r="K991" s="1"/>
      <c r="L991" s="1"/>
      <c r="M991" s="1"/>
      <c r="N991" s="1"/>
      <c r="O991" s="1"/>
      <c r="P991" s="1"/>
      <c r="Q991" s="1"/>
      <c r="R991" s="1"/>
      <c r="S991" s="1"/>
      <c r="T991" s="1"/>
      <c r="U991" s="1"/>
      <c r="V991" s="1"/>
      <c r="W991" s="1"/>
    </row>
    <row r="992">
      <c r="A992" s="1"/>
      <c r="B992" s="1"/>
      <c r="C992" s="2"/>
      <c r="D992" s="1"/>
      <c r="E992" s="1"/>
      <c r="F992" s="1"/>
      <c r="G992" s="2"/>
      <c r="H992" s="1"/>
      <c r="I992" s="1"/>
      <c r="J992" s="2"/>
      <c r="K992" s="1"/>
      <c r="L992" s="1"/>
      <c r="M992" s="1"/>
      <c r="N992" s="1"/>
      <c r="O992" s="1"/>
      <c r="P992" s="1"/>
      <c r="Q992" s="1"/>
      <c r="R992" s="1"/>
      <c r="S992" s="1"/>
      <c r="T992" s="1"/>
      <c r="U992" s="1"/>
      <c r="V992" s="1"/>
      <c r="W992" s="1"/>
    </row>
    <row r="993">
      <c r="A993" s="1"/>
      <c r="B993" s="1"/>
      <c r="C993" s="2"/>
      <c r="D993" s="1"/>
      <c r="E993" s="1"/>
      <c r="F993" s="1"/>
      <c r="G993" s="2"/>
      <c r="H993" s="1"/>
      <c r="I993" s="1"/>
      <c r="J993" s="2"/>
      <c r="K993" s="1"/>
      <c r="L993" s="1"/>
      <c r="M993" s="1"/>
      <c r="N993" s="1"/>
      <c r="O993" s="1"/>
      <c r="P993" s="1"/>
      <c r="Q993" s="1"/>
      <c r="R993" s="1"/>
      <c r="S993" s="1"/>
      <c r="T993" s="1"/>
      <c r="U993" s="1"/>
      <c r="V993" s="1"/>
      <c r="W993" s="1"/>
    </row>
    <row r="994">
      <c r="A994" s="1"/>
      <c r="B994" s="1"/>
      <c r="C994" s="2"/>
      <c r="D994" s="1"/>
      <c r="E994" s="1"/>
      <c r="F994" s="1"/>
      <c r="G994" s="2"/>
      <c r="H994" s="1"/>
      <c r="I994" s="1"/>
      <c r="J994" s="2"/>
      <c r="K994" s="1"/>
      <c r="L994" s="1"/>
      <c r="M994" s="1"/>
      <c r="N994" s="1"/>
      <c r="O994" s="1"/>
      <c r="P994" s="1"/>
      <c r="Q994" s="1"/>
      <c r="R994" s="1"/>
      <c r="S994" s="1"/>
      <c r="T994" s="1"/>
      <c r="U994" s="1"/>
      <c r="V994" s="1"/>
      <c r="W994" s="1"/>
    </row>
    <row r="995">
      <c r="A995" s="1"/>
      <c r="B995" s="1"/>
      <c r="C995" s="2"/>
      <c r="D995" s="1"/>
      <c r="E995" s="1"/>
      <c r="F995" s="1"/>
      <c r="G995" s="2"/>
      <c r="H995" s="1"/>
      <c r="I995" s="1"/>
      <c r="J995" s="2"/>
      <c r="K995" s="1"/>
      <c r="L995" s="1"/>
      <c r="M995" s="1"/>
      <c r="N995" s="1"/>
      <c r="O995" s="1"/>
      <c r="P995" s="1"/>
      <c r="Q995" s="1"/>
      <c r="R995" s="1"/>
      <c r="S995" s="1"/>
      <c r="T995" s="1"/>
      <c r="U995" s="1"/>
      <c r="V995" s="1"/>
      <c r="W995" s="1"/>
    </row>
    <row r="996">
      <c r="A996" s="1"/>
      <c r="B996" s="1"/>
      <c r="C996" s="2"/>
      <c r="D996" s="1"/>
      <c r="E996" s="1"/>
      <c r="F996" s="1"/>
      <c r="G996" s="2"/>
      <c r="H996" s="1"/>
      <c r="I996" s="1"/>
      <c r="J996" s="2"/>
      <c r="K996" s="1"/>
      <c r="L996" s="1"/>
      <c r="M996" s="1"/>
      <c r="N996" s="1"/>
      <c r="O996" s="1"/>
      <c r="P996" s="1"/>
      <c r="Q996" s="1"/>
      <c r="R996" s="1"/>
      <c r="S996" s="1"/>
      <c r="T996" s="1"/>
      <c r="U996" s="1"/>
      <c r="V996" s="1"/>
      <c r="W996" s="1"/>
    </row>
    <row r="997">
      <c r="A997" s="1"/>
      <c r="B997" s="1"/>
      <c r="C997" s="2"/>
      <c r="D997" s="1"/>
      <c r="E997" s="1"/>
      <c r="F997" s="1"/>
      <c r="G997" s="2"/>
      <c r="H997" s="1"/>
      <c r="I997" s="1"/>
      <c r="J997" s="2"/>
      <c r="K997" s="1"/>
      <c r="L997" s="1"/>
      <c r="M997" s="1"/>
      <c r="N997" s="1"/>
      <c r="O997" s="1"/>
      <c r="P997" s="1"/>
      <c r="Q997" s="1"/>
      <c r="R997" s="1"/>
      <c r="S997" s="1"/>
      <c r="T997" s="1"/>
      <c r="U997" s="1"/>
      <c r="V997" s="1"/>
      <c r="W997" s="1"/>
    </row>
    <row r="998">
      <c r="A998" s="1"/>
      <c r="B998" s="1"/>
      <c r="C998" s="2"/>
      <c r="D998" s="1"/>
      <c r="E998" s="1"/>
      <c r="F998" s="1"/>
      <c r="G998" s="2"/>
      <c r="H998" s="1"/>
      <c r="I998" s="1"/>
      <c r="J998" s="2"/>
      <c r="K998" s="1"/>
      <c r="L998" s="1"/>
      <c r="M998" s="1"/>
      <c r="N998" s="1"/>
      <c r="O998" s="1"/>
      <c r="P998" s="1"/>
      <c r="Q998" s="1"/>
      <c r="R998" s="1"/>
      <c r="S998" s="1"/>
      <c r="T998" s="1"/>
      <c r="U998" s="1"/>
      <c r="V998" s="1"/>
      <c r="W998" s="1"/>
    </row>
    <row r="999">
      <c r="A999" s="1"/>
      <c r="B999" s="1"/>
      <c r="C999" s="2"/>
      <c r="D999" s="1"/>
      <c r="E999" s="1"/>
      <c r="F999" s="1"/>
      <c r="G999" s="2"/>
      <c r="H999" s="1"/>
      <c r="I999" s="1"/>
      <c r="J999" s="2"/>
      <c r="K999" s="1"/>
      <c r="L999" s="1"/>
      <c r="M999" s="1"/>
      <c r="N999" s="1"/>
      <c r="O999" s="1"/>
      <c r="P999" s="1"/>
      <c r="Q999" s="1"/>
      <c r="R999" s="1"/>
      <c r="S999" s="1"/>
      <c r="T999" s="1"/>
      <c r="U999" s="1"/>
      <c r="V999" s="1"/>
      <c r="W999" s="1"/>
    </row>
    <row r="1000">
      <c r="A1000" s="1"/>
      <c r="B1000" s="1"/>
      <c r="C1000" s="2"/>
      <c r="D1000" s="1"/>
      <c r="E1000" s="1"/>
      <c r="F1000" s="1"/>
      <c r="G1000" s="2"/>
      <c r="H1000" s="1"/>
      <c r="I1000" s="1"/>
      <c r="J1000" s="2"/>
      <c r="K1000" s="1"/>
      <c r="L1000" s="1"/>
      <c r="M1000" s="1"/>
      <c r="N1000" s="1"/>
      <c r="O1000" s="1"/>
      <c r="P1000" s="1"/>
      <c r="Q1000" s="1"/>
      <c r="R1000" s="1"/>
      <c r="S1000" s="1"/>
      <c r="T1000" s="1"/>
      <c r="U1000" s="1"/>
      <c r="V1000" s="1"/>
      <c r="W1000" s="1"/>
    </row>
    <row r="1001">
      <c r="A1001" s="1"/>
      <c r="B1001" s="1"/>
      <c r="C1001" s="2"/>
      <c r="D1001" s="1"/>
      <c r="E1001" s="1"/>
      <c r="F1001" s="1"/>
      <c r="G1001" s="2"/>
      <c r="H1001" s="1"/>
      <c r="I1001" s="1"/>
      <c r="J1001" s="2"/>
      <c r="K1001" s="1"/>
      <c r="L1001" s="1"/>
      <c r="M1001" s="1"/>
      <c r="N1001" s="1"/>
      <c r="O1001" s="1"/>
      <c r="P1001" s="1"/>
      <c r="Q1001" s="1"/>
      <c r="R1001" s="1"/>
      <c r="S1001" s="1"/>
      <c r="T1001" s="1"/>
      <c r="U1001" s="1"/>
      <c r="V1001" s="1"/>
      <c r="W1001" s="1"/>
    </row>
  </sheetData>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6.13"/>
    <col customWidth="1" min="8" max="9" width="18.88"/>
    <col customWidth="1" min="10" max="10" width="11.75"/>
    <col customWidth="1" min="11" max="118" width="18.88"/>
  </cols>
  <sheetData>
    <row r="1" ht="22.5" customHeight="1">
      <c r="A1" s="7" t="s">
        <v>36</v>
      </c>
      <c r="B1" s="7" t="s">
        <v>2</v>
      </c>
      <c r="C1" s="7" t="s">
        <v>37</v>
      </c>
      <c r="D1" s="7" t="s">
        <v>38</v>
      </c>
      <c r="E1" s="7" t="s">
        <v>3</v>
      </c>
      <c r="F1" s="7" t="s">
        <v>39</v>
      </c>
      <c r="G1" s="7" t="s">
        <v>0</v>
      </c>
      <c r="H1" s="7" t="s">
        <v>40</v>
      </c>
      <c r="I1" s="7" t="s">
        <v>41</v>
      </c>
      <c r="J1" s="8" t="s">
        <v>42</v>
      </c>
      <c r="K1" s="7" t="s">
        <v>43</v>
      </c>
      <c r="L1" s="7" t="s">
        <v>44</v>
      </c>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row>
    <row r="2" ht="22.5" hidden="1" customHeight="1">
      <c r="A2" s="9">
        <v>46171.50839899306</v>
      </c>
      <c r="B2" s="10" t="s">
        <v>9</v>
      </c>
      <c r="C2" s="11"/>
      <c r="D2" s="11"/>
      <c r="E2" s="10" t="s">
        <v>16</v>
      </c>
      <c r="F2" s="12">
        <v>46170.0</v>
      </c>
      <c r="G2" s="10" t="s">
        <v>15</v>
      </c>
      <c r="H2" s="10" t="s">
        <v>45</v>
      </c>
      <c r="I2" s="10" t="s">
        <v>46</v>
      </c>
      <c r="J2" s="13">
        <v>2000000.0</v>
      </c>
      <c r="K2" s="10" t="s">
        <v>47</v>
      </c>
      <c r="L2" s="11"/>
    </row>
    <row r="3" ht="22.5" hidden="1" customHeight="1">
      <c r="A3" s="14">
        <v>46171.50908201389</v>
      </c>
      <c r="B3" s="15" t="s">
        <v>9</v>
      </c>
      <c r="E3" s="15" t="s">
        <v>23</v>
      </c>
      <c r="F3" s="16">
        <v>46170.0</v>
      </c>
      <c r="G3" s="15" t="s">
        <v>8</v>
      </c>
      <c r="H3" s="15" t="s">
        <v>23</v>
      </c>
      <c r="I3" s="15" t="s">
        <v>48</v>
      </c>
      <c r="J3" s="17">
        <v>400000.0</v>
      </c>
      <c r="K3" s="15" t="s">
        <v>47</v>
      </c>
    </row>
    <row r="4" ht="22.5" hidden="1" customHeight="1">
      <c r="A4" s="14">
        <v>46171.511495</v>
      </c>
      <c r="B4" s="15" t="s">
        <v>9</v>
      </c>
      <c r="E4" s="15" t="s">
        <v>25</v>
      </c>
      <c r="F4" s="16">
        <v>46171.0</v>
      </c>
      <c r="G4" s="15" t="s">
        <v>8</v>
      </c>
      <c r="H4" s="15" t="s">
        <v>49</v>
      </c>
      <c r="I4" s="15" t="s">
        <v>50</v>
      </c>
      <c r="J4" s="17">
        <v>45700.0</v>
      </c>
      <c r="K4" s="15" t="s">
        <v>47</v>
      </c>
      <c r="L4" s="19" t="s">
        <v>51</v>
      </c>
    </row>
    <row r="5" ht="22.5" hidden="1" customHeight="1">
      <c r="A5" s="14">
        <v>46172.33159627314</v>
      </c>
      <c r="B5" s="15" t="s">
        <v>34</v>
      </c>
      <c r="C5" s="15" t="s">
        <v>52</v>
      </c>
      <c r="E5" s="15" t="s">
        <v>26</v>
      </c>
      <c r="F5" s="16">
        <v>46172.0</v>
      </c>
      <c r="G5" s="15" t="s">
        <v>11</v>
      </c>
      <c r="H5" s="15" t="s">
        <v>53</v>
      </c>
      <c r="I5" s="15" t="s">
        <v>54</v>
      </c>
      <c r="J5" s="17">
        <v>48000.0</v>
      </c>
      <c r="K5" s="15" t="s">
        <v>47</v>
      </c>
    </row>
    <row r="6" ht="22.5" hidden="1" customHeight="1">
      <c r="A6" s="14">
        <v>46172.41673840278</v>
      </c>
      <c r="B6" s="15" t="s">
        <v>9</v>
      </c>
      <c r="E6" s="15" t="s">
        <v>12</v>
      </c>
      <c r="F6" s="16">
        <v>46171.0</v>
      </c>
      <c r="G6" s="15" t="s">
        <v>8</v>
      </c>
      <c r="H6" s="15" t="s">
        <v>55</v>
      </c>
      <c r="I6" s="15" t="s">
        <v>56</v>
      </c>
      <c r="J6" s="17">
        <v>450000.0</v>
      </c>
      <c r="K6" s="15" t="s">
        <v>47</v>
      </c>
      <c r="L6" s="19" t="s">
        <v>57</v>
      </c>
    </row>
    <row r="7" ht="22.5" hidden="1" customHeight="1">
      <c r="A7" s="14">
        <v>46172.417634722224</v>
      </c>
      <c r="B7" s="15" t="s">
        <v>9</v>
      </c>
      <c r="E7" s="15" t="s">
        <v>30</v>
      </c>
      <c r="F7" s="16">
        <v>46171.0</v>
      </c>
      <c r="G7" s="15" t="s">
        <v>13</v>
      </c>
      <c r="H7" s="15" t="s">
        <v>58</v>
      </c>
      <c r="I7" s="15" t="s">
        <v>59</v>
      </c>
      <c r="J7" s="17">
        <v>65400.0</v>
      </c>
      <c r="K7" s="15" t="s">
        <v>47</v>
      </c>
    </row>
    <row r="8" ht="22.5" hidden="1" customHeight="1">
      <c r="A8" s="14">
        <v>46172.41889199074</v>
      </c>
      <c r="B8" s="15" t="s">
        <v>9</v>
      </c>
      <c r="E8" s="15" t="s">
        <v>30</v>
      </c>
      <c r="F8" s="16">
        <v>46171.0</v>
      </c>
      <c r="G8" s="15" t="s">
        <v>13</v>
      </c>
      <c r="H8" s="15" t="s">
        <v>58</v>
      </c>
      <c r="I8" s="15" t="s">
        <v>60</v>
      </c>
      <c r="J8" s="17">
        <v>6100.0</v>
      </c>
      <c r="K8" s="15" t="s">
        <v>47</v>
      </c>
    </row>
    <row r="9" ht="22.5" hidden="1" customHeight="1">
      <c r="A9" s="14">
        <v>46172.4197062037</v>
      </c>
      <c r="B9" s="15" t="s">
        <v>9</v>
      </c>
      <c r="E9" s="15" t="s">
        <v>26</v>
      </c>
      <c r="F9" s="16">
        <v>46172.0</v>
      </c>
      <c r="G9" s="15" t="s">
        <v>15</v>
      </c>
      <c r="H9" s="15" t="s">
        <v>53</v>
      </c>
      <c r="I9" s="15" t="s">
        <v>61</v>
      </c>
      <c r="J9" s="17">
        <v>29000.0</v>
      </c>
      <c r="K9" s="15" t="s">
        <v>62</v>
      </c>
    </row>
    <row r="10" ht="22.5" hidden="1" customHeight="1">
      <c r="A10" s="14">
        <v>46172.42267292824</v>
      </c>
      <c r="B10" s="15" t="s">
        <v>9</v>
      </c>
      <c r="E10" s="15" t="s">
        <v>30</v>
      </c>
      <c r="F10" s="16">
        <v>46172.0</v>
      </c>
      <c r="G10" s="15" t="s">
        <v>13</v>
      </c>
      <c r="H10" s="15" t="s">
        <v>58</v>
      </c>
      <c r="I10" s="15" t="s">
        <v>63</v>
      </c>
      <c r="J10" s="17">
        <v>4800.0</v>
      </c>
      <c r="K10" s="15" t="s">
        <v>62</v>
      </c>
      <c r="N10" s="21" t="s">
        <v>64</v>
      </c>
      <c r="O10" s="22">
        <f>RESUMEN!C19*4</f>
        <v>59588115</v>
      </c>
    </row>
    <row r="11" ht="22.5" hidden="1" customHeight="1">
      <c r="A11" s="14">
        <v>46172.792838368056</v>
      </c>
      <c r="B11" s="15" t="s">
        <v>9</v>
      </c>
      <c r="E11" s="15" t="s">
        <v>30</v>
      </c>
      <c r="F11" s="16">
        <v>46172.0</v>
      </c>
      <c r="G11" s="15" t="s">
        <v>15</v>
      </c>
      <c r="H11" s="15" t="s">
        <v>58</v>
      </c>
      <c r="I11" s="15" t="s">
        <v>65</v>
      </c>
      <c r="J11" s="17">
        <v>28500.0</v>
      </c>
      <c r="K11" s="15" t="s">
        <v>62</v>
      </c>
      <c r="N11" s="21" t="s">
        <v>66</v>
      </c>
      <c r="O11" s="23">
        <f>O10-O9</f>
        <v>4793732</v>
      </c>
    </row>
    <row r="12" ht="22.5" hidden="1" customHeight="1">
      <c r="A12" s="14">
        <v>46172.794081631946</v>
      </c>
      <c r="B12" s="15" t="s">
        <v>9</v>
      </c>
      <c r="E12" s="15" t="s">
        <v>26</v>
      </c>
      <c r="F12" s="16">
        <v>46172.0</v>
      </c>
      <c r="G12" s="15" t="s">
        <v>15</v>
      </c>
      <c r="H12" s="15" t="s">
        <v>67</v>
      </c>
      <c r="I12" s="15" t="s">
        <v>68</v>
      </c>
      <c r="J12" s="17">
        <v>107000.0</v>
      </c>
      <c r="K12" s="15" t="s">
        <v>62</v>
      </c>
    </row>
    <row r="13" ht="22.5" hidden="1" customHeight="1">
      <c r="A13" s="14">
        <v>46172.79553773148</v>
      </c>
      <c r="B13" s="15" t="s">
        <v>9</v>
      </c>
      <c r="E13" s="15" t="s">
        <v>27</v>
      </c>
      <c r="F13" s="16">
        <v>46172.0</v>
      </c>
      <c r="G13" s="15" t="s">
        <v>15</v>
      </c>
      <c r="H13" s="15" t="s">
        <v>69</v>
      </c>
      <c r="I13" s="15" t="s">
        <v>70</v>
      </c>
      <c r="J13" s="17">
        <v>21000.0</v>
      </c>
      <c r="K13" s="15" t="s">
        <v>62</v>
      </c>
    </row>
    <row r="14" ht="22.5" hidden="1" customHeight="1">
      <c r="A14" s="14">
        <v>46172.7972841088</v>
      </c>
      <c r="B14" s="15" t="s">
        <v>9</v>
      </c>
      <c r="E14" s="15" t="s">
        <v>16</v>
      </c>
      <c r="F14" s="16">
        <v>46172.0</v>
      </c>
      <c r="G14" s="15" t="s">
        <v>15</v>
      </c>
      <c r="H14" s="15" t="s">
        <v>45</v>
      </c>
      <c r="I14" s="15" t="s">
        <v>71</v>
      </c>
      <c r="J14" s="17">
        <v>2000000.0</v>
      </c>
      <c r="K14" s="15" t="s">
        <v>47</v>
      </c>
    </row>
    <row r="15" ht="22.5" hidden="1" customHeight="1">
      <c r="A15" s="14">
        <v>46172.80533347222</v>
      </c>
      <c r="B15" s="15" t="s">
        <v>9</v>
      </c>
      <c r="E15" s="15" t="s">
        <v>21</v>
      </c>
      <c r="F15" s="16">
        <v>46172.0</v>
      </c>
      <c r="G15" s="15" t="s">
        <v>15</v>
      </c>
      <c r="H15" s="15" t="s">
        <v>72</v>
      </c>
      <c r="I15" s="15" t="s">
        <v>72</v>
      </c>
      <c r="J15" s="17">
        <v>634000.0</v>
      </c>
      <c r="K15" s="15" t="s">
        <v>47</v>
      </c>
    </row>
    <row r="16" ht="22.5" hidden="1" customHeight="1">
      <c r="A16" s="14">
        <v>46174.42794065972</v>
      </c>
      <c r="B16" s="15" t="s">
        <v>34</v>
      </c>
      <c r="C16" s="15" t="s">
        <v>52</v>
      </c>
      <c r="E16" s="15" t="s">
        <v>28</v>
      </c>
      <c r="F16" s="16">
        <v>46172.0</v>
      </c>
      <c r="G16" s="15" t="s">
        <v>11</v>
      </c>
      <c r="H16" s="15" t="s">
        <v>73</v>
      </c>
      <c r="I16" s="15" t="s">
        <v>74</v>
      </c>
      <c r="J16" s="17">
        <v>30000.0</v>
      </c>
      <c r="K16" s="15" t="s">
        <v>62</v>
      </c>
    </row>
    <row r="17" ht="22.5" hidden="1" customHeight="1">
      <c r="A17" s="14">
        <v>46174.430040983796</v>
      </c>
      <c r="B17" s="15" t="s">
        <v>34</v>
      </c>
      <c r="C17" s="15" t="s">
        <v>52</v>
      </c>
      <c r="E17" s="15" t="s">
        <v>27</v>
      </c>
      <c r="F17" s="16">
        <v>46172.0</v>
      </c>
      <c r="G17" s="15" t="s">
        <v>11</v>
      </c>
      <c r="H17" s="15" t="s">
        <v>75</v>
      </c>
      <c r="I17" s="15" t="s">
        <v>76</v>
      </c>
      <c r="J17" s="17">
        <v>25000.0</v>
      </c>
      <c r="K17" s="15" t="s">
        <v>62</v>
      </c>
    </row>
    <row r="18" ht="22.5" hidden="1" customHeight="1">
      <c r="A18" s="14">
        <v>46174.595994456016</v>
      </c>
      <c r="B18" s="15" t="s">
        <v>9</v>
      </c>
      <c r="E18" s="15" t="s">
        <v>12</v>
      </c>
      <c r="F18" s="16">
        <v>46174.0</v>
      </c>
      <c r="G18" s="15" t="s">
        <v>8</v>
      </c>
      <c r="H18" s="15" t="s">
        <v>77</v>
      </c>
      <c r="I18" s="15" t="s">
        <v>78</v>
      </c>
      <c r="J18" s="17">
        <v>1055000.0</v>
      </c>
      <c r="K18" s="15" t="s">
        <v>47</v>
      </c>
      <c r="L18" s="19" t="s">
        <v>79</v>
      </c>
    </row>
    <row r="19" ht="22.5" hidden="1" customHeight="1">
      <c r="A19" s="14">
        <v>46174.63387568287</v>
      </c>
      <c r="B19" s="15" t="s">
        <v>9</v>
      </c>
      <c r="E19" s="15" t="s">
        <v>14</v>
      </c>
      <c r="F19" s="16">
        <v>46172.0</v>
      </c>
      <c r="G19" s="15" t="s">
        <v>11</v>
      </c>
      <c r="H19" s="15" t="s">
        <v>80</v>
      </c>
      <c r="I19" s="15" t="s">
        <v>81</v>
      </c>
      <c r="J19" s="17">
        <v>4406000.0</v>
      </c>
      <c r="K19" s="15" t="s">
        <v>62</v>
      </c>
    </row>
    <row r="20" ht="22.5" hidden="1" customHeight="1">
      <c r="A20" s="14">
        <v>46174.63527496527</v>
      </c>
      <c r="B20" s="15" t="s">
        <v>9</v>
      </c>
      <c r="E20" s="15" t="s">
        <v>14</v>
      </c>
      <c r="F20" s="16">
        <v>46172.0</v>
      </c>
      <c r="G20" s="15" t="s">
        <v>13</v>
      </c>
      <c r="H20" s="15" t="s">
        <v>82</v>
      </c>
      <c r="I20" s="15" t="s">
        <v>83</v>
      </c>
      <c r="J20" s="17">
        <v>55000.0</v>
      </c>
      <c r="K20" s="15" t="s">
        <v>47</v>
      </c>
    </row>
    <row r="21" ht="22.5" customHeight="1">
      <c r="A21" s="14">
        <v>46174.63795287037</v>
      </c>
      <c r="B21" s="15" t="s">
        <v>9</v>
      </c>
      <c r="E21" s="15" t="s">
        <v>10</v>
      </c>
      <c r="F21" s="16">
        <v>46172.0</v>
      </c>
      <c r="G21" s="15" t="s">
        <v>8</v>
      </c>
      <c r="H21" s="15" t="s">
        <v>10</v>
      </c>
      <c r="I21" s="15" t="s">
        <v>84</v>
      </c>
      <c r="J21" s="17">
        <v>1352000.0</v>
      </c>
      <c r="K21" s="15" t="s">
        <v>85</v>
      </c>
    </row>
    <row r="22" ht="22.5" hidden="1" customHeight="1">
      <c r="A22" s="14">
        <v>46174.640609953705</v>
      </c>
      <c r="B22" s="15" t="s">
        <v>9</v>
      </c>
      <c r="E22" s="15" t="s">
        <v>19</v>
      </c>
      <c r="F22" s="16">
        <v>46172.0</v>
      </c>
      <c r="G22" s="15" t="s">
        <v>8</v>
      </c>
      <c r="H22" s="15" t="s">
        <v>86</v>
      </c>
      <c r="I22" s="15" t="s">
        <v>87</v>
      </c>
      <c r="J22" s="17">
        <v>977000.0</v>
      </c>
      <c r="K22" s="15" t="s">
        <v>85</v>
      </c>
    </row>
    <row r="23" ht="22.5" hidden="1" customHeight="1">
      <c r="A23" s="14">
        <v>46174.6426819676</v>
      </c>
      <c r="B23" s="15" t="s">
        <v>9</v>
      </c>
      <c r="E23" s="15" t="s">
        <v>12</v>
      </c>
      <c r="F23" s="16">
        <v>46173.0</v>
      </c>
      <c r="G23" s="15" t="s">
        <v>13</v>
      </c>
      <c r="H23" s="15" t="s">
        <v>88</v>
      </c>
      <c r="I23" s="15" t="s">
        <v>89</v>
      </c>
      <c r="J23" s="17">
        <v>52300.0</v>
      </c>
      <c r="K23" s="15" t="s">
        <v>62</v>
      </c>
    </row>
    <row r="24" ht="22.5" hidden="1" customHeight="1">
      <c r="A24" s="14">
        <v>46174.64415032408</v>
      </c>
      <c r="B24" s="15" t="s">
        <v>9</v>
      </c>
      <c r="E24" s="15" t="s">
        <v>12</v>
      </c>
      <c r="F24" s="16">
        <v>46174.0</v>
      </c>
      <c r="G24" s="15" t="s">
        <v>8</v>
      </c>
      <c r="H24" s="15" t="s">
        <v>88</v>
      </c>
      <c r="I24" s="15" t="s">
        <v>90</v>
      </c>
      <c r="J24" s="17">
        <v>13000.0</v>
      </c>
      <c r="K24" s="15" t="s">
        <v>62</v>
      </c>
    </row>
    <row r="25" ht="22.5" hidden="1" customHeight="1">
      <c r="A25" s="14">
        <v>46176.16182480324</v>
      </c>
      <c r="B25" s="15" t="s">
        <v>9</v>
      </c>
      <c r="E25" s="15" t="s">
        <v>20</v>
      </c>
      <c r="F25" s="16">
        <v>46175.0</v>
      </c>
      <c r="G25" s="15" t="s">
        <v>13</v>
      </c>
      <c r="H25" s="15" t="s">
        <v>91</v>
      </c>
      <c r="I25" s="15" t="s">
        <v>92</v>
      </c>
      <c r="J25" s="17">
        <v>15400.0</v>
      </c>
      <c r="K25" s="15" t="s">
        <v>62</v>
      </c>
    </row>
    <row r="26" ht="22.5" hidden="1" customHeight="1">
      <c r="A26" s="14">
        <v>46176.164334155095</v>
      </c>
      <c r="B26" s="15" t="s">
        <v>9</v>
      </c>
      <c r="E26" s="15" t="s">
        <v>12</v>
      </c>
      <c r="F26" s="16">
        <v>46175.0</v>
      </c>
      <c r="G26" s="15" t="s">
        <v>8</v>
      </c>
      <c r="H26" s="15" t="s">
        <v>93</v>
      </c>
      <c r="I26" s="15" t="s">
        <v>94</v>
      </c>
      <c r="J26" s="17">
        <v>97450.0</v>
      </c>
      <c r="K26" s="15" t="s">
        <v>62</v>
      </c>
    </row>
    <row r="27" ht="22.5" hidden="1" customHeight="1">
      <c r="A27" s="14">
        <v>46176.165981053244</v>
      </c>
      <c r="B27" s="15" t="s">
        <v>9</v>
      </c>
      <c r="E27" s="15" t="s">
        <v>12</v>
      </c>
      <c r="F27" s="16">
        <v>46175.0</v>
      </c>
      <c r="G27" s="15" t="s">
        <v>8</v>
      </c>
      <c r="H27" s="15" t="s">
        <v>93</v>
      </c>
      <c r="I27" s="15" t="s">
        <v>95</v>
      </c>
      <c r="J27" s="17">
        <v>18100.0</v>
      </c>
      <c r="K27" s="15" t="s">
        <v>62</v>
      </c>
    </row>
    <row r="28" ht="22.5" hidden="1" customHeight="1">
      <c r="A28" s="14">
        <v>46176.16758127315</v>
      </c>
      <c r="B28" s="15" t="s">
        <v>9</v>
      </c>
      <c r="E28" s="15" t="s">
        <v>12</v>
      </c>
      <c r="F28" s="16">
        <v>46175.0</v>
      </c>
      <c r="G28" s="15" t="s">
        <v>8</v>
      </c>
      <c r="H28" s="15" t="s">
        <v>93</v>
      </c>
      <c r="I28" s="15" t="s">
        <v>96</v>
      </c>
      <c r="J28" s="17">
        <v>29800.0</v>
      </c>
      <c r="K28" s="15" t="s">
        <v>62</v>
      </c>
      <c r="P28" s="20">
        <f>O33-O28</f>
        <v>5200</v>
      </c>
    </row>
    <row r="29" ht="22.5" hidden="1" customHeight="1">
      <c r="A29" s="14">
        <v>46176.170281122686</v>
      </c>
      <c r="B29" s="15" t="s">
        <v>9</v>
      </c>
      <c r="E29" s="15" t="s">
        <v>20</v>
      </c>
      <c r="F29" s="16">
        <v>46175.0</v>
      </c>
      <c r="G29" s="15" t="s">
        <v>13</v>
      </c>
      <c r="H29" s="15" t="s">
        <v>91</v>
      </c>
      <c r="I29" s="15" t="s">
        <v>97</v>
      </c>
      <c r="J29" s="17">
        <v>14400.0</v>
      </c>
      <c r="K29" s="15" t="s">
        <v>62</v>
      </c>
    </row>
    <row r="30" ht="22.5" hidden="1" customHeight="1">
      <c r="A30" s="14">
        <v>46176.171088055555</v>
      </c>
      <c r="B30" s="15" t="s">
        <v>9</v>
      </c>
      <c r="E30" s="15" t="s">
        <v>12</v>
      </c>
      <c r="F30" s="16">
        <v>46175.0</v>
      </c>
      <c r="G30" s="15" t="s">
        <v>13</v>
      </c>
      <c r="H30" s="15" t="s">
        <v>93</v>
      </c>
      <c r="I30" s="15" t="s">
        <v>98</v>
      </c>
      <c r="J30" s="17">
        <v>4800.0</v>
      </c>
      <c r="K30" s="15" t="s">
        <v>62</v>
      </c>
    </row>
    <row r="31" ht="22.5" hidden="1" customHeight="1">
      <c r="A31" s="14">
        <v>46176.17214144676</v>
      </c>
      <c r="B31" s="15" t="s">
        <v>9</v>
      </c>
      <c r="E31" s="15" t="s">
        <v>20</v>
      </c>
      <c r="F31" s="16">
        <v>46175.0</v>
      </c>
      <c r="G31" s="15" t="s">
        <v>13</v>
      </c>
      <c r="H31" s="15" t="s">
        <v>91</v>
      </c>
      <c r="I31" s="15" t="s">
        <v>99</v>
      </c>
      <c r="J31" s="17">
        <v>37000.0</v>
      </c>
      <c r="K31" s="15" t="s">
        <v>62</v>
      </c>
    </row>
    <row r="32" ht="22.5" hidden="1" customHeight="1">
      <c r="A32" s="14">
        <v>46176.7741446875</v>
      </c>
      <c r="B32" s="15" t="s">
        <v>9</v>
      </c>
      <c r="E32" s="15" t="s">
        <v>29</v>
      </c>
      <c r="F32" s="16">
        <v>46176.0</v>
      </c>
      <c r="G32" s="15" t="s">
        <v>15</v>
      </c>
      <c r="H32" s="15" t="s">
        <v>100</v>
      </c>
      <c r="I32" s="15" t="s">
        <v>101</v>
      </c>
      <c r="J32" s="17">
        <v>40000.0</v>
      </c>
      <c r="K32" s="15" t="s">
        <v>62</v>
      </c>
    </row>
    <row r="33" ht="22.5" hidden="1" customHeight="1">
      <c r="A33" s="14">
        <v>46176.81652461806</v>
      </c>
      <c r="B33" s="15" t="s">
        <v>9</v>
      </c>
      <c r="E33" s="15" t="s">
        <v>29</v>
      </c>
      <c r="F33" s="16">
        <v>46176.0</v>
      </c>
      <c r="G33" s="15" t="s">
        <v>15</v>
      </c>
      <c r="H33" s="15" t="s">
        <v>100</v>
      </c>
      <c r="I33" s="15" t="s">
        <v>102</v>
      </c>
      <c r="J33" s="17">
        <v>60000.0</v>
      </c>
      <c r="K33" s="15" t="s">
        <v>62</v>
      </c>
    </row>
    <row r="34" ht="22.5" customHeight="1">
      <c r="A34" s="14">
        <v>46176.82107755787</v>
      </c>
      <c r="B34" s="15" t="s">
        <v>9</v>
      </c>
      <c r="E34" s="15" t="s">
        <v>10</v>
      </c>
      <c r="F34" s="16">
        <v>46176.0</v>
      </c>
      <c r="G34" s="15" t="s">
        <v>15</v>
      </c>
      <c r="H34" s="15" t="s">
        <v>103</v>
      </c>
      <c r="I34" s="15" t="s">
        <v>104</v>
      </c>
      <c r="J34" s="17">
        <v>50000.0</v>
      </c>
      <c r="K34" s="15" t="s">
        <v>62</v>
      </c>
    </row>
    <row r="35" ht="22.5" customHeight="1">
      <c r="A35" s="14">
        <v>46177.7946315625</v>
      </c>
      <c r="B35" s="15" t="s">
        <v>9</v>
      </c>
      <c r="E35" s="15" t="s">
        <v>10</v>
      </c>
      <c r="F35" s="16">
        <v>46177.0</v>
      </c>
      <c r="G35" s="15" t="s">
        <v>11</v>
      </c>
      <c r="H35" s="15" t="s">
        <v>10</v>
      </c>
      <c r="I35" s="15" t="s">
        <v>105</v>
      </c>
      <c r="J35" s="17">
        <v>2090000.0</v>
      </c>
      <c r="K35" s="15" t="s">
        <v>47</v>
      </c>
    </row>
    <row r="36" ht="22.5" customHeight="1">
      <c r="A36" s="14">
        <v>46177.795438773144</v>
      </c>
      <c r="B36" s="15" t="s">
        <v>9</v>
      </c>
      <c r="E36" s="15" t="s">
        <v>10</v>
      </c>
      <c r="F36" s="16">
        <v>46177.0</v>
      </c>
      <c r="G36" s="15" t="s">
        <v>11</v>
      </c>
      <c r="H36" s="15" t="s">
        <v>10</v>
      </c>
      <c r="I36" s="15" t="s">
        <v>106</v>
      </c>
      <c r="J36" s="17">
        <v>560000.0</v>
      </c>
      <c r="K36" s="15" t="s">
        <v>47</v>
      </c>
    </row>
    <row r="37" ht="22.5" customHeight="1">
      <c r="A37" s="14">
        <v>46177.79643079861</v>
      </c>
      <c r="B37" s="15" t="s">
        <v>9</v>
      </c>
      <c r="E37" s="15" t="s">
        <v>10</v>
      </c>
      <c r="F37" s="16">
        <v>46177.0</v>
      </c>
      <c r="G37" s="15" t="s">
        <v>15</v>
      </c>
      <c r="H37" s="15" t="s">
        <v>10</v>
      </c>
      <c r="I37" s="15" t="s">
        <v>107</v>
      </c>
      <c r="J37" s="17">
        <v>358000.0</v>
      </c>
      <c r="K37" s="15" t="s">
        <v>47</v>
      </c>
    </row>
    <row r="38" ht="22.5" hidden="1" customHeight="1">
      <c r="A38" s="14">
        <v>46177.79933267361</v>
      </c>
      <c r="B38" s="15" t="s">
        <v>9</v>
      </c>
      <c r="E38" s="15" t="s">
        <v>28</v>
      </c>
      <c r="F38" s="16">
        <v>46176.0</v>
      </c>
      <c r="G38" s="15" t="s">
        <v>11</v>
      </c>
      <c r="H38" s="15" t="s">
        <v>28</v>
      </c>
      <c r="I38" s="15" t="s">
        <v>108</v>
      </c>
      <c r="J38" s="17">
        <v>25000.0</v>
      </c>
      <c r="K38" s="15" t="s">
        <v>47</v>
      </c>
    </row>
    <row r="39" ht="22.5" hidden="1" customHeight="1">
      <c r="A39" s="14">
        <v>46177.80020578703</v>
      </c>
      <c r="B39" s="15" t="s">
        <v>9</v>
      </c>
      <c r="E39" s="15" t="s">
        <v>27</v>
      </c>
      <c r="F39" s="16">
        <v>46176.0</v>
      </c>
      <c r="G39" s="15" t="s">
        <v>15</v>
      </c>
      <c r="H39" s="15" t="s">
        <v>109</v>
      </c>
      <c r="I39" s="15" t="s">
        <v>109</v>
      </c>
      <c r="J39" s="17">
        <v>70000.0</v>
      </c>
      <c r="K39" s="15" t="s">
        <v>62</v>
      </c>
    </row>
    <row r="40" ht="22.5" hidden="1" customHeight="1">
      <c r="A40" s="14">
        <v>46177.80125107639</v>
      </c>
      <c r="B40" s="15" t="s">
        <v>9</v>
      </c>
      <c r="E40" s="15" t="s">
        <v>26</v>
      </c>
      <c r="F40" s="16">
        <v>46176.0</v>
      </c>
      <c r="G40" s="15" t="s">
        <v>15</v>
      </c>
      <c r="H40" s="15" t="s">
        <v>54</v>
      </c>
      <c r="I40" s="15" t="s">
        <v>110</v>
      </c>
      <c r="J40" s="17">
        <v>32500.0</v>
      </c>
      <c r="K40" s="15" t="s">
        <v>62</v>
      </c>
    </row>
    <row r="41" ht="22.5" hidden="1" customHeight="1">
      <c r="A41" s="14">
        <v>46177.8038121875</v>
      </c>
      <c r="B41" s="15" t="s">
        <v>9</v>
      </c>
      <c r="E41" s="15" t="s">
        <v>22</v>
      </c>
      <c r="F41" s="16">
        <v>46177.0</v>
      </c>
      <c r="G41" s="15" t="s">
        <v>15</v>
      </c>
      <c r="H41" s="15" t="s">
        <v>111</v>
      </c>
      <c r="I41" s="15" t="s">
        <v>112</v>
      </c>
      <c r="J41" s="17">
        <v>445890.0</v>
      </c>
      <c r="K41" s="15" t="s">
        <v>47</v>
      </c>
    </row>
    <row r="42" ht="22.5" hidden="1" customHeight="1">
      <c r="A42" s="14">
        <v>46178.44535195602</v>
      </c>
      <c r="B42" s="15" t="s">
        <v>9</v>
      </c>
      <c r="E42" s="15" t="s">
        <v>29</v>
      </c>
      <c r="F42" s="16">
        <v>46177.0</v>
      </c>
      <c r="G42" s="15" t="s">
        <v>13</v>
      </c>
      <c r="H42" s="15" t="s">
        <v>100</v>
      </c>
      <c r="I42" s="15" t="s">
        <v>113</v>
      </c>
      <c r="J42" s="17">
        <v>7500.0</v>
      </c>
      <c r="K42" s="15" t="s">
        <v>62</v>
      </c>
    </row>
    <row r="43" ht="22.5" hidden="1" customHeight="1">
      <c r="A43" s="14">
        <v>46178.44793703704</v>
      </c>
      <c r="B43" s="15" t="s">
        <v>9</v>
      </c>
      <c r="E43" s="15" t="s">
        <v>32</v>
      </c>
      <c r="F43" s="16">
        <v>46178.0</v>
      </c>
      <c r="G43" s="15" t="s">
        <v>13</v>
      </c>
      <c r="H43" s="15" t="s">
        <v>93</v>
      </c>
      <c r="I43" s="15" t="s">
        <v>114</v>
      </c>
      <c r="J43" s="17">
        <v>24200.0</v>
      </c>
      <c r="K43" s="15" t="s">
        <v>62</v>
      </c>
    </row>
    <row r="44" ht="22.5" hidden="1" customHeight="1">
      <c r="A44" s="14">
        <v>46178.449812314815</v>
      </c>
      <c r="B44" s="15" t="s">
        <v>9</v>
      </c>
      <c r="E44" s="15" t="s">
        <v>20</v>
      </c>
      <c r="F44" s="16">
        <v>46177.0</v>
      </c>
      <c r="G44" s="15" t="s">
        <v>13</v>
      </c>
      <c r="H44" s="15" t="s">
        <v>115</v>
      </c>
      <c r="I44" s="15" t="s">
        <v>116</v>
      </c>
      <c r="J44" s="17">
        <v>3800.0</v>
      </c>
      <c r="K44" s="15" t="s">
        <v>62</v>
      </c>
    </row>
    <row r="45" ht="22.5" hidden="1" customHeight="1">
      <c r="A45" s="14">
        <v>46178.45184799768</v>
      </c>
      <c r="B45" s="15" t="s">
        <v>34</v>
      </c>
      <c r="C45" s="15" t="s">
        <v>52</v>
      </c>
      <c r="E45" s="15" t="s">
        <v>35</v>
      </c>
      <c r="F45" s="16">
        <v>46177.0</v>
      </c>
      <c r="G45" s="15" t="s">
        <v>13</v>
      </c>
      <c r="H45" s="15" t="s">
        <v>117</v>
      </c>
      <c r="I45" s="15" t="s">
        <v>118</v>
      </c>
      <c r="J45" s="17">
        <v>18000.0</v>
      </c>
      <c r="K45" s="15" t="s">
        <v>62</v>
      </c>
    </row>
    <row r="46" ht="22.5" customHeight="1">
      <c r="A46" s="14">
        <v>46178.533656631946</v>
      </c>
      <c r="B46" s="15" t="s">
        <v>9</v>
      </c>
      <c r="E46" s="15" t="s">
        <v>10</v>
      </c>
      <c r="F46" s="16">
        <v>46176.0</v>
      </c>
      <c r="G46" s="15" t="s">
        <v>13</v>
      </c>
      <c r="H46" s="15" t="s">
        <v>10</v>
      </c>
      <c r="I46" s="15" t="s">
        <v>119</v>
      </c>
      <c r="J46" s="17">
        <v>2332000.0</v>
      </c>
      <c r="K46" s="15" t="s">
        <v>47</v>
      </c>
    </row>
    <row r="47" ht="22.5" customHeight="1">
      <c r="A47" s="14">
        <v>46178.6316871875</v>
      </c>
      <c r="B47" s="15" t="s">
        <v>9</v>
      </c>
      <c r="E47" s="15" t="s">
        <v>10</v>
      </c>
      <c r="F47" s="16">
        <v>46176.0</v>
      </c>
      <c r="G47" s="15" t="s">
        <v>13</v>
      </c>
      <c r="H47" s="15" t="s">
        <v>10</v>
      </c>
      <c r="I47" s="15" t="s">
        <v>120</v>
      </c>
      <c r="J47" s="17">
        <v>686000.0</v>
      </c>
      <c r="K47" s="15" t="s">
        <v>62</v>
      </c>
    </row>
    <row r="48" ht="22.5" customHeight="1">
      <c r="A48" s="14">
        <v>46178.634295578704</v>
      </c>
      <c r="B48" s="15" t="s">
        <v>9</v>
      </c>
      <c r="E48" s="15" t="s">
        <v>10</v>
      </c>
      <c r="F48" s="16">
        <v>46176.0</v>
      </c>
      <c r="G48" s="15" t="s">
        <v>13</v>
      </c>
      <c r="H48" s="15" t="s">
        <v>10</v>
      </c>
      <c r="I48" s="15" t="s">
        <v>121</v>
      </c>
      <c r="J48" s="17">
        <v>630000.0</v>
      </c>
      <c r="K48" s="15" t="s">
        <v>47</v>
      </c>
    </row>
    <row r="49" ht="22.5" customHeight="1">
      <c r="A49" s="14">
        <v>46178.63783673611</v>
      </c>
      <c r="B49" s="15" t="s">
        <v>9</v>
      </c>
      <c r="E49" s="15" t="s">
        <v>10</v>
      </c>
      <c r="F49" s="16">
        <v>46176.0</v>
      </c>
      <c r="G49" s="15" t="s">
        <v>13</v>
      </c>
      <c r="H49" s="15" t="s">
        <v>10</v>
      </c>
      <c r="I49" s="15" t="s">
        <v>122</v>
      </c>
      <c r="J49" s="17">
        <v>379000.0</v>
      </c>
      <c r="K49" s="15" t="s">
        <v>47</v>
      </c>
    </row>
    <row r="50" ht="22.5" customHeight="1">
      <c r="A50" s="14">
        <v>46178.63895739583</v>
      </c>
      <c r="B50" s="15" t="s">
        <v>9</v>
      </c>
      <c r="E50" s="15" t="s">
        <v>10</v>
      </c>
      <c r="F50" s="16">
        <v>46176.0</v>
      </c>
      <c r="G50" s="15" t="s">
        <v>13</v>
      </c>
      <c r="H50" s="15" t="s">
        <v>10</v>
      </c>
      <c r="I50" s="15" t="s">
        <v>123</v>
      </c>
      <c r="J50" s="17">
        <v>168000.0</v>
      </c>
      <c r="K50" s="15" t="s">
        <v>47</v>
      </c>
    </row>
    <row r="51" ht="22.5" customHeight="1">
      <c r="A51" s="14">
        <v>46178.640222939815</v>
      </c>
      <c r="B51" s="15" t="s">
        <v>9</v>
      </c>
      <c r="E51" s="15" t="s">
        <v>10</v>
      </c>
      <c r="F51" s="16">
        <v>46176.0</v>
      </c>
      <c r="G51" s="15" t="s">
        <v>13</v>
      </c>
      <c r="H51" s="15" t="s">
        <v>10</v>
      </c>
      <c r="I51" s="15" t="s">
        <v>124</v>
      </c>
      <c r="J51" s="17">
        <v>900000.0</v>
      </c>
      <c r="K51" s="15" t="s">
        <v>47</v>
      </c>
    </row>
    <row r="52" ht="22.5" customHeight="1">
      <c r="A52" s="14">
        <v>46178.641451261574</v>
      </c>
      <c r="B52" s="15" t="s">
        <v>9</v>
      </c>
      <c r="E52" s="15" t="s">
        <v>10</v>
      </c>
      <c r="F52" s="16">
        <v>46176.0</v>
      </c>
      <c r="G52" s="15" t="s">
        <v>13</v>
      </c>
      <c r="H52" s="15" t="s">
        <v>10</v>
      </c>
      <c r="I52" s="15" t="s">
        <v>125</v>
      </c>
      <c r="J52" s="17">
        <v>300000.0</v>
      </c>
      <c r="K52" s="15" t="s">
        <v>47</v>
      </c>
    </row>
    <row r="53" ht="22.5" customHeight="1">
      <c r="A53" s="14">
        <v>46178.64333199074</v>
      </c>
      <c r="B53" s="15" t="s">
        <v>9</v>
      </c>
      <c r="E53" s="15" t="s">
        <v>10</v>
      </c>
      <c r="F53" s="16">
        <v>46176.0</v>
      </c>
      <c r="G53" s="15" t="s">
        <v>13</v>
      </c>
      <c r="H53" s="15" t="s">
        <v>10</v>
      </c>
      <c r="I53" s="15" t="s">
        <v>126</v>
      </c>
      <c r="J53" s="17">
        <v>1214000.0</v>
      </c>
      <c r="K53" s="15" t="s">
        <v>47</v>
      </c>
    </row>
    <row r="54" ht="22.5" customHeight="1">
      <c r="A54" s="14">
        <v>46178.721049513886</v>
      </c>
      <c r="B54" s="15" t="s">
        <v>9</v>
      </c>
      <c r="E54" s="15" t="s">
        <v>10</v>
      </c>
      <c r="F54" s="16">
        <v>46176.0</v>
      </c>
      <c r="G54" s="15" t="s">
        <v>13</v>
      </c>
      <c r="H54" s="15" t="s">
        <v>10</v>
      </c>
      <c r="I54" s="15" t="s">
        <v>127</v>
      </c>
      <c r="J54" s="17">
        <v>270000.0</v>
      </c>
      <c r="K54" s="15" t="s">
        <v>47</v>
      </c>
    </row>
    <row r="55" ht="22.5" customHeight="1">
      <c r="A55" s="14">
        <v>46178.72256383102</v>
      </c>
      <c r="B55" s="15" t="s">
        <v>9</v>
      </c>
      <c r="E55" s="15" t="s">
        <v>10</v>
      </c>
      <c r="F55" s="16">
        <v>46176.0</v>
      </c>
      <c r="G55" s="15" t="s">
        <v>13</v>
      </c>
      <c r="H55" s="15" t="s">
        <v>10</v>
      </c>
      <c r="I55" s="15" t="s">
        <v>128</v>
      </c>
      <c r="J55" s="17">
        <v>949000.0</v>
      </c>
      <c r="K55" s="15" t="s">
        <v>47</v>
      </c>
    </row>
    <row r="56" ht="22.5" customHeight="1">
      <c r="A56" s="14">
        <v>46178.72390405093</v>
      </c>
      <c r="B56" s="15" t="s">
        <v>9</v>
      </c>
      <c r="E56" s="15" t="s">
        <v>10</v>
      </c>
      <c r="F56" s="16">
        <v>46176.0</v>
      </c>
      <c r="G56" s="15" t="s">
        <v>13</v>
      </c>
      <c r="H56" s="15" t="s">
        <v>10</v>
      </c>
      <c r="I56" s="15" t="s">
        <v>129</v>
      </c>
      <c r="J56" s="17">
        <v>364000.0</v>
      </c>
      <c r="K56" s="15" t="s">
        <v>47</v>
      </c>
    </row>
    <row r="57" ht="22.5" customHeight="1">
      <c r="A57" s="14">
        <v>46178.724997048615</v>
      </c>
      <c r="B57" s="15" t="s">
        <v>9</v>
      </c>
      <c r="E57" s="15" t="s">
        <v>10</v>
      </c>
      <c r="F57" s="16">
        <v>46176.0</v>
      </c>
      <c r="G57" s="15" t="s">
        <v>13</v>
      </c>
      <c r="H57" s="15" t="s">
        <v>10</v>
      </c>
      <c r="I57" s="15" t="s">
        <v>130</v>
      </c>
      <c r="J57" s="17">
        <v>366500.0</v>
      </c>
      <c r="K57" s="15" t="s">
        <v>47</v>
      </c>
    </row>
    <row r="58" ht="22.5" hidden="1" customHeight="1">
      <c r="A58" s="14">
        <v>46179.31501846065</v>
      </c>
      <c r="B58" s="15" t="s">
        <v>9</v>
      </c>
      <c r="E58" s="15" t="s">
        <v>12</v>
      </c>
      <c r="F58" s="16">
        <v>46179.0</v>
      </c>
      <c r="G58" s="15" t="s">
        <v>8</v>
      </c>
      <c r="H58" s="15" t="s">
        <v>55</v>
      </c>
      <c r="I58" s="15" t="s">
        <v>131</v>
      </c>
      <c r="J58" s="17">
        <v>450000.0</v>
      </c>
      <c r="K58" s="15" t="s">
        <v>47</v>
      </c>
    </row>
    <row r="59" ht="22.5" customHeight="1">
      <c r="A59" s="14">
        <v>46179.76978041667</v>
      </c>
      <c r="B59" s="15" t="s">
        <v>9</v>
      </c>
      <c r="E59" s="15" t="s">
        <v>10</v>
      </c>
      <c r="F59" s="16">
        <v>46179.0</v>
      </c>
      <c r="G59" s="15" t="s">
        <v>15</v>
      </c>
      <c r="H59" s="15" t="s">
        <v>10</v>
      </c>
      <c r="I59" s="15" t="s">
        <v>132</v>
      </c>
      <c r="J59" s="17">
        <v>57600.0</v>
      </c>
      <c r="K59" s="15" t="s">
        <v>62</v>
      </c>
    </row>
    <row r="60" ht="22.5" hidden="1" customHeight="1">
      <c r="A60" s="14">
        <v>46179.82540880787</v>
      </c>
      <c r="B60" s="15" t="s">
        <v>9</v>
      </c>
      <c r="E60" s="15" t="s">
        <v>12</v>
      </c>
      <c r="F60" s="16">
        <v>46179.0</v>
      </c>
      <c r="G60" s="15" t="s">
        <v>15</v>
      </c>
      <c r="H60" s="15" t="s">
        <v>88</v>
      </c>
      <c r="I60" s="15" t="s">
        <v>133</v>
      </c>
      <c r="J60" s="17">
        <v>20000.0</v>
      </c>
      <c r="K60" s="15" t="s">
        <v>62</v>
      </c>
    </row>
    <row r="61" ht="22.5" customHeight="1">
      <c r="A61" s="14">
        <v>46179.82713813658</v>
      </c>
      <c r="B61" s="15" t="s">
        <v>9</v>
      </c>
      <c r="E61" s="15" t="s">
        <v>10</v>
      </c>
      <c r="F61" s="16">
        <v>46179.0</v>
      </c>
      <c r="G61" s="15" t="s">
        <v>15</v>
      </c>
      <c r="H61" s="15" t="s">
        <v>10</v>
      </c>
      <c r="I61" s="15" t="s">
        <v>134</v>
      </c>
      <c r="J61" s="17">
        <v>658894.0</v>
      </c>
      <c r="K61" s="15" t="s">
        <v>47</v>
      </c>
    </row>
    <row r="62" ht="22.5" customHeight="1">
      <c r="A62" s="14">
        <v>46179.82851695602</v>
      </c>
      <c r="B62" s="15" t="s">
        <v>9</v>
      </c>
      <c r="E62" s="15" t="s">
        <v>10</v>
      </c>
      <c r="F62" s="16">
        <v>46179.0</v>
      </c>
      <c r="G62" s="15" t="s">
        <v>15</v>
      </c>
      <c r="H62" s="15" t="s">
        <v>10</v>
      </c>
      <c r="I62" s="15" t="s">
        <v>135</v>
      </c>
      <c r="J62" s="17">
        <v>74000.0</v>
      </c>
      <c r="K62" s="15" t="s">
        <v>47</v>
      </c>
    </row>
    <row r="63" ht="22.5" customHeight="1">
      <c r="A63" s="14">
        <v>46179.82928722222</v>
      </c>
      <c r="B63" s="15" t="s">
        <v>9</v>
      </c>
      <c r="E63" s="15" t="s">
        <v>10</v>
      </c>
      <c r="F63" s="16">
        <v>46179.0</v>
      </c>
      <c r="G63" s="15" t="s">
        <v>15</v>
      </c>
      <c r="H63" s="15" t="s">
        <v>10</v>
      </c>
      <c r="I63" s="15" t="s">
        <v>136</v>
      </c>
      <c r="J63" s="17">
        <v>112000.0</v>
      </c>
      <c r="K63" s="15" t="s">
        <v>62</v>
      </c>
    </row>
    <row r="64" ht="22.5" customHeight="1">
      <c r="A64" s="14">
        <v>46179.830285578704</v>
      </c>
      <c r="B64" s="15" t="s">
        <v>9</v>
      </c>
      <c r="E64" s="15" t="s">
        <v>10</v>
      </c>
      <c r="F64" s="16">
        <v>46179.0</v>
      </c>
      <c r="G64" s="15" t="s">
        <v>15</v>
      </c>
      <c r="H64" s="15" t="s">
        <v>10</v>
      </c>
      <c r="I64" s="15" t="s">
        <v>137</v>
      </c>
      <c r="J64" s="17">
        <v>376000.0</v>
      </c>
      <c r="K64" s="15" t="s">
        <v>47</v>
      </c>
    </row>
    <row r="65" ht="22.5" customHeight="1">
      <c r="A65" s="14">
        <v>46179.83178594908</v>
      </c>
      <c r="B65" s="15" t="s">
        <v>9</v>
      </c>
      <c r="E65" s="15" t="s">
        <v>10</v>
      </c>
      <c r="F65" s="16">
        <v>46179.0</v>
      </c>
      <c r="G65" s="15" t="s">
        <v>15</v>
      </c>
      <c r="H65" s="15" t="s">
        <v>10</v>
      </c>
      <c r="I65" s="15" t="s">
        <v>138</v>
      </c>
      <c r="J65" s="17">
        <v>991000.0</v>
      </c>
      <c r="K65" s="15" t="s">
        <v>47</v>
      </c>
    </row>
    <row r="66" ht="22.5" customHeight="1">
      <c r="A66" s="14">
        <v>46179.833682233795</v>
      </c>
      <c r="B66" s="15" t="s">
        <v>9</v>
      </c>
      <c r="E66" s="15" t="s">
        <v>10</v>
      </c>
      <c r="F66" s="16">
        <v>46179.0</v>
      </c>
      <c r="G66" s="15" t="s">
        <v>15</v>
      </c>
      <c r="H66" s="15" t="s">
        <v>10</v>
      </c>
      <c r="I66" s="15" t="s">
        <v>139</v>
      </c>
      <c r="J66" s="17">
        <v>386000.0</v>
      </c>
      <c r="K66" s="15" t="s">
        <v>47</v>
      </c>
    </row>
    <row r="67" ht="22.5" customHeight="1">
      <c r="A67" s="14">
        <v>46179.83508146991</v>
      </c>
      <c r="B67" s="15" t="s">
        <v>9</v>
      </c>
      <c r="E67" s="15" t="s">
        <v>10</v>
      </c>
      <c r="F67" s="16">
        <v>46179.0</v>
      </c>
      <c r="G67" s="15" t="s">
        <v>15</v>
      </c>
      <c r="H67" s="15" t="s">
        <v>10</v>
      </c>
      <c r="I67" s="15" t="s">
        <v>140</v>
      </c>
      <c r="J67" s="17">
        <v>286000.0</v>
      </c>
      <c r="K67" s="15" t="s">
        <v>47</v>
      </c>
    </row>
    <row r="68" ht="22.5" customHeight="1">
      <c r="A68" s="14">
        <v>46179.836174490745</v>
      </c>
      <c r="B68" s="15" t="s">
        <v>9</v>
      </c>
      <c r="E68" s="15" t="s">
        <v>10</v>
      </c>
      <c r="F68" s="16">
        <v>46179.0</v>
      </c>
      <c r="G68" s="15" t="s">
        <v>15</v>
      </c>
      <c r="H68" s="15" t="s">
        <v>10</v>
      </c>
      <c r="I68" s="15" t="s">
        <v>141</v>
      </c>
      <c r="J68" s="17">
        <v>641000.0</v>
      </c>
      <c r="K68" s="15" t="s">
        <v>47</v>
      </c>
    </row>
    <row r="69" ht="22.5" customHeight="1">
      <c r="A69" s="14">
        <v>46179.837207743054</v>
      </c>
      <c r="B69" s="15" t="s">
        <v>9</v>
      </c>
      <c r="E69" s="15" t="s">
        <v>10</v>
      </c>
      <c r="F69" s="16">
        <v>46179.0</v>
      </c>
      <c r="G69" s="15" t="s">
        <v>15</v>
      </c>
      <c r="H69" s="15" t="s">
        <v>10</v>
      </c>
      <c r="I69" s="15" t="s">
        <v>142</v>
      </c>
      <c r="J69" s="17">
        <v>435000.0</v>
      </c>
      <c r="K69" s="15" t="s">
        <v>47</v>
      </c>
    </row>
    <row r="70" ht="22.5" customHeight="1">
      <c r="A70" s="14">
        <v>46179.83847766204</v>
      </c>
      <c r="B70" s="15" t="s">
        <v>9</v>
      </c>
      <c r="E70" s="15" t="s">
        <v>10</v>
      </c>
      <c r="F70" s="16">
        <v>46179.0</v>
      </c>
      <c r="G70" s="15" t="s">
        <v>15</v>
      </c>
      <c r="H70" s="15" t="s">
        <v>10</v>
      </c>
      <c r="I70" s="15" t="s">
        <v>143</v>
      </c>
      <c r="J70" s="17">
        <v>748100.0</v>
      </c>
      <c r="K70" s="15" t="s">
        <v>47</v>
      </c>
    </row>
    <row r="71" ht="22.5" hidden="1" customHeight="1">
      <c r="A71" s="14">
        <v>46180.37219486111</v>
      </c>
      <c r="B71" s="15" t="s">
        <v>9</v>
      </c>
      <c r="E71" s="15" t="s">
        <v>29</v>
      </c>
      <c r="F71" s="16">
        <v>46178.0</v>
      </c>
      <c r="G71" s="15" t="s">
        <v>13</v>
      </c>
      <c r="H71" s="15" t="s">
        <v>100</v>
      </c>
      <c r="I71" s="15" t="s">
        <v>144</v>
      </c>
      <c r="J71" s="17">
        <v>2500.0</v>
      </c>
      <c r="K71" s="15" t="s">
        <v>62</v>
      </c>
    </row>
    <row r="72" ht="22.5" hidden="1" customHeight="1">
      <c r="A72" s="14">
        <v>46180.37345108796</v>
      </c>
      <c r="B72" s="15" t="s">
        <v>9</v>
      </c>
      <c r="E72" s="15" t="s">
        <v>12</v>
      </c>
      <c r="F72" s="16">
        <v>46178.0</v>
      </c>
      <c r="G72" s="15" t="s">
        <v>13</v>
      </c>
      <c r="H72" s="15" t="s">
        <v>145</v>
      </c>
      <c r="I72" s="15" t="s">
        <v>146</v>
      </c>
      <c r="J72" s="17">
        <v>27700.0</v>
      </c>
      <c r="K72" s="15" t="s">
        <v>62</v>
      </c>
    </row>
    <row r="73" ht="22.5" customHeight="1">
      <c r="A73" s="14">
        <v>46180.397199328705</v>
      </c>
      <c r="B73" s="15" t="s">
        <v>9</v>
      </c>
      <c r="E73" s="15" t="s">
        <v>10</v>
      </c>
      <c r="F73" s="16">
        <v>46179.0</v>
      </c>
      <c r="G73" s="15" t="s">
        <v>13</v>
      </c>
      <c r="H73" s="15" t="s">
        <v>10</v>
      </c>
      <c r="I73" s="15" t="s">
        <v>147</v>
      </c>
      <c r="J73" s="17">
        <v>392000.0</v>
      </c>
      <c r="K73" s="15" t="s">
        <v>47</v>
      </c>
    </row>
    <row r="74" ht="22.5" customHeight="1">
      <c r="A74" s="14">
        <v>46180.39891684028</v>
      </c>
      <c r="B74" s="15" t="s">
        <v>9</v>
      </c>
      <c r="E74" s="15" t="s">
        <v>10</v>
      </c>
      <c r="F74" s="16">
        <v>46179.0</v>
      </c>
      <c r="G74" s="15" t="s">
        <v>8</v>
      </c>
      <c r="H74" s="15" t="s">
        <v>10</v>
      </c>
      <c r="I74" s="15" t="s">
        <v>148</v>
      </c>
      <c r="J74" s="17">
        <v>518000.0</v>
      </c>
      <c r="K74" s="15" t="s">
        <v>62</v>
      </c>
    </row>
    <row r="75" ht="22.5" customHeight="1">
      <c r="A75" s="14">
        <v>46180.400343692134</v>
      </c>
      <c r="B75" s="15" t="s">
        <v>9</v>
      </c>
      <c r="E75" s="15" t="s">
        <v>10</v>
      </c>
      <c r="F75" s="16">
        <v>46179.0</v>
      </c>
      <c r="G75" s="15" t="s">
        <v>13</v>
      </c>
      <c r="H75" s="15" t="s">
        <v>10</v>
      </c>
      <c r="I75" s="15" t="s">
        <v>149</v>
      </c>
      <c r="J75" s="17">
        <v>378000.0</v>
      </c>
      <c r="K75" s="15" t="s">
        <v>47</v>
      </c>
    </row>
    <row r="76" ht="22.5" customHeight="1">
      <c r="A76" s="14">
        <v>46180.401275868055</v>
      </c>
      <c r="B76" s="15" t="s">
        <v>9</v>
      </c>
      <c r="E76" s="15" t="s">
        <v>10</v>
      </c>
      <c r="F76" s="16">
        <v>46179.0</v>
      </c>
      <c r="G76" s="15" t="s">
        <v>13</v>
      </c>
      <c r="H76" s="15" t="s">
        <v>10</v>
      </c>
      <c r="I76" s="15" t="s">
        <v>150</v>
      </c>
      <c r="J76" s="17">
        <v>225000.0</v>
      </c>
      <c r="K76" s="15" t="s">
        <v>47</v>
      </c>
    </row>
    <row r="77" ht="22.5" customHeight="1">
      <c r="A77" s="14">
        <v>46180.40229254629</v>
      </c>
      <c r="B77" s="15" t="s">
        <v>9</v>
      </c>
      <c r="E77" s="15" t="s">
        <v>10</v>
      </c>
      <c r="F77" s="16">
        <v>46179.0</v>
      </c>
      <c r="G77" s="15" t="s">
        <v>13</v>
      </c>
      <c r="H77" s="15" t="s">
        <v>10</v>
      </c>
      <c r="I77" s="15" t="s">
        <v>151</v>
      </c>
      <c r="J77" s="17">
        <v>200000.0</v>
      </c>
      <c r="K77" s="15" t="s">
        <v>47</v>
      </c>
    </row>
    <row r="78" ht="22.5" customHeight="1">
      <c r="A78" s="14">
        <v>46180.40397640046</v>
      </c>
      <c r="B78" s="15" t="s">
        <v>9</v>
      </c>
      <c r="E78" s="15" t="s">
        <v>10</v>
      </c>
      <c r="F78" s="16">
        <v>46179.0</v>
      </c>
      <c r="G78" s="15" t="s">
        <v>13</v>
      </c>
      <c r="H78" s="15" t="s">
        <v>10</v>
      </c>
      <c r="I78" s="15" t="s">
        <v>152</v>
      </c>
      <c r="J78" s="17">
        <v>636000.0</v>
      </c>
      <c r="K78" s="15" t="s">
        <v>47</v>
      </c>
    </row>
    <row r="79" ht="22.5" customHeight="1">
      <c r="A79" s="14">
        <v>46180.40483108796</v>
      </c>
      <c r="B79" s="15" t="s">
        <v>9</v>
      </c>
      <c r="E79" s="15" t="s">
        <v>10</v>
      </c>
      <c r="F79" s="16">
        <v>46179.0</v>
      </c>
      <c r="G79" s="15" t="s">
        <v>13</v>
      </c>
      <c r="H79" s="15" t="s">
        <v>10</v>
      </c>
      <c r="I79" s="15" t="s">
        <v>153</v>
      </c>
      <c r="J79" s="17">
        <v>368000.0</v>
      </c>
      <c r="K79" s="15" t="s">
        <v>47</v>
      </c>
    </row>
    <row r="80" ht="22.5" customHeight="1">
      <c r="A80" s="14">
        <v>46180.40553604167</v>
      </c>
      <c r="B80" s="15" t="s">
        <v>9</v>
      </c>
      <c r="E80" s="15" t="s">
        <v>10</v>
      </c>
      <c r="F80" s="16">
        <v>46179.0</v>
      </c>
      <c r="G80" s="15" t="s">
        <v>13</v>
      </c>
      <c r="H80" s="15" t="s">
        <v>10</v>
      </c>
      <c r="I80" s="15" t="s">
        <v>154</v>
      </c>
      <c r="J80" s="17">
        <v>650000.0</v>
      </c>
      <c r="K80" s="15" t="s">
        <v>47</v>
      </c>
    </row>
    <row r="81" ht="22.5" hidden="1" customHeight="1">
      <c r="A81" s="14">
        <v>46180.407807337964</v>
      </c>
      <c r="B81" s="15" t="s">
        <v>9</v>
      </c>
      <c r="E81" s="15" t="s">
        <v>32</v>
      </c>
      <c r="F81" s="16">
        <v>46180.0</v>
      </c>
      <c r="G81" s="15" t="s">
        <v>13</v>
      </c>
      <c r="H81" s="15" t="s">
        <v>145</v>
      </c>
      <c r="I81" s="15" t="s">
        <v>155</v>
      </c>
      <c r="J81" s="17">
        <v>9800.0</v>
      </c>
      <c r="K81" s="15" t="s">
        <v>62</v>
      </c>
    </row>
    <row r="82" ht="22.5" customHeight="1">
      <c r="A82" s="14">
        <v>46180.62495349537</v>
      </c>
      <c r="B82" s="15" t="s">
        <v>9</v>
      </c>
      <c r="E82" s="15" t="s">
        <v>10</v>
      </c>
      <c r="F82" s="16">
        <v>46179.0</v>
      </c>
      <c r="G82" s="15" t="s">
        <v>13</v>
      </c>
      <c r="H82" s="15" t="s">
        <v>10</v>
      </c>
      <c r="I82" s="15" t="s">
        <v>156</v>
      </c>
      <c r="J82" s="17">
        <v>639000.0</v>
      </c>
      <c r="K82" s="15" t="s">
        <v>47</v>
      </c>
    </row>
    <row r="83" ht="22.5" hidden="1" customHeight="1">
      <c r="A83" s="14">
        <v>46181.38244410879</v>
      </c>
      <c r="B83" s="15" t="s">
        <v>9</v>
      </c>
      <c r="E83" s="15" t="s">
        <v>25</v>
      </c>
      <c r="F83" s="16">
        <v>46180.0</v>
      </c>
      <c r="G83" s="15" t="s">
        <v>8</v>
      </c>
      <c r="H83" s="15" t="s">
        <v>157</v>
      </c>
      <c r="I83" s="15" t="s">
        <v>158</v>
      </c>
      <c r="J83" s="17">
        <v>39900.0</v>
      </c>
      <c r="K83" s="15" t="s">
        <v>85</v>
      </c>
      <c r="L83" s="19" t="s">
        <v>159</v>
      </c>
    </row>
    <row r="84" ht="22.5" customHeight="1">
      <c r="A84" s="14">
        <v>46181.428039942126</v>
      </c>
      <c r="B84" s="15" t="s">
        <v>9</v>
      </c>
      <c r="E84" s="15" t="s">
        <v>10</v>
      </c>
      <c r="F84" s="16">
        <v>46176.0</v>
      </c>
      <c r="G84" s="15" t="s">
        <v>8</v>
      </c>
      <c r="H84" s="15" t="s">
        <v>10</v>
      </c>
      <c r="I84" s="15" t="s">
        <v>160</v>
      </c>
      <c r="J84" s="17">
        <v>90000.0</v>
      </c>
      <c r="K84" s="15" t="s">
        <v>62</v>
      </c>
    </row>
    <row r="85" ht="22.5" hidden="1" customHeight="1">
      <c r="A85" s="14">
        <v>46182.35590217593</v>
      </c>
      <c r="B85" s="15" t="s">
        <v>9</v>
      </c>
      <c r="E85" s="15" t="s">
        <v>12</v>
      </c>
      <c r="F85" s="16">
        <v>46182.0</v>
      </c>
      <c r="G85" s="15" t="s">
        <v>11</v>
      </c>
      <c r="H85" s="15" t="s">
        <v>82</v>
      </c>
      <c r="I85" s="15" t="s">
        <v>161</v>
      </c>
      <c r="J85" s="17">
        <v>1115900.0</v>
      </c>
      <c r="K85" s="15" t="s">
        <v>47</v>
      </c>
      <c r="L85" s="19" t="s">
        <v>162</v>
      </c>
    </row>
    <row r="86" ht="22.5" hidden="1" customHeight="1">
      <c r="A86" s="14">
        <v>46182.35856833334</v>
      </c>
      <c r="B86" s="15" t="s">
        <v>9</v>
      </c>
      <c r="E86" s="15" t="s">
        <v>27</v>
      </c>
      <c r="F86" s="16">
        <v>46179.0</v>
      </c>
      <c r="G86" s="15" t="s">
        <v>11</v>
      </c>
      <c r="H86" s="15" t="s">
        <v>163</v>
      </c>
      <c r="I86" s="15" t="s">
        <v>164</v>
      </c>
      <c r="J86" s="17">
        <v>21850.0</v>
      </c>
      <c r="K86" s="15" t="s">
        <v>62</v>
      </c>
    </row>
    <row r="87" ht="22.5" hidden="1" customHeight="1">
      <c r="A87" s="14">
        <v>46182.36030262732</v>
      </c>
      <c r="B87" s="15" t="s">
        <v>9</v>
      </c>
      <c r="E87" s="15" t="s">
        <v>27</v>
      </c>
      <c r="F87" s="16">
        <v>46179.0</v>
      </c>
      <c r="G87" s="15" t="s">
        <v>11</v>
      </c>
      <c r="H87" s="15" t="s">
        <v>165</v>
      </c>
      <c r="I87" s="15" t="s">
        <v>166</v>
      </c>
      <c r="J87" s="17">
        <v>35000.0</v>
      </c>
      <c r="K87" s="15" t="s">
        <v>62</v>
      </c>
    </row>
    <row r="88" ht="22.5" hidden="1" customHeight="1">
      <c r="A88" s="14">
        <v>46182.36242263889</v>
      </c>
      <c r="B88" s="15" t="s">
        <v>9</v>
      </c>
      <c r="E88" s="15" t="s">
        <v>24</v>
      </c>
      <c r="F88" s="16">
        <v>46179.0</v>
      </c>
      <c r="G88" s="15" t="s">
        <v>11</v>
      </c>
      <c r="H88" s="15" t="s">
        <v>167</v>
      </c>
      <c r="I88" s="15" t="s">
        <v>168</v>
      </c>
      <c r="J88" s="17">
        <v>300000.0</v>
      </c>
      <c r="K88" s="15" t="s">
        <v>47</v>
      </c>
    </row>
    <row r="89" ht="22.5" hidden="1" customHeight="1">
      <c r="A89" s="14">
        <v>46182.36473696759</v>
      </c>
      <c r="B89" s="15" t="s">
        <v>9</v>
      </c>
      <c r="E89" s="15" t="s">
        <v>12</v>
      </c>
      <c r="F89" s="16">
        <v>46179.0</v>
      </c>
      <c r="G89" s="15" t="s">
        <v>11</v>
      </c>
      <c r="H89" s="15" t="s">
        <v>169</v>
      </c>
      <c r="I89" s="15" t="s">
        <v>170</v>
      </c>
      <c r="J89" s="17">
        <v>49000.0</v>
      </c>
      <c r="K89" s="15" t="s">
        <v>62</v>
      </c>
    </row>
    <row r="90" ht="22.5" hidden="1" customHeight="1">
      <c r="A90" s="14">
        <v>46182.36671077546</v>
      </c>
      <c r="B90" s="15" t="s">
        <v>9</v>
      </c>
      <c r="E90" s="15" t="s">
        <v>26</v>
      </c>
      <c r="F90" s="16">
        <v>46179.0</v>
      </c>
      <c r="G90" s="15" t="s">
        <v>11</v>
      </c>
      <c r="H90" s="15" t="s">
        <v>171</v>
      </c>
      <c r="I90" s="15" t="s">
        <v>172</v>
      </c>
      <c r="J90" s="17">
        <v>97500.0</v>
      </c>
      <c r="K90" s="15" t="s">
        <v>47</v>
      </c>
    </row>
    <row r="91" ht="22.5" hidden="1" customHeight="1">
      <c r="A91" s="14">
        <v>46182.370452013885</v>
      </c>
      <c r="B91" s="15" t="s">
        <v>9</v>
      </c>
      <c r="E91" s="15" t="s">
        <v>12</v>
      </c>
      <c r="F91" s="16">
        <v>46179.0</v>
      </c>
      <c r="G91" s="15" t="s">
        <v>11</v>
      </c>
      <c r="H91" s="15" t="s">
        <v>173</v>
      </c>
      <c r="I91" s="15" t="s">
        <v>174</v>
      </c>
      <c r="J91" s="17">
        <v>42000.0</v>
      </c>
      <c r="K91" s="15" t="s">
        <v>62</v>
      </c>
    </row>
    <row r="92" ht="22.5" customHeight="1">
      <c r="A92" s="14">
        <v>46182.372550844906</v>
      </c>
      <c r="B92" s="15" t="s">
        <v>9</v>
      </c>
      <c r="E92" s="15" t="s">
        <v>10</v>
      </c>
      <c r="F92" s="16">
        <v>46179.0</v>
      </c>
      <c r="G92" s="15" t="s">
        <v>11</v>
      </c>
      <c r="H92" s="15" t="s">
        <v>175</v>
      </c>
      <c r="I92" s="15" t="s">
        <v>176</v>
      </c>
      <c r="J92" s="17">
        <v>365000.0</v>
      </c>
      <c r="K92" s="15" t="s">
        <v>47</v>
      </c>
    </row>
    <row r="93" ht="22.5" hidden="1" customHeight="1">
      <c r="A93" s="14">
        <v>46182.3750344213</v>
      </c>
      <c r="B93" s="15" t="s">
        <v>9</v>
      </c>
      <c r="E93" s="15" t="s">
        <v>12</v>
      </c>
      <c r="F93" s="16">
        <v>46179.0</v>
      </c>
      <c r="G93" s="15" t="s">
        <v>11</v>
      </c>
      <c r="H93" s="15" t="s">
        <v>177</v>
      </c>
      <c r="I93" s="15" t="s">
        <v>178</v>
      </c>
      <c r="J93" s="17">
        <v>180000.0</v>
      </c>
      <c r="K93" s="15" t="s">
        <v>47</v>
      </c>
    </row>
    <row r="94" ht="22.5" hidden="1" customHeight="1">
      <c r="A94" s="14">
        <v>46182.42773599537</v>
      </c>
      <c r="B94" s="15" t="s">
        <v>9</v>
      </c>
      <c r="E94" s="15" t="s">
        <v>28</v>
      </c>
      <c r="F94" s="16">
        <v>46179.0</v>
      </c>
      <c r="G94" s="15" t="s">
        <v>11</v>
      </c>
      <c r="H94" s="15" t="s">
        <v>179</v>
      </c>
      <c r="I94" s="15" t="s">
        <v>180</v>
      </c>
      <c r="J94" s="17">
        <v>40000.0</v>
      </c>
      <c r="K94" s="15" t="s">
        <v>47</v>
      </c>
    </row>
    <row r="95" ht="22.5" hidden="1" customHeight="1">
      <c r="A95" s="14">
        <v>46182.672696354166</v>
      </c>
      <c r="B95" s="15" t="s">
        <v>9</v>
      </c>
      <c r="E95" s="15" t="s">
        <v>12</v>
      </c>
      <c r="F95" s="16">
        <v>46182.0</v>
      </c>
      <c r="G95" s="15" t="s">
        <v>8</v>
      </c>
      <c r="H95" s="15" t="s">
        <v>93</v>
      </c>
      <c r="I95" s="15" t="s">
        <v>181</v>
      </c>
      <c r="J95" s="17">
        <v>275800.0</v>
      </c>
      <c r="K95" s="15" t="s">
        <v>47</v>
      </c>
      <c r="L95" s="19" t="s">
        <v>182</v>
      </c>
    </row>
    <row r="96" ht="22.5" hidden="1" customHeight="1">
      <c r="A96" s="14">
        <v>46182.67525237269</v>
      </c>
      <c r="B96" s="15" t="s">
        <v>9</v>
      </c>
      <c r="E96" s="15" t="s">
        <v>20</v>
      </c>
      <c r="F96" s="16">
        <v>46182.0</v>
      </c>
      <c r="G96" s="15" t="s">
        <v>8</v>
      </c>
      <c r="H96" s="15" t="s">
        <v>91</v>
      </c>
      <c r="I96" s="15" t="s">
        <v>183</v>
      </c>
      <c r="J96" s="17">
        <v>292999.0</v>
      </c>
      <c r="K96" s="15" t="s">
        <v>47</v>
      </c>
      <c r="L96" s="19" t="s">
        <v>184</v>
      </c>
    </row>
    <row r="97" ht="22.5" hidden="1" customHeight="1">
      <c r="A97" s="14">
        <v>46182.67919900463</v>
      </c>
      <c r="B97" s="15" t="s">
        <v>9</v>
      </c>
      <c r="E97" s="15" t="s">
        <v>12</v>
      </c>
      <c r="F97" s="16">
        <v>46182.0</v>
      </c>
      <c r="G97" s="15" t="s">
        <v>8</v>
      </c>
      <c r="H97" s="15" t="s">
        <v>93</v>
      </c>
      <c r="I97" s="15" t="s">
        <v>185</v>
      </c>
      <c r="J97" s="17">
        <v>317900.0</v>
      </c>
      <c r="K97" s="15" t="s">
        <v>47</v>
      </c>
      <c r="L97" s="19" t="s">
        <v>186</v>
      </c>
    </row>
    <row r="98" ht="22.5" hidden="1" customHeight="1">
      <c r="A98" s="14">
        <v>46182.68066534722</v>
      </c>
      <c r="B98" s="15" t="s">
        <v>9</v>
      </c>
      <c r="E98" s="15" t="s">
        <v>20</v>
      </c>
      <c r="F98" s="16">
        <v>46182.0</v>
      </c>
      <c r="G98" s="15" t="s">
        <v>8</v>
      </c>
      <c r="H98" s="15" t="s">
        <v>115</v>
      </c>
      <c r="I98" s="15" t="s">
        <v>187</v>
      </c>
      <c r="J98" s="17">
        <v>17500.0</v>
      </c>
      <c r="K98" s="15" t="s">
        <v>47</v>
      </c>
      <c r="L98" s="19" t="s">
        <v>188</v>
      </c>
    </row>
    <row r="99" ht="22.5" hidden="1" customHeight="1">
      <c r="A99" s="14">
        <v>46182.8734832176</v>
      </c>
      <c r="B99" s="15" t="s">
        <v>9</v>
      </c>
      <c r="E99" s="15" t="s">
        <v>12</v>
      </c>
      <c r="F99" s="16">
        <v>46182.0</v>
      </c>
      <c r="G99" s="15" t="s">
        <v>11</v>
      </c>
      <c r="H99" s="15" t="s">
        <v>189</v>
      </c>
      <c r="I99" s="15" t="s">
        <v>190</v>
      </c>
      <c r="J99" s="17">
        <v>1547000.0</v>
      </c>
      <c r="K99" s="15" t="s">
        <v>47</v>
      </c>
    </row>
    <row r="100" ht="22.5" hidden="1" customHeight="1">
      <c r="A100" s="14">
        <v>46183.38117150463</v>
      </c>
      <c r="B100" s="15" t="s">
        <v>9</v>
      </c>
      <c r="E100" s="15" t="s">
        <v>12</v>
      </c>
      <c r="F100" s="16">
        <v>46183.0</v>
      </c>
      <c r="G100" s="15" t="s">
        <v>15</v>
      </c>
      <c r="H100" s="15" t="s">
        <v>55</v>
      </c>
      <c r="I100" s="15" t="s">
        <v>191</v>
      </c>
      <c r="J100" s="17">
        <v>400000.0</v>
      </c>
      <c r="K100" s="15" t="s">
        <v>47</v>
      </c>
    </row>
    <row r="101" ht="22.5" hidden="1" customHeight="1">
      <c r="A101" s="14">
        <v>46183.478124444446</v>
      </c>
      <c r="B101" s="15" t="s">
        <v>9</v>
      </c>
      <c r="E101" s="15" t="s">
        <v>20</v>
      </c>
      <c r="F101" s="16">
        <v>46183.0</v>
      </c>
      <c r="G101" s="15" t="s">
        <v>8</v>
      </c>
      <c r="H101" s="15" t="s">
        <v>115</v>
      </c>
      <c r="I101" s="15" t="s">
        <v>192</v>
      </c>
      <c r="J101" s="17">
        <v>52500.0</v>
      </c>
      <c r="K101" s="15" t="s">
        <v>47</v>
      </c>
      <c r="L101" s="19" t="s">
        <v>193</v>
      </c>
    </row>
    <row r="102" ht="22.5" customHeight="1">
      <c r="A102" s="14">
        <v>46183.47852027778</v>
      </c>
      <c r="B102" s="15" t="s">
        <v>9</v>
      </c>
      <c r="E102" s="15" t="s">
        <v>10</v>
      </c>
      <c r="F102" s="16">
        <v>46183.0</v>
      </c>
      <c r="G102" s="15" t="s">
        <v>8</v>
      </c>
      <c r="H102" s="15" t="s">
        <v>10</v>
      </c>
      <c r="I102" s="15" t="s">
        <v>194</v>
      </c>
      <c r="J102" s="17">
        <v>130500.0</v>
      </c>
      <c r="K102" s="15" t="s">
        <v>47</v>
      </c>
    </row>
    <row r="103" ht="22.5" customHeight="1">
      <c r="A103" s="14">
        <v>46183.48034039352</v>
      </c>
      <c r="B103" s="15" t="s">
        <v>9</v>
      </c>
      <c r="E103" s="15" t="s">
        <v>10</v>
      </c>
      <c r="F103" s="16">
        <v>46183.0</v>
      </c>
      <c r="G103" s="15" t="s">
        <v>8</v>
      </c>
      <c r="H103" s="15" t="s">
        <v>10</v>
      </c>
      <c r="I103" s="15" t="s">
        <v>195</v>
      </c>
      <c r="J103" s="17">
        <v>1074000.0</v>
      </c>
      <c r="K103" s="15" t="s">
        <v>47</v>
      </c>
      <c r="L103" s="19" t="s">
        <v>196</v>
      </c>
    </row>
    <row r="104" ht="22.5" customHeight="1">
      <c r="A104" s="14">
        <v>46183.50338599537</v>
      </c>
      <c r="B104" s="15" t="s">
        <v>9</v>
      </c>
      <c r="E104" s="15" t="s">
        <v>10</v>
      </c>
      <c r="F104" s="16">
        <v>46183.0</v>
      </c>
      <c r="G104" s="15" t="s">
        <v>8</v>
      </c>
      <c r="H104" s="15" t="s">
        <v>10</v>
      </c>
      <c r="I104" s="15" t="s">
        <v>197</v>
      </c>
      <c r="J104" s="17">
        <v>525000.0</v>
      </c>
      <c r="K104" s="15" t="s">
        <v>47</v>
      </c>
      <c r="L104" s="19" t="s">
        <v>198</v>
      </c>
    </row>
    <row r="105" ht="22.5" hidden="1" customHeight="1">
      <c r="A105" s="14">
        <v>46183.604071388894</v>
      </c>
      <c r="B105" s="15" t="s">
        <v>9</v>
      </c>
      <c r="E105" s="15" t="s">
        <v>31</v>
      </c>
      <c r="F105" s="16">
        <v>46183.0</v>
      </c>
      <c r="G105" s="15" t="s">
        <v>8</v>
      </c>
      <c r="H105" s="15" t="s">
        <v>69</v>
      </c>
      <c r="I105" s="15" t="s">
        <v>69</v>
      </c>
      <c r="J105" s="17">
        <v>50000.0</v>
      </c>
      <c r="K105" s="15" t="s">
        <v>47</v>
      </c>
      <c r="L105" s="19" t="s">
        <v>199</v>
      </c>
    </row>
    <row r="106" ht="22.5" hidden="1" customHeight="1">
      <c r="A106" s="14">
        <v>46183.63670512731</v>
      </c>
      <c r="B106" s="15" t="s">
        <v>9</v>
      </c>
      <c r="E106" s="15" t="s">
        <v>25</v>
      </c>
      <c r="F106" s="16">
        <v>46183.0</v>
      </c>
      <c r="G106" s="15" t="s">
        <v>8</v>
      </c>
      <c r="H106" s="15" t="s">
        <v>200</v>
      </c>
      <c r="I106" s="15" t="s">
        <v>201</v>
      </c>
      <c r="J106" s="17">
        <v>149000.0</v>
      </c>
      <c r="K106" s="15" t="s">
        <v>47</v>
      </c>
    </row>
    <row r="107" ht="22.5" customHeight="1">
      <c r="A107" s="14">
        <v>46183.737339976855</v>
      </c>
      <c r="B107" s="15" t="s">
        <v>9</v>
      </c>
      <c r="E107" s="15" t="s">
        <v>10</v>
      </c>
      <c r="F107" s="16">
        <v>46183.0</v>
      </c>
      <c r="G107" s="15" t="s">
        <v>8</v>
      </c>
      <c r="H107" s="15" t="s">
        <v>10</v>
      </c>
      <c r="I107" s="15" t="s">
        <v>202</v>
      </c>
      <c r="J107" s="17">
        <v>288000.0</v>
      </c>
      <c r="K107" s="15" t="s">
        <v>47</v>
      </c>
    </row>
    <row r="108" ht="22.5" customHeight="1">
      <c r="A108" s="14">
        <v>46183.73954850694</v>
      </c>
      <c r="B108" s="15" t="s">
        <v>9</v>
      </c>
      <c r="E108" s="15" t="s">
        <v>10</v>
      </c>
      <c r="F108" s="16">
        <v>46183.0</v>
      </c>
      <c r="G108" s="15" t="s">
        <v>8</v>
      </c>
      <c r="H108" s="15" t="s">
        <v>10</v>
      </c>
      <c r="I108" s="15" t="s">
        <v>203</v>
      </c>
      <c r="J108" s="17">
        <v>252000.0</v>
      </c>
      <c r="K108" s="15" t="s">
        <v>47</v>
      </c>
    </row>
    <row r="109" ht="22.5" customHeight="1">
      <c r="A109" s="14">
        <v>46183.75065608796</v>
      </c>
      <c r="B109" s="15" t="s">
        <v>9</v>
      </c>
      <c r="E109" s="15" t="s">
        <v>10</v>
      </c>
      <c r="F109" s="16">
        <v>46183.0</v>
      </c>
      <c r="G109" s="15" t="s">
        <v>8</v>
      </c>
      <c r="H109" s="15" t="s">
        <v>10</v>
      </c>
      <c r="I109" s="15" t="s">
        <v>204</v>
      </c>
      <c r="J109" s="17">
        <v>400000.0</v>
      </c>
      <c r="K109" s="15" t="s">
        <v>47</v>
      </c>
    </row>
    <row r="110" ht="22.5" customHeight="1">
      <c r="A110" s="14">
        <v>46183.7559100463</v>
      </c>
      <c r="B110" s="15" t="s">
        <v>9</v>
      </c>
      <c r="E110" s="15" t="s">
        <v>10</v>
      </c>
      <c r="F110" s="16">
        <v>46183.0</v>
      </c>
      <c r="G110" s="15" t="s">
        <v>13</v>
      </c>
      <c r="H110" s="15" t="s">
        <v>10</v>
      </c>
      <c r="I110" s="15" t="s">
        <v>205</v>
      </c>
      <c r="J110" s="17">
        <v>210000.0</v>
      </c>
      <c r="K110" s="15" t="s">
        <v>62</v>
      </c>
    </row>
    <row r="111" ht="22.5" hidden="1" customHeight="1">
      <c r="A111" s="14">
        <v>46183.75980518518</v>
      </c>
      <c r="B111" s="15" t="s">
        <v>9</v>
      </c>
      <c r="E111" s="15" t="s">
        <v>28</v>
      </c>
      <c r="F111" s="16">
        <v>46183.0</v>
      </c>
      <c r="G111" s="15" t="s">
        <v>13</v>
      </c>
      <c r="H111" s="15" t="s">
        <v>28</v>
      </c>
      <c r="I111" s="15" t="s">
        <v>206</v>
      </c>
      <c r="J111" s="17">
        <v>60000.0</v>
      </c>
      <c r="K111" s="15" t="s">
        <v>62</v>
      </c>
    </row>
    <row r="112" ht="22.5" customHeight="1">
      <c r="A112" s="14">
        <v>46183.769117407406</v>
      </c>
      <c r="B112" s="15" t="s">
        <v>9</v>
      </c>
      <c r="E112" s="15" t="s">
        <v>10</v>
      </c>
      <c r="F112" s="16">
        <v>46183.0</v>
      </c>
      <c r="G112" s="15" t="s">
        <v>13</v>
      </c>
      <c r="H112" s="15" t="s">
        <v>10</v>
      </c>
      <c r="I112" s="15" t="s">
        <v>207</v>
      </c>
      <c r="J112" s="17">
        <v>780000.0</v>
      </c>
      <c r="K112" s="15" t="s">
        <v>47</v>
      </c>
    </row>
    <row r="113" ht="22.5" customHeight="1">
      <c r="A113" s="14">
        <v>46183.80035207176</v>
      </c>
      <c r="B113" s="15" t="s">
        <v>9</v>
      </c>
      <c r="E113" s="15" t="s">
        <v>10</v>
      </c>
      <c r="F113" s="16">
        <v>46183.0</v>
      </c>
      <c r="G113" s="15" t="s">
        <v>8</v>
      </c>
      <c r="H113" s="15" t="s">
        <v>10</v>
      </c>
      <c r="I113" s="15" t="s">
        <v>208</v>
      </c>
      <c r="J113" s="17">
        <v>2007000.0</v>
      </c>
      <c r="K113" s="15" t="s">
        <v>47</v>
      </c>
    </row>
    <row r="114" ht="22.5" hidden="1" customHeight="1">
      <c r="A114" s="14">
        <v>46183.80338224537</v>
      </c>
      <c r="B114" s="15" t="s">
        <v>9</v>
      </c>
      <c r="E114" s="15" t="s">
        <v>20</v>
      </c>
      <c r="F114" s="16">
        <v>46180.0</v>
      </c>
      <c r="G114" s="15" t="s">
        <v>15</v>
      </c>
      <c r="H114" s="15" t="s">
        <v>209</v>
      </c>
      <c r="I114" s="15" t="s">
        <v>210</v>
      </c>
      <c r="J114" s="17">
        <v>5800.0</v>
      </c>
      <c r="K114" s="15" t="s">
        <v>62</v>
      </c>
    </row>
    <row r="115" ht="22.5" hidden="1" customHeight="1">
      <c r="A115" s="14">
        <v>46184.388785312505</v>
      </c>
      <c r="B115" s="15" t="s">
        <v>9</v>
      </c>
      <c r="E115" s="15" t="s">
        <v>12</v>
      </c>
      <c r="F115" s="16">
        <v>46184.0</v>
      </c>
      <c r="G115" s="15" t="s">
        <v>11</v>
      </c>
      <c r="H115" s="15" t="s">
        <v>24</v>
      </c>
      <c r="I115" s="15" t="s">
        <v>211</v>
      </c>
      <c r="J115" s="17">
        <v>180000.0</v>
      </c>
      <c r="K115" s="15" t="s">
        <v>47</v>
      </c>
    </row>
    <row r="116" ht="22.5" hidden="1" customHeight="1">
      <c r="A116" s="14">
        <v>46184.60199260416</v>
      </c>
      <c r="B116" s="15" t="s">
        <v>9</v>
      </c>
      <c r="E116" s="15" t="s">
        <v>17</v>
      </c>
      <c r="F116" s="16">
        <v>46184.0</v>
      </c>
      <c r="G116" s="15" t="s">
        <v>13</v>
      </c>
      <c r="H116" s="15" t="s">
        <v>55</v>
      </c>
      <c r="I116" s="15" t="s">
        <v>212</v>
      </c>
      <c r="J116" s="17">
        <v>30000.0</v>
      </c>
      <c r="K116" s="15" t="s">
        <v>62</v>
      </c>
    </row>
    <row r="117" ht="22.5" hidden="1" customHeight="1">
      <c r="A117" s="14">
        <v>46184.60286144676</v>
      </c>
      <c r="B117" s="15" t="s">
        <v>9</v>
      </c>
      <c r="E117" s="15" t="s">
        <v>17</v>
      </c>
      <c r="F117" s="16">
        <v>46184.0</v>
      </c>
      <c r="G117" s="15" t="s">
        <v>15</v>
      </c>
      <c r="H117" s="15" t="s">
        <v>55</v>
      </c>
      <c r="I117" s="15" t="s">
        <v>213</v>
      </c>
      <c r="J117" s="17">
        <v>25000.0</v>
      </c>
      <c r="K117" s="15" t="s">
        <v>62</v>
      </c>
    </row>
    <row r="118" ht="22.5" hidden="1" customHeight="1">
      <c r="A118" s="14">
        <v>46185.69440666666</v>
      </c>
      <c r="B118" s="15" t="s">
        <v>9</v>
      </c>
      <c r="E118" s="15" t="s">
        <v>25</v>
      </c>
      <c r="F118" s="16">
        <v>46183.0</v>
      </c>
      <c r="G118" s="15" t="s">
        <v>8</v>
      </c>
      <c r="H118" s="15" t="s">
        <v>115</v>
      </c>
      <c r="I118" s="15" t="s">
        <v>214</v>
      </c>
      <c r="J118" s="17">
        <v>33400.0</v>
      </c>
      <c r="K118" s="15" t="s">
        <v>62</v>
      </c>
    </row>
    <row r="119" ht="22.5" hidden="1" customHeight="1">
      <c r="A119" s="14">
        <v>46186.34861194444</v>
      </c>
      <c r="B119" s="15" t="s">
        <v>9</v>
      </c>
      <c r="E119" s="15" t="s">
        <v>12</v>
      </c>
      <c r="F119" s="16">
        <v>46185.0</v>
      </c>
      <c r="G119" s="15" t="s">
        <v>15</v>
      </c>
      <c r="H119" s="15" t="s">
        <v>55</v>
      </c>
      <c r="I119" s="15" t="s">
        <v>215</v>
      </c>
      <c r="J119" s="17">
        <v>500000.0</v>
      </c>
      <c r="K119" s="15" t="s">
        <v>47</v>
      </c>
    </row>
    <row r="120" ht="22.5" hidden="1" customHeight="1">
      <c r="A120" s="14">
        <v>46186.889596712965</v>
      </c>
      <c r="B120" s="15" t="s">
        <v>9</v>
      </c>
      <c r="E120" s="15" t="s">
        <v>12</v>
      </c>
      <c r="F120" s="16">
        <v>46186.0</v>
      </c>
      <c r="G120" s="15" t="s">
        <v>15</v>
      </c>
      <c r="H120" s="15" t="s">
        <v>93</v>
      </c>
      <c r="I120" s="15" t="s">
        <v>216</v>
      </c>
      <c r="J120" s="17">
        <v>73500.0</v>
      </c>
      <c r="K120" s="15" t="s">
        <v>47</v>
      </c>
    </row>
    <row r="121" ht="22.5" hidden="1" customHeight="1">
      <c r="A121" s="14">
        <v>46186.89363385417</v>
      </c>
      <c r="B121" s="15" t="s">
        <v>9</v>
      </c>
      <c r="E121" s="15" t="s">
        <v>12</v>
      </c>
      <c r="F121" s="16">
        <v>46186.0</v>
      </c>
      <c r="G121" s="15" t="s">
        <v>15</v>
      </c>
      <c r="H121" s="15" t="s">
        <v>82</v>
      </c>
      <c r="I121" s="15" t="s">
        <v>217</v>
      </c>
      <c r="J121" s="17">
        <v>8000.0</v>
      </c>
      <c r="K121" s="15" t="s">
        <v>62</v>
      </c>
    </row>
    <row r="122" ht="22.5" hidden="1" customHeight="1">
      <c r="A122" s="14">
        <v>46187.45328099537</v>
      </c>
      <c r="B122" s="15" t="s">
        <v>9</v>
      </c>
      <c r="E122" s="15" t="s">
        <v>20</v>
      </c>
      <c r="F122" s="16">
        <v>46187.0</v>
      </c>
      <c r="G122" s="15" t="s">
        <v>15</v>
      </c>
      <c r="H122" s="15" t="s">
        <v>115</v>
      </c>
      <c r="I122" s="15" t="s">
        <v>218</v>
      </c>
      <c r="J122" s="17">
        <v>12000.0</v>
      </c>
      <c r="K122" s="15" t="s">
        <v>47</v>
      </c>
    </row>
    <row r="123" ht="22.5" hidden="1" customHeight="1">
      <c r="A123" s="14">
        <v>46188.615959456016</v>
      </c>
      <c r="B123" s="15" t="s">
        <v>9</v>
      </c>
      <c r="E123" s="15" t="s">
        <v>33</v>
      </c>
      <c r="F123" s="16">
        <v>46188.0</v>
      </c>
      <c r="G123" s="15" t="s">
        <v>11</v>
      </c>
      <c r="H123" s="15" t="s">
        <v>219</v>
      </c>
      <c r="I123" s="15" t="s">
        <v>220</v>
      </c>
      <c r="J123" s="17">
        <v>23500.0</v>
      </c>
      <c r="K123" s="15" t="s">
        <v>62</v>
      </c>
    </row>
    <row r="124" ht="22.5" hidden="1" customHeight="1">
      <c r="A124" s="14">
        <v>46188.82681056713</v>
      </c>
      <c r="B124" s="15" t="s">
        <v>9</v>
      </c>
      <c r="E124" s="15" t="s">
        <v>17</v>
      </c>
      <c r="F124" s="16">
        <v>46188.0</v>
      </c>
      <c r="G124" s="15" t="s">
        <v>8</v>
      </c>
      <c r="H124" s="15" t="s">
        <v>82</v>
      </c>
      <c r="I124" s="15" t="s">
        <v>221</v>
      </c>
      <c r="J124" s="17">
        <v>1130000.0</v>
      </c>
      <c r="K124" s="15" t="s">
        <v>47</v>
      </c>
      <c r="L124" s="19" t="s">
        <v>222</v>
      </c>
    </row>
    <row r="125" ht="22.5" hidden="1" customHeight="1">
      <c r="A125" s="14">
        <v>46188.82886891204</v>
      </c>
      <c r="B125" s="15" t="s">
        <v>9</v>
      </c>
      <c r="E125" s="15" t="s">
        <v>20</v>
      </c>
      <c r="F125" s="16">
        <v>46185.0</v>
      </c>
      <c r="G125" s="15" t="s">
        <v>8</v>
      </c>
      <c r="H125" s="15" t="s">
        <v>91</v>
      </c>
      <c r="I125" s="15" t="s">
        <v>223</v>
      </c>
      <c r="J125" s="17">
        <v>63500.0</v>
      </c>
      <c r="K125" s="15" t="s">
        <v>62</v>
      </c>
      <c r="L125" s="19" t="s">
        <v>224</v>
      </c>
    </row>
    <row r="126" ht="22.5" hidden="1" customHeight="1">
      <c r="A126" s="14">
        <v>46188.83184471064</v>
      </c>
      <c r="B126" s="15" t="s">
        <v>9</v>
      </c>
      <c r="E126" s="15" t="s">
        <v>17</v>
      </c>
      <c r="F126" s="16">
        <v>46184.0</v>
      </c>
      <c r="G126" s="15" t="s">
        <v>8</v>
      </c>
      <c r="H126" s="15" t="s">
        <v>82</v>
      </c>
      <c r="I126" s="15" t="s">
        <v>225</v>
      </c>
      <c r="J126" s="17">
        <v>64600.0</v>
      </c>
      <c r="K126" s="15" t="s">
        <v>47</v>
      </c>
      <c r="L126" s="19" t="s">
        <v>226</v>
      </c>
    </row>
    <row r="127" ht="22.5" hidden="1" customHeight="1">
      <c r="A127" s="14">
        <v>46189.388090162036</v>
      </c>
      <c r="B127" s="15" t="s">
        <v>9</v>
      </c>
      <c r="E127" s="15" t="s">
        <v>20</v>
      </c>
      <c r="F127" s="16">
        <v>46188.0</v>
      </c>
      <c r="G127" s="15" t="s">
        <v>13</v>
      </c>
      <c r="H127" s="15" t="s">
        <v>91</v>
      </c>
      <c r="I127" s="15" t="s">
        <v>227</v>
      </c>
      <c r="J127" s="17">
        <v>3000.0</v>
      </c>
      <c r="K127" s="15" t="s">
        <v>62</v>
      </c>
      <c r="L127" s="19" t="s">
        <v>228</v>
      </c>
    </row>
    <row r="128" ht="22.5" hidden="1" customHeight="1">
      <c r="A128" s="14">
        <v>46189.57039112269</v>
      </c>
      <c r="B128" s="15" t="s">
        <v>9</v>
      </c>
      <c r="E128" s="15" t="s">
        <v>20</v>
      </c>
      <c r="F128" s="16">
        <v>46189.0</v>
      </c>
      <c r="G128" s="15" t="s">
        <v>8</v>
      </c>
      <c r="H128" s="15" t="s">
        <v>229</v>
      </c>
      <c r="I128" s="15" t="s">
        <v>230</v>
      </c>
      <c r="J128" s="15">
        <v>52000.0</v>
      </c>
      <c r="K128" s="15" t="s">
        <v>47</v>
      </c>
      <c r="L128" s="19" t="s">
        <v>231</v>
      </c>
    </row>
    <row r="129" ht="22.5" hidden="1" customHeight="1">
      <c r="A129" s="14">
        <v>46189.57160997685</v>
      </c>
      <c r="B129" s="15" t="s">
        <v>9</v>
      </c>
      <c r="E129" s="15" t="s">
        <v>20</v>
      </c>
      <c r="F129" s="16">
        <v>46189.0</v>
      </c>
      <c r="G129" s="15" t="s">
        <v>8</v>
      </c>
      <c r="H129" s="15" t="s">
        <v>232</v>
      </c>
      <c r="I129" s="15" t="s">
        <v>233</v>
      </c>
      <c r="J129" s="15">
        <v>45000.0</v>
      </c>
      <c r="K129" s="15" t="s">
        <v>47</v>
      </c>
    </row>
    <row r="130" ht="22.5" hidden="1" customHeight="1">
      <c r="A130" s="14">
        <v>46189.57289157408</v>
      </c>
      <c r="B130" s="15" t="s">
        <v>9</v>
      </c>
      <c r="E130" s="15" t="s">
        <v>20</v>
      </c>
      <c r="F130" s="16">
        <v>46189.0</v>
      </c>
      <c r="G130" s="15" t="s">
        <v>8</v>
      </c>
      <c r="H130" s="15" t="s">
        <v>234</v>
      </c>
      <c r="I130" s="15" t="s">
        <v>235</v>
      </c>
      <c r="J130" s="15">
        <v>110000.0</v>
      </c>
      <c r="K130" s="15" t="s">
        <v>47</v>
      </c>
    </row>
    <row r="131" ht="22.5" hidden="1" customHeight="1">
      <c r="A131" s="14">
        <v>46189.5758791088</v>
      </c>
      <c r="B131" s="15" t="s">
        <v>9</v>
      </c>
      <c r="E131" s="15" t="s">
        <v>20</v>
      </c>
      <c r="F131" s="16">
        <v>46189.0</v>
      </c>
      <c r="G131" s="15" t="s">
        <v>8</v>
      </c>
      <c r="H131" s="15" t="s">
        <v>236</v>
      </c>
      <c r="I131" s="15" t="s">
        <v>237</v>
      </c>
      <c r="J131" s="15">
        <v>150000.0</v>
      </c>
      <c r="K131" s="15" t="s">
        <v>47</v>
      </c>
    </row>
    <row r="132" ht="22.5" customHeight="1">
      <c r="A132" s="14">
        <v>46189.584823854166</v>
      </c>
      <c r="B132" s="15" t="s">
        <v>9</v>
      </c>
      <c r="E132" s="15" t="s">
        <v>10</v>
      </c>
      <c r="F132" s="16">
        <v>46189.0</v>
      </c>
      <c r="G132" s="15" t="s">
        <v>8</v>
      </c>
      <c r="H132" s="15" t="s">
        <v>10</v>
      </c>
      <c r="I132" s="15" t="s">
        <v>238</v>
      </c>
      <c r="J132" s="15">
        <v>2618000.0</v>
      </c>
      <c r="K132" s="15" t="s">
        <v>62</v>
      </c>
      <c r="L132" s="19" t="s">
        <v>239</v>
      </c>
    </row>
    <row r="133" ht="22.5" hidden="1" customHeight="1">
      <c r="A133" s="14">
        <v>46189.61726211806</v>
      </c>
      <c r="B133" s="15" t="s">
        <v>9</v>
      </c>
      <c r="E133" s="15" t="s">
        <v>20</v>
      </c>
      <c r="F133" s="16">
        <v>46189.0</v>
      </c>
      <c r="G133" s="15" t="s">
        <v>8</v>
      </c>
      <c r="H133" s="15" t="s">
        <v>91</v>
      </c>
      <c r="I133" s="15" t="s">
        <v>240</v>
      </c>
      <c r="J133" s="15">
        <v>30000.0</v>
      </c>
      <c r="K133" s="15" t="s">
        <v>62</v>
      </c>
    </row>
    <row r="134" ht="22.5" hidden="1" customHeight="1">
      <c r="A134" s="14">
        <v>46190.374818553246</v>
      </c>
      <c r="B134" s="15" t="s">
        <v>9</v>
      </c>
      <c r="E134" s="15" t="s">
        <v>10</v>
      </c>
      <c r="F134" s="16">
        <v>46190.0</v>
      </c>
      <c r="G134" s="15" t="s">
        <v>11</v>
      </c>
      <c r="H134" s="15" t="s">
        <v>10</v>
      </c>
      <c r="I134" s="15" t="s">
        <v>241</v>
      </c>
      <c r="J134" s="15">
        <v>350000.0</v>
      </c>
      <c r="K134" s="15" t="s">
        <v>47</v>
      </c>
    </row>
    <row r="135" ht="22.5" hidden="1" customHeight="1">
      <c r="A135" s="14">
        <v>46190.37571619213</v>
      </c>
      <c r="B135" s="15" t="s">
        <v>9</v>
      </c>
      <c r="E135" s="15" t="s">
        <v>10</v>
      </c>
      <c r="F135" s="16">
        <v>46190.0</v>
      </c>
      <c r="G135" s="15" t="s">
        <v>11</v>
      </c>
      <c r="H135" s="15" t="s">
        <v>10</v>
      </c>
      <c r="I135" s="15" t="s">
        <v>242</v>
      </c>
      <c r="J135" s="15">
        <v>420000.0</v>
      </c>
      <c r="K135" s="15" t="s">
        <v>47</v>
      </c>
    </row>
    <row r="136" ht="22.5" hidden="1" customHeight="1">
      <c r="A136" s="14">
        <v>46190.37647850694</v>
      </c>
      <c r="B136" s="15" t="s">
        <v>9</v>
      </c>
      <c r="E136" s="15" t="s">
        <v>10</v>
      </c>
      <c r="F136" s="16">
        <v>46190.0</v>
      </c>
      <c r="G136" s="15" t="s">
        <v>11</v>
      </c>
      <c r="H136" s="15" t="s">
        <v>10</v>
      </c>
      <c r="I136" s="15" t="s">
        <v>243</v>
      </c>
      <c r="J136" s="15">
        <v>796000.0</v>
      </c>
      <c r="K136" s="15" t="s">
        <v>47</v>
      </c>
    </row>
    <row r="137" ht="22.5" hidden="1" customHeight="1">
      <c r="A137" s="14">
        <v>46190.37740864583</v>
      </c>
      <c r="B137" s="15" t="s">
        <v>9</v>
      </c>
      <c r="E137" s="15" t="s">
        <v>10</v>
      </c>
      <c r="F137" s="16">
        <v>46190.0</v>
      </c>
      <c r="G137" s="15" t="s">
        <v>11</v>
      </c>
      <c r="H137" s="15" t="s">
        <v>10</v>
      </c>
      <c r="I137" s="15" t="s">
        <v>242</v>
      </c>
      <c r="J137" s="15">
        <v>343000.0</v>
      </c>
      <c r="K137" s="15" t="s">
        <v>47</v>
      </c>
    </row>
    <row r="138" ht="22.5" hidden="1" customHeight="1">
      <c r="A138" s="14">
        <v>46190.38397645833</v>
      </c>
      <c r="B138" s="15" t="s">
        <v>9</v>
      </c>
      <c r="E138" s="15" t="s">
        <v>17</v>
      </c>
      <c r="F138" s="16">
        <v>46189.0</v>
      </c>
      <c r="G138" s="15" t="s">
        <v>15</v>
      </c>
      <c r="H138" s="15" t="s">
        <v>244</v>
      </c>
      <c r="I138" s="15" t="s">
        <v>244</v>
      </c>
      <c r="J138" s="15">
        <v>145000.0</v>
      </c>
      <c r="K138" s="15" t="s">
        <v>47</v>
      </c>
    </row>
    <row r="139" ht="22.5" hidden="1" customHeight="1">
      <c r="A139" s="14">
        <v>46190.384943067125</v>
      </c>
      <c r="B139" s="15" t="s">
        <v>9</v>
      </c>
      <c r="E139" s="15" t="s">
        <v>20</v>
      </c>
      <c r="F139" s="16">
        <v>46189.0</v>
      </c>
      <c r="G139" s="15" t="s">
        <v>15</v>
      </c>
      <c r="H139" s="15" t="s">
        <v>93</v>
      </c>
      <c r="I139" s="15" t="s">
        <v>245</v>
      </c>
      <c r="J139" s="15">
        <v>7000.0</v>
      </c>
      <c r="K139" s="15" t="s">
        <v>47</v>
      </c>
    </row>
    <row r="140" ht="22.5" hidden="1" customHeight="1">
      <c r="A140" s="14">
        <v>46190.405733680556</v>
      </c>
      <c r="B140" s="15" t="s">
        <v>9</v>
      </c>
      <c r="E140" s="15" t="s">
        <v>10</v>
      </c>
      <c r="F140" s="16">
        <v>46190.0</v>
      </c>
      <c r="G140" s="15" t="s">
        <v>11</v>
      </c>
      <c r="H140" s="15" t="s">
        <v>10</v>
      </c>
      <c r="I140" s="15" t="s">
        <v>246</v>
      </c>
      <c r="J140" s="15">
        <v>724000.0</v>
      </c>
      <c r="K140" s="15" t="s">
        <v>47</v>
      </c>
    </row>
    <row r="141">
      <c r="A141" s="1"/>
      <c r="B141" s="1"/>
      <c r="C141" s="1"/>
      <c r="D141" s="1"/>
      <c r="E141" s="1"/>
      <c r="F141" s="1"/>
      <c r="G141" s="1"/>
      <c r="H141" s="1"/>
      <c r="I141" s="1"/>
      <c r="J141" s="6"/>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row>
    <row r="142">
      <c r="A142" s="1"/>
      <c r="B142" s="1"/>
      <c r="C142" s="1"/>
      <c r="D142" s="1"/>
      <c r="E142" s="1"/>
      <c r="F142" s="1"/>
      <c r="G142" s="1"/>
      <c r="H142" s="1"/>
      <c r="I142" s="1"/>
      <c r="J142" s="6"/>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row>
    <row r="143">
      <c r="A143" s="1"/>
      <c r="B143" s="1"/>
      <c r="C143" s="1"/>
      <c r="D143" s="1"/>
      <c r="E143" s="1"/>
      <c r="F143" s="1"/>
      <c r="G143" s="1"/>
      <c r="H143" s="1"/>
      <c r="I143" s="1"/>
      <c r="J143" s="6"/>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row>
    <row r="144">
      <c r="A144" s="1"/>
      <c r="B144" s="1"/>
      <c r="C144" s="1"/>
      <c r="D144" s="1"/>
      <c r="E144" s="1"/>
      <c r="F144" s="1"/>
      <c r="G144" s="1"/>
      <c r="H144" s="1"/>
      <c r="I144" s="1"/>
      <c r="J144" s="6"/>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row>
    <row r="145">
      <c r="A145" s="1"/>
      <c r="B145" s="1"/>
      <c r="C145" s="1"/>
      <c r="D145" s="1"/>
      <c r="E145" s="1"/>
      <c r="F145" s="1"/>
      <c r="G145" s="1"/>
      <c r="H145" s="1"/>
      <c r="I145" s="1"/>
      <c r="J145" s="6"/>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row>
    <row r="146">
      <c r="A146" s="1"/>
      <c r="B146" s="1"/>
      <c r="C146" s="1"/>
      <c r="D146" s="1"/>
      <c r="E146" s="1"/>
      <c r="F146" s="1"/>
      <c r="G146" s="1"/>
      <c r="H146" s="1"/>
      <c r="I146" s="1"/>
      <c r="J146" s="6"/>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row>
    <row r="147">
      <c r="A147" s="1"/>
      <c r="B147" s="1"/>
      <c r="C147" s="1"/>
      <c r="D147" s="1"/>
      <c r="E147" s="1"/>
      <c r="F147" s="1"/>
      <c r="G147" s="1"/>
      <c r="H147" s="1"/>
      <c r="I147" s="1"/>
      <c r="J147" s="6"/>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row>
    <row r="148">
      <c r="A148" s="1"/>
      <c r="B148" s="1"/>
      <c r="C148" s="1"/>
      <c r="D148" s="1"/>
      <c r="E148" s="1"/>
      <c r="F148" s="1"/>
      <c r="G148" s="1"/>
      <c r="H148" s="1"/>
      <c r="I148" s="1"/>
      <c r="J148" s="6"/>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row>
    <row r="149">
      <c r="A149" s="1"/>
      <c r="B149" s="1"/>
      <c r="C149" s="1"/>
      <c r="D149" s="1"/>
      <c r="E149" s="1"/>
      <c r="F149" s="1"/>
      <c r="G149" s="1"/>
      <c r="H149" s="1"/>
      <c r="I149" s="1"/>
      <c r="J149" s="6"/>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row>
    <row r="150">
      <c r="A150" s="1"/>
      <c r="B150" s="1"/>
      <c r="C150" s="1"/>
      <c r="D150" s="1"/>
      <c r="E150" s="1"/>
      <c r="F150" s="1"/>
      <c r="G150" s="1"/>
      <c r="H150" s="1"/>
      <c r="I150" s="1"/>
      <c r="J150" s="6"/>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row>
    <row r="151">
      <c r="A151" s="1"/>
      <c r="B151" s="1"/>
      <c r="C151" s="1"/>
      <c r="D151" s="1"/>
      <c r="E151" s="1"/>
      <c r="F151" s="1"/>
      <c r="G151" s="1"/>
      <c r="H151" s="1"/>
      <c r="I151" s="1"/>
      <c r="J151" s="6"/>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row>
    <row r="152">
      <c r="A152" s="1"/>
      <c r="B152" s="1"/>
      <c r="C152" s="1"/>
      <c r="D152" s="1"/>
      <c r="E152" s="1"/>
      <c r="F152" s="1"/>
      <c r="G152" s="1"/>
      <c r="H152" s="1"/>
      <c r="I152" s="1"/>
      <c r="J152" s="6"/>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row>
    <row r="153">
      <c r="A153" s="1"/>
      <c r="B153" s="1"/>
      <c r="C153" s="1"/>
      <c r="D153" s="1"/>
      <c r="E153" s="1"/>
      <c r="F153" s="1"/>
      <c r="G153" s="1"/>
      <c r="H153" s="1"/>
      <c r="I153" s="1"/>
      <c r="J153" s="6"/>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row>
    <row r="154">
      <c r="A154" s="1"/>
      <c r="B154" s="1"/>
      <c r="C154" s="1"/>
      <c r="D154" s="1"/>
      <c r="E154" s="1"/>
      <c r="F154" s="1"/>
      <c r="G154" s="1"/>
      <c r="H154" s="1"/>
      <c r="I154" s="1"/>
      <c r="J154" s="6"/>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row>
    <row r="155">
      <c r="A155" s="1"/>
      <c r="B155" s="1"/>
      <c r="C155" s="1"/>
      <c r="D155" s="1"/>
      <c r="E155" s="1"/>
      <c r="F155" s="1"/>
      <c r="G155" s="1"/>
      <c r="H155" s="1"/>
      <c r="I155" s="1"/>
      <c r="J155" s="6"/>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row>
    <row r="156">
      <c r="A156" s="1"/>
      <c r="B156" s="1"/>
      <c r="C156" s="1"/>
      <c r="D156" s="1"/>
      <c r="E156" s="1"/>
      <c r="F156" s="1"/>
      <c r="G156" s="1"/>
      <c r="H156" s="1"/>
      <c r="I156" s="1"/>
      <c r="J156" s="6"/>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row>
    <row r="157">
      <c r="A157" s="1"/>
      <c r="B157" s="1"/>
      <c r="C157" s="1"/>
      <c r="D157" s="1"/>
      <c r="E157" s="1"/>
      <c r="F157" s="1"/>
      <c r="G157" s="1"/>
      <c r="H157" s="1"/>
      <c r="I157" s="1"/>
      <c r="J157" s="6"/>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row>
    <row r="158">
      <c r="A158" s="1"/>
      <c r="B158" s="1"/>
      <c r="C158" s="1"/>
      <c r="D158" s="1"/>
      <c r="E158" s="1"/>
      <c r="F158" s="1"/>
      <c r="G158" s="1"/>
      <c r="H158" s="1"/>
      <c r="I158" s="1"/>
      <c r="J158" s="6"/>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row>
    <row r="159">
      <c r="A159" s="1"/>
      <c r="B159" s="1"/>
      <c r="C159" s="1"/>
      <c r="D159" s="1"/>
      <c r="E159" s="1"/>
      <c r="F159" s="1"/>
      <c r="G159" s="1"/>
      <c r="H159" s="1"/>
      <c r="I159" s="1"/>
      <c r="J159" s="6"/>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row>
    <row r="160">
      <c r="A160" s="1"/>
      <c r="B160" s="1"/>
      <c r="C160" s="1"/>
      <c r="D160" s="1"/>
      <c r="E160" s="1"/>
      <c r="F160" s="1"/>
      <c r="G160" s="1"/>
      <c r="H160" s="1"/>
      <c r="I160" s="1"/>
      <c r="J160" s="6"/>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row>
    <row r="161">
      <c r="A161" s="1"/>
      <c r="B161" s="1"/>
      <c r="C161" s="1"/>
      <c r="D161" s="1"/>
      <c r="E161" s="1"/>
      <c r="F161" s="1"/>
      <c r="G161" s="1"/>
      <c r="H161" s="1"/>
      <c r="I161" s="1"/>
      <c r="J161" s="6"/>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row>
    <row r="162">
      <c r="A162" s="1"/>
      <c r="B162" s="1"/>
      <c r="C162" s="1"/>
      <c r="D162" s="1"/>
      <c r="E162" s="1"/>
      <c r="F162" s="1"/>
      <c r="G162" s="1"/>
      <c r="H162" s="1"/>
      <c r="I162" s="1"/>
      <c r="J162" s="6"/>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row>
    <row r="163">
      <c r="A163" s="1"/>
      <c r="B163" s="1"/>
      <c r="C163" s="1"/>
      <c r="D163" s="1"/>
      <c r="E163" s="1"/>
      <c r="F163" s="1"/>
      <c r="G163" s="1"/>
      <c r="H163" s="1"/>
      <c r="I163" s="1"/>
      <c r="J163" s="6"/>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row>
    <row r="164">
      <c r="A164" s="1"/>
      <c r="B164" s="1"/>
      <c r="C164" s="1"/>
      <c r="D164" s="1"/>
      <c r="E164" s="1"/>
      <c r="F164" s="1"/>
      <c r="G164" s="1"/>
      <c r="H164" s="1"/>
      <c r="I164" s="1"/>
      <c r="J164" s="6"/>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row>
    <row r="165">
      <c r="A165" s="1"/>
      <c r="B165" s="1"/>
      <c r="C165" s="1"/>
      <c r="D165" s="1"/>
      <c r="E165" s="1"/>
      <c r="F165" s="1"/>
      <c r="G165" s="1"/>
      <c r="H165" s="1"/>
      <c r="I165" s="1"/>
      <c r="J165" s="6"/>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row>
    <row r="166">
      <c r="A166" s="1"/>
      <c r="B166" s="1"/>
      <c r="C166" s="1"/>
      <c r="D166" s="1"/>
      <c r="E166" s="1"/>
      <c r="F166" s="1"/>
      <c r="G166" s="1"/>
      <c r="H166" s="1"/>
      <c r="I166" s="1"/>
      <c r="J166" s="6"/>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row>
    <row r="167">
      <c r="A167" s="1"/>
      <c r="B167" s="1"/>
      <c r="C167" s="1"/>
      <c r="D167" s="1"/>
      <c r="E167" s="1"/>
      <c r="F167" s="1"/>
      <c r="G167" s="1"/>
      <c r="H167" s="1"/>
      <c r="I167" s="1"/>
      <c r="J167" s="6"/>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row>
    <row r="168">
      <c r="A168" s="1"/>
      <c r="B168" s="1"/>
      <c r="C168" s="1"/>
      <c r="D168" s="1"/>
      <c r="E168" s="1"/>
      <c r="F168" s="1"/>
      <c r="G168" s="1"/>
      <c r="H168" s="1"/>
      <c r="I168" s="1"/>
      <c r="J168" s="6"/>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row>
    <row r="169">
      <c r="A169" s="1"/>
      <c r="B169" s="1"/>
      <c r="C169" s="1"/>
      <c r="D169" s="1"/>
      <c r="E169" s="1"/>
      <c r="F169" s="1"/>
      <c r="G169" s="1"/>
      <c r="H169" s="1"/>
      <c r="I169" s="1"/>
      <c r="J169" s="6"/>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row>
    <row r="170">
      <c r="A170" s="1"/>
      <c r="B170" s="1"/>
      <c r="C170" s="1"/>
      <c r="D170" s="1"/>
      <c r="E170" s="1"/>
      <c r="F170" s="1"/>
      <c r="G170" s="1"/>
      <c r="H170" s="1"/>
      <c r="I170" s="1"/>
      <c r="J170" s="6"/>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row>
    <row r="171">
      <c r="A171" s="1"/>
      <c r="B171" s="1"/>
      <c r="C171" s="1"/>
      <c r="D171" s="1"/>
      <c r="E171" s="1"/>
      <c r="F171" s="1"/>
      <c r="G171" s="1"/>
      <c r="H171" s="1"/>
      <c r="I171" s="1"/>
      <c r="J171" s="6"/>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row>
    <row r="172">
      <c r="A172" s="1"/>
      <c r="B172" s="1"/>
      <c r="C172" s="1"/>
      <c r="D172" s="1"/>
      <c r="E172" s="1"/>
      <c r="F172" s="1"/>
      <c r="G172" s="1"/>
      <c r="H172" s="1"/>
      <c r="I172" s="1"/>
      <c r="J172" s="6"/>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row>
    <row r="173">
      <c r="A173" s="1"/>
      <c r="B173" s="1"/>
      <c r="C173" s="1"/>
      <c r="D173" s="1"/>
      <c r="E173" s="1"/>
      <c r="F173" s="1"/>
      <c r="G173" s="1"/>
      <c r="H173" s="1"/>
      <c r="I173" s="1"/>
      <c r="J173" s="6"/>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row>
    <row r="174">
      <c r="A174" s="1"/>
      <c r="B174" s="1"/>
      <c r="C174" s="1"/>
      <c r="D174" s="1"/>
      <c r="E174" s="1"/>
      <c r="F174" s="1"/>
      <c r="G174" s="1"/>
      <c r="H174" s="1"/>
      <c r="I174" s="1"/>
      <c r="J174" s="6"/>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row>
    <row r="175">
      <c r="A175" s="1"/>
      <c r="B175" s="1"/>
      <c r="C175" s="1"/>
      <c r="D175" s="1"/>
      <c r="E175" s="1"/>
      <c r="F175" s="1"/>
      <c r="G175" s="1"/>
      <c r="H175" s="1"/>
      <c r="I175" s="1"/>
      <c r="J175" s="6"/>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row>
    <row r="176">
      <c r="A176" s="1"/>
      <c r="B176" s="1"/>
      <c r="C176" s="1"/>
      <c r="D176" s="1"/>
      <c r="E176" s="1"/>
      <c r="F176" s="1"/>
      <c r="G176" s="1"/>
      <c r="H176" s="1"/>
      <c r="I176" s="1"/>
      <c r="J176" s="6"/>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row>
    <row r="177">
      <c r="A177" s="1"/>
      <c r="B177" s="1"/>
      <c r="C177" s="1"/>
      <c r="D177" s="1"/>
      <c r="E177" s="1"/>
      <c r="F177" s="1"/>
      <c r="G177" s="1"/>
      <c r="H177" s="1"/>
      <c r="I177" s="1"/>
      <c r="J177" s="6"/>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row>
    <row r="178">
      <c r="A178" s="1"/>
      <c r="B178" s="1"/>
      <c r="C178" s="1"/>
      <c r="D178" s="1"/>
      <c r="E178" s="1"/>
      <c r="F178" s="1"/>
      <c r="G178" s="1"/>
      <c r="H178" s="1"/>
      <c r="I178" s="1"/>
      <c r="J178" s="6"/>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row>
    <row r="179">
      <c r="A179" s="1"/>
      <c r="B179" s="1"/>
      <c r="C179" s="1"/>
      <c r="D179" s="1"/>
      <c r="E179" s="1"/>
      <c r="F179" s="1"/>
      <c r="G179" s="1"/>
      <c r="H179" s="1"/>
      <c r="I179" s="1"/>
      <c r="J179" s="6"/>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row>
    <row r="180">
      <c r="A180" s="1"/>
      <c r="B180" s="1"/>
      <c r="C180" s="1"/>
      <c r="D180" s="1"/>
      <c r="E180" s="1"/>
      <c r="F180" s="1"/>
      <c r="G180" s="1"/>
      <c r="H180" s="1"/>
      <c r="I180" s="1"/>
      <c r="J180" s="6"/>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row>
    <row r="181">
      <c r="A181" s="1"/>
      <c r="B181" s="1"/>
      <c r="C181" s="1"/>
      <c r="D181" s="1"/>
      <c r="E181" s="1"/>
      <c r="F181" s="1"/>
      <c r="G181" s="1"/>
      <c r="H181" s="1"/>
      <c r="I181" s="1"/>
      <c r="J181" s="6"/>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row>
    <row r="182">
      <c r="A182" s="1"/>
      <c r="B182" s="1"/>
      <c r="C182" s="1"/>
      <c r="D182" s="1"/>
      <c r="E182" s="1"/>
      <c r="F182" s="1"/>
      <c r="G182" s="1"/>
      <c r="H182" s="1"/>
      <c r="I182" s="1"/>
      <c r="J182" s="6"/>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row>
    <row r="183">
      <c r="A183" s="1"/>
      <c r="B183" s="1"/>
      <c r="C183" s="1"/>
      <c r="D183" s="1"/>
      <c r="E183" s="1"/>
      <c r="F183" s="1"/>
      <c r="G183" s="1"/>
      <c r="H183" s="1"/>
      <c r="I183" s="1"/>
      <c r="J183" s="6"/>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row>
    <row r="184">
      <c r="A184" s="1"/>
      <c r="B184" s="1"/>
      <c r="C184" s="1"/>
      <c r="D184" s="1"/>
      <c r="E184" s="1"/>
      <c r="F184" s="1"/>
      <c r="G184" s="1"/>
      <c r="H184" s="1"/>
      <c r="I184" s="1"/>
      <c r="J184" s="6"/>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row>
    <row r="185">
      <c r="A185" s="1"/>
      <c r="B185" s="1"/>
      <c r="C185" s="1"/>
      <c r="D185" s="1"/>
      <c r="E185" s="1"/>
      <c r="F185" s="1"/>
      <c r="G185" s="1"/>
      <c r="H185" s="1"/>
      <c r="I185" s="1"/>
      <c r="J185" s="6"/>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row>
    <row r="186">
      <c r="A186" s="1"/>
      <c r="B186" s="1"/>
      <c r="C186" s="1"/>
      <c r="D186" s="1"/>
      <c r="E186" s="1"/>
      <c r="F186" s="1"/>
      <c r="G186" s="1"/>
      <c r="H186" s="1"/>
      <c r="I186" s="1"/>
      <c r="J186" s="6"/>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row>
    <row r="187">
      <c r="A187" s="1"/>
      <c r="B187" s="1"/>
      <c r="C187" s="1"/>
      <c r="D187" s="1"/>
      <c r="E187" s="1"/>
      <c r="F187" s="1"/>
      <c r="G187" s="1"/>
      <c r="H187" s="1"/>
      <c r="I187" s="1"/>
      <c r="J187" s="6"/>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row>
    <row r="188">
      <c r="A188" s="1"/>
      <c r="B188" s="1"/>
      <c r="C188" s="1"/>
      <c r="D188" s="1"/>
      <c r="E188" s="1"/>
      <c r="F188" s="1"/>
      <c r="G188" s="1"/>
      <c r="H188" s="1"/>
      <c r="I188" s="1"/>
      <c r="J188" s="6"/>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row>
    <row r="189">
      <c r="A189" s="1"/>
      <c r="B189" s="1"/>
      <c r="C189" s="1"/>
      <c r="D189" s="1"/>
      <c r="E189" s="1"/>
      <c r="F189" s="1"/>
      <c r="G189" s="1"/>
      <c r="H189" s="1"/>
      <c r="I189" s="1"/>
      <c r="J189" s="6"/>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row>
    <row r="190">
      <c r="A190" s="1"/>
      <c r="B190" s="1"/>
      <c r="C190" s="1"/>
      <c r="D190" s="1"/>
      <c r="E190" s="1"/>
      <c r="F190" s="1"/>
      <c r="G190" s="1"/>
      <c r="H190" s="1"/>
      <c r="I190" s="1"/>
      <c r="J190" s="6"/>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row>
    <row r="191">
      <c r="A191" s="1"/>
      <c r="B191" s="1"/>
      <c r="C191" s="1"/>
      <c r="D191" s="1"/>
      <c r="E191" s="1"/>
      <c r="F191" s="1"/>
      <c r="G191" s="1"/>
      <c r="H191" s="1"/>
      <c r="I191" s="1"/>
      <c r="J191" s="6"/>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row>
    <row r="192">
      <c r="A192" s="1"/>
      <c r="B192" s="1"/>
      <c r="C192" s="1"/>
      <c r="D192" s="1"/>
      <c r="E192" s="1"/>
      <c r="F192" s="1"/>
      <c r="G192" s="1"/>
      <c r="H192" s="1"/>
      <c r="I192" s="1"/>
      <c r="J192" s="6"/>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row>
    <row r="193">
      <c r="A193" s="1"/>
      <c r="B193" s="1"/>
      <c r="C193" s="1"/>
      <c r="D193" s="1"/>
      <c r="E193" s="1"/>
      <c r="F193" s="1"/>
      <c r="G193" s="1"/>
      <c r="H193" s="1"/>
      <c r="I193" s="1"/>
      <c r="J193" s="6"/>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row>
    <row r="194">
      <c r="A194" s="1"/>
      <c r="B194" s="1"/>
      <c r="C194" s="1"/>
      <c r="D194" s="1"/>
      <c r="E194" s="1"/>
      <c r="F194" s="1"/>
      <c r="G194" s="1"/>
      <c r="H194" s="1"/>
      <c r="I194" s="1"/>
      <c r="J194" s="6"/>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row>
    <row r="195">
      <c r="A195" s="1"/>
      <c r="B195" s="1"/>
      <c r="C195" s="1"/>
      <c r="D195" s="1"/>
      <c r="E195" s="1"/>
      <c r="F195" s="1"/>
      <c r="G195" s="1"/>
      <c r="H195" s="1"/>
      <c r="I195" s="1"/>
      <c r="J195" s="6"/>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row>
    <row r="196">
      <c r="A196" s="1"/>
      <c r="B196" s="1"/>
      <c r="C196" s="1"/>
      <c r="D196" s="1"/>
      <c r="E196" s="1"/>
      <c r="F196" s="1"/>
      <c r="G196" s="1"/>
      <c r="H196" s="1"/>
      <c r="I196" s="1"/>
      <c r="J196" s="6"/>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row>
    <row r="197">
      <c r="A197" s="1"/>
      <c r="B197" s="1"/>
      <c r="C197" s="1"/>
      <c r="D197" s="1"/>
      <c r="E197" s="1"/>
      <c r="F197" s="1"/>
      <c r="G197" s="1"/>
      <c r="H197" s="1"/>
      <c r="I197" s="1"/>
      <c r="J197" s="6"/>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row>
    <row r="198">
      <c r="A198" s="1"/>
      <c r="B198" s="1"/>
      <c r="C198" s="1"/>
      <c r="D198" s="1"/>
      <c r="E198" s="1"/>
      <c r="F198" s="1"/>
      <c r="G198" s="1"/>
      <c r="H198" s="1"/>
      <c r="I198" s="1"/>
      <c r="J198" s="6"/>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row>
    <row r="199">
      <c r="A199" s="1"/>
      <c r="B199" s="1"/>
      <c r="C199" s="1"/>
      <c r="D199" s="1"/>
      <c r="E199" s="1"/>
      <c r="F199" s="1"/>
      <c r="G199" s="1"/>
      <c r="H199" s="1"/>
      <c r="I199" s="1"/>
      <c r="J199" s="6"/>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row>
    <row r="200">
      <c r="A200" s="1"/>
      <c r="B200" s="1"/>
      <c r="C200" s="1"/>
      <c r="D200" s="1"/>
      <c r="E200" s="1"/>
      <c r="F200" s="1"/>
      <c r="G200" s="1"/>
      <c r="H200" s="1"/>
      <c r="I200" s="1"/>
      <c r="J200" s="6"/>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row>
    <row r="201">
      <c r="A201" s="1"/>
      <c r="B201" s="1"/>
      <c r="C201" s="1"/>
      <c r="D201" s="1"/>
      <c r="E201" s="1"/>
      <c r="F201" s="1"/>
      <c r="G201" s="1"/>
      <c r="H201" s="1"/>
      <c r="I201" s="1"/>
      <c r="J201" s="6"/>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row>
    <row r="202">
      <c r="A202" s="1"/>
      <c r="B202" s="1"/>
      <c r="C202" s="1"/>
      <c r="D202" s="1"/>
      <c r="E202" s="1"/>
      <c r="F202" s="1"/>
      <c r="G202" s="1"/>
      <c r="H202" s="1"/>
      <c r="I202" s="1"/>
      <c r="J202" s="6"/>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row>
    <row r="203">
      <c r="A203" s="1"/>
      <c r="B203" s="1"/>
      <c r="C203" s="1"/>
      <c r="D203" s="1"/>
      <c r="E203" s="1"/>
      <c r="F203" s="1"/>
      <c r="G203" s="1"/>
      <c r="H203" s="1"/>
      <c r="I203" s="1"/>
      <c r="J203" s="6"/>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row>
    <row r="204">
      <c r="A204" s="1"/>
      <c r="B204" s="1"/>
      <c r="C204" s="1"/>
      <c r="D204" s="1"/>
      <c r="E204" s="1"/>
      <c r="F204" s="1"/>
      <c r="G204" s="1"/>
      <c r="H204" s="1"/>
      <c r="I204" s="1"/>
      <c r="J204" s="6"/>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row>
    <row r="205">
      <c r="A205" s="1"/>
      <c r="B205" s="1"/>
      <c r="C205" s="1"/>
      <c r="D205" s="1"/>
      <c r="E205" s="1"/>
      <c r="F205" s="1"/>
      <c r="G205" s="1"/>
      <c r="H205" s="1"/>
      <c r="I205" s="1"/>
      <c r="J205" s="6"/>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row>
    <row r="206">
      <c r="A206" s="1"/>
      <c r="B206" s="1"/>
      <c r="C206" s="1"/>
      <c r="D206" s="1"/>
      <c r="E206" s="1"/>
      <c r="F206" s="1"/>
      <c r="G206" s="1"/>
      <c r="H206" s="1"/>
      <c r="I206" s="1"/>
      <c r="J206" s="6"/>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row>
    <row r="207">
      <c r="A207" s="1"/>
      <c r="B207" s="1"/>
      <c r="C207" s="1"/>
      <c r="D207" s="1"/>
      <c r="E207" s="1"/>
      <c r="F207" s="1"/>
      <c r="G207" s="1"/>
      <c r="H207" s="1"/>
      <c r="I207" s="1"/>
      <c r="J207" s="6"/>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row>
    <row r="208">
      <c r="A208" s="1"/>
      <c r="B208" s="1"/>
      <c r="C208" s="1"/>
      <c r="D208" s="1"/>
      <c r="E208" s="1"/>
      <c r="F208" s="1"/>
      <c r="G208" s="1"/>
      <c r="H208" s="1"/>
      <c r="I208" s="1"/>
      <c r="J208" s="6"/>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row>
    <row r="209">
      <c r="A209" s="1"/>
      <c r="B209" s="1"/>
      <c r="C209" s="1"/>
      <c r="D209" s="1"/>
      <c r="E209" s="1"/>
      <c r="F209" s="1"/>
      <c r="G209" s="1"/>
      <c r="H209" s="1"/>
      <c r="I209" s="1"/>
      <c r="J209" s="6"/>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row>
    <row r="210">
      <c r="A210" s="1"/>
      <c r="B210" s="1"/>
      <c r="C210" s="1"/>
      <c r="D210" s="1"/>
      <c r="E210" s="1"/>
      <c r="F210" s="1"/>
      <c r="G210" s="1"/>
      <c r="H210" s="1"/>
      <c r="I210" s="1"/>
      <c r="J210" s="6"/>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row>
    <row r="211">
      <c r="A211" s="1"/>
      <c r="B211" s="1"/>
      <c r="C211" s="1"/>
      <c r="D211" s="1"/>
      <c r="E211" s="1"/>
      <c r="F211" s="1"/>
      <c r="G211" s="1"/>
      <c r="H211" s="1"/>
      <c r="I211" s="1"/>
      <c r="J211" s="6"/>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row>
    <row r="212">
      <c r="A212" s="1"/>
      <c r="B212" s="1"/>
      <c r="C212" s="1"/>
      <c r="D212" s="1"/>
      <c r="E212" s="1"/>
      <c r="F212" s="1"/>
      <c r="G212" s="1"/>
      <c r="H212" s="1"/>
      <c r="I212" s="1"/>
      <c r="J212" s="6"/>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row>
    <row r="213">
      <c r="A213" s="1"/>
      <c r="B213" s="1"/>
      <c r="C213" s="1"/>
      <c r="D213" s="1"/>
      <c r="E213" s="1"/>
      <c r="F213" s="1"/>
      <c r="G213" s="1"/>
      <c r="H213" s="1"/>
      <c r="I213" s="1"/>
      <c r="J213" s="6"/>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row>
    <row r="214">
      <c r="A214" s="1"/>
      <c r="B214" s="1"/>
      <c r="C214" s="1"/>
      <c r="D214" s="1"/>
      <c r="E214" s="1"/>
      <c r="F214" s="1"/>
      <c r="G214" s="1"/>
      <c r="H214" s="1"/>
      <c r="I214" s="1"/>
      <c r="J214" s="6"/>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row>
    <row r="215">
      <c r="A215" s="1"/>
      <c r="B215" s="1"/>
      <c r="C215" s="1"/>
      <c r="D215" s="1"/>
      <c r="E215" s="1"/>
      <c r="F215" s="1"/>
      <c r="G215" s="1"/>
      <c r="H215" s="1"/>
      <c r="I215" s="1"/>
      <c r="J215" s="6"/>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row>
    <row r="216">
      <c r="A216" s="1"/>
      <c r="B216" s="1"/>
      <c r="C216" s="1"/>
      <c r="D216" s="1"/>
      <c r="E216" s="1"/>
      <c r="F216" s="1"/>
      <c r="G216" s="1"/>
      <c r="H216" s="1"/>
      <c r="I216" s="1"/>
      <c r="J216" s="6"/>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row>
    <row r="217">
      <c r="A217" s="1"/>
      <c r="B217" s="1"/>
      <c r="C217" s="1"/>
      <c r="D217" s="1"/>
      <c r="E217" s="1"/>
      <c r="F217" s="1"/>
      <c r="G217" s="1"/>
      <c r="H217" s="1"/>
      <c r="I217" s="1"/>
      <c r="J217" s="6"/>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row>
    <row r="218">
      <c r="A218" s="1"/>
      <c r="B218" s="1"/>
      <c r="C218" s="1"/>
      <c r="D218" s="1"/>
      <c r="E218" s="1"/>
      <c r="F218" s="1"/>
      <c r="G218" s="1"/>
      <c r="H218" s="1"/>
      <c r="I218" s="1"/>
      <c r="J218" s="6"/>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row>
    <row r="219">
      <c r="A219" s="1"/>
      <c r="B219" s="1"/>
      <c r="C219" s="1"/>
      <c r="D219" s="1"/>
      <c r="E219" s="1"/>
      <c r="F219" s="1"/>
      <c r="G219" s="1"/>
      <c r="H219" s="1"/>
      <c r="I219" s="1"/>
      <c r="J219" s="6"/>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row>
    <row r="220">
      <c r="A220" s="1"/>
      <c r="B220" s="1"/>
      <c r="C220" s="1"/>
      <c r="D220" s="1"/>
      <c r="E220" s="1"/>
      <c r="F220" s="1"/>
      <c r="G220" s="1"/>
      <c r="H220" s="1"/>
      <c r="I220" s="1"/>
      <c r="J220" s="6"/>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row>
    <row r="221">
      <c r="A221" s="1"/>
      <c r="B221" s="1"/>
      <c r="C221" s="1"/>
      <c r="D221" s="1"/>
      <c r="E221" s="1"/>
      <c r="F221" s="1"/>
      <c r="G221" s="1"/>
      <c r="H221" s="1"/>
      <c r="I221" s="1"/>
      <c r="J221" s="6"/>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row>
    <row r="222">
      <c r="A222" s="1"/>
      <c r="B222" s="1"/>
      <c r="C222" s="1"/>
      <c r="D222" s="1"/>
      <c r="E222" s="1"/>
      <c r="F222" s="1"/>
      <c r="G222" s="1"/>
      <c r="H222" s="1"/>
      <c r="I222" s="1"/>
      <c r="J222" s="6"/>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row>
    <row r="223">
      <c r="A223" s="1"/>
      <c r="B223" s="1"/>
      <c r="C223" s="1"/>
      <c r="D223" s="1"/>
      <c r="E223" s="1"/>
      <c r="F223" s="1"/>
      <c r="G223" s="1"/>
      <c r="H223" s="1"/>
      <c r="I223" s="1"/>
      <c r="J223" s="6"/>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row>
    <row r="224">
      <c r="A224" s="1"/>
      <c r="B224" s="1"/>
      <c r="C224" s="1"/>
      <c r="D224" s="1"/>
      <c r="E224" s="1"/>
      <c r="F224" s="1"/>
      <c r="G224" s="1"/>
      <c r="H224" s="1"/>
      <c r="I224" s="1"/>
      <c r="J224" s="6"/>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row>
    <row r="225">
      <c r="A225" s="1"/>
      <c r="B225" s="1"/>
      <c r="C225" s="1"/>
      <c r="D225" s="1"/>
      <c r="E225" s="1"/>
      <c r="F225" s="1"/>
      <c r="G225" s="1"/>
      <c r="H225" s="1"/>
      <c r="I225" s="1"/>
      <c r="J225" s="6"/>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row>
    <row r="226">
      <c r="A226" s="1"/>
      <c r="B226" s="1"/>
      <c r="C226" s="1"/>
      <c r="D226" s="1"/>
      <c r="E226" s="1"/>
      <c r="F226" s="1"/>
      <c r="G226" s="1"/>
      <c r="H226" s="1"/>
      <c r="I226" s="1"/>
      <c r="J226" s="6"/>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row>
    <row r="227">
      <c r="A227" s="1"/>
      <c r="B227" s="1"/>
      <c r="C227" s="1"/>
      <c r="D227" s="1"/>
      <c r="E227" s="1"/>
      <c r="F227" s="1"/>
      <c r="G227" s="1"/>
      <c r="H227" s="1"/>
      <c r="I227" s="1"/>
      <c r="J227" s="6"/>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row>
    <row r="228">
      <c r="A228" s="1"/>
      <c r="B228" s="1"/>
      <c r="C228" s="1"/>
      <c r="D228" s="1"/>
      <c r="E228" s="1"/>
      <c r="F228" s="1"/>
      <c r="G228" s="1"/>
      <c r="H228" s="1"/>
      <c r="I228" s="1"/>
      <c r="J228" s="6"/>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row>
    <row r="229">
      <c r="A229" s="1"/>
      <c r="B229" s="1"/>
      <c r="C229" s="1"/>
      <c r="D229" s="1"/>
      <c r="E229" s="1"/>
      <c r="F229" s="1"/>
      <c r="G229" s="1"/>
      <c r="H229" s="1"/>
      <c r="I229" s="1"/>
      <c r="J229" s="6"/>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row>
    <row r="230">
      <c r="A230" s="1"/>
      <c r="B230" s="1"/>
      <c r="C230" s="1"/>
      <c r="D230" s="1"/>
      <c r="E230" s="1"/>
      <c r="F230" s="1"/>
      <c r="G230" s="1"/>
      <c r="H230" s="1"/>
      <c r="I230" s="1"/>
      <c r="J230" s="6"/>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row>
    <row r="231">
      <c r="A231" s="1"/>
      <c r="B231" s="1"/>
      <c r="C231" s="1"/>
      <c r="D231" s="1"/>
      <c r="E231" s="1"/>
      <c r="F231" s="1"/>
      <c r="G231" s="1"/>
      <c r="H231" s="1"/>
      <c r="I231" s="1"/>
      <c r="J231" s="6"/>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row>
    <row r="232">
      <c r="A232" s="1"/>
      <c r="B232" s="1"/>
      <c r="C232" s="1"/>
      <c r="D232" s="1"/>
      <c r="E232" s="1"/>
      <c r="F232" s="1"/>
      <c r="G232" s="1"/>
      <c r="H232" s="1"/>
      <c r="I232" s="1"/>
      <c r="J232" s="6"/>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row>
    <row r="233">
      <c r="A233" s="1"/>
      <c r="B233" s="1"/>
      <c r="C233" s="1"/>
      <c r="D233" s="1"/>
      <c r="E233" s="1"/>
      <c r="F233" s="1"/>
      <c r="G233" s="1"/>
      <c r="H233" s="1"/>
      <c r="I233" s="1"/>
      <c r="J233" s="6"/>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row>
    <row r="234">
      <c r="A234" s="1"/>
      <c r="B234" s="1"/>
      <c r="C234" s="1"/>
      <c r="D234" s="1"/>
      <c r="E234" s="1"/>
      <c r="F234" s="1"/>
      <c r="G234" s="1"/>
      <c r="H234" s="1"/>
      <c r="I234" s="1"/>
      <c r="J234" s="6"/>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row>
    <row r="235">
      <c r="A235" s="1"/>
      <c r="B235" s="1"/>
      <c r="C235" s="1"/>
      <c r="D235" s="1"/>
      <c r="E235" s="1"/>
      <c r="F235" s="1"/>
      <c r="G235" s="1"/>
      <c r="H235" s="1"/>
      <c r="I235" s="1"/>
      <c r="J235" s="6"/>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row>
    <row r="236">
      <c r="A236" s="1"/>
      <c r="B236" s="1"/>
      <c r="C236" s="1"/>
      <c r="D236" s="1"/>
      <c r="E236" s="1"/>
      <c r="F236" s="1"/>
      <c r="G236" s="1"/>
      <c r="H236" s="1"/>
      <c r="I236" s="1"/>
      <c r="J236" s="6"/>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row>
    <row r="237">
      <c r="A237" s="1"/>
      <c r="B237" s="1"/>
      <c r="C237" s="1"/>
      <c r="D237" s="1"/>
      <c r="E237" s="1"/>
      <c r="F237" s="1"/>
      <c r="G237" s="1"/>
      <c r="H237" s="1"/>
      <c r="I237" s="1"/>
      <c r="J237" s="6"/>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row>
    <row r="238">
      <c r="A238" s="1"/>
      <c r="B238" s="1"/>
      <c r="C238" s="1"/>
      <c r="D238" s="1"/>
      <c r="E238" s="1"/>
      <c r="F238" s="1"/>
      <c r="G238" s="1"/>
      <c r="H238" s="1"/>
      <c r="I238" s="1"/>
      <c r="J238" s="6"/>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row>
    <row r="239">
      <c r="A239" s="1"/>
      <c r="B239" s="1"/>
      <c r="C239" s="1"/>
      <c r="D239" s="1"/>
      <c r="E239" s="1"/>
      <c r="F239" s="1"/>
      <c r="G239" s="1"/>
      <c r="H239" s="1"/>
      <c r="I239" s="1"/>
      <c r="J239" s="6"/>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row>
    <row r="240">
      <c r="A240" s="1"/>
      <c r="B240" s="1"/>
      <c r="C240" s="1"/>
      <c r="D240" s="1"/>
      <c r="E240" s="1"/>
      <c r="F240" s="1"/>
      <c r="G240" s="1"/>
      <c r="H240" s="1"/>
      <c r="I240" s="1"/>
      <c r="J240" s="6"/>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row>
  </sheetData>
  <hyperlinks>
    <hyperlink r:id="rId3" ref="L4"/>
    <hyperlink r:id="rId4" ref="L6"/>
    <hyperlink r:id="rId5" ref="L18"/>
    <hyperlink r:id="rId6" ref="L83"/>
    <hyperlink r:id="rId7" ref="L85"/>
    <hyperlink r:id="rId8" ref="L95"/>
    <hyperlink r:id="rId9" ref="L96"/>
    <hyperlink r:id="rId10" ref="L97"/>
    <hyperlink r:id="rId11" ref="L98"/>
    <hyperlink r:id="rId12" ref="L101"/>
    <hyperlink r:id="rId13" ref="L103"/>
    <hyperlink r:id="rId14" ref="L104"/>
    <hyperlink r:id="rId15" ref="L105"/>
    <hyperlink r:id="rId16" ref="L124"/>
    <hyperlink r:id="rId17" ref="L125"/>
    <hyperlink r:id="rId18" ref="L126"/>
    <hyperlink r:id="rId19" ref="L127"/>
    <hyperlink r:id="rId20" ref="L128"/>
    <hyperlink r:id="rId21" ref="L132"/>
  </hyperlinks>
  <drawing r:id="rId22"/>
  <tableParts count="1">
    <tablePart r:id="rId2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5"/>
    <col customWidth="1" min="2" max="2" width="37.5"/>
  </cols>
  <sheetData>
    <row r="1">
      <c r="A1" s="25" t="s">
        <v>247</v>
      </c>
      <c r="B1" s="25" t="s">
        <v>41</v>
      </c>
      <c r="C1" s="26" t="s">
        <v>248</v>
      </c>
      <c r="D1" s="26" t="s">
        <v>249</v>
      </c>
      <c r="E1" s="26" t="s">
        <v>250</v>
      </c>
      <c r="F1" s="26" t="s">
        <v>251</v>
      </c>
      <c r="G1" s="4" t="s">
        <v>252</v>
      </c>
      <c r="H1" s="3"/>
      <c r="I1" s="3"/>
      <c r="J1" s="4"/>
      <c r="K1" s="1"/>
      <c r="L1" s="4"/>
      <c r="M1" s="4"/>
      <c r="N1" s="3"/>
      <c r="O1" s="3"/>
      <c r="P1" s="4"/>
      <c r="Q1" s="1"/>
      <c r="R1" s="1"/>
      <c r="S1" s="1"/>
      <c r="T1" s="1"/>
      <c r="U1" s="1"/>
      <c r="V1" s="1"/>
      <c r="W1" s="1"/>
      <c r="X1" s="1"/>
    </row>
    <row r="2">
      <c r="A2" s="4" t="s">
        <v>253</v>
      </c>
      <c r="B2" s="4" t="s">
        <v>17</v>
      </c>
      <c r="C2" s="3">
        <f>SUMIF('INVERSION INICIAL'!B:B,B2,'INVERSION INICIAL'!G:G)</f>
        <v>700000</v>
      </c>
      <c r="D2" s="3">
        <f>SUMIF(TD!B:B,B2,TD!C:C)</f>
        <v>700000</v>
      </c>
      <c r="E2" s="3">
        <f>SUMIF(TD!F:F,B2,TD!G:G)</f>
        <v>0</v>
      </c>
      <c r="F2" s="3">
        <f>SUMIF(TD!J:J,B2,TD!K:K)</f>
        <v>0</v>
      </c>
      <c r="G2" s="1"/>
      <c r="H2" s="2"/>
      <c r="I2" s="3"/>
      <c r="J2" s="27"/>
      <c r="K2" s="1"/>
      <c r="L2" s="4"/>
      <c r="M2" s="4"/>
      <c r="N2" s="2"/>
      <c r="O2" s="3"/>
      <c r="P2" s="27"/>
      <c r="Q2" s="1"/>
      <c r="R2" s="1"/>
      <c r="S2" s="1"/>
      <c r="T2" s="1"/>
      <c r="U2" s="1"/>
      <c r="V2" s="1"/>
      <c r="W2" s="1"/>
      <c r="X2" s="1"/>
    </row>
    <row r="3">
      <c r="A3" s="4" t="s">
        <v>253</v>
      </c>
      <c r="B3" s="4" t="s">
        <v>10</v>
      </c>
      <c r="C3" s="3">
        <f>SUMIF('INVERSION INICIAL'!B:B,B3,'INVERSION INICIAL'!G:G)</f>
        <v>39400000</v>
      </c>
      <c r="D3" s="3">
        <f>SUMIF(TD!B:B,B3,TD!C:C)</f>
        <v>39400000</v>
      </c>
      <c r="E3" s="3">
        <f>SUMIF(TD!F:F,B3,TD!G:G)</f>
        <v>0</v>
      </c>
      <c r="F3" s="3">
        <f>SUMIF(TD!J:J,B3,TD!K:K)</f>
        <v>0</v>
      </c>
      <c r="G3" s="3">
        <f t="shared" ref="G3:G5" si="1">D3</f>
        <v>39400000</v>
      </c>
      <c r="H3" s="3"/>
      <c r="I3" s="2"/>
      <c r="J3" s="27"/>
      <c r="K3" s="1"/>
      <c r="L3" s="4"/>
      <c r="M3" s="4"/>
      <c r="N3" s="3"/>
      <c r="O3" s="2"/>
      <c r="P3" s="27"/>
      <c r="Q3" s="1"/>
      <c r="R3" s="1"/>
      <c r="S3" s="1"/>
      <c r="T3" s="1"/>
      <c r="U3" s="1"/>
      <c r="V3" s="1"/>
      <c r="W3" s="1"/>
      <c r="X3" s="1"/>
    </row>
    <row r="4">
      <c r="A4" s="4" t="s">
        <v>253</v>
      </c>
      <c r="B4" s="4" t="s">
        <v>14</v>
      </c>
      <c r="C4" s="3">
        <f>SUMIF('INVERSION INICIAL'!B:B,B4,'INVERSION INICIAL'!G:G)</f>
        <v>4680315</v>
      </c>
      <c r="D4" s="3">
        <f>SUMIF(TD!B:B,B4,TD!C:C)</f>
        <v>4680315</v>
      </c>
      <c r="E4" s="3">
        <f>SUMIF(TD!F:F,B4,TD!G:G)</f>
        <v>0</v>
      </c>
      <c r="F4" s="3">
        <f>SUMIF(TD!J:J,B4,TD!K:K)</f>
        <v>0</v>
      </c>
      <c r="G4" s="2">
        <f t="shared" si="1"/>
        <v>4680315</v>
      </c>
      <c r="H4" s="2"/>
      <c r="I4" s="3"/>
      <c r="J4" s="27"/>
      <c r="K4" s="1"/>
      <c r="L4" s="4"/>
      <c r="M4" s="28"/>
      <c r="N4" s="2"/>
      <c r="O4" s="3"/>
      <c r="P4" s="27"/>
      <c r="Q4" s="1"/>
      <c r="R4" s="1"/>
      <c r="S4" s="1"/>
      <c r="T4" s="1"/>
      <c r="U4" s="1"/>
      <c r="V4" s="1"/>
      <c r="W4" s="1"/>
      <c r="X4" s="1"/>
    </row>
    <row r="5">
      <c r="A5" s="4" t="s">
        <v>253</v>
      </c>
      <c r="B5" s="4" t="s">
        <v>254</v>
      </c>
      <c r="C5" s="3">
        <f>SUMIF('INVERSION INICIAL'!B:B,B5,'INVERSION INICIAL'!G:G)</f>
        <v>0</v>
      </c>
      <c r="D5" s="3">
        <f>SUMIF(TD!B:B,B5,TD!C:C)</f>
        <v>0</v>
      </c>
      <c r="E5" s="3">
        <f>SUMIF(TD!F:F,B5,TD!G:G)</f>
        <v>0</v>
      </c>
      <c r="F5" s="3">
        <f>SUMIF(TD!J:J,B5,TD!K:K)</f>
        <v>0</v>
      </c>
      <c r="G5" s="2">
        <f t="shared" si="1"/>
        <v>0</v>
      </c>
      <c r="H5" s="2"/>
      <c r="I5" s="2"/>
      <c r="J5" s="1"/>
      <c r="K5" s="1"/>
      <c r="L5" s="4"/>
      <c r="M5" s="1"/>
      <c r="N5" s="2"/>
      <c r="O5" s="2"/>
      <c r="P5" s="27"/>
      <c r="Q5" s="1"/>
      <c r="R5" s="1"/>
      <c r="S5" s="1"/>
      <c r="T5" s="1"/>
      <c r="U5" s="1"/>
      <c r="V5" s="1"/>
      <c r="W5" s="1"/>
      <c r="X5" s="1"/>
    </row>
    <row r="6">
      <c r="A6" s="4" t="s">
        <v>253</v>
      </c>
      <c r="B6" s="4" t="s">
        <v>32</v>
      </c>
      <c r="C6" s="3">
        <f>SUMIF('INVERSION INICIAL'!B:B,B6,'INVERSION INICIAL'!G:G)</f>
        <v>380000</v>
      </c>
      <c r="D6" s="3">
        <f>SUMIF(TD!B:B,B6,TD!C:C)</f>
        <v>380000</v>
      </c>
      <c r="E6" s="3">
        <f>SUMIF(TD!F:F,B6,TD!G:G)</f>
        <v>0</v>
      </c>
      <c r="F6" s="3">
        <f>SUMIF(TD!J:J,B6,TD!K:K)</f>
        <v>0</v>
      </c>
      <c r="G6" s="1"/>
      <c r="H6" s="2"/>
      <c r="I6" s="2"/>
      <c r="J6" s="1"/>
      <c r="K6" s="1"/>
      <c r="L6" s="4"/>
      <c r="M6" s="28"/>
      <c r="N6" s="2"/>
      <c r="O6" s="2"/>
      <c r="P6" s="27"/>
      <c r="Q6" s="1"/>
      <c r="R6" s="1"/>
      <c r="S6" s="1"/>
      <c r="T6" s="1"/>
      <c r="U6" s="1"/>
      <c r="V6" s="1"/>
      <c r="W6" s="1"/>
      <c r="X6" s="1"/>
    </row>
    <row r="7">
      <c r="A7" s="4" t="s">
        <v>253</v>
      </c>
      <c r="B7" s="4" t="s">
        <v>24</v>
      </c>
      <c r="C7" s="3">
        <f>SUMIF('INVERSION INICIAL'!B:B,B7,'INVERSION INICIAL'!G:G)</f>
        <v>400000</v>
      </c>
      <c r="D7" s="3">
        <f>SUMIF(TD!B:B,B7,TD!C:C)</f>
        <v>400000</v>
      </c>
      <c r="E7" s="3">
        <f>SUMIF(TD!F:F,B7,TD!G:G)</f>
        <v>0</v>
      </c>
      <c r="F7" s="3">
        <f>SUMIF(TD!J:J,B7,TD!K:K)</f>
        <v>0</v>
      </c>
      <c r="G7" s="1"/>
      <c r="H7" s="2"/>
      <c r="I7" s="2"/>
      <c r="J7" s="1"/>
      <c r="K7" s="1"/>
      <c r="L7" s="4"/>
      <c r="M7" s="1"/>
      <c r="N7" s="1"/>
      <c r="O7" s="1"/>
      <c r="P7" s="27"/>
      <c r="Q7" s="1"/>
      <c r="R7" s="1"/>
      <c r="S7" s="1"/>
      <c r="T7" s="1"/>
      <c r="U7" s="1"/>
      <c r="V7" s="1"/>
      <c r="W7" s="1"/>
      <c r="X7" s="1"/>
    </row>
    <row r="8">
      <c r="A8" s="4" t="s">
        <v>253</v>
      </c>
      <c r="B8" s="4" t="s">
        <v>25</v>
      </c>
      <c r="C8" s="3">
        <f>SUMIF('INVERSION INICIAL'!B:B,B8,'INVERSION INICIAL'!G:G)</f>
        <v>315600</v>
      </c>
      <c r="D8" s="3">
        <f>SUMIF(TD!B:B,B8,TD!C:C)</f>
        <v>315600</v>
      </c>
      <c r="E8" s="3">
        <f>SUMIF(TD!F:F,B8,TD!G:G)</f>
        <v>0</v>
      </c>
      <c r="F8" s="3">
        <f>SUMIF(TD!J:J,B8,TD!K:K)</f>
        <v>0</v>
      </c>
      <c r="G8" s="2">
        <f t="shared" ref="G8:G9" si="2">D8</f>
        <v>315600</v>
      </c>
      <c r="H8" s="2"/>
      <c r="I8" s="2"/>
      <c r="J8" s="1"/>
      <c r="K8" s="1"/>
      <c r="L8" s="4"/>
      <c r="M8" s="28"/>
      <c r="N8" s="1"/>
      <c r="O8" s="1"/>
      <c r="P8" s="27"/>
      <c r="Q8" s="1"/>
      <c r="R8" s="1"/>
      <c r="S8" s="1"/>
      <c r="T8" s="1"/>
      <c r="U8" s="1"/>
      <c r="V8" s="1"/>
      <c r="W8" s="1"/>
      <c r="X8" s="1"/>
    </row>
    <row r="9">
      <c r="A9" s="4" t="s">
        <v>253</v>
      </c>
      <c r="B9" s="4" t="s">
        <v>19</v>
      </c>
      <c r="C9" s="3">
        <f>SUMIF('INVERSION INICIAL'!B:B,B9,'INVERSION INICIAL'!G:G)</f>
        <v>600000</v>
      </c>
      <c r="D9" s="3">
        <f>SUMIF(TD!B:B,B9,TD!C:C)</f>
        <v>600000</v>
      </c>
      <c r="E9" s="3">
        <f>SUMIF(TD!F:F,B9,TD!G:G)</f>
        <v>0</v>
      </c>
      <c r="F9" s="3">
        <f>SUMIF(TD!J:J,B9,TD!K:K)</f>
        <v>0</v>
      </c>
      <c r="G9" s="2">
        <f t="shared" si="2"/>
        <v>600000</v>
      </c>
      <c r="H9" s="2"/>
      <c r="I9" s="2"/>
      <c r="J9" s="1"/>
      <c r="K9" s="1"/>
      <c r="L9" s="4"/>
      <c r="M9" s="1"/>
      <c r="N9" s="1"/>
      <c r="O9" s="2"/>
      <c r="P9" s="27"/>
      <c r="Q9" s="1"/>
      <c r="R9" s="1"/>
      <c r="S9" s="1"/>
      <c r="T9" s="1"/>
      <c r="U9" s="1"/>
      <c r="V9" s="1"/>
      <c r="W9" s="1"/>
      <c r="X9" s="1"/>
    </row>
    <row r="10">
      <c r="A10" s="4" t="s">
        <v>253</v>
      </c>
      <c r="B10" s="4" t="s">
        <v>23</v>
      </c>
      <c r="C10" s="3">
        <f>SUMIF('INVERSION INICIAL'!B:B,B10,'INVERSION INICIAL'!G:G)</f>
        <v>500000</v>
      </c>
      <c r="D10" s="3">
        <f>SUMIF(TD!B:B,B10,TD!C:C)</f>
        <v>500000</v>
      </c>
      <c r="E10" s="3">
        <f>SUMIF(TD!F:F,B10,TD!G:G)</f>
        <v>0</v>
      </c>
      <c r="F10" s="3">
        <f>SUMIF(TD!J:J,B10,TD!K:K)</f>
        <v>0</v>
      </c>
      <c r="G10" s="1"/>
      <c r="H10" s="2"/>
      <c r="I10" s="2"/>
      <c r="J10" s="1"/>
      <c r="K10" s="1"/>
      <c r="L10" s="4"/>
      <c r="M10" s="1"/>
      <c r="N10" s="1"/>
      <c r="O10" s="1"/>
      <c r="P10" s="27"/>
      <c r="Q10" s="1"/>
      <c r="R10" s="1"/>
      <c r="S10" s="1"/>
      <c r="T10" s="1"/>
      <c r="U10" s="1"/>
      <c r="V10" s="1"/>
      <c r="W10" s="1"/>
      <c r="X10" s="1"/>
    </row>
    <row r="11">
      <c r="A11" s="4" t="s">
        <v>253</v>
      </c>
      <c r="B11" s="4" t="s">
        <v>30</v>
      </c>
      <c r="C11" s="3">
        <f>SUMIF('INVERSION INICIAL'!B:B,B11,'INVERSION INICIAL'!G:G)</f>
        <v>150000</v>
      </c>
      <c r="D11" s="3">
        <f>SUMIF(TD!B:B,B11,TD!C:C)</f>
        <v>150000</v>
      </c>
      <c r="E11" s="3">
        <f>SUMIF(TD!F:F,B11,TD!G:G)</f>
        <v>0</v>
      </c>
      <c r="F11" s="3">
        <f>SUMIF(TD!J:J,B11,TD!K:K)</f>
        <v>0</v>
      </c>
      <c r="G11" s="1"/>
      <c r="H11" s="2"/>
      <c r="I11" s="2"/>
      <c r="J11" s="1"/>
      <c r="K11" s="1"/>
      <c r="L11" s="4"/>
      <c r="M11" s="1"/>
      <c r="N11" s="1"/>
      <c r="O11" s="1"/>
      <c r="P11" s="27"/>
      <c r="Q11" s="1"/>
      <c r="R11" s="1"/>
      <c r="S11" s="1"/>
      <c r="T11" s="1"/>
      <c r="U11" s="1"/>
      <c r="V11" s="1"/>
      <c r="W11" s="1"/>
      <c r="X11" s="1"/>
    </row>
    <row r="12">
      <c r="A12" s="4" t="s">
        <v>253</v>
      </c>
      <c r="B12" s="4" t="s">
        <v>20</v>
      </c>
      <c r="C12" s="3">
        <f>SUMIF('INVERSION INICIAL'!B:B,B12,'INVERSION INICIAL'!G:G)</f>
        <v>272000</v>
      </c>
      <c r="D12" s="3">
        <f>SUMIF(TD!B:B,B12,TD!C:C)</f>
        <v>272000</v>
      </c>
      <c r="E12" s="3">
        <f>SUMIF(TD!F:F,B12,TD!G:G)</f>
        <v>0</v>
      </c>
      <c r="F12" s="3">
        <f>SUMIF(TD!J:J,B12,TD!K:K)</f>
        <v>0</v>
      </c>
      <c r="G12" s="1"/>
      <c r="H12" s="2"/>
      <c r="I12" s="2"/>
      <c r="J12" s="1"/>
      <c r="K12" s="1"/>
      <c r="L12" s="4"/>
      <c r="M12" s="1"/>
      <c r="N12" s="1"/>
      <c r="O12" s="1"/>
      <c r="P12" s="27"/>
      <c r="Q12" s="1"/>
      <c r="R12" s="1"/>
      <c r="S12" s="1"/>
      <c r="T12" s="1"/>
      <c r="U12" s="1"/>
      <c r="V12" s="1"/>
      <c r="W12" s="1"/>
      <c r="X12" s="1"/>
    </row>
    <row r="13">
      <c r="A13" s="4" t="s">
        <v>253</v>
      </c>
      <c r="B13" s="4" t="s">
        <v>29</v>
      </c>
      <c r="C13" s="3">
        <f>SUMIF('INVERSION INICIAL'!B:B,B13,'INVERSION INICIAL'!G:G)</f>
        <v>145800</v>
      </c>
      <c r="D13" s="3">
        <f>SUMIF(TD!B:B,B13,TD!C:C)</f>
        <v>145800</v>
      </c>
      <c r="E13" s="3">
        <f>SUMIF(TD!F:F,B13,TD!G:G)</f>
        <v>0</v>
      </c>
      <c r="F13" s="3">
        <f>SUMIF(TD!J:J,B13,TD!K:K)</f>
        <v>0</v>
      </c>
      <c r="G13" s="2">
        <f>D13</f>
        <v>145800</v>
      </c>
      <c r="H13" s="2"/>
      <c r="I13" s="2"/>
      <c r="J13" s="1"/>
      <c r="K13" s="1"/>
      <c r="L13" s="4"/>
      <c r="M13" s="1"/>
      <c r="N13" s="1"/>
      <c r="O13" s="2"/>
      <c r="P13" s="27"/>
      <c r="Q13" s="1"/>
      <c r="R13" s="1"/>
      <c r="S13" s="1"/>
      <c r="T13" s="1"/>
      <c r="U13" s="1"/>
      <c r="V13" s="1"/>
      <c r="W13" s="1"/>
      <c r="X13" s="1"/>
    </row>
    <row r="14">
      <c r="A14" s="4" t="s">
        <v>253</v>
      </c>
      <c r="B14" s="4" t="s">
        <v>12</v>
      </c>
      <c r="C14" s="3">
        <f>SUMIF('INVERSION INICIAL'!B:B,B14,'INVERSION INICIAL'!G:G)</f>
        <v>8044400</v>
      </c>
      <c r="D14" s="3">
        <f>SUMIF(TD!B:B,B14,TD!C:C)</f>
        <v>8044400</v>
      </c>
      <c r="E14" s="3">
        <f>SUMIF(TD!F:F,B14,TD!G:G)</f>
        <v>0</v>
      </c>
      <c r="F14" s="3">
        <f>SUMIF(TD!J:J,B14,TD!K:K)</f>
        <v>0</v>
      </c>
      <c r="G14" s="1"/>
      <c r="H14" s="2"/>
      <c r="I14" s="2"/>
      <c r="J14" s="1"/>
      <c r="K14" s="1"/>
      <c r="L14" s="4"/>
      <c r="M14" s="1"/>
      <c r="N14" s="1"/>
      <c r="O14" s="2"/>
      <c r="P14" s="27"/>
      <c r="Q14" s="1"/>
      <c r="R14" s="1"/>
      <c r="S14" s="1"/>
      <c r="T14" s="1"/>
      <c r="U14" s="1"/>
      <c r="V14" s="1"/>
      <c r="W14" s="1"/>
      <c r="X14" s="1"/>
    </row>
    <row r="15">
      <c r="A15" s="4" t="s">
        <v>253</v>
      </c>
      <c r="B15" s="4" t="s">
        <v>16</v>
      </c>
      <c r="C15" s="3">
        <f>SUMIF('INVERSION INICIAL'!B:B,B15,'INVERSION INICIAL'!G:G)</f>
        <v>4000000</v>
      </c>
      <c r="D15" s="3">
        <f>SUMIF(TD!B:B,B15,TD!C:C)</f>
        <v>4000000</v>
      </c>
      <c r="E15" s="3">
        <f>SUMIF(TD!F:F,B15,TD!G:G)</f>
        <v>0</v>
      </c>
      <c r="F15" s="3">
        <f>SUMIF(TD!J:J,B15,TD!K:K)</f>
        <v>0</v>
      </c>
      <c r="G15" s="1"/>
      <c r="H15" s="2"/>
      <c r="I15" s="2"/>
      <c r="J15" s="1"/>
      <c r="K15" s="1"/>
      <c r="L15" s="4"/>
      <c r="M15" s="1"/>
      <c r="N15" s="1"/>
      <c r="O15" s="2"/>
      <c r="P15" s="27"/>
      <c r="Q15" s="1"/>
      <c r="R15" s="1"/>
      <c r="S15" s="1"/>
      <c r="T15" s="1"/>
      <c r="U15" s="1"/>
      <c r="V15" s="1"/>
      <c r="W15" s="1"/>
      <c r="X15" s="1"/>
    </row>
    <row r="16">
      <c r="A16" s="25" t="s">
        <v>255</v>
      </c>
      <c r="B16" s="25"/>
      <c r="C16" s="26">
        <f t="shared" ref="C16:F16" si="3">SUBTOTAL(9,C2:C15)</f>
        <v>59588115</v>
      </c>
      <c r="D16" s="26">
        <f t="shared" si="3"/>
        <v>59588115</v>
      </c>
      <c r="E16" s="26">
        <f t="shared" si="3"/>
        <v>0</v>
      </c>
      <c r="F16" s="26">
        <f t="shared" si="3"/>
        <v>0</v>
      </c>
      <c r="G16" s="1"/>
      <c r="H16" s="2"/>
      <c r="I16" s="2"/>
      <c r="J16" s="1"/>
      <c r="K16" s="1"/>
      <c r="L16" s="4"/>
      <c r="M16" s="1"/>
      <c r="N16" s="1"/>
      <c r="O16" s="2"/>
      <c r="P16" s="27"/>
      <c r="Q16" s="1"/>
      <c r="R16" s="1"/>
      <c r="S16" s="1"/>
      <c r="T16" s="1"/>
      <c r="U16" s="1"/>
      <c r="V16" s="1"/>
      <c r="W16" s="1"/>
      <c r="X16" s="1"/>
    </row>
    <row r="17">
      <c r="A17" s="25" t="s">
        <v>253</v>
      </c>
      <c r="B17" s="25" t="s">
        <v>256</v>
      </c>
      <c r="C17" s="26">
        <f>SUMIF('INVERSION INICIAL'!B:B,B17,'INVERSION INICIAL'!G:G)</f>
        <v>0</v>
      </c>
      <c r="D17" s="26">
        <f>SUMIF(TD!B:B,B17,TD!C:C)</f>
        <v>0</v>
      </c>
      <c r="E17" s="26">
        <f>SUMIF(TD!F:F,B17,TD!G:G)</f>
        <v>0</v>
      </c>
      <c r="F17" s="26">
        <f>SUMIF(TD!J:J,B17,TD!K:K)</f>
        <v>0</v>
      </c>
      <c r="G17" s="1"/>
      <c r="H17" s="2"/>
      <c r="I17" s="2"/>
      <c r="J17" s="1"/>
      <c r="K17" s="1"/>
      <c r="L17" s="4"/>
      <c r="M17" s="1"/>
      <c r="N17" s="1"/>
      <c r="O17" s="1"/>
      <c r="P17" s="27"/>
      <c r="Q17" s="1"/>
      <c r="R17" s="1"/>
      <c r="S17" s="1"/>
      <c r="T17" s="1"/>
      <c r="U17" s="1"/>
      <c r="V17" s="1"/>
      <c r="W17" s="1"/>
      <c r="X17" s="1"/>
    </row>
    <row r="18">
      <c r="A18" s="1"/>
      <c r="B18" s="1"/>
      <c r="C18" s="2"/>
      <c r="D18" s="1"/>
      <c r="E18" s="1"/>
      <c r="F18" s="1"/>
      <c r="G18" s="1"/>
      <c r="H18" s="2"/>
      <c r="I18" s="2"/>
      <c r="J18" s="1"/>
      <c r="K18" s="1"/>
      <c r="L18" s="4"/>
      <c r="M18" s="1"/>
      <c r="N18" s="1"/>
      <c r="O18" s="1"/>
      <c r="P18" s="27"/>
      <c r="Q18" s="1"/>
      <c r="R18" s="1"/>
      <c r="S18" s="1"/>
      <c r="T18" s="1"/>
      <c r="U18" s="1"/>
      <c r="V18" s="1"/>
      <c r="W18" s="1"/>
      <c r="X18" s="1"/>
    </row>
    <row r="19">
      <c r="A19" s="25" t="s">
        <v>257</v>
      </c>
      <c r="B19" s="25"/>
      <c r="C19" s="26">
        <f>C16/C50</f>
        <v>14897028.75</v>
      </c>
      <c r="D19" s="1"/>
      <c r="E19" s="1"/>
      <c r="F19" s="1"/>
      <c r="G19" s="1"/>
      <c r="H19" s="2"/>
      <c r="I19" s="2"/>
      <c r="J19" s="1"/>
      <c r="K19" s="1"/>
      <c r="L19" s="4"/>
      <c r="M19" s="1"/>
      <c r="N19" s="1"/>
      <c r="O19" s="1"/>
      <c r="P19" s="27"/>
      <c r="Q19" s="1"/>
      <c r="R19" s="1"/>
      <c r="S19" s="1"/>
      <c r="T19" s="1"/>
      <c r="U19" s="1"/>
      <c r="V19" s="1"/>
      <c r="W19" s="1"/>
      <c r="X19" s="1"/>
    </row>
    <row r="20">
      <c r="A20" s="1"/>
      <c r="B20" s="1"/>
      <c r="C20" s="2"/>
      <c r="D20" s="1"/>
      <c r="E20" s="1"/>
      <c r="F20" s="1"/>
      <c r="G20" s="1"/>
      <c r="H20" s="2"/>
      <c r="I20" s="2"/>
      <c r="J20" s="1"/>
      <c r="K20" s="1"/>
      <c r="L20" s="4"/>
      <c r="M20" s="1"/>
      <c r="N20" s="1"/>
      <c r="O20" s="1"/>
      <c r="P20" s="27"/>
      <c r="Q20" s="1"/>
      <c r="R20" s="1"/>
      <c r="S20" s="1"/>
      <c r="T20" s="1"/>
      <c r="U20" s="1"/>
      <c r="V20" s="1"/>
      <c r="W20" s="1"/>
      <c r="X20" s="1"/>
    </row>
    <row r="21">
      <c r="A21" s="4" t="s">
        <v>258</v>
      </c>
      <c r="B21" s="4" t="s">
        <v>259</v>
      </c>
      <c r="C21" s="3">
        <f>SUMIF('GASTOS FIJOS'!B:B,B21,'GASTOS FIJOS'!G:G)</f>
        <v>3000000</v>
      </c>
      <c r="D21" s="1"/>
      <c r="E21" s="1"/>
      <c r="F21" s="1"/>
      <c r="G21" s="1"/>
      <c r="H21" s="2"/>
      <c r="I21" s="2"/>
      <c r="J21" s="1"/>
      <c r="K21" s="1"/>
      <c r="L21" s="1"/>
      <c r="M21" s="1"/>
      <c r="N21" s="1"/>
      <c r="O21" s="1"/>
      <c r="P21" s="1"/>
      <c r="Q21" s="1"/>
      <c r="R21" s="1"/>
      <c r="S21" s="1"/>
      <c r="T21" s="1"/>
      <c r="U21" s="1"/>
      <c r="V21" s="1"/>
      <c r="W21" s="1"/>
      <c r="X21" s="1"/>
    </row>
    <row r="22">
      <c r="A22" s="4" t="s">
        <v>258</v>
      </c>
      <c r="B22" s="4" t="s">
        <v>260</v>
      </c>
      <c r="C22" s="3">
        <f>SUMIF('GASTOS FIJOS'!B:B,B22,'GASTOS FIJOS'!G:G)</f>
        <v>76000</v>
      </c>
      <c r="D22" s="1"/>
      <c r="E22" s="1"/>
      <c r="F22" s="1"/>
      <c r="G22" s="1"/>
      <c r="H22" s="2"/>
      <c r="I22" s="2"/>
      <c r="J22" s="1"/>
      <c r="K22" s="1"/>
      <c r="L22" s="1"/>
      <c r="M22" s="1"/>
      <c r="N22" s="1"/>
      <c r="O22" s="1"/>
      <c r="P22" s="1"/>
      <c r="Q22" s="1"/>
      <c r="R22" s="1"/>
      <c r="S22" s="1"/>
      <c r="T22" s="1"/>
      <c r="U22" s="1"/>
      <c r="V22" s="1"/>
      <c r="W22" s="1"/>
      <c r="X22" s="1"/>
    </row>
    <row r="23">
      <c r="A23" s="4" t="s">
        <v>258</v>
      </c>
      <c r="B23" s="4" t="s">
        <v>261</v>
      </c>
      <c r="C23" s="3">
        <f>SUMIF('GASTOS FIJOS'!B:B,B23,'GASTOS FIJOS'!G:G)</f>
        <v>5000</v>
      </c>
      <c r="D23" s="1"/>
      <c r="E23" s="1"/>
      <c r="F23" s="1"/>
      <c r="G23" s="1"/>
      <c r="H23" s="2"/>
      <c r="I23" s="2"/>
      <c r="J23" s="1"/>
      <c r="K23" s="1"/>
      <c r="L23" s="1"/>
      <c r="M23" s="1"/>
      <c r="N23" s="1"/>
      <c r="O23" s="1"/>
      <c r="P23" s="1"/>
      <c r="Q23" s="1"/>
      <c r="R23" s="1"/>
      <c r="S23" s="1"/>
      <c r="T23" s="1"/>
      <c r="U23" s="1"/>
      <c r="V23" s="1"/>
      <c r="W23" s="1"/>
      <c r="X23" s="1"/>
    </row>
    <row r="24">
      <c r="A24" s="4" t="s">
        <v>258</v>
      </c>
      <c r="B24" s="4" t="s">
        <v>25</v>
      </c>
      <c r="C24" s="3">
        <f>SUMIF('GASTOS FIJOS'!B:B,B24,'GASTOS FIJOS'!G:G)</f>
        <v>39900</v>
      </c>
      <c r="D24" s="1"/>
      <c r="E24" s="1"/>
      <c r="F24" s="1"/>
      <c r="G24" s="1"/>
      <c r="H24" s="2"/>
      <c r="I24" s="2"/>
      <c r="J24" s="1"/>
      <c r="K24" s="1"/>
      <c r="L24" s="1"/>
      <c r="M24" s="1"/>
      <c r="N24" s="1"/>
      <c r="O24" s="1"/>
      <c r="P24" s="1"/>
      <c r="Q24" s="1"/>
      <c r="R24" s="1"/>
      <c r="S24" s="1"/>
      <c r="T24" s="1"/>
      <c r="U24" s="1"/>
      <c r="V24" s="1"/>
      <c r="W24" s="1"/>
      <c r="X24" s="1"/>
    </row>
    <row r="25">
      <c r="A25" s="4" t="s">
        <v>258</v>
      </c>
      <c r="B25" s="4" t="s">
        <v>262</v>
      </c>
      <c r="C25" s="3">
        <f>SUMIF('GASTOS FIJOS'!B:B,B25,'GASTOS FIJOS'!G:G)</f>
        <v>1800000</v>
      </c>
      <c r="D25" s="1"/>
      <c r="E25" s="1"/>
      <c r="F25" s="1"/>
      <c r="G25" s="1"/>
      <c r="H25" s="2"/>
      <c r="I25" s="2"/>
      <c r="J25" s="1"/>
      <c r="K25" s="1"/>
      <c r="L25" s="1"/>
      <c r="M25" s="1"/>
      <c r="N25" s="1"/>
      <c r="O25" s="1"/>
      <c r="P25" s="1"/>
      <c r="Q25" s="1"/>
      <c r="R25" s="1"/>
      <c r="S25" s="1"/>
      <c r="T25" s="1"/>
      <c r="U25" s="1"/>
      <c r="V25" s="1"/>
      <c r="W25" s="1"/>
      <c r="X25" s="1"/>
    </row>
    <row r="26">
      <c r="A26" s="4" t="s">
        <v>258</v>
      </c>
      <c r="B26" s="4" t="s">
        <v>263</v>
      </c>
      <c r="C26" s="3">
        <f>SUMIF('GASTOS FIJOS'!B:B,B26,'GASTOS FIJOS'!G:G)</f>
        <v>1800000</v>
      </c>
      <c r="D26" s="1"/>
      <c r="E26" s="1"/>
      <c r="F26" s="1"/>
      <c r="G26" s="1"/>
      <c r="H26" s="2"/>
      <c r="I26" s="2"/>
      <c r="J26" s="1"/>
      <c r="K26" s="1"/>
      <c r="L26" s="1"/>
      <c r="M26" s="1"/>
      <c r="N26" s="1"/>
      <c r="O26" s="1"/>
      <c r="P26" s="1"/>
      <c r="Q26" s="1"/>
      <c r="R26" s="1"/>
      <c r="S26" s="1"/>
      <c r="T26" s="1"/>
      <c r="U26" s="1"/>
      <c r="V26" s="1"/>
      <c r="W26" s="1"/>
      <c r="X26" s="1"/>
    </row>
    <row r="27">
      <c r="A27" s="25" t="s">
        <v>264</v>
      </c>
      <c r="B27" s="25"/>
      <c r="C27" s="26">
        <f>SUBTOTAL(9,C21:C26)</f>
        <v>6720900</v>
      </c>
      <c r="D27" s="1"/>
      <c r="E27" s="1"/>
      <c r="F27" s="1"/>
      <c r="G27" s="1"/>
      <c r="H27" s="2"/>
      <c r="I27" s="2"/>
      <c r="J27" s="1"/>
      <c r="K27" s="1"/>
      <c r="L27" s="1"/>
      <c r="M27" s="1"/>
      <c r="N27" s="1"/>
      <c r="O27" s="1"/>
      <c r="P27" s="1"/>
      <c r="Q27" s="1"/>
      <c r="R27" s="1"/>
      <c r="S27" s="1"/>
      <c r="T27" s="1"/>
      <c r="U27" s="1"/>
      <c r="V27" s="1"/>
      <c r="W27" s="1"/>
      <c r="X27" s="1"/>
    </row>
    <row r="28">
      <c r="A28" s="1"/>
      <c r="B28" s="1"/>
      <c r="C28" s="2"/>
      <c r="D28" s="1"/>
      <c r="E28" s="1"/>
      <c r="F28" s="1"/>
      <c r="G28" s="1"/>
      <c r="H28" s="2"/>
      <c r="I28" s="2"/>
      <c r="J28" s="1"/>
      <c r="K28" s="1"/>
      <c r="L28" s="1"/>
      <c r="M28" s="1"/>
      <c r="N28" s="1"/>
      <c r="O28" s="1"/>
      <c r="P28" s="1"/>
      <c r="Q28" s="1"/>
      <c r="R28" s="1"/>
      <c r="S28" s="1"/>
      <c r="T28" s="1"/>
      <c r="U28" s="1"/>
      <c r="V28" s="1"/>
      <c r="W28" s="1"/>
      <c r="X28" s="1"/>
    </row>
    <row r="29">
      <c r="A29" s="4" t="s">
        <v>265</v>
      </c>
      <c r="B29" s="4" t="s">
        <v>266</v>
      </c>
      <c r="C29" s="3">
        <v>60000.0</v>
      </c>
      <c r="D29" s="1"/>
      <c r="E29" s="1"/>
      <c r="F29" s="1"/>
      <c r="G29" s="1"/>
      <c r="H29" s="2"/>
      <c r="I29" s="2"/>
      <c r="J29" s="1"/>
      <c r="K29" s="1"/>
      <c r="L29" s="1"/>
      <c r="M29" s="1"/>
      <c r="N29" s="1"/>
      <c r="O29" s="1"/>
      <c r="P29" s="1"/>
      <c r="Q29" s="1"/>
      <c r="R29" s="1"/>
      <c r="S29" s="1"/>
      <c r="T29" s="1"/>
      <c r="U29" s="1"/>
      <c r="V29" s="1"/>
      <c r="W29" s="1"/>
      <c r="X29" s="1"/>
    </row>
    <row r="30">
      <c r="A30" s="4" t="s">
        <v>265</v>
      </c>
      <c r="B30" s="4" t="s">
        <v>267</v>
      </c>
      <c r="C30" s="4">
        <v>30.0</v>
      </c>
      <c r="D30" s="1"/>
      <c r="E30" s="1"/>
      <c r="F30" s="1"/>
      <c r="G30" s="1"/>
      <c r="H30" s="2"/>
      <c r="I30" s="2"/>
      <c r="J30" s="1"/>
      <c r="K30" s="1"/>
      <c r="L30" s="1"/>
      <c r="M30" s="1"/>
      <c r="N30" s="1"/>
      <c r="O30" s="1"/>
      <c r="P30" s="1"/>
      <c r="Q30" s="1"/>
      <c r="R30" s="1"/>
      <c r="S30" s="1"/>
      <c r="T30" s="1"/>
      <c r="U30" s="1"/>
      <c r="V30" s="1"/>
      <c r="W30" s="1"/>
      <c r="X30" s="1"/>
    </row>
    <row r="31">
      <c r="A31" s="4" t="s">
        <v>265</v>
      </c>
      <c r="B31" s="4" t="s">
        <v>268</v>
      </c>
      <c r="C31" s="4"/>
      <c r="D31" s="1"/>
      <c r="E31" s="1"/>
      <c r="F31" s="1"/>
      <c r="G31" s="1"/>
      <c r="H31" s="2"/>
      <c r="I31" s="2"/>
      <c r="J31" s="1"/>
      <c r="K31" s="1"/>
      <c r="L31" s="1"/>
      <c r="M31" s="1"/>
      <c r="N31" s="1"/>
      <c r="O31" s="1"/>
      <c r="P31" s="1"/>
      <c r="Q31" s="1"/>
      <c r="R31" s="1"/>
      <c r="S31" s="1"/>
      <c r="T31" s="1"/>
      <c r="U31" s="1"/>
      <c r="V31" s="1"/>
      <c r="W31" s="1"/>
      <c r="X31" s="1"/>
    </row>
    <row r="32">
      <c r="A32" s="29" t="s">
        <v>265</v>
      </c>
      <c r="B32" s="29" t="s">
        <v>269</v>
      </c>
      <c r="C32" s="29">
        <f>OPERACION!C5</f>
        <v>12</v>
      </c>
      <c r="D32" s="1"/>
      <c r="E32" s="1"/>
      <c r="F32" s="1"/>
      <c r="G32" s="1"/>
      <c r="H32" s="2"/>
      <c r="I32" s="2"/>
      <c r="J32" s="1"/>
      <c r="K32" s="1"/>
      <c r="L32" s="1"/>
      <c r="M32" s="1"/>
      <c r="N32" s="1"/>
      <c r="O32" s="1"/>
      <c r="P32" s="1"/>
      <c r="Q32" s="1"/>
      <c r="R32" s="1"/>
      <c r="S32" s="1"/>
      <c r="T32" s="1"/>
      <c r="U32" s="1"/>
      <c r="V32" s="1"/>
      <c r="W32" s="1"/>
      <c r="X32" s="1"/>
    </row>
    <row r="33">
      <c r="A33" s="4"/>
      <c r="B33" s="4"/>
      <c r="C33" s="4"/>
      <c r="D33" s="1"/>
      <c r="E33" s="1"/>
      <c r="F33" s="1"/>
      <c r="G33" s="1"/>
      <c r="H33" s="2"/>
      <c r="I33" s="2"/>
      <c r="J33" s="1"/>
      <c r="K33" s="1"/>
      <c r="L33" s="1"/>
      <c r="M33" s="1"/>
      <c r="N33" s="1"/>
      <c r="O33" s="1"/>
      <c r="P33" s="1"/>
      <c r="Q33" s="1"/>
      <c r="R33" s="1"/>
      <c r="S33" s="1"/>
      <c r="T33" s="1"/>
      <c r="U33" s="1"/>
      <c r="V33" s="1"/>
      <c r="W33" s="1"/>
      <c r="X33" s="1"/>
    </row>
    <row r="34">
      <c r="A34" s="4" t="s">
        <v>270</v>
      </c>
      <c r="B34" s="4" t="s">
        <v>271</v>
      </c>
      <c r="C34" s="4">
        <v>2.0</v>
      </c>
      <c r="D34" s="1"/>
      <c r="E34" s="1"/>
      <c r="F34" s="1"/>
      <c r="G34" s="1"/>
      <c r="H34" s="2"/>
      <c r="I34" s="2"/>
      <c r="J34" s="1"/>
      <c r="K34" s="1"/>
      <c r="L34" s="1"/>
      <c r="M34" s="1"/>
      <c r="N34" s="1"/>
      <c r="O34" s="1"/>
      <c r="P34" s="1"/>
      <c r="Q34" s="1"/>
      <c r="R34" s="1"/>
      <c r="S34" s="1"/>
      <c r="T34" s="1"/>
      <c r="U34" s="1"/>
      <c r="V34" s="1"/>
      <c r="W34" s="1"/>
      <c r="X34" s="1"/>
    </row>
    <row r="35">
      <c r="A35" s="4" t="s">
        <v>270</v>
      </c>
      <c r="B35" s="4" t="s">
        <v>272</v>
      </c>
      <c r="C35" s="2">
        <f>'GASTOS FIJOS'!G6</f>
        <v>1800000</v>
      </c>
      <c r="D35" s="1"/>
      <c r="E35" s="1"/>
      <c r="F35" s="1"/>
      <c r="G35" s="1"/>
      <c r="H35" s="2"/>
      <c r="I35" s="2"/>
      <c r="J35" s="1"/>
      <c r="K35" s="1"/>
      <c r="L35" s="1"/>
      <c r="M35" s="1"/>
      <c r="N35" s="1"/>
      <c r="O35" s="1"/>
      <c r="P35" s="1"/>
      <c r="Q35" s="1"/>
      <c r="R35" s="1"/>
      <c r="S35" s="1"/>
      <c r="T35" s="1"/>
      <c r="U35" s="1"/>
      <c r="V35" s="1"/>
      <c r="W35" s="1"/>
      <c r="X35" s="1"/>
    </row>
    <row r="36">
      <c r="A36" s="4" t="s">
        <v>270</v>
      </c>
      <c r="B36" s="4" t="s">
        <v>273</v>
      </c>
      <c r="C36" s="2">
        <f>'GASTOS FIJOS'!G6</f>
        <v>1800000</v>
      </c>
      <c r="D36" s="1"/>
      <c r="E36" s="1"/>
      <c r="F36" s="1"/>
      <c r="G36" s="1"/>
      <c r="H36" s="2"/>
      <c r="I36" s="2"/>
      <c r="J36" s="1"/>
      <c r="K36" s="1"/>
      <c r="L36" s="1"/>
      <c r="M36" s="1"/>
      <c r="N36" s="1"/>
      <c r="O36" s="1"/>
      <c r="P36" s="1"/>
      <c r="Q36" s="1"/>
      <c r="R36" s="1"/>
      <c r="S36" s="1"/>
      <c r="T36" s="1"/>
      <c r="U36" s="1"/>
      <c r="V36" s="1"/>
      <c r="W36" s="1"/>
      <c r="X36" s="1"/>
    </row>
    <row r="37">
      <c r="A37" s="4"/>
      <c r="B37" s="1"/>
      <c r="C37" s="1"/>
      <c r="D37" s="1"/>
      <c r="E37" s="1"/>
      <c r="F37" s="1"/>
      <c r="G37" s="1"/>
      <c r="H37" s="2"/>
      <c r="I37" s="2"/>
      <c r="J37" s="1"/>
      <c r="K37" s="1"/>
      <c r="L37" s="1"/>
      <c r="M37" s="1"/>
      <c r="N37" s="1"/>
      <c r="O37" s="1"/>
      <c r="P37" s="1"/>
      <c r="Q37" s="1"/>
      <c r="R37" s="1"/>
      <c r="S37" s="1"/>
      <c r="T37" s="1"/>
      <c r="U37" s="1"/>
      <c r="V37" s="1"/>
      <c r="W37" s="1"/>
      <c r="X37" s="1"/>
    </row>
    <row r="38">
      <c r="A38" s="1"/>
      <c r="B38" s="1"/>
      <c r="C38" s="2"/>
      <c r="D38" s="1"/>
      <c r="E38" s="1"/>
      <c r="F38" s="1"/>
      <c r="G38" s="1"/>
      <c r="H38" s="2"/>
      <c r="I38" s="2"/>
      <c r="J38" s="1"/>
      <c r="K38" s="1"/>
      <c r="L38" s="1"/>
      <c r="M38" s="1"/>
      <c r="N38" s="1"/>
      <c r="O38" s="1"/>
      <c r="P38" s="1"/>
      <c r="Q38" s="1"/>
      <c r="R38" s="1"/>
      <c r="S38" s="1"/>
      <c r="T38" s="1"/>
      <c r="U38" s="1"/>
      <c r="V38" s="1"/>
      <c r="W38" s="1"/>
      <c r="X38" s="1"/>
    </row>
    <row r="39">
      <c r="A39" s="4" t="s">
        <v>274</v>
      </c>
      <c r="B39" s="4" t="s">
        <v>275</v>
      </c>
      <c r="C39" s="3">
        <f>SUMIF(OPERACION!B:B,B39,OPERACION!G:G)</f>
        <v>270000</v>
      </c>
      <c r="D39" s="1"/>
      <c r="E39" s="1"/>
      <c r="F39" s="1"/>
      <c r="G39" s="1"/>
      <c r="H39" s="2"/>
      <c r="I39" s="2"/>
      <c r="J39" s="1"/>
      <c r="K39" s="1"/>
      <c r="L39" s="1"/>
      <c r="M39" s="1"/>
      <c r="N39" s="1"/>
      <c r="O39" s="1"/>
      <c r="P39" s="1"/>
      <c r="Q39" s="1"/>
      <c r="R39" s="1"/>
      <c r="S39" s="1"/>
      <c r="T39" s="1"/>
      <c r="U39" s="1"/>
      <c r="V39" s="1"/>
      <c r="W39" s="1"/>
      <c r="X39" s="1"/>
    </row>
    <row r="40">
      <c r="A40" s="4" t="s">
        <v>274</v>
      </c>
      <c r="B40" s="4" t="s">
        <v>276</v>
      </c>
      <c r="C40" s="3">
        <f>SUMIF(OPERACION!B:B,B40,OPERACION!G:G)</f>
        <v>345600</v>
      </c>
      <c r="D40" s="1"/>
      <c r="E40" s="1"/>
      <c r="F40" s="1"/>
      <c r="G40" s="1"/>
      <c r="H40" s="2"/>
      <c r="I40" s="2"/>
      <c r="J40" s="1"/>
      <c r="K40" s="1"/>
      <c r="L40" s="1"/>
      <c r="M40" s="1"/>
      <c r="N40" s="1"/>
      <c r="O40" s="1"/>
      <c r="P40" s="1"/>
      <c r="Q40" s="1"/>
      <c r="R40" s="1"/>
      <c r="S40" s="1"/>
      <c r="T40" s="1"/>
      <c r="U40" s="1"/>
      <c r="V40" s="1"/>
      <c r="W40" s="1"/>
      <c r="X40" s="1"/>
    </row>
    <row r="41">
      <c r="A41" s="4" t="s">
        <v>274</v>
      </c>
      <c r="B41" s="4" t="s">
        <v>277</v>
      </c>
      <c r="C41" s="3">
        <f>SUMIF(OPERACION!B:B,B41,OPERACION!G:G)</f>
        <v>108000</v>
      </c>
      <c r="D41" s="1"/>
      <c r="E41" s="1"/>
      <c r="F41" s="1"/>
      <c r="G41" s="1"/>
      <c r="H41" s="2"/>
      <c r="I41" s="2"/>
      <c r="J41" s="1"/>
      <c r="K41" s="1"/>
      <c r="L41" s="1"/>
      <c r="M41" s="1"/>
      <c r="N41" s="1"/>
      <c r="O41" s="1"/>
      <c r="P41" s="1"/>
      <c r="Q41" s="1"/>
      <c r="R41" s="1"/>
      <c r="S41" s="1"/>
      <c r="T41" s="1"/>
      <c r="U41" s="1"/>
      <c r="V41" s="1"/>
      <c r="W41" s="1"/>
      <c r="X41" s="1"/>
    </row>
    <row r="42">
      <c r="A42" s="4" t="s">
        <v>274</v>
      </c>
      <c r="B42" s="4" t="s">
        <v>10</v>
      </c>
      <c r="C42" s="3">
        <f>SUMIF(OPERACION!B:B,B42,OPERACION!G:G)</f>
        <v>10800000</v>
      </c>
      <c r="D42" s="1"/>
      <c r="E42" s="1"/>
      <c r="F42" s="1"/>
      <c r="G42" s="1"/>
      <c r="H42" s="2"/>
      <c r="I42" s="2"/>
      <c r="J42" s="1"/>
      <c r="K42" s="1"/>
      <c r="L42" s="1"/>
      <c r="M42" s="1"/>
      <c r="N42" s="1"/>
      <c r="O42" s="1"/>
      <c r="P42" s="1"/>
      <c r="Q42" s="1"/>
      <c r="R42" s="1"/>
      <c r="S42" s="1"/>
      <c r="T42" s="1"/>
      <c r="U42" s="1"/>
      <c r="V42" s="1"/>
      <c r="W42" s="1"/>
      <c r="X42" s="1"/>
    </row>
    <row r="43">
      <c r="A43" s="25" t="s">
        <v>278</v>
      </c>
      <c r="B43" s="25"/>
      <c r="C43" s="26">
        <f>SUBTOTAL(9,C39:C42)</f>
        <v>11523600</v>
      </c>
      <c r="D43" s="26"/>
      <c r="E43" s="1"/>
      <c r="F43" s="1"/>
      <c r="G43" s="1"/>
      <c r="H43" s="2"/>
      <c r="I43" s="2"/>
      <c r="J43" s="1"/>
      <c r="K43" s="1"/>
      <c r="L43" s="1"/>
      <c r="M43" s="1"/>
      <c r="N43" s="1"/>
      <c r="O43" s="1"/>
      <c r="P43" s="1"/>
      <c r="Q43" s="1"/>
      <c r="R43" s="1"/>
      <c r="S43" s="1"/>
      <c r="T43" s="1"/>
      <c r="U43" s="1"/>
      <c r="V43" s="1"/>
      <c r="W43" s="1"/>
      <c r="X43" s="1"/>
    </row>
    <row r="44">
      <c r="A44" s="1"/>
      <c r="B44" s="1"/>
      <c r="C44" s="2"/>
      <c r="D44" s="1"/>
      <c r="E44" s="1"/>
      <c r="F44" s="1"/>
      <c r="G44" s="1"/>
      <c r="H44" s="2"/>
      <c r="I44" s="2"/>
      <c r="J44" s="1"/>
      <c r="K44" s="1"/>
      <c r="L44" s="1"/>
      <c r="M44" s="1"/>
      <c r="N44" s="1"/>
      <c r="O44" s="1"/>
      <c r="P44" s="1"/>
      <c r="Q44" s="1"/>
      <c r="R44" s="1"/>
      <c r="S44" s="1"/>
      <c r="T44" s="1"/>
      <c r="U44" s="1"/>
      <c r="V44" s="1"/>
      <c r="W44" s="1"/>
      <c r="X44" s="1"/>
    </row>
    <row r="45">
      <c r="A45" s="29" t="s">
        <v>279</v>
      </c>
      <c r="B45" s="29" t="s">
        <v>280</v>
      </c>
      <c r="C45" s="30">
        <f>C32*C30</f>
        <v>360</v>
      </c>
      <c r="D45" s="1"/>
      <c r="E45" s="1"/>
      <c r="F45" s="1"/>
      <c r="G45" s="1"/>
      <c r="H45" s="2"/>
      <c r="I45" s="2"/>
      <c r="J45" s="1"/>
      <c r="K45" s="1"/>
      <c r="L45" s="1"/>
      <c r="M45" s="1"/>
      <c r="N45" s="1"/>
      <c r="O45" s="1"/>
      <c r="P45" s="1"/>
      <c r="Q45" s="1"/>
      <c r="R45" s="1"/>
      <c r="S45" s="1"/>
      <c r="T45" s="1"/>
      <c r="U45" s="1"/>
      <c r="V45" s="1"/>
      <c r="W45" s="1"/>
      <c r="X45" s="1"/>
    </row>
    <row r="46">
      <c r="A46" s="25" t="s">
        <v>281</v>
      </c>
      <c r="B46" s="25" t="s">
        <v>282</v>
      </c>
      <c r="C46" s="26">
        <f>C45*C29</f>
        <v>21600000</v>
      </c>
      <c r="D46" s="26">
        <f>C46/30</f>
        <v>720000</v>
      </c>
      <c r="E46" s="1"/>
      <c r="F46" s="1"/>
      <c r="G46" s="1"/>
      <c r="H46" s="2"/>
      <c r="I46" s="2"/>
      <c r="J46" s="1"/>
      <c r="K46" s="1"/>
      <c r="L46" s="1"/>
      <c r="M46" s="1"/>
      <c r="N46" s="1"/>
      <c r="O46" s="1"/>
      <c r="P46" s="1"/>
      <c r="Q46" s="1"/>
      <c r="R46" s="1"/>
      <c r="S46" s="1"/>
      <c r="T46" s="1"/>
      <c r="U46" s="1"/>
      <c r="V46" s="1"/>
      <c r="W46" s="1"/>
      <c r="X46" s="1"/>
    </row>
    <row r="47">
      <c r="A47" s="29" t="s">
        <v>283</v>
      </c>
      <c r="B47" s="29" t="s">
        <v>284</v>
      </c>
      <c r="C47" s="31">
        <f>C27</f>
        <v>6720900</v>
      </c>
      <c r="D47" s="1"/>
      <c r="E47" s="1"/>
      <c r="F47" s="1"/>
      <c r="G47" s="1"/>
      <c r="H47" s="2"/>
      <c r="I47" s="2"/>
      <c r="J47" s="1"/>
      <c r="K47" s="1"/>
      <c r="L47" s="1"/>
      <c r="M47" s="1"/>
      <c r="N47" s="1"/>
      <c r="O47" s="1"/>
      <c r="P47" s="1"/>
      <c r="Q47" s="1"/>
      <c r="R47" s="1"/>
      <c r="S47" s="1"/>
      <c r="T47" s="1"/>
      <c r="U47" s="1"/>
      <c r="V47" s="1"/>
      <c r="W47" s="1"/>
      <c r="X47" s="1"/>
    </row>
    <row r="48">
      <c r="A48" s="29" t="s">
        <v>283</v>
      </c>
      <c r="B48" s="29" t="s">
        <v>285</v>
      </c>
      <c r="C48" s="31">
        <f>C43</f>
        <v>11523600</v>
      </c>
      <c r="D48" s="1"/>
      <c r="E48" s="1"/>
      <c r="F48" s="1"/>
      <c r="G48" s="1"/>
      <c r="H48" s="2"/>
      <c r="I48" s="2"/>
      <c r="J48" s="1"/>
      <c r="K48" s="1"/>
      <c r="L48" s="1"/>
      <c r="M48" s="1"/>
      <c r="N48" s="1"/>
      <c r="O48" s="1"/>
      <c r="P48" s="1"/>
      <c r="Q48" s="1"/>
      <c r="R48" s="1"/>
      <c r="S48" s="1"/>
      <c r="T48" s="1"/>
      <c r="U48" s="1"/>
      <c r="V48" s="1"/>
      <c r="W48" s="1"/>
      <c r="X48" s="1"/>
    </row>
    <row r="49">
      <c r="A49" s="25" t="s">
        <v>279</v>
      </c>
      <c r="B49" s="25" t="s">
        <v>286</v>
      </c>
      <c r="C49" s="26">
        <f>C46-C47-C48</f>
        <v>3355500</v>
      </c>
      <c r="D49" s="32">
        <f>C49/C16</f>
        <v>0.05631156481</v>
      </c>
      <c r="E49" s="1"/>
      <c r="F49" s="1"/>
      <c r="G49" s="1"/>
      <c r="H49" s="2"/>
      <c r="I49" s="2"/>
      <c r="J49" s="1"/>
      <c r="K49" s="1"/>
      <c r="L49" s="1"/>
      <c r="M49" s="1"/>
      <c r="N49" s="1"/>
      <c r="O49" s="1"/>
      <c r="P49" s="1"/>
      <c r="Q49" s="1"/>
      <c r="R49" s="1"/>
      <c r="S49" s="1"/>
      <c r="T49" s="1"/>
      <c r="U49" s="1"/>
      <c r="V49" s="1"/>
      <c r="W49" s="1"/>
      <c r="X49" s="1"/>
    </row>
    <row r="50">
      <c r="A50" s="29" t="s">
        <v>279</v>
      </c>
      <c r="B50" s="29" t="s">
        <v>287</v>
      </c>
      <c r="C50" s="29">
        <v>4.0</v>
      </c>
      <c r="D50" s="1"/>
      <c r="E50" s="1"/>
      <c r="F50" s="1"/>
      <c r="G50" s="1"/>
      <c r="H50" s="2"/>
      <c r="I50" s="2"/>
      <c r="J50" s="1"/>
      <c r="K50" s="1"/>
      <c r="L50" s="1"/>
      <c r="M50" s="1"/>
      <c r="N50" s="1"/>
      <c r="O50" s="1"/>
      <c r="P50" s="1"/>
      <c r="Q50" s="1"/>
      <c r="R50" s="1"/>
      <c r="S50" s="1"/>
      <c r="T50" s="1"/>
      <c r="U50" s="1"/>
      <c r="V50" s="1"/>
      <c r="W50" s="1"/>
      <c r="X50" s="1"/>
    </row>
    <row r="51">
      <c r="A51" s="29" t="s">
        <v>279</v>
      </c>
      <c r="B51" s="29" t="s">
        <v>288</v>
      </c>
      <c r="C51" s="31">
        <f>C49/C50</f>
        <v>838875</v>
      </c>
      <c r="D51" s="1"/>
      <c r="E51" s="1"/>
      <c r="F51" s="1"/>
      <c r="G51" s="1"/>
      <c r="H51" s="2"/>
      <c r="I51" s="2"/>
      <c r="J51" s="1"/>
      <c r="K51" s="1"/>
      <c r="L51" s="1"/>
      <c r="M51" s="1"/>
      <c r="N51" s="1"/>
      <c r="O51" s="1"/>
      <c r="P51" s="1"/>
      <c r="Q51" s="1"/>
      <c r="R51" s="1"/>
      <c r="S51" s="1"/>
      <c r="T51" s="1"/>
      <c r="U51" s="1"/>
      <c r="V51" s="1"/>
      <c r="W51" s="1"/>
      <c r="X51" s="1"/>
    </row>
    <row r="52">
      <c r="A52" s="1"/>
      <c r="B52" s="1"/>
      <c r="C52" s="2"/>
      <c r="D52" s="1"/>
      <c r="E52" s="1"/>
      <c r="F52" s="1"/>
      <c r="G52" s="1"/>
      <c r="H52" s="2"/>
      <c r="I52" s="2"/>
      <c r="J52" s="1"/>
      <c r="K52" s="1"/>
      <c r="L52" s="1"/>
      <c r="M52" s="1"/>
      <c r="N52" s="1"/>
      <c r="O52" s="1"/>
      <c r="P52" s="1"/>
      <c r="Q52" s="1"/>
      <c r="R52" s="1"/>
      <c r="S52" s="1"/>
      <c r="T52" s="1"/>
      <c r="U52" s="1"/>
      <c r="V52" s="1"/>
      <c r="W52" s="1"/>
      <c r="X52" s="1"/>
    </row>
    <row r="53">
      <c r="A53" s="29" t="s">
        <v>289</v>
      </c>
      <c r="B53" s="29" t="s">
        <v>290</v>
      </c>
      <c r="C53" s="29">
        <f>CEILING(C27/(C29-OPERACION!H9),1)</f>
        <v>241</v>
      </c>
      <c r="D53" s="31">
        <f>C53*C29</f>
        <v>14460000</v>
      </c>
      <c r="E53" s="1"/>
      <c r="F53" s="1"/>
      <c r="G53" s="1"/>
      <c r="H53" s="2"/>
      <c r="I53" s="2"/>
      <c r="J53" s="1"/>
      <c r="K53" s="1"/>
      <c r="L53" s="1"/>
      <c r="M53" s="1"/>
      <c r="N53" s="1"/>
      <c r="O53" s="1"/>
      <c r="P53" s="1"/>
      <c r="Q53" s="1"/>
      <c r="R53" s="1"/>
      <c r="S53" s="1"/>
      <c r="T53" s="1"/>
      <c r="U53" s="1"/>
      <c r="V53" s="1"/>
      <c r="W53" s="1"/>
      <c r="X53" s="1"/>
    </row>
    <row r="54">
      <c r="A54" s="29" t="s">
        <v>289</v>
      </c>
      <c r="B54" s="29" t="s">
        <v>291</v>
      </c>
      <c r="C54" s="29">
        <f t="shared" ref="C54:D54" si="4">C53/30</f>
        <v>8.033333333</v>
      </c>
      <c r="D54" s="31">
        <f t="shared" si="4"/>
        <v>482000</v>
      </c>
      <c r="E54" s="1"/>
      <c r="F54" s="1"/>
      <c r="G54" s="1"/>
      <c r="H54" s="2"/>
      <c r="I54" s="2"/>
      <c r="J54" s="1"/>
      <c r="K54" s="1"/>
      <c r="L54" s="1"/>
      <c r="M54" s="1"/>
      <c r="N54" s="1"/>
      <c r="O54" s="1"/>
      <c r="P54" s="1"/>
      <c r="Q54" s="1"/>
      <c r="R54" s="1"/>
      <c r="S54" s="1"/>
      <c r="T54" s="1"/>
      <c r="U54" s="1"/>
      <c r="V54" s="1"/>
      <c r="W54" s="1"/>
      <c r="X54" s="1"/>
    </row>
    <row r="55">
      <c r="A55" s="29" t="s">
        <v>289</v>
      </c>
      <c r="B55" s="29" t="s">
        <v>292</v>
      </c>
      <c r="C55" s="29">
        <f>CEILING(C53/30,1)</f>
        <v>9</v>
      </c>
      <c r="D55" s="29">
        <f>C55*C30</f>
        <v>270</v>
      </c>
      <c r="E55" s="1"/>
      <c r="F55" s="1"/>
      <c r="G55" s="1"/>
      <c r="H55" s="2"/>
      <c r="I55" s="2"/>
      <c r="J55" s="1"/>
      <c r="K55" s="1"/>
      <c r="L55" s="1"/>
      <c r="M55" s="1"/>
      <c r="N55" s="1"/>
      <c r="O55" s="1"/>
      <c r="P55" s="1"/>
      <c r="Q55" s="1"/>
      <c r="R55" s="1"/>
      <c r="S55" s="1"/>
      <c r="T55" s="1"/>
      <c r="U55" s="1"/>
      <c r="V55" s="1"/>
      <c r="W55" s="1"/>
      <c r="X55" s="1"/>
    </row>
    <row r="56">
      <c r="A56" s="29" t="s">
        <v>289</v>
      </c>
      <c r="B56" s="29" t="s">
        <v>293</v>
      </c>
      <c r="C56" s="29">
        <f>CEILING(C16/C49,)</f>
        <v>18</v>
      </c>
      <c r="D56" s="1"/>
      <c r="E56" s="1"/>
      <c r="F56" s="1"/>
      <c r="G56" s="1"/>
      <c r="H56" s="2"/>
      <c r="I56" s="2"/>
      <c r="J56" s="1"/>
      <c r="K56" s="1"/>
      <c r="L56" s="1"/>
      <c r="M56" s="1"/>
      <c r="N56" s="1"/>
      <c r="O56" s="1"/>
      <c r="P56" s="1"/>
      <c r="Q56" s="1"/>
      <c r="R56" s="1"/>
      <c r="S56" s="1"/>
      <c r="T56" s="1"/>
      <c r="U56" s="1"/>
      <c r="V56" s="1"/>
      <c r="W56" s="1"/>
      <c r="X56" s="1"/>
    </row>
    <row r="57">
      <c r="A57" s="1"/>
      <c r="B57" s="1"/>
      <c r="C57" s="2"/>
      <c r="D57" s="1"/>
      <c r="E57" s="1"/>
      <c r="F57" s="1"/>
      <c r="G57" s="1"/>
      <c r="H57" s="2"/>
      <c r="I57" s="2"/>
      <c r="J57" s="1"/>
      <c r="K57" s="1"/>
      <c r="L57" s="1"/>
      <c r="M57" s="1"/>
      <c r="N57" s="1"/>
      <c r="O57" s="1"/>
      <c r="P57" s="1"/>
      <c r="Q57" s="1"/>
      <c r="R57" s="1"/>
      <c r="S57" s="1"/>
      <c r="T57" s="1"/>
      <c r="U57" s="1"/>
      <c r="V57" s="1"/>
      <c r="W57" s="1"/>
      <c r="X57" s="1"/>
    </row>
    <row r="58">
      <c r="A58" s="1"/>
      <c r="B58" s="1"/>
      <c r="C58" s="2"/>
      <c r="D58" s="1"/>
      <c r="E58" s="1"/>
      <c r="F58" s="1"/>
      <c r="G58" s="1"/>
      <c r="H58" s="2"/>
      <c r="I58" s="2"/>
      <c r="J58" s="1"/>
      <c r="K58" s="1"/>
      <c r="L58" s="1"/>
      <c r="M58" s="1"/>
      <c r="N58" s="1"/>
      <c r="O58" s="1"/>
      <c r="P58" s="1"/>
      <c r="Q58" s="1"/>
      <c r="R58" s="1"/>
      <c r="S58" s="1"/>
      <c r="T58" s="1"/>
      <c r="U58" s="1"/>
      <c r="V58" s="1"/>
      <c r="W58" s="1"/>
      <c r="X58" s="1"/>
    </row>
    <row r="59">
      <c r="A59" s="1"/>
      <c r="B59" s="1"/>
      <c r="C59" s="2"/>
      <c r="D59" s="1"/>
      <c r="E59" s="1"/>
      <c r="F59" s="1"/>
      <c r="G59" s="1"/>
      <c r="H59" s="2"/>
      <c r="I59" s="2"/>
      <c r="J59" s="1"/>
      <c r="K59" s="1"/>
      <c r="L59" s="1"/>
      <c r="M59" s="1"/>
      <c r="N59" s="1"/>
      <c r="O59" s="1"/>
      <c r="P59" s="1"/>
      <c r="Q59" s="1"/>
      <c r="R59" s="1"/>
      <c r="S59" s="1"/>
      <c r="T59" s="1"/>
      <c r="U59" s="1"/>
      <c r="V59" s="1"/>
      <c r="W59" s="1"/>
      <c r="X59" s="1"/>
    </row>
    <row r="60">
      <c r="A60" s="1"/>
      <c r="B60" s="1"/>
      <c r="C60" s="2"/>
      <c r="D60" s="1"/>
      <c r="E60" s="1"/>
      <c r="F60" s="1"/>
      <c r="G60" s="1"/>
      <c r="H60" s="2"/>
      <c r="I60" s="2"/>
      <c r="J60" s="1"/>
      <c r="K60" s="1"/>
      <c r="L60" s="1"/>
      <c r="M60" s="1"/>
      <c r="N60" s="1"/>
      <c r="O60" s="1"/>
      <c r="P60" s="1"/>
      <c r="Q60" s="1"/>
      <c r="R60" s="1"/>
      <c r="S60" s="1"/>
      <c r="T60" s="1"/>
      <c r="U60" s="1"/>
      <c r="V60" s="1"/>
      <c r="W60" s="1"/>
      <c r="X60" s="1"/>
    </row>
    <row r="61">
      <c r="A61" s="1"/>
      <c r="B61" s="1"/>
      <c r="C61" s="2"/>
      <c r="D61" s="1"/>
      <c r="E61" s="1"/>
      <c r="F61" s="1"/>
      <c r="G61" s="1"/>
      <c r="H61" s="2"/>
      <c r="I61" s="2"/>
      <c r="J61" s="1"/>
      <c r="K61" s="1"/>
      <c r="L61" s="1"/>
      <c r="M61" s="1"/>
      <c r="N61" s="1"/>
      <c r="O61" s="1"/>
      <c r="P61" s="1"/>
      <c r="Q61" s="1"/>
      <c r="R61" s="1"/>
      <c r="S61" s="1"/>
      <c r="T61" s="1"/>
      <c r="U61" s="1"/>
      <c r="V61" s="1"/>
      <c r="W61" s="1"/>
      <c r="X61" s="1"/>
    </row>
    <row r="62">
      <c r="A62" s="1"/>
      <c r="B62" s="1"/>
      <c r="C62" s="2"/>
      <c r="D62" s="1"/>
      <c r="E62" s="1"/>
      <c r="F62" s="1"/>
      <c r="G62" s="1"/>
      <c r="H62" s="2"/>
      <c r="I62" s="2"/>
      <c r="J62" s="1"/>
      <c r="K62" s="1"/>
      <c r="L62" s="1"/>
      <c r="M62" s="1"/>
      <c r="N62" s="1"/>
      <c r="O62" s="1"/>
      <c r="P62" s="1"/>
      <c r="Q62" s="1"/>
      <c r="R62" s="1"/>
      <c r="S62" s="1"/>
      <c r="T62" s="1"/>
      <c r="U62" s="1"/>
      <c r="V62" s="1"/>
      <c r="W62" s="1"/>
      <c r="X62" s="1"/>
    </row>
    <row r="63">
      <c r="A63" s="1"/>
      <c r="B63" s="1"/>
      <c r="C63" s="2"/>
      <c r="D63" s="1"/>
      <c r="E63" s="1"/>
      <c r="F63" s="1"/>
      <c r="G63" s="1"/>
      <c r="H63" s="2"/>
      <c r="I63" s="2"/>
      <c r="J63" s="1"/>
      <c r="K63" s="1"/>
      <c r="L63" s="1"/>
      <c r="M63" s="1"/>
      <c r="N63" s="1"/>
      <c r="O63" s="1"/>
      <c r="P63" s="1"/>
      <c r="Q63" s="1"/>
      <c r="R63" s="1"/>
      <c r="S63" s="1"/>
      <c r="T63" s="1"/>
      <c r="U63" s="1"/>
      <c r="V63" s="1"/>
      <c r="W63" s="1"/>
      <c r="X63" s="1"/>
    </row>
    <row r="64">
      <c r="A64" s="1"/>
      <c r="B64" s="1"/>
      <c r="C64" s="2"/>
      <c r="D64" s="1"/>
      <c r="E64" s="1"/>
      <c r="F64" s="1"/>
      <c r="G64" s="1"/>
      <c r="H64" s="2"/>
      <c r="I64" s="2"/>
      <c r="J64" s="1"/>
      <c r="K64" s="1"/>
      <c r="L64" s="1"/>
      <c r="M64" s="1"/>
      <c r="N64" s="1"/>
      <c r="O64" s="1"/>
      <c r="P64" s="1"/>
      <c r="Q64" s="1"/>
      <c r="R64" s="1"/>
      <c r="S64" s="1"/>
      <c r="T64" s="1"/>
      <c r="U64" s="1"/>
      <c r="V64" s="1"/>
      <c r="W64" s="1"/>
      <c r="X64" s="1"/>
    </row>
    <row r="65">
      <c r="A65" s="1"/>
      <c r="B65" s="1"/>
      <c r="C65" s="2"/>
      <c r="D65" s="1"/>
      <c r="E65" s="1"/>
      <c r="F65" s="1"/>
      <c r="G65" s="1"/>
      <c r="H65" s="2"/>
      <c r="I65" s="2"/>
      <c r="J65" s="1"/>
      <c r="K65" s="1"/>
      <c r="L65" s="1"/>
      <c r="M65" s="1"/>
      <c r="N65" s="1"/>
      <c r="O65" s="1"/>
      <c r="P65" s="1"/>
      <c r="Q65" s="1"/>
      <c r="R65" s="1"/>
      <c r="S65" s="1"/>
      <c r="T65" s="1"/>
      <c r="U65" s="1"/>
      <c r="V65" s="1"/>
      <c r="W65" s="1"/>
      <c r="X65" s="1"/>
    </row>
    <row r="66">
      <c r="A66" s="1"/>
      <c r="B66" s="1"/>
      <c r="C66" s="2"/>
      <c r="D66" s="1"/>
      <c r="E66" s="1"/>
      <c r="F66" s="1"/>
      <c r="G66" s="1"/>
      <c r="H66" s="2"/>
      <c r="I66" s="2"/>
      <c r="J66" s="1"/>
      <c r="K66" s="1"/>
      <c r="L66" s="1"/>
      <c r="M66" s="1"/>
      <c r="N66" s="1"/>
      <c r="O66" s="1"/>
      <c r="P66" s="1"/>
      <c r="Q66" s="1"/>
      <c r="R66" s="1"/>
      <c r="S66" s="1"/>
      <c r="T66" s="1"/>
      <c r="U66" s="1"/>
      <c r="V66" s="1"/>
      <c r="W66" s="1"/>
      <c r="X66" s="1"/>
    </row>
    <row r="67">
      <c r="A67" s="1"/>
      <c r="B67" s="1"/>
      <c r="C67" s="2"/>
      <c r="D67" s="1"/>
      <c r="E67" s="1"/>
      <c r="F67" s="1"/>
      <c r="G67" s="1"/>
      <c r="H67" s="2"/>
      <c r="I67" s="2"/>
      <c r="J67" s="1"/>
      <c r="K67" s="1"/>
      <c r="L67" s="1"/>
      <c r="M67" s="1"/>
      <c r="N67" s="1"/>
      <c r="O67" s="1"/>
      <c r="P67" s="1"/>
      <c r="Q67" s="1"/>
      <c r="R67" s="1"/>
      <c r="S67" s="1"/>
      <c r="T67" s="1"/>
      <c r="U67" s="1"/>
      <c r="V67" s="1"/>
      <c r="W67" s="1"/>
      <c r="X67" s="1"/>
    </row>
    <row r="68">
      <c r="A68" s="1"/>
      <c r="B68" s="1"/>
      <c r="C68" s="2"/>
      <c r="D68" s="1"/>
      <c r="E68" s="1"/>
      <c r="F68" s="1"/>
      <c r="G68" s="1"/>
      <c r="H68" s="2"/>
      <c r="I68" s="2"/>
      <c r="J68" s="1"/>
      <c r="K68" s="1"/>
      <c r="L68" s="1"/>
      <c r="M68" s="1"/>
      <c r="N68" s="1"/>
      <c r="O68" s="1"/>
      <c r="P68" s="1"/>
      <c r="Q68" s="1"/>
      <c r="R68" s="1"/>
      <c r="S68" s="1"/>
      <c r="T68" s="1"/>
      <c r="U68" s="1"/>
      <c r="V68" s="1"/>
      <c r="W68" s="1"/>
      <c r="X68" s="1"/>
    </row>
    <row r="69">
      <c r="A69" s="1"/>
      <c r="B69" s="1"/>
      <c r="C69" s="2"/>
      <c r="D69" s="1"/>
      <c r="E69" s="1"/>
      <c r="F69" s="1"/>
      <c r="G69" s="1"/>
      <c r="H69" s="2"/>
      <c r="I69" s="2"/>
      <c r="J69" s="1"/>
      <c r="K69" s="1"/>
      <c r="L69" s="1"/>
      <c r="M69" s="1"/>
      <c r="N69" s="1"/>
      <c r="O69" s="1"/>
      <c r="P69" s="1"/>
      <c r="Q69" s="1"/>
      <c r="R69" s="1"/>
      <c r="S69" s="1"/>
      <c r="T69" s="1"/>
      <c r="U69" s="1"/>
      <c r="V69" s="1"/>
      <c r="W69" s="1"/>
      <c r="X69" s="1"/>
    </row>
    <row r="70">
      <c r="A70" s="1"/>
      <c r="B70" s="1"/>
      <c r="C70" s="2"/>
      <c r="D70" s="1"/>
      <c r="E70" s="1"/>
      <c r="F70" s="1"/>
      <c r="G70" s="1"/>
      <c r="H70" s="2"/>
      <c r="I70" s="2"/>
      <c r="J70" s="1"/>
      <c r="K70" s="1"/>
      <c r="L70" s="1"/>
      <c r="M70" s="1"/>
      <c r="N70" s="1"/>
      <c r="O70" s="1"/>
      <c r="P70" s="1"/>
      <c r="Q70" s="1"/>
      <c r="R70" s="1"/>
      <c r="S70" s="1"/>
      <c r="T70" s="1"/>
      <c r="U70" s="1"/>
      <c r="V70" s="1"/>
      <c r="W70" s="1"/>
      <c r="X70" s="1"/>
    </row>
    <row r="71">
      <c r="A71" s="1"/>
      <c r="B71" s="1"/>
      <c r="C71" s="2"/>
      <c r="D71" s="1"/>
      <c r="E71" s="1"/>
      <c r="F71" s="1"/>
      <c r="G71" s="1"/>
      <c r="H71" s="2"/>
      <c r="I71" s="2"/>
      <c r="J71" s="1"/>
      <c r="K71" s="1"/>
      <c r="L71" s="1"/>
      <c r="M71" s="1"/>
      <c r="N71" s="1"/>
      <c r="O71" s="1"/>
      <c r="P71" s="1"/>
      <c r="Q71" s="1"/>
      <c r="R71" s="1"/>
      <c r="S71" s="1"/>
      <c r="T71" s="1"/>
      <c r="U71" s="1"/>
      <c r="V71" s="1"/>
      <c r="W71" s="1"/>
      <c r="X71" s="1"/>
    </row>
    <row r="72">
      <c r="A72" s="1"/>
      <c r="B72" s="1"/>
      <c r="C72" s="2"/>
      <c r="D72" s="1"/>
      <c r="E72" s="1"/>
      <c r="F72" s="1"/>
      <c r="G72" s="1"/>
      <c r="H72" s="2"/>
      <c r="I72" s="2"/>
      <c r="J72" s="1"/>
      <c r="K72" s="1"/>
      <c r="L72" s="1"/>
      <c r="M72" s="1"/>
      <c r="N72" s="1"/>
      <c r="O72" s="1"/>
      <c r="P72" s="1"/>
      <c r="Q72" s="1"/>
      <c r="R72" s="1"/>
      <c r="S72" s="1"/>
      <c r="T72" s="1"/>
      <c r="U72" s="1"/>
      <c r="V72" s="1"/>
      <c r="W72" s="1"/>
      <c r="X72" s="1"/>
    </row>
    <row r="73">
      <c r="A73" s="1"/>
      <c r="B73" s="1"/>
      <c r="C73" s="2"/>
      <c r="D73" s="1"/>
      <c r="E73" s="1"/>
      <c r="F73" s="1"/>
      <c r="G73" s="1"/>
      <c r="H73" s="2"/>
      <c r="I73" s="2"/>
      <c r="J73" s="1"/>
      <c r="K73" s="1"/>
      <c r="L73" s="1"/>
      <c r="M73" s="1"/>
      <c r="N73" s="1"/>
      <c r="O73" s="1"/>
      <c r="P73" s="1"/>
      <c r="Q73" s="1"/>
      <c r="R73" s="1"/>
      <c r="S73" s="1"/>
      <c r="T73" s="1"/>
      <c r="U73" s="1"/>
      <c r="V73" s="1"/>
      <c r="W73" s="1"/>
      <c r="X73" s="1"/>
    </row>
    <row r="74">
      <c r="A74" s="1"/>
      <c r="B74" s="1"/>
      <c r="C74" s="2"/>
      <c r="D74" s="1"/>
      <c r="E74" s="1"/>
      <c r="F74" s="1"/>
      <c r="G74" s="1"/>
      <c r="H74" s="2"/>
      <c r="I74" s="2"/>
      <c r="J74" s="1"/>
      <c r="K74" s="1"/>
      <c r="L74" s="1"/>
      <c r="M74" s="1"/>
      <c r="N74" s="1"/>
      <c r="O74" s="1"/>
      <c r="P74" s="1"/>
      <c r="Q74" s="1"/>
      <c r="R74" s="1"/>
      <c r="S74" s="1"/>
      <c r="T74" s="1"/>
      <c r="U74" s="1"/>
      <c r="V74" s="1"/>
      <c r="W74" s="1"/>
      <c r="X74" s="1"/>
    </row>
    <row r="75">
      <c r="A75" s="1"/>
      <c r="B75" s="1"/>
      <c r="C75" s="2"/>
      <c r="D75" s="1"/>
      <c r="E75" s="1"/>
      <c r="F75" s="1"/>
      <c r="G75" s="1"/>
      <c r="H75" s="2"/>
      <c r="I75" s="2"/>
      <c r="J75" s="1"/>
      <c r="K75" s="1"/>
      <c r="L75" s="1"/>
      <c r="M75" s="1"/>
      <c r="N75" s="1"/>
      <c r="O75" s="1"/>
      <c r="P75" s="1"/>
      <c r="Q75" s="1"/>
      <c r="R75" s="1"/>
      <c r="S75" s="1"/>
      <c r="T75" s="1"/>
      <c r="U75" s="1"/>
      <c r="V75" s="1"/>
      <c r="W75" s="1"/>
      <c r="X75" s="1"/>
    </row>
    <row r="76">
      <c r="A76" s="1"/>
      <c r="B76" s="1"/>
      <c r="C76" s="2"/>
      <c r="D76" s="1"/>
      <c r="E76" s="1"/>
      <c r="F76" s="1"/>
      <c r="G76" s="1"/>
      <c r="H76" s="2"/>
      <c r="I76" s="2"/>
      <c r="J76" s="1"/>
      <c r="K76" s="1"/>
      <c r="L76" s="1"/>
      <c r="M76" s="1"/>
      <c r="N76" s="1"/>
      <c r="O76" s="1"/>
      <c r="P76" s="1"/>
      <c r="Q76" s="1"/>
      <c r="R76" s="1"/>
      <c r="S76" s="1"/>
      <c r="T76" s="1"/>
      <c r="U76" s="1"/>
      <c r="V76" s="1"/>
      <c r="W76" s="1"/>
      <c r="X76" s="1"/>
    </row>
    <row r="77">
      <c r="A77" s="1"/>
      <c r="B77" s="1"/>
      <c r="C77" s="2"/>
      <c r="D77" s="1"/>
      <c r="E77" s="1"/>
      <c r="F77" s="1"/>
      <c r="G77" s="1"/>
      <c r="H77" s="2"/>
      <c r="I77" s="2"/>
      <c r="J77" s="1"/>
      <c r="K77" s="1"/>
      <c r="L77" s="1"/>
      <c r="M77" s="1"/>
      <c r="N77" s="1"/>
      <c r="O77" s="1"/>
      <c r="P77" s="1"/>
      <c r="Q77" s="1"/>
      <c r="R77" s="1"/>
      <c r="S77" s="1"/>
      <c r="T77" s="1"/>
      <c r="U77" s="1"/>
      <c r="V77" s="1"/>
      <c r="W77" s="1"/>
      <c r="X77" s="1"/>
    </row>
    <row r="78">
      <c r="A78" s="1"/>
      <c r="B78" s="1"/>
      <c r="C78" s="2"/>
      <c r="D78" s="1"/>
      <c r="E78" s="1"/>
      <c r="F78" s="1"/>
      <c r="G78" s="1"/>
      <c r="H78" s="2"/>
      <c r="I78" s="2"/>
      <c r="J78" s="1"/>
      <c r="K78" s="1"/>
      <c r="L78" s="1"/>
      <c r="M78" s="1"/>
      <c r="N78" s="1"/>
      <c r="O78" s="1"/>
      <c r="P78" s="1"/>
      <c r="Q78" s="1"/>
      <c r="R78" s="1"/>
      <c r="S78" s="1"/>
      <c r="T78" s="1"/>
      <c r="U78" s="1"/>
      <c r="V78" s="1"/>
      <c r="W78" s="1"/>
      <c r="X78" s="1"/>
    </row>
    <row r="79">
      <c r="A79" s="1"/>
      <c r="B79" s="1"/>
      <c r="C79" s="2"/>
      <c r="D79" s="1"/>
      <c r="E79" s="1"/>
      <c r="F79" s="1"/>
      <c r="G79" s="1"/>
      <c r="H79" s="2"/>
      <c r="I79" s="2"/>
      <c r="J79" s="1"/>
      <c r="K79" s="1"/>
      <c r="L79" s="1"/>
      <c r="M79" s="1"/>
      <c r="N79" s="1"/>
      <c r="O79" s="1"/>
      <c r="P79" s="1"/>
      <c r="Q79" s="1"/>
      <c r="R79" s="1"/>
      <c r="S79" s="1"/>
      <c r="T79" s="1"/>
      <c r="U79" s="1"/>
      <c r="V79" s="1"/>
      <c r="W79" s="1"/>
      <c r="X79" s="1"/>
    </row>
    <row r="80">
      <c r="A80" s="1"/>
      <c r="B80" s="1"/>
      <c r="C80" s="2"/>
      <c r="D80" s="1"/>
      <c r="E80" s="1"/>
      <c r="F80" s="1"/>
      <c r="G80" s="1"/>
      <c r="H80" s="2"/>
      <c r="I80" s="2"/>
      <c r="J80" s="1"/>
      <c r="K80" s="1"/>
      <c r="L80" s="1"/>
      <c r="M80" s="1"/>
      <c r="N80" s="1"/>
      <c r="O80" s="1"/>
      <c r="P80" s="1"/>
      <c r="Q80" s="1"/>
      <c r="R80" s="1"/>
      <c r="S80" s="1"/>
      <c r="T80" s="1"/>
      <c r="U80" s="1"/>
      <c r="V80" s="1"/>
      <c r="W80" s="1"/>
      <c r="X80" s="1"/>
    </row>
    <row r="81">
      <c r="A81" s="1"/>
      <c r="B81" s="1"/>
      <c r="C81" s="2"/>
      <c r="D81" s="1"/>
      <c r="E81" s="1"/>
      <c r="F81" s="1"/>
      <c r="G81" s="1"/>
      <c r="H81" s="2"/>
      <c r="I81" s="2"/>
      <c r="J81" s="1"/>
      <c r="K81" s="1"/>
      <c r="L81" s="1"/>
      <c r="M81" s="1"/>
      <c r="N81" s="1"/>
      <c r="O81" s="1"/>
      <c r="P81" s="1"/>
      <c r="Q81" s="1"/>
      <c r="R81" s="1"/>
      <c r="S81" s="1"/>
      <c r="T81" s="1"/>
      <c r="U81" s="1"/>
      <c r="V81" s="1"/>
      <c r="W81" s="1"/>
      <c r="X81" s="1"/>
    </row>
    <row r="82">
      <c r="A82" s="1"/>
      <c r="B82" s="1"/>
      <c r="C82" s="2"/>
      <c r="D82" s="1"/>
      <c r="E82" s="1"/>
      <c r="F82" s="1"/>
      <c r="G82" s="1"/>
      <c r="H82" s="2"/>
      <c r="I82" s="2"/>
      <c r="J82" s="1"/>
      <c r="K82" s="1"/>
      <c r="L82" s="1"/>
      <c r="M82" s="1"/>
      <c r="N82" s="1"/>
      <c r="O82" s="1"/>
      <c r="P82" s="1"/>
      <c r="Q82" s="1"/>
      <c r="R82" s="1"/>
      <c r="S82" s="1"/>
      <c r="T82" s="1"/>
      <c r="U82" s="1"/>
      <c r="V82" s="1"/>
      <c r="W82" s="1"/>
      <c r="X82" s="1"/>
    </row>
    <row r="83">
      <c r="A83" s="1"/>
      <c r="B83" s="1"/>
      <c r="C83" s="2"/>
      <c r="D83" s="1"/>
      <c r="E83" s="1"/>
      <c r="F83" s="1"/>
      <c r="G83" s="1"/>
      <c r="H83" s="2"/>
      <c r="I83" s="2"/>
      <c r="J83" s="1"/>
      <c r="K83" s="1"/>
      <c r="L83" s="1"/>
      <c r="M83" s="1"/>
      <c r="N83" s="1"/>
      <c r="O83" s="1"/>
      <c r="P83" s="1"/>
      <c r="Q83" s="1"/>
      <c r="R83" s="1"/>
      <c r="S83" s="1"/>
      <c r="T83" s="1"/>
      <c r="U83" s="1"/>
      <c r="V83" s="1"/>
      <c r="W83" s="1"/>
      <c r="X83" s="1"/>
    </row>
    <row r="84">
      <c r="A84" s="1"/>
      <c r="B84" s="1"/>
      <c r="C84" s="2"/>
      <c r="D84" s="1"/>
      <c r="E84" s="1"/>
      <c r="F84" s="1"/>
      <c r="G84" s="1"/>
      <c r="H84" s="2"/>
      <c r="I84" s="2"/>
      <c r="J84" s="1"/>
      <c r="K84" s="1"/>
      <c r="L84" s="1"/>
      <c r="M84" s="1"/>
      <c r="N84" s="1"/>
      <c r="O84" s="1"/>
      <c r="P84" s="1"/>
      <c r="Q84" s="1"/>
      <c r="R84" s="1"/>
      <c r="S84" s="1"/>
      <c r="T84" s="1"/>
      <c r="U84" s="1"/>
      <c r="V84" s="1"/>
      <c r="W84" s="1"/>
      <c r="X84" s="1"/>
    </row>
    <row r="85">
      <c r="A85" s="1"/>
      <c r="B85" s="1"/>
      <c r="C85" s="2"/>
      <c r="D85" s="1"/>
      <c r="E85" s="1"/>
      <c r="F85" s="1"/>
      <c r="G85" s="1"/>
      <c r="H85" s="2"/>
      <c r="I85" s="2"/>
      <c r="J85" s="1"/>
      <c r="K85" s="1"/>
      <c r="L85" s="1"/>
      <c r="M85" s="1"/>
      <c r="N85" s="1"/>
      <c r="O85" s="1"/>
      <c r="P85" s="1"/>
      <c r="Q85" s="1"/>
      <c r="R85" s="1"/>
      <c r="S85" s="1"/>
      <c r="T85" s="1"/>
      <c r="U85" s="1"/>
      <c r="V85" s="1"/>
      <c r="W85" s="1"/>
      <c r="X85" s="1"/>
    </row>
    <row r="86">
      <c r="A86" s="1"/>
      <c r="B86" s="1"/>
      <c r="C86" s="2"/>
      <c r="D86" s="1"/>
      <c r="E86" s="1"/>
      <c r="F86" s="1"/>
      <c r="G86" s="1"/>
      <c r="H86" s="2"/>
      <c r="I86" s="2"/>
      <c r="J86" s="1"/>
      <c r="K86" s="1"/>
      <c r="L86" s="1"/>
      <c r="M86" s="1"/>
      <c r="N86" s="1"/>
      <c r="O86" s="1"/>
      <c r="P86" s="1"/>
      <c r="Q86" s="1"/>
      <c r="R86" s="1"/>
      <c r="S86" s="1"/>
      <c r="T86" s="1"/>
      <c r="U86" s="1"/>
      <c r="V86" s="1"/>
      <c r="W86" s="1"/>
      <c r="X86" s="1"/>
    </row>
    <row r="87">
      <c r="A87" s="1"/>
      <c r="B87" s="1"/>
      <c r="C87" s="2"/>
      <c r="D87" s="1"/>
      <c r="E87" s="1"/>
      <c r="F87" s="1"/>
      <c r="G87" s="1"/>
      <c r="H87" s="2"/>
      <c r="I87" s="2"/>
      <c r="J87" s="1"/>
      <c r="K87" s="1"/>
      <c r="L87" s="1"/>
      <c r="M87" s="1"/>
      <c r="N87" s="1"/>
      <c r="O87" s="1"/>
      <c r="P87" s="1"/>
      <c r="Q87" s="1"/>
      <c r="R87" s="1"/>
      <c r="S87" s="1"/>
      <c r="T87" s="1"/>
      <c r="U87" s="1"/>
      <c r="V87" s="1"/>
      <c r="W87" s="1"/>
      <c r="X87" s="1"/>
    </row>
    <row r="88">
      <c r="A88" s="1"/>
      <c r="B88" s="1"/>
      <c r="C88" s="2"/>
      <c r="D88" s="1"/>
      <c r="E88" s="1"/>
      <c r="F88" s="1"/>
      <c r="G88" s="1"/>
      <c r="H88" s="2"/>
      <c r="I88" s="2"/>
      <c r="J88" s="1"/>
      <c r="K88" s="1"/>
      <c r="L88" s="1"/>
      <c r="M88" s="1"/>
      <c r="N88" s="1"/>
      <c r="O88" s="1"/>
      <c r="P88" s="1"/>
      <c r="Q88" s="1"/>
      <c r="R88" s="1"/>
      <c r="S88" s="1"/>
      <c r="T88" s="1"/>
      <c r="U88" s="1"/>
      <c r="V88" s="1"/>
      <c r="W88" s="1"/>
      <c r="X88" s="1"/>
    </row>
    <row r="89">
      <c r="A89" s="1"/>
      <c r="B89" s="1"/>
      <c r="C89" s="2"/>
      <c r="D89" s="1"/>
      <c r="E89" s="1"/>
      <c r="F89" s="1"/>
      <c r="G89" s="1"/>
      <c r="H89" s="2"/>
      <c r="I89" s="2"/>
      <c r="J89" s="1"/>
      <c r="K89" s="1"/>
      <c r="L89" s="1"/>
      <c r="M89" s="1"/>
      <c r="N89" s="1"/>
      <c r="O89" s="1"/>
      <c r="P89" s="1"/>
      <c r="Q89" s="1"/>
      <c r="R89" s="1"/>
      <c r="S89" s="1"/>
      <c r="T89" s="1"/>
      <c r="U89" s="1"/>
      <c r="V89" s="1"/>
      <c r="W89" s="1"/>
      <c r="X89" s="1"/>
    </row>
    <row r="90">
      <c r="A90" s="1"/>
      <c r="B90" s="1"/>
      <c r="C90" s="2"/>
      <c r="D90" s="1"/>
      <c r="E90" s="1"/>
      <c r="F90" s="1"/>
      <c r="G90" s="1"/>
      <c r="H90" s="2"/>
      <c r="I90" s="2"/>
      <c r="J90" s="1"/>
      <c r="K90" s="1"/>
      <c r="L90" s="1"/>
      <c r="M90" s="1"/>
      <c r="N90" s="1"/>
      <c r="O90" s="1"/>
      <c r="P90" s="1"/>
      <c r="Q90" s="1"/>
      <c r="R90" s="1"/>
      <c r="S90" s="1"/>
      <c r="T90" s="1"/>
      <c r="U90" s="1"/>
      <c r="V90" s="1"/>
      <c r="W90" s="1"/>
      <c r="X90" s="1"/>
    </row>
    <row r="91">
      <c r="A91" s="1"/>
      <c r="B91" s="1"/>
      <c r="C91" s="2"/>
      <c r="D91" s="1"/>
      <c r="E91" s="1"/>
      <c r="F91" s="1"/>
      <c r="G91" s="1"/>
      <c r="H91" s="2"/>
      <c r="I91" s="2"/>
      <c r="J91" s="1"/>
      <c r="K91" s="1"/>
      <c r="L91" s="1"/>
      <c r="M91" s="1"/>
      <c r="N91" s="1"/>
      <c r="O91" s="1"/>
      <c r="P91" s="1"/>
      <c r="Q91" s="1"/>
      <c r="R91" s="1"/>
      <c r="S91" s="1"/>
      <c r="T91" s="1"/>
      <c r="U91" s="1"/>
      <c r="V91" s="1"/>
      <c r="W91" s="1"/>
      <c r="X91" s="1"/>
    </row>
    <row r="92">
      <c r="A92" s="1"/>
      <c r="B92" s="1"/>
      <c r="C92" s="2"/>
      <c r="D92" s="1"/>
      <c r="E92" s="1"/>
      <c r="F92" s="1"/>
      <c r="G92" s="1"/>
      <c r="H92" s="2"/>
      <c r="I92" s="2"/>
      <c r="J92" s="1"/>
      <c r="K92" s="1"/>
      <c r="L92" s="1"/>
      <c r="M92" s="1"/>
      <c r="N92" s="1"/>
      <c r="O92" s="1"/>
      <c r="P92" s="1"/>
      <c r="Q92" s="1"/>
      <c r="R92" s="1"/>
      <c r="S92" s="1"/>
      <c r="T92" s="1"/>
      <c r="U92" s="1"/>
      <c r="V92" s="1"/>
      <c r="W92" s="1"/>
      <c r="X92" s="1"/>
    </row>
    <row r="93">
      <c r="A93" s="1"/>
      <c r="B93" s="1"/>
      <c r="C93" s="2"/>
      <c r="D93" s="1"/>
      <c r="E93" s="1"/>
      <c r="F93" s="1"/>
      <c r="G93" s="1"/>
      <c r="H93" s="2"/>
      <c r="I93" s="2"/>
      <c r="J93" s="1"/>
      <c r="K93" s="1"/>
      <c r="L93" s="1"/>
      <c r="M93" s="1"/>
      <c r="N93" s="1"/>
      <c r="O93" s="1"/>
      <c r="P93" s="1"/>
      <c r="Q93" s="1"/>
      <c r="R93" s="1"/>
      <c r="S93" s="1"/>
      <c r="T93" s="1"/>
      <c r="U93" s="1"/>
      <c r="V93" s="1"/>
      <c r="W93" s="1"/>
      <c r="X93" s="1"/>
    </row>
    <row r="94">
      <c r="A94" s="1"/>
      <c r="B94" s="1"/>
      <c r="C94" s="2"/>
      <c r="D94" s="1"/>
      <c r="E94" s="1"/>
      <c r="F94" s="1"/>
      <c r="G94" s="1"/>
      <c r="H94" s="2"/>
      <c r="I94" s="2"/>
      <c r="J94" s="1"/>
      <c r="K94" s="1"/>
      <c r="L94" s="1"/>
      <c r="M94" s="1"/>
      <c r="N94" s="1"/>
      <c r="O94" s="1"/>
      <c r="P94" s="1"/>
      <c r="Q94" s="1"/>
      <c r="R94" s="1"/>
      <c r="S94" s="1"/>
      <c r="T94" s="1"/>
      <c r="U94" s="1"/>
      <c r="V94" s="1"/>
      <c r="W94" s="1"/>
      <c r="X94" s="1"/>
    </row>
    <row r="95">
      <c r="A95" s="1"/>
      <c r="B95" s="1"/>
      <c r="C95" s="2"/>
      <c r="D95" s="1"/>
      <c r="E95" s="1"/>
      <c r="F95" s="1"/>
      <c r="G95" s="1"/>
      <c r="H95" s="2"/>
      <c r="I95" s="2"/>
      <c r="J95" s="1"/>
      <c r="K95" s="1"/>
      <c r="L95" s="1"/>
      <c r="M95" s="1"/>
      <c r="N95" s="1"/>
      <c r="O95" s="1"/>
      <c r="P95" s="1"/>
      <c r="Q95" s="1"/>
      <c r="R95" s="1"/>
      <c r="S95" s="1"/>
      <c r="T95" s="1"/>
      <c r="U95" s="1"/>
      <c r="V95" s="1"/>
      <c r="W95" s="1"/>
      <c r="X95" s="1"/>
    </row>
    <row r="96">
      <c r="A96" s="1"/>
      <c r="B96" s="1"/>
      <c r="C96" s="2"/>
      <c r="D96" s="1"/>
      <c r="E96" s="1"/>
      <c r="F96" s="1"/>
      <c r="G96" s="1"/>
      <c r="H96" s="2"/>
      <c r="I96" s="2"/>
      <c r="J96" s="1"/>
      <c r="K96" s="1"/>
      <c r="L96" s="1"/>
      <c r="M96" s="1"/>
      <c r="N96" s="1"/>
      <c r="O96" s="1"/>
      <c r="P96" s="1"/>
      <c r="Q96" s="1"/>
      <c r="R96" s="1"/>
      <c r="S96" s="1"/>
      <c r="T96" s="1"/>
      <c r="U96" s="1"/>
      <c r="V96" s="1"/>
      <c r="W96" s="1"/>
      <c r="X96" s="1"/>
    </row>
    <row r="97">
      <c r="A97" s="1"/>
      <c r="B97" s="1"/>
      <c r="C97" s="2"/>
      <c r="D97" s="1"/>
      <c r="E97" s="1"/>
      <c r="F97" s="1"/>
      <c r="G97" s="1"/>
      <c r="H97" s="2"/>
      <c r="I97" s="2"/>
      <c r="J97" s="1"/>
      <c r="K97" s="1"/>
      <c r="L97" s="1"/>
      <c r="M97" s="1"/>
      <c r="N97" s="1"/>
      <c r="O97" s="1"/>
      <c r="P97" s="1"/>
      <c r="Q97" s="1"/>
      <c r="R97" s="1"/>
      <c r="S97" s="1"/>
      <c r="T97" s="1"/>
      <c r="U97" s="1"/>
      <c r="V97" s="1"/>
      <c r="W97" s="1"/>
      <c r="X97" s="1"/>
    </row>
    <row r="98">
      <c r="A98" s="1"/>
      <c r="B98" s="1"/>
      <c r="C98" s="2"/>
      <c r="D98" s="1"/>
      <c r="E98" s="1"/>
      <c r="F98" s="1"/>
      <c r="G98" s="1"/>
      <c r="H98" s="2"/>
      <c r="I98" s="2"/>
      <c r="J98" s="1"/>
      <c r="K98" s="1"/>
      <c r="L98" s="1"/>
      <c r="M98" s="1"/>
      <c r="N98" s="1"/>
      <c r="O98" s="1"/>
      <c r="P98" s="1"/>
      <c r="Q98" s="1"/>
      <c r="R98" s="1"/>
      <c r="S98" s="1"/>
      <c r="T98" s="1"/>
      <c r="U98" s="1"/>
      <c r="V98" s="1"/>
      <c r="W98" s="1"/>
      <c r="X98" s="1"/>
    </row>
    <row r="99">
      <c r="A99" s="1"/>
      <c r="B99" s="1"/>
      <c r="C99" s="2"/>
      <c r="D99" s="1"/>
      <c r="E99" s="1"/>
      <c r="F99" s="1"/>
      <c r="G99" s="1"/>
      <c r="H99" s="2"/>
      <c r="I99" s="2"/>
      <c r="J99" s="1"/>
      <c r="K99" s="1"/>
      <c r="L99" s="1"/>
      <c r="M99" s="1"/>
      <c r="N99" s="1"/>
      <c r="O99" s="1"/>
      <c r="P99" s="1"/>
      <c r="Q99" s="1"/>
      <c r="R99" s="1"/>
      <c r="S99" s="1"/>
      <c r="T99" s="1"/>
      <c r="U99" s="1"/>
      <c r="V99" s="1"/>
      <c r="W99" s="1"/>
      <c r="X99" s="1"/>
    </row>
    <row r="100">
      <c r="A100" s="1"/>
      <c r="B100" s="1"/>
      <c r="C100" s="2"/>
      <c r="D100" s="1"/>
      <c r="E100" s="1"/>
      <c r="F100" s="1"/>
      <c r="G100" s="1"/>
      <c r="H100" s="2"/>
      <c r="I100" s="2"/>
      <c r="J100" s="1"/>
      <c r="K100" s="1"/>
      <c r="L100" s="1"/>
      <c r="M100" s="1"/>
      <c r="N100" s="1"/>
      <c r="O100" s="1"/>
      <c r="P100" s="1"/>
      <c r="Q100" s="1"/>
      <c r="R100" s="1"/>
      <c r="S100" s="1"/>
      <c r="T100" s="1"/>
      <c r="U100" s="1"/>
      <c r="V100" s="1"/>
      <c r="W100" s="1"/>
      <c r="X100" s="1"/>
    </row>
    <row r="101">
      <c r="A101" s="1"/>
      <c r="B101" s="1"/>
      <c r="C101" s="2"/>
      <c r="D101" s="1"/>
      <c r="E101" s="1"/>
      <c r="F101" s="1"/>
      <c r="G101" s="1"/>
      <c r="H101" s="2"/>
      <c r="I101" s="2"/>
      <c r="J101" s="1"/>
      <c r="K101" s="1"/>
      <c r="L101" s="1"/>
      <c r="M101" s="1"/>
      <c r="N101" s="1"/>
      <c r="O101" s="1"/>
      <c r="P101" s="1"/>
      <c r="Q101" s="1"/>
      <c r="R101" s="1"/>
      <c r="S101" s="1"/>
      <c r="T101" s="1"/>
      <c r="U101" s="1"/>
      <c r="V101" s="1"/>
      <c r="W101" s="1"/>
      <c r="X101" s="1"/>
    </row>
    <row r="102">
      <c r="A102" s="1"/>
      <c r="B102" s="1"/>
      <c r="C102" s="2"/>
      <c r="D102" s="1"/>
      <c r="E102" s="1"/>
      <c r="F102" s="1"/>
      <c r="G102" s="1"/>
      <c r="H102" s="2"/>
      <c r="I102" s="2"/>
      <c r="J102" s="1"/>
      <c r="K102" s="1"/>
      <c r="L102" s="1"/>
      <c r="M102" s="1"/>
      <c r="N102" s="1"/>
      <c r="O102" s="1"/>
      <c r="P102" s="1"/>
      <c r="Q102" s="1"/>
      <c r="R102" s="1"/>
      <c r="S102" s="1"/>
      <c r="T102" s="1"/>
      <c r="U102" s="1"/>
      <c r="V102" s="1"/>
      <c r="W102" s="1"/>
      <c r="X102" s="1"/>
    </row>
    <row r="103">
      <c r="A103" s="1"/>
      <c r="B103" s="1"/>
      <c r="C103" s="2"/>
      <c r="D103" s="1"/>
      <c r="E103" s="1"/>
      <c r="F103" s="1"/>
      <c r="G103" s="1"/>
      <c r="H103" s="2"/>
      <c r="I103" s="2"/>
      <c r="J103" s="1"/>
      <c r="K103" s="1"/>
      <c r="L103" s="1"/>
      <c r="M103" s="1"/>
      <c r="N103" s="1"/>
      <c r="O103" s="1"/>
      <c r="P103" s="1"/>
      <c r="Q103" s="1"/>
      <c r="R103" s="1"/>
      <c r="S103" s="1"/>
      <c r="T103" s="1"/>
      <c r="U103" s="1"/>
      <c r="V103" s="1"/>
      <c r="W103" s="1"/>
      <c r="X103" s="1"/>
    </row>
    <row r="104">
      <c r="A104" s="1"/>
      <c r="B104" s="1"/>
      <c r="C104" s="2"/>
      <c r="D104" s="1"/>
      <c r="E104" s="1"/>
      <c r="F104" s="1"/>
      <c r="G104" s="1"/>
      <c r="H104" s="2"/>
      <c r="I104" s="2"/>
      <c r="J104" s="1"/>
      <c r="K104" s="1"/>
      <c r="L104" s="1"/>
      <c r="M104" s="1"/>
      <c r="N104" s="1"/>
      <c r="O104" s="1"/>
      <c r="P104" s="1"/>
      <c r="Q104" s="1"/>
      <c r="R104" s="1"/>
      <c r="S104" s="1"/>
      <c r="T104" s="1"/>
      <c r="U104" s="1"/>
      <c r="V104" s="1"/>
      <c r="W104" s="1"/>
      <c r="X104" s="1"/>
    </row>
    <row r="105">
      <c r="A105" s="1"/>
      <c r="B105" s="1"/>
      <c r="C105" s="2"/>
      <c r="D105" s="1"/>
      <c r="E105" s="1"/>
      <c r="F105" s="1"/>
      <c r="G105" s="1"/>
      <c r="H105" s="2"/>
      <c r="I105" s="2"/>
      <c r="J105" s="1"/>
      <c r="K105" s="1"/>
      <c r="L105" s="1"/>
      <c r="M105" s="1"/>
      <c r="N105" s="1"/>
      <c r="O105" s="1"/>
      <c r="P105" s="1"/>
      <c r="Q105" s="1"/>
      <c r="R105" s="1"/>
      <c r="S105" s="1"/>
      <c r="T105" s="1"/>
      <c r="U105" s="1"/>
      <c r="V105" s="1"/>
      <c r="W105" s="1"/>
      <c r="X105" s="1"/>
    </row>
    <row r="106">
      <c r="A106" s="1"/>
      <c r="B106" s="1"/>
      <c r="C106" s="2"/>
      <c r="D106" s="1"/>
      <c r="E106" s="1"/>
      <c r="F106" s="1"/>
      <c r="G106" s="1"/>
      <c r="H106" s="2"/>
      <c r="I106" s="2"/>
      <c r="J106" s="1"/>
      <c r="K106" s="1"/>
      <c r="L106" s="1"/>
      <c r="M106" s="1"/>
      <c r="N106" s="1"/>
      <c r="O106" s="1"/>
      <c r="P106" s="1"/>
      <c r="Q106" s="1"/>
      <c r="R106" s="1"/>
      <c r="S106" s="1"/>
      <c r="T106" s="1"/>
      <c r="U106" s="1"/>
      <c r="V106" s="1"/>
      <c r="W106" s="1"/>
      <c r="X106" s="1"/>
    </row>
    <row r="107">
      <c r="A107" s="1"/>
      <c r="B107" s="1"/>
      <c r="C107" s="2"/>
      <c r="D107" s="1"/>
      <c r="E107" s="1"/>
      <c r="F107" s="1"/>
      <c r="G107" s="1"/>
      <c r="H107" s="2"/>
      <c r="I107" s="2"/>
      <c r="J107" s="1"/>
      <c r="K107" s="1"/>
      <c r="L107" s="1"/>
      <c r="M107" s="1"/>
      <c r="N107" s="1"/>
      <c r="O107" s="1"/>
      <c r="P107" s="1"/>
      <c r="Q107" s="1"/>
      <c r="R107" s="1"/>
      <c r="S107" s="1"/>
      <c r="T107" s="1"/>
      <c r="U107" s="1"/>
      <c r="V107" s="1"/>
      <c r="W107" s="1"/>
      <c r="X107" s="1"/>
    </row>
    <row r="108">
      <c r="A108" s="1"/>
      <c r="B108" s="1"/>
      <c r="C108" s="2"/>
      <c r="D108" s="1"/>
      <c r="E108" s="1"/>
      <c r="F108" s="1"/>
      <c r="G108" s="1"/>
      <c r="H108" s="2"/>
      <c r="I108" s="2"/>
      <c r="J108" s="1"/>
      <c r="K108" s="1"/>
      <c r="L108" s="1"/>
      <c r="M108" s="1"/>
      <c r="N108" s="1"/>
      <c r="O108" s="1"/>
      <c r="P108" s="1"/>
      <c r="Q108" s="1"/>
      <c r="R108" s="1"/>
      <c r="S108" s="1"/>
      <c r="T108" s="1"/>
      <c r="U108" s="1"/>
      <c r="V108" s="1"/>
      <c r="W108" s="1"/>
      <c r="X108" s="1"/>
    </row>
    <row r="109">
      <c r="A109" s="1"/>
      <c r="B109" s="1"/>
      <c r="C109" s="2"/>
      <c r="D109" s="1"/>
      <c r="E109" s="1"/>
      <c r="F109" s="1"/>
      <c r="G109" s="1"/>
      <c r="H109" s="2"/>
      <c r="I109" s="2"/>
      <c r="J109" s="1"/>
      <c r="K109" s="1"/>
      <c r="L109" s="1"/>
      <c r="M109" s="1"/>
      <c r="N109" s="1"/>
      <c r="O109" s="1"/>
      <c r="P109" s="1"/>
      <c r="Q109" s="1"/>
      <c r="R109" s="1"/>
      <c r="S109" s="1"/>
      <c r="T109" s="1"/>
      <c r="U109" s="1"/>
      <c r="V109" s="1"/>
      <c r="W109" s="1"/>
      <c r="X109" s="1"/>
    </row>
    <row r="110">
      <c r="A110" s="1"/>
      <c r="B110" s="1"/>
      <c r="C110" s="2"/>
      <c r="D110" s="1"/>
      <c r="E110" s="1"/>
      <c r="F110" s="1"/>
      <c r="G110" s="1"/>
      <c r="H110" s="2"/>
      <c r="I110" s="2"/>
      <c r="J110" s="1"/>
      <c r="K110" s="1"/>
      <c r="L110" s="1"/>
      <c r="M110" s="1"/>
      <c r="N110" s="1"/>
      <c r="O110" s="1"/>
      <c r="P110" s="1"/>
      <c r="Q110" s="1"/>
      <c r="R110" s="1"/>
      <c r="S110" s="1"/>
      <c r="T110" s="1"/>
      <c r="U110" s="1"/>
      <c r="V110" s="1"/>
      <c r="W110" s="1"/>
      <c r="X110" s="1"/>
    </row>
    <row r="111">
      <c r="A111" s="1"/>
      <c r="B111" s="1"/>
      <c r="C111" s="2"/>
      <c r="D111" s="1"/>
      <c r="E111" s="1"/>
      <c r="F111" s="1"/>
      <c r="G111" s="1"/>
      <c r="H111" s="2"/>
      <c r="I111" s="2"/>
      <c r="J111" s="1"/>
      <c r="K111" s="1"/>
      <c r="L111" s="1"/>
      <c r="M111" s="1"/>
      <c r="N111" s="1"/>
      <c r="O111" s="1"/>
      <c r="P111" s="1"/>
      <c r="Q111" s="1"/>
      <c r="R111" s="1"/>
      <c r="S111" s="1"/>
      <c r="T111" s="1"/>
      <c r="U111" s="1"/>
      <c r="V111" s="1"/>
      <c r="W111" s="1"/>
      <c r="X111" s="1"/>
    </row>
    <row r="112">
      <c r="A112" s="1"/>
      <c r="B112" s="1"/>
      <c r="C112" s="2"/>
      <c r="D112" s="1"/>
      <c r="E112" s="1"/>
      <c r="F112" s="1"/>
      <c r="G112" s="1"/>
      <c r="H112" s="2"/>
      <c r="I112" s="2"/>
      <c r="J112" s="1"/>
      <c r="K112" s="1"/>
      <c r="L112" s="1"/>
      <c r="M112" s="1"/>
      <c r="N112" s="1"/>
      <c r="O112" s="1"/>
      <c r="P112" s="1"/>
      <c r="Q112" s="1"/>
      <c r="R112" s="1"/>
      <c r="S112" s="1"/>
      <c r="T112" s="1"/>
      <c r="U112" s="1"/>
      <c r="V112" s="1"/>
      <c r="W112" s="1"/>
      <c r="X112" s="1"/>
    </row>
    <row r="113">
      <c r="A113" s="1"/>
      <c r="B113" s="1"/>
      <c r="C113" s="2"/>
      <c r="D113" s="1"/>
      <c r="E113" s="1"/>
      <c r="F113" s="1"/>
      <c r="G113" s="1"/>
      <c r="H113" s="2"/>
      <c r="I113" s="2"/>
      <c r="J113" s="1"/>
      <c r="K113" s="1"/>
      <c r="L113" s="1"/>
      <c r="M113" s="1"/>
      <c r="N113" s="1"/>
      <c r="O113" s="1"/>
      <c r="P113" s="1"/>
      <c r="Q113" s="1"/>
      <c r="R113" s="1"/>
      <c r="S113" s="1"/>
      <c r="T113" s="1"/>
      <c r="U113" s="1"/>
      <c r="V113" s="1"/>
      <c r="W113" s="1"/>
      <c r="X113" s="1"/>
    </row>
    <row r="114">
      <c r="A114" s="1"/>
      <c r="B114" s="1"/>
      <c r="C114" s="2"/>
      <c r="D114" s="1"/>
      <c r="E114" s="1"/>
      <c r="F114" s="1"/>
      <c r="G114" s="1"/>
      <c r="H114" s="2"/>
      <c r="I114" s="2"/>
      <c r="J114" s="1"/>
      <c r="K114" s="1"/>
      <c r="L114" s="1"/>
      <c r="M114" s="1"/>
      <c r="N114" s="1"/>
      <c r="O114" s="1"/>
      <c r="P114" s="1"/>
      <c r="Q114" s="1"/>
      <c r="R114" s="1"/>
      <c r="S114" s="1"/>
      <c r="T114" s="1"/>
      <c r="U114" s="1"/>
      <c r="V114" s="1"/>
      <c r="W114" s="1"/>
      <c r="X114" s="1"/>
    </row>
    <row r="115">
      <c r="A115" s="1"/>
      <c r="B115" s="1"/>
      <c r="C115" s="2"/>
      <c r="D115" s="1"/>
      <c r="E115" s="1"/>
      <c r="F115" s="1"/>
      <c r="G115" s="1"/>
      <c r="H115" s="2"/>
      <c r="I115" s="2"/>
      <c r="J115" s="1"/>
      <c r="K115" s="1"/>
      <c r="L115" s="1"/>
      <c r="M115" s="1"/>
      <c r="N115" s="1"/>
      <c r="O115" s="1"/>
      <c r="P115" s="1"/>
      <c r="Q115" s="1"/>
      <c r="R115" s="1"/>
      <c r="S115" s="1"/>
      <c r="T115" s="1"/>
      <c r="U115" s="1"/>
      <c r="V115" s="1"/>
      <c r="W115" s="1"/>
      <c r="X115" s="1"/>
    </row>
    <row r="116">
      <c r="A116" s="1"/>
      <c r="B116" s="1"/>
      <c r="C116" s="2"/>
      <c r="D116" s="1"/>
      <c r="E116" s="1"/>
      <c r="F116" s="1"/>
      <c r="G116" s="1"/>
      <c r="H116" s="2"/>
      <c r="I116" s="2"/>
      <c r="J116" s="1"/>
      <c r="K116" s="1"/>
      <c r="L116" s="1"/>
      <c r="M116" s="1"/>
      <c r="N116" s="1"/>
      <c r="O116" s="1"/>
      <c r="P116" s="1"/>
      <c r="Q116" s="1"/>
      <c r="R116" s="1"/>
      <c r="S116" s="1"/>
      <c r="T116" s="1"/>
      <c r="U116" s="1"/>
      <c r="V116" s="1"/>
      <c r="W116" s="1"/>
      <c r="X116" s="1"/>
    </row>
    <row r="117">
      <c r="A117" s="1"/>
      <c r="B117" s="1"/>
      <c r="C117" s="2"/>
      <c r="D117" s="1"/>
      <c r="E117" s="1"/>
      <c r="F117" s="1"/>
      <c r="G117" s="1"/>
      <c r="H117" s="2"/>
      <c r="I117" s="2"/>
      <c r="J117" s="1"/>
      <c r="K117" s="1"/>
      <c r="L117" s="1"/>
      <c r="M117" s="1"/>
      <c r="N117" s="1"/>
      <c r="O117" s="1"/>
      <c r="P117" s="1"/>
      <c r="Q117" s="1"/>
      <c r="R117" s="1"/>
      <c r="S117" s="1"/>
      <c r="T117" s="1"/>
      <c r="U117" s="1"/>
      <c r="V117" s="1"/>
      <c r="W117" s="1"/>
      <c r="X117" s="1"/>
    </row>
    <row r="118">
      <c r="A118" s="1"/>
      <c r="B118" s="1"/>
      <c r="C118" s="2"/>
      <c r="D118" s="1"/>
      <c r="E118" s="1"/>
      <c r="F118" s="1"/>
      <c r="G118" s="1"/>
      <c r="H118" s="2"/>
      <c r="I118" s="2"/>
      <c r="J118" s="1"/>
      <c r="K118" s="1"/>
      <c r="L118" s="1"/>
      <c r="M118" s="1"/>
      <c r="N118" s="1"/>
      <c r="O118" s="1"/>
      <c r="P118" s="1"/>
      <c r="Q118" s="1"/>
      <c r="R118" s="1"/>
      <c r="S118" s="1"/>
      <c r="T118" s="1"/>
      <c r="U118" s="1"/>
      <c r="V118" s="1"/>
      <c r="W118" s="1"/>
      <c r="X118" s="1"/>
    </row>
    <row r="119">
      <c r="A119" s="1"/>
      <c r="B119" s="1"/>
      <c r="C119" s="2"/>
      <c r="D119" s="1"/>
      <c r="E119" s="1"/>
      <c r="F119" s="1"/>
      <c r="G119" s="1"/>
      <c r="H119" s="2"/>
      <c r="I119" s="2"/>
      <c r="J119" s="1"/>
      <c r="K119" s="1"/>
      <c r="L119" s="1"/>
      <c r="M119" s="1"/>
      <c r="N119" s="1"/>
      <c r="O119" s="1"/>
      <c r="P119" s="1"/>
      <c r="Q119" s="1"/>
      <c r="R119" s="1"/>
      <c r="S119" s="1"/>
      <c r="T119" s="1"/>
      <c r="U119" s="1"/>
      <c r="V119" s="1"/>
      <c r="W119" s="1"/>
      <c r="X119" s="1"/>
    </row>
    <row r="120">
      <c r="A120" s="1"/>
      <c r="B120" s="1"/>
      <c r="C120" s="2"/>
      <c r="D120" s="1"/>
      <c r="E120" s="1"/>
      <c r="F120" s="1"/>
      <c r="G120" s="1"/>
      <c r="H120" s="2"/>
      <c r="I120" s="2"/>
      <c r="J120" s="1"/>
      <c r="K120" s="1"/>
      <c r="L120" s="1"/>
      <c r="M120" s="1"/>
      <c r="N120" s="1"/>
      <c r="O120" s="1"/>
      <c r="P120" s="1"/>
      <c r="Q120" s="1"/>
      <c r="R120" s="1"/>
      <c r="S120" s="1"/>
      <c r="T120" s="1"/>
      <c r="U120" s="1"/>
      <c r="V120" s="1"/>
      <c r="W120" s="1"/>
      <c r="X120" s="1"/>
    </row>
    <row r="121">
      <c r="A121" s="1"/>
      <c r="B121" s="1"/>
      <c r="C121" s="2"/>
      <c r="D121" s="1"/>
      <c r="E121" s="1"/>
      <c r="F121" s="1"/>
      <c r="G121" s="1"/>
      <c r="H121" s="2"/>
      <c r="I121" s="2"/>
      <c r="J121" s="1"/>
      <c r="K121" s="1"/>
      <c r="L121" s="1"/>
      <c r="M121" s="1"/>
      <c r="N121" s="1"/>
      <c r="O121" s="1"/>
      <c r="P121" s="1"/>
      <c r="Q121" s="1"/>
      <c r="R121" s="1"/>
      <c r="S121" s="1"/>
      <c r="T121" s="1"/>
      <c r="U121" s="1"/>
      <c r="V121" s="1"/>
      <c r="W121" s="1"/>
      <c r="X121" s="1"/>
    </row>
    <row r="122">
      <c r="A122" s="1"/>
      <c r="B122" s="1"/>
      <c r="C122" s="2"/>
      <c r="D122" s="1"/>
      <c r="E122" s="1"/>
      <c r="F122" s="1"/>
      <c r="G122" s="1"/>
      <c r="H122" s="2"/>
      <c r="I122" s="2"/>
      <c r="J122" s="1"/>
      <c r="K122" s="1"/>
      <c r="L122" s="1"/>
      <c r="M122" s="1"/>
      <c r="N122" s="1"/>
      <c r="O122" s="1"/>
      <c r="P122" s="1"/>
      <c r="Q122" s="1"/>
      <c r="R122" s="1"/>
      <c r="S122" s="1"/>
      <c r="T122" s="1"/>
      <c r="U122" s="1"/>
      <c r="V122" s="1"/>
      <c r="W122" s="1"/>
      <c r="X122" s="1"/>
    </row>
    <row r="123">
      <c r="A123" s="1"/>
      <c r="B123" s="1"/>
      <c r="C123" s="2"/>
      <c r="D123" s="1"/>
      <c r="E123" s="1"/>
      <c r="F123" s="1"/>
      <c r="G123" s="1"/>
      <c r="H123" s="2"/>
      <c r="I123" s="2"/>
      <c r="J123" s="1"/>
      <c r="K123" s="1"/>
      <c r="L123" s="1"/>
      <c r="M123" s="1"/>
      <c r="N123" s="1"/>
      <c r="O123" s="1"/>
      <c r="P123" s="1"/>
      <c r="Q123" s="1"/>
      <c r="R123" s="1"/>
      <c r="S123" s="1"/>
      <c r="T123" s="1"/>
      <c r="U123" s="1"/>
      <c r="V123" s="1"/>
      <c r="W123" s="1"/>
      <c r="X123" s="1"/>
    </row>
    <row r="124">
      <c r="A124" s="1"/>
      <c r="B124" s="1"/>
      <c r="C124" s="2"/>
      <c r="D124" s="1"/>
      <c r="E124" s="1"/>
      <c r="F124" s="1"/>
      <c r="G124" s="1"/>
      <c r="H124" s="2"/>
      <c r="I124" s="2"/>
      <c r="J124" s="1"/>
      <c r="K124" s="1"/>
      <c r="L124" s="1"/>
      <c r="M124" s="1"/>
      <c r="N124" s="1"/>
      <c r="O124" s="1"/>
      <c r="P124" s="1"/>
      <c r="Q124" s="1"/>
      <c r="R124" s="1"/>
      <c r="S124" s="1"/>
      <c r="T124" s="1"/>
      <c r="U124" s="1"/>
      <c r="V124" s="1"/>
      <c r="W124" s="1"/>
      <c r="X124" s="1"/>
    </row>
    <row r="125">
      <c r="A125" s="1"/>
      <c r="B125" s="1"/>
      <c r="C125" s="2"/>
      <c r="D125" s="1"/>
      <c r="E125" s="1"/>
      <c r="F125" s="1"/>
      <c r="G125" s="1"/>
      <c r="H125" s="2"/>
      <c r="I125" s="2"/>
      <c r="J125" s="1"/>
      <c r="K125" s="1"/>
      <c r="L125" s="1"/>
      <c r="M125" s="1"/>
      <c r="N125" s="1"/>
      <c r="O125" s="1"/>
      <c r="P125" s="1"/>
      <c r="Q125" s="1"/>
      <c r="R125" s="1"/>
      <c r="S125" s="1"/>
      <c r="T125" s="1"/>
      <c r="U125" s="1"/>
      <c r="V125" s="1"/>
      <c r="W125" s="1"/>
      <c r="X125" s="1"/>
    </row>
    <row r="126">
      <c r="A126" s="1"/>
      <c r="B126" s="1"/>
      <c r="C126" s="2"/>
      <c r="D126" s="1"/>
      <c r="E126" s="1"/>
      <c r="F126" s="1"/>
      <c r="G126" s="1"/>
      <c r="H126" s="2"/>
      <c r="I126" s="2"/>
      <c r="J126" s="1"/>
      <c r="K126" s="1"/>
      <c r="L126" s="1"/>
      <c r="M126" s="1"/>
      <c r="N126" s="1"/>
      <c r="O126" s="1"/>
      <c r="P126" s="1"/>
      <c r="Q126" s="1"/>
      <c r="R126" s="1"/>
      <c r="S126" s="1"/>
      <c r="T126" s="1"/>
      <c r="U126" s="1"/>
      <c r="V126" s="1"/>
      <c r="W126" s="1"/>
      <c r="X126" s="1"/>
    </row>
    <row r="127">
      <c r="A127" s="1"/>
      <c r="B127" s="1"/>
      <c r="C127" s="2"/>
      <c r="D127" s="1"/>
      <c r="E127" s="1"/>
      <c r="F127" s="1"/>
      <c r="G127" s="1"/>
      <c r="H127" s="2"/>
      <c r="I127" s="2"/>
      <c r="J127" s="1"/>
      <c r="K127" s="1"/>
      <c r="L127" s="1"/>
      <c r="M127" s="1"/>
      <c r="N127" s="1"/>
      <c r="O127" s="1"/>
      <c r="P127" s="1"/>
      <c r="Q127" s="1"/>
      <c r="R127" s="1"/>
      <c r="S127" s="1"/>
      <c r="T127" s="1"/>
      <c r="U127" s="1"/>
      <c r="V127" s="1"/>
      <c r="W127" s="1"/>
      <c r="X127" s="1"/>
    </row>
    <row r="128">
      <c r="A128" s="1"/>
      <c r="B128" s="1"/>
      <c r="C128" s="2"/>
      <c r="D128" s="1"/>
      <c r="E128" s="1"/>
      <c r="F128" s="1"/>
      <c r="G128" s="1"/>
      <c r="H128" s="2"/>
      <c r="I128" s="2"/>
      <c r="J128" s="1"/>
      <c r="K128" s="1"/>
      <c r="L128" s="1"/>
      <c r="M128" s="1"/>
      <c r="N128" s="1"/>
      <c r="O128" s="1"/>
      <c r="P128" s="1"/>
      <c r="Q128" s="1"/>
      <c r="R128" s="1"/>
      <c r="S128" s="1"/>
      <c r="T128" s="1"/>
      <c r="U128" s="1"/>
      <c r="V128" s="1"/>
      <c r="W128" s="1"/>
      <c r="X128" s="1"/>
    </row>
    <row r="129">
      <c r="A129" s="1"/>
      <c r="B129" s="1"/>
      <c r="C129" s="2"/>
      <c r="D129" s="1"/>
      <c r="E129" s="1"/>
      <c r="F129" s="1"/>
      <c r="G129" s="1"/>
      <c r="H129" s="2"/>
      <c r="I129" s="2"/>
      <c r="J129" s="1"/>
      <c r="K129" s="1"/>
      <c r="L129" s="1"/>
      <c r="M129" s="1"/>
      <c r="N129" s="1"/>
      <c r="O129" s="1"/>
      <c r="P129" s="1"/>
      <c r="Q129" s="1"/>
      <c r="R129" s="1"/>
      <c r="S129" s="1"/>
      <c r="T129" s="1"/>
      <c r="U129" s="1"/>
      <c r="V129" s="1"/>
      <c r="W129" s="1"/>
      <c r="X129" s="1"/>
    </row>
    <row r="130">
      <c r="A130" s="1"/>
      <c r="B130" s="1"/>
      <c r="C130" s="2"/>
      <c r="D130" s="1"/>
      <c r="E130" s="1"/>
      <c r="F130" s="1"/>
      <c r="G130" s="1"/>
      <c r="H130" s="2"/>
      <c r="I130" s="2"/>
      <c r="J130" s="1"/>
      <c r="K130" s="1"/>
      <c r="L130" s="1"/>
      <c r="M130" s="1"/>
      <c r="N130" s="1"/>
      <c r="O130" s="1"/>
      <c r="P130" s="1"/>
      <c r="Q130" s="1"/>
      <c r="R130" s="1"/>
      <c r="S130" s="1"/>
      <c r="T130" s="1"/>
      <c r="U130" s="1"/>
      <c r="V130" s="1"/>
      <c r="W130" s="1"/>
      <c r="X130" s="1"/>
    </row>
    <row r="131">
      <c r="A131" s="1"/>
      <c r="B131" s="1"/>
      <c r="C131" s="2"/>
      <c r="D131" s="1"/>
      <c r="E131" s="1"/>
      <c r="F131" s="1"/>
      <c r="G131" s="1"/>
      <c r="H131" s="2"/>
      <c r="I131" s="2"/>
      <c r="J131" s="1"/>
      <c r="K131" s="1"/>
      <c r="L131" s="1"/>
      <c r="M131" s="1"/>
      <c r="N131" s="1"/>
      <c r="O131" s="1"/>
      <c r="P131" s="1"/>
      <c r="Q131" s="1"/>
      <c r="R131" s="1"/>
      <c r="S131" s="1"/>
      <c r="T131" s="1"/>
      <c r="U131" s="1"/>
      <c r="V131" s="1"/>
      <c r="W131" s="1"/>
      <c r="X131" s="1"/>
    </row>
    <row r="132">
      <c r="A132" s="1"/>
      <c r="B132" s="1"/>
      <c r="C132" s="2"/>
      <c r="D132" s="1"/>
      <c r="E132" s="1"/>
      <c r="F132" s="1"/>
      <c r="G132" s="1"/>
      <c r="H132" s="2"/>
      <c r="I132" s="2"/>
      <c r="J132" s="1"/>
      <c r="K132" s="1"/>
      <c r="L132" s="1"/>
      <c r="M132" s="1"/>
      <c r="N132" s="1"/>
      <c r="O132" s="1"/>
      <c r="P132" s="1"/>
      <c r="Q132" s="1"/>
      <c r="R132" s="1"/>
      <c r="S132" s="1"/>
      <c r="T132" s="1"/>
      <c r="U132" s="1"/>
      <c r="V132" s="1"/>
      <c r="W132" s="1"/>
      <c r="X132" s="1"/>
    </row>
    <row r="133">
      <c r="A133" s="1"/>
      <c r="B133" s="1"/>
      <c r="C133" s="2"/>
      <c r="D133" s="1"/>
      <c r="E133" s="1"/>
      <c r="F133" s="1"/>
      <c r="G133" s="1"/>
      <c r="H133" s="2"/>
      <c r="I133" s="2"/>
      <c r="J133" s="1"/>
      <c r="K133" s="1"/>
      <c r="L133" s="1"/>
      <c r="M133" s="1"/>
      <c r="N133" s="1"/>
      <c r="O133" s="1"/>
      <c r="P133" s="1"/>
      <c r="Q133" s="1"/>
      <c r="R133" s="1"/>
      <c r="S133" s="1"/>
      <c r="T133" s="1"/>
      <c r="U133" s="1"/>
      <c r="V133" s="1"/>
      <c r="W133" s="1"/>
      <c r="X133" s="1"/>
    </row>
    <row r="134">
      <c r="A134" s="1"/>
      <c r="B134" s="1"/>
      <c r="C134" s="2"/>
      <c r="D134" s="1"/>
      <c r="E134" s="1"/>
      <c r="F134" s="1"/>
      <c r="G134" s="1"/>
      <c r="H134" s="2"/>
      <c r="I134" s="2"/>
      <c r="J134" s="1"/>
      <c r="K134" s="1"/>
      <c r="L134" s="1"/>
      <c r="M134" s="1"/>
      <c r="N134" s="1"/>
      <c r="O134" s="1"/>
      <c r="P134" s="1"/>
      <c r="Q134" s="1"/>
      <c r="R134" s="1"/>
      <c r="S134" s="1"/>
      <c r="T134" s="1"/>
      <c r="U134" s="1"/>
      <c r="V134" s="1"/>
      <c r="W134" s="1"/>
      <c r="X134" s="1"/>
    </row>
    <row r="135">
      <c r="A135" s="1"/>
      <c r="B135" s="1"/>
      <c r="C135" s="2"/>
      <c r="D135" s="1"/>
      <c r="E135" s="1"/>
      <c r="F135" s="1"/>
      <c r="G135" s="1"/>
      <c r="H135" s="2"/>
      <c r="I135" s="2"/>
      <c r="J135" s="1"/>
      <c r="K135" s="1"/>
      <c r="L135" s="1"/>
      <c r="M135" s="1"/>
      <c r="N135" s="1"/>
      <c r="O135" s="1"/>
      <c r="P135" s="1"/>
      <c r="Q135" s="1"/>
      <c r="R135" s="1"/>
      <c r="S135" s="1"/>
      <c r="T135" s="1"/>
      <c r="U135" s="1"/>
      <c r="V135" s="1"/>
      <c r="W135" s="1"/>
      <c r="X135" s="1"/>
    </row>
    <row r="136">
      <c r="A136" s="1"/>
      <c r="B136" s="1"/>
      <c r="C136" s="2"/>
      <c r="D136" s="1"/>
      <c r="E136" s="1"/>
      <c r="F136" s="1"/>
      <c r="G136" s="1"/>
      <c r="H136" s="2"/>
      <c r="I136" s="2"/>
      <c r="J136" s="1"/>
      <c r="K136" s="1"/>
      <c r="L136" s="1"/>
      <c r="M136" s="1"/>
      <c r="N136" s="1"/>
      <c r="O136" s="1"/>
      <c r="P136" s="1"/>
      <c r="Q136" s="1"/>
      <c r="R136" s="1"/>
      <c r="S136" s="1"/>
      <c r="T136" s="1"/>
      <c r="U136" s="1"/>
      <c r="V136" s="1"/>
      <c r="W136" s="1"/>
      <c r="X136" s="1"/>
    </row>
    <row r="137">
      <c r="A137" s="1"/>
      <c r="B137" s="1"/>
      <c r="C137" s="2"/>
      <c r="D137" s="1"/>
      <c r="E137" s="1"/>
      <c r="F137" s="1"/>
      <c r="G137" s="1"/>
      <c r="H137" s="2"/>
      <c r="I137" s="2"/>
      <c r="J137" s="1"/>
      <c r="K137" s="1"/>
      <c r="L137" s="1"/>
      <c r="M137" s="1"/>
      <c r="N137" s="1"/>
      <c r="O137" s="1"/>
      <c r="P137" s="1"/>
      <c r="Q137" s="1"/>
      <c r="R137" s="1"/>
      <c r="S137" s="1"/>
      <c r="T137" s="1"/>
      <c r="U137" s="1"/>
      <c r="V137" s="1"/>
      <c r="W137" s="1"/>
      <c r="X137" s="1"/>
    </row>
    <row r="138">
      <c r="A138" s="1"/>
      <c r="B138" s="1"/>
      <c r="C138" s="2"/>
      <c r="D138" s="1"/>
      <c r="E138" s="1"/>
      <c r="F138" s="1"/>
      <c r="G138" s="1"/>
      <c r="H138" s="2"/>
      <c r="I138" s="2"/>
      <c r="J138" s="1"/>
      <c r="K138" s="1"/>
      <c r="L138" s="1"/>
      <c r="M138" s="1"/>
      <c r="N138" s="1"/>
      <c r="O138" s="1"/>
      <c r="P138" s="1"/>
      <c r="Q138" s="1"/>
      <c r="R138" s="1"/>
      <c r="S138" s="1"/>
      <c r="T138" s="1"/>
      <c r="U138" s="1"/>
      <c r="V138" s="1"/>
      <c r="W138" s="1"/>
      <c r="X138" s="1"/>
    </row>
    <row r="139">
      <c r="A139" s="1"/>
      <c r="B139" s="1"/>
      <c r="C139" s="2"/>
      <c r="D139" s="1"/>
      <c r="E139" s="1"/>
      <c r="F139" s="1"/>
      <c r="G139" s="1"/>
      <c r="H139" s="2"/>
      <c r="I139" s="2"/>
      <c r="J139" s="1"/>
      <c r="K139" s="1"/>
      <c r="L139" s="1"/>
      <c r="M139" s="1"/>
      <c r="N139" s="1"/>
      <c r="O139" s="1"/>
      <c r="P139" s="1"/>
      <c r="Q139" s="1"/>
      <c r="R139" s="1"/>
      <c r="S139" s="1"/>
      <c r="T139" s="1"/>
      <c r="U139" s="1"/>
      <c r="V139" s="1"/>
      <c r="W139" s="1"/>
      <c r="X139" s="1"/>
    </row>
    <row r="140">
      <c r="A140" s="1"/>
      <c r="B140" s="1"/>
      <c r="C140" s="2"/>
      <c r="D140" s="1"/>
      <c r="E140" s="1"/>
      <c r="F140" s="1"/>
      <c r="G140" s="1"/>
      <c r="H140" s="2"/>
      <c r="I140" s="2"/>
      <c r="J140" s="1"/>
      <c r="K140" s="1"/>
      <c r="L140" s="1"/>
      <c r="M140" s="1"/>
      <c r="N140" s="1"/>
      <c r="O140" s="1"/>
      <c r="P140" s="1"/>
      <c r="Q140" s="1"/>
      <c r="R140" s="1"/>
      <c r="S140" s="1"/>
      <c r="T140" s="1"/>
      <c r="U140" s="1"/>
      <c r="V140" s="1"/>
      <c r="W140" s="1"/>
      <c r="X140" s="1"/>
    </row>
    <row r="141">
      <c r="A141" s="1"/>
      <c r="B141" s="1"/>
      <c r="C141" s="2"/>
      <c r="D141" s="1"/>
      <c r="E141" s="1"/>
      <c r="F141" s="1"/>
      <c r="G141" s="1"/>
      <c r="H141" s="2"/>
      <c r="I141" s="2"/>
      <c r="J141" s="1"/>
      <c r="K141" s="1"/>
      <c r="L141" s="1"/>
      <c r="M141" s="1"/>
      <c r="N141" s="1"/>
      <c r="O141" s="1"/>
      <c r="P141" s="1"/>
      <c r="Q141" s="1"/>
      <c r="R141" s="1"/>
      <c r="S141" s="1"/>
      <c r="T141" s="1"/>
      <c r="U141" s="1"/>
      <c r="V141" s="1"/>
      <c r="W141" s="1"/>
      <c r="X141" s="1"/>
    </row>
    <row r="142">
      <c r="A142" s="1"/>
      <c r="B142" s="1"/>
      <c r="C142" s="2"/>
      <c r="D142" s="1"/>
      <c r="E142" s="1"/>
      <c r="F142" s="1"/>
      <c r="G142" s="1"/>
      <c r="H142" s="2"/>
      <c r="I142" s="2"/>
      <c r="J142" s="1"/>
      <c r="K142" s="1"/>
      <c r="L142" s="1"/>
      <c r="M142" s="1"/>
      <c r="N142" s="1"/>
      <c r="O142" s="1"/>
      <c r="P142" s="1"/>
      <c r="Q142" s="1"/>
      <c r="R142" s="1"/>
      <c r="S142" s="1"/>
      <c r="T142" s="1"/>
      <c r="U142" s="1"/>
      <c r="V142" s="1"/>
      <c r="W142" s="1"/>
      <c r="X142" s="1"/>
    </row>
    <row r="143">
      <c r="A143" s="1"/>
      <c r="B143" s="1"/>
      <c r="C143" s="2"/>
      <c r="D143" s="1"/>
      <c r="E143" s="1"/>
      <c r="F143" s="1"/>
      <c r="G143" s="1"/>
      <c r="H143" s="2"/>
      <c r="I143" s="2"/>
      <c r="J143" s="1"/>
      <c r="K143" s="1"/>
      <c r="L143" s="1"/>
      <c r="M143" s="1"/>
      <c r="N143" s="1"/>
      <c r="O143" s="1"/>
      <c r="P143" s="1"/>
      <c r="Q143" s="1"/>
      <c r="R143" s="1"/>
      <c r="S143" s="1"/>
      <c r="T143" s="1"/>
      <c r="U143" s="1"/>
      <c r="V143" s="1"/>
      <c r="W143" s="1"/>
      <c r="X143" s="1"/>
    </row>
    <row r="144">
      <c r="A144" s="1"/>
      <c r="B144" s="1"/>
      <c r="C144" s="2"/>
      <c r="D144" s="1"/>
      <c r="E144" s="1"/>
      <c r="F144" s="1"/>
      <c r="G144" s="1"/>
      <c r="H144" s="2"/>
      <c r="I144" s="2"/>
      <c r="J144" s="1"/>
      <c r="K144" s="1"/>
      <c r="L144" s="1"/>
      <c r="M144" s="1"/>
      <c r="N144" s="1"/>
      <c r="O144" s="1"/>
      <c r="P144" s="1"/>
      <c r="Q144" s="1"/>
      <c r="R144" s="1"/>
      <c r="S144" s="1"/>
      <c r="T144" s="1"/>
      <c r="U144" s="1"/>
      <c r="V144" s="1"/>
      <c r="W144" s="1"/>
      <c r="X144" s="1"/>
    </row>
    <row r="145">
      <c r="A145" s="1"/>
      <c r="B145" s="1"/>
      <c r="C145" s="2"/>
      <c r="D145" s="1"/>
      <c r="E145" s="1"/>
      <c r="F145" s="1"/>
      <c r="G145" s="1"/>
      <c r="H145" s="2"/>
      <c r="I145" s="2"/>
      <c r="J145" s="1"/>
      <c r="K145" s="1"/>
      <c r="L145" s="1"/>
      <c r="M145" s="1"/>
      <c r="N145" s="1"/>
      <c r="O145" s="1"/>
      <c r="P145" s="1"/>
      <c r="Q145" s="1"/>
      <c r="R145" s="1"/>
      <c r="S145" s="1"/>
      <c r="T145" s="1"/>
      <c r="U145" s="1"/>
      <c r="V145" s="1"/>
      <c r="W145" s="1"/>
      <c r="X145" s="1"/>
    </row>
    <row r="146">
      <c r="A146" s="1"/>
      <c r="B146" s="1"/>
      <c r="C146" s="2"/>
      <c r="D146" s="1"/>
      <c r="E146" s="1"/>
      <c r="F146" s="1"/>
      <c r="G146" s="1"/>
      <c r="H146" s="2"/>
      <c r="I146" s="2"/>
      <c r="J146" s="1"/>
      <c r="K146" s="1"/>
      <c r="L146" s="1"/>
      <c r="M146" s="1"/>
      <c r="N146" s="1"/>
      <c r="O146" s="1"/>
      <c r="P146" s="1"/>
      <c r="Q146" s="1"/>
      <c r="R146" s="1"/>
      <c r="S146" s="1"/>
      <c r="T146" s="1"/>
      <c r="U146" s="1"/>
      <c r="V146" s="1"/>
      <c r="W146" s="1"/>
      <c r="X146" s="1"/>
    </row>
    <row r="147">
      <c r="A147" s="1"/>
      <c r="B147" s="1"/>
      <c r="C147" s="2"/>
      <c r="D147" s="1"/>
      <c r="E147" s="1"/>
      <c r="F147" s="1"/>
      <c r="G147" s="1"/>
      <c r="H147" s="2"/>
      <c r="I147" s="2"/>
      <c r="J147" s="1"/>
      <c r="K147" s="1"/>
      <c r="L147" s="1"/>
      <c r="M147" s="1"/>
      <c r="N147" s="1"/>
      <c r="O147" s="1"/>
      <c r="P147" s="1"/>
      <c r="Q147" s="1"/>
      <c r="R147" s="1"/>
      <c r="S147" s="1"/>
      <c r="T147" s="1"/>
      <c r="U147" s="1"/>
      <c r="V147" s="1"/>
      <c r="W147" s="1"/>
      <c r="X147" s="1"/>
    </row>
    <row r="148">
      <c r="A148" s="1"/>
      <c r="B148" s="1"/>
      <c r="C148" s="2"/>
      <c r="D148" s="1"/>
      <c r="E148" s="1"/>
      <c r="F148" s="1"/>
      <c r="G148" s="1"/>
      <c r="H148" s="2"/>
      <c r="I148" s="2"/>
      <c r="J148" s="1"/>
      <c r="K148" s="1"/>
      <c r="L148" s="1"/>
      <c r="M148" s="1"/>
      <c r="N148" s="1"/>
      <c r="O148" s="1"/>
      <c r="P148" s="1"/>
      <c r="Q148" s="1"/>
      <c r="R148" s="1"/>
      <c r="S148" s="1"/>
      <c r="T148" s="1"/>
      <c r="U148" s="1"/>
      <c r="V148" s="1"/>
      <c r="W148" s="1"/>
      <c r="X148" s="1"/>
    </row>
    <row r="149">
      <c r="A149" s="1"/>
      <c r="B149" s="1"/>
      <c r="C149" s="2"/>
      <c r="D149" s="1"/>
      <c r="E149" s="1"/>
      <c r="F149" s="1"/>
      <c r="G149" s="1"/>
      <c r="H149" s="2"/>
      <c r="I149" s="2"/>
      <c r="J149" s="1"/>
      <c r="K149" s="1"/>
      <c r="L149" s="1"/>
      <c r="M149" s="1"/>
      <c r="N149" s="1"/>
      <c r="O149" s="1"/>
      <c r="P149" s="1"/>
      <c r="Q149" s="1"/>
      <c r="R149" s="1"/>
      <c r="S149" s="1"/>
      <c r="T149" s="1"/>
      <c r="U149" s="1"/>
      <c r="V149" s="1"/>
      <c r="W149" s="1"/>
      <c r="X149" s="1"/>
    </row>
    <row r="150">
      <c r="A150" s="1"/>
      <c r="B150" s="1"/>
      <c r="C150" s="2"/>
      <c r="D150" s="1"/>
      <c r="E150" s="1"/>
      <c r="F150" s="1"/>
      <c r="G150" s="1"/>
      <c r="H150" s="2"/>
      <c r="I150" s="2"/>
      <c r="J150" s="1"/>
      <c r="K150" s="1"/>
      <c r="L150" s="1"/>
      <c r="M150" s="1"/>
      <c r="N150" s="1"/>
      <c r="O150" s="1"/>
      <c r="P150" s="1"/>
      <c r="Q150" s="1"/>
      <c r="R150" s="1"/>
      <c r="S150" s="1"/>
      <c r="T150" s="1"/>
      <c r="U150" s="1"/>
      <c r="V150" s="1"/>
      <c r="W150" s="1"/>
      <c r="X150" s="1"/>
    </row>
    <row r="151">
      <c r="A151" s="1"/>
      <c r="B151" s="1"/>
      <c r="C151" s="2"/>
      <c r="D151" s="1"/>
      <c r="E151" s="1"/>
      <c r="F151" s="1"/>
      <c r="G151" s="1"/>
      <c r="H151" s="2"/>
      <c r="I151" s="2"/>
      <c r="J151" s="1"/>
      <c r="K151" s="1"/>
      <c r="L151" s="1"/>
      <c r="M151" s="1"/>
      <c r="N151" s="1"/>
      <c r="O151" s="1"/>
      <c r="P151" s="1"/>
      <c r="Q151" s="1"/>
      <c r="R151" s="1"/>
      <c r="S151" s="1"/>
      <c r="T151" s="1"/>
      <c r="U151" s="1"/>
      <c r="V151" s="1"/>
      <c r="W151" s="1"/>
      <c r="X151" s="1"/>
    </row>
    <row r="152">
      <c r="A152" s="1"/>
      <c r="B152" s="1"/>
      <c r="C152" s="2"/>
      <c r="D152" s="1"/>
      <c r="E152" s="1"/>
      <c r="F152" s="1"/>
      <c r="G152" s="1"/>
      <c r="H152" s="2"/>
      <c r="I152" s="2"/>
      <c r="J152" s="1"/>
      <c r="K152" s="1"/>
      <c r="L152" s="1"/>
      <c r="M152" s="1"/>
      <c r="N152" s="1"/>
      <c r="O152" s="1"/>
      <c r="P152" s="1"/>
      <c r="Q152" s="1"/>
      <c r="R152" s="1"/>
      <c r="S152" s="1"/>
      <c r="T152" s="1"/>
      <c r="U152" s="1"/>
      <c r="V152" s="1"/>
      <c r="W152" s="1"/>
      <c r="X152" s="1"/>
    </row>
    <row r="153">
      <c r="A153" s="1"/>
      <c r="B153" s="1"/>
      <c r="C153" s="2"/>
      <c r="D153" s="1"/>
      <c r="E153" s="1"/>
      <c r="F153" s="1"/>
      <c r="G153" s="1"/>
      <c r="H153" s="2"/>
      <c r="I153" s="2"/>
      <c r="J153" s="1"/>
      <c r="K153" s="1"/>
      <c r="L153" s="1"/>
      <c r="M153" s="1"/>
      <c r="N153" s="1"/>
      <c r="O153" s="1"/>
      <c r="P153" s="1"/>
      <c r="Q153" s="1"/>
      <c r="R153" s="1"/>
      <c r="S153" s="1"/>
      <c r="T153" s="1"/>
      <c r="U153" s="1"/>
      <c r="V153" s="1"/>
      <c r="W153" s="1"/>
      <c r="X153" s="1"/>
    </row>
    <row r="154">
      <c r="A154" s="1"/>
      <c r="B154" s="1"/>
      <c r="C154" s="2"/>
      <c r="D154" s="1"/>
      <c r="E154" s="1"/>
      <c r="F154" s="1"/>
      <c r="G154" s="1"/>
      <c r="H154" s="2"/>
      <c r="I154" s="2"/>
      <c r="J154" s="1"/>
      <c r="K154" s="1"/>
      <c r="L154" s="1"/>
      <c r="M154" s="1"/>
      <c r="N154" s="1"/>
      <c r="O154" s="1"/>
      <c r="P154" s="1"/>
      <c r="Q154" s="1"/>
      <c r="R154" s="1"/>
      <c r="S154" s="1"/>
      <c r="T154" s="1"/>
      <c r="U154" s="1"/>
      <c r="V154" s="1"/>
      <c r="W154" s="1"/>
      <c r="X154" s="1"/>
    </row>
    <row r="155">
      <c r="A155" s="1"/>
      <c r="B155" s="1"/>
      <c r="C155" s="2"/>
      <c r="D155" s="1"/>
      <c r="E155" s="1"/>
      <c r="F155" s="1"/>
      <c r="G155" s="1"/>
      <c r="H155" s="2"/>
      <c r="I155" s="2"/>
      <c r="J155" s="1"/>
      <c r="K155" s="1"/>
      <c r="L155" s="1"/>
      <c r="M155" s="1"/>
      <c r="N155" s="1"/>
      <c r="O155" s="1"/>
      <c r="P155" s="1"/>
      <c r="Q155" s="1"/>
      <c r="R155" s="1"/>
      <c r="S155" s="1"/>
      <c r="T155" s="1"/>
      <c r="U155" s="1"/>
      <c r="V155" s="1"/>
      <c r="W155" s="1"/>
      <c r="X155" s="1"/>
    </row>
    <row r="156">
      <c r="A156" s="1"/>
      <c r="B156" s="1"/>
      <c r="C156" s="2"/>
      <c r="D156" s="1"/>
      <c r="E156" s="1"/>
      <c r="F156" s="1"/>
      <c r="G156" s="1"/>
      <c r="H156" s="2"/>
      <c r="I156" s="2"/>
      <c r="J156" s="1"/>
      <c r="K156" s="1"/>
      <c r="L156" s="1"/>
      <c r="M156" s="1"/>
      <c r="N156" s="1"/>
      <c r="O156" s="1"/>
      <c r="P156" s="1"/>
      <c r="Q156" s="1"/>
      <c r="R156" s="1"/>
      <c r="S156" s="1"/>
      <c r="T156" s="1"/>
      <c r="U156" s="1"/>
      <c r="V156" s="1"/>
      <c r="W156" s="1"/>
      <c r="X156" s="1"/>
    </row>
    <row r="157">
      <c r="A157" s="1"/>
      <c r="B157" s="1"/>
      <c r="C157" s="2"/>
      <c r="D157" s="1"/>
      <c r="E157" s="1"/>
      <c r="F157" s="1"/>
      <c r="G157" s="1"/>
      <c r="H157" s="2"/>
      <c r="I157" s="2"/>
      <c r="J157" s="1"/>
      <c r="K157" s="1"/>
      <c r="L157" s="1"/>
      <c r="M157" s="1"/>
      <c r="N157" s="1"/>
      <c r="O157" s="1"/>
      <c r="P157" s="1"/>
      <c r="Q157" s="1"/>
      <c r="R157" s="1"/>
      <c r="S157" s="1"/>
      <c r="T157" s="1"/>
      <c r="U157" s="1"/>
      <c r="V157" s="1"/>
      <c r="W157" s="1"/>
      <c r="X157" s="1"/>
    </row>
    <row r="158">
      <c r="A158" s="1"/>
      <c r="B158" s="1"/>
      <c r="C158" s="2"/>
      <c r="D158" s="1"/>
      <c r="E158" s="1"/>
      <c r="F158" s="1"/>
      <c r="G158" s="1"/>
      <c r="H158" s="2"/>
      <c r="I158" s="2"/>
      <c r="J158" s="1"/>
      <c r="K158" s="1"/>
      <c r="L158" s="1"/>
      <c r="M158" s="1"/>
      <c r="N158" s="1"/>
      <c r="O158" s="1"/>
      <c r="P158" s="1"/>
      <c r="Q158" s="1"/>
      <c r="R158" s="1"/>
      <c r="S158" s="1"/>
      <c r="T158" s="1"/>
      <c r="U158" s="1"/>
      <c r="V158" s="1"/>
      <c r="W158" s="1"/>
      <c r="X158" s="1"/>
    </row>
    <row r="159">
      <c r="A159" s="1"/>
      <c r="B159" s="1"/>
      <c r="C159" s="2"/>
      <c r="D159" s="1"/>
      <c r="E159" s="1"/>
      <c r="F159" s="1"/>
      <c r="G159" s="1"/>
      <c r="H159" s="2"/>
      <c r="I159" s="2"/>
      <c r="J159" s="1"/>
      <c r="K159" s="1"/>
      <c r="L159" s="1"/>
      <c r="M159" s="1"/>
      <c r="N159" s="1"/>
      <c r="O159" s="1"/>
      <c r="P159" s="1"/>
      <c r="Q159" s="1"/>
      <c r="R159" s="1"/>
      <c r="S159" s="1"/>
      <c r="T159" s="1"/>
      <c r="U159" s="1"/>
      <c r="V159" s="1"/>
      <c r="W159" s="1"/>
      <c r="X159" s="1"/>
    </row>
    <row r="160">
      <c r="A160" s="1"/>
      <c r="B160" s="1"/>
      <c r="C160" s="2"/>
      <c r="D160" s="1"/>
      <c r="E160" s="1"/>
      <c r="F160" s="1"/>
      <c r="G160" s="1"/>
      <c r="H160" s="2"/>
      <c r="I160" s="2"/>
      <c r="J160" s="1"/>
      <c r="K160" s="1"/>
      <c r="L160" s="1"/>
      <c r="M160" s="1"/>
      <c r="N160" s="1"/>
      <c r="O160" s="1"/>
      <c r="P160" s="1"/>
      <c r="Q160" s="1"/>
      <c r="R160" s="1"/>
      <c r="S160" s="1"/>
      <c r="T160" s="1"/>
      <c r="U160" s="1"/>
      <c r="V160" s="1"/>
      <c r="W160" s="1"/>
      <c r="X160" s="1"/>
    </row>
    <row r="161">
      <c r="A161" s="1"/>
      <c r="B161" s="1"/>
      <c r="C161" s="2"/>
      <c r="D161" s="1"/>
      <c r="E161" s="1"/>
      <c r="F161" s="1"/>
      <c r="G161" s="1"/>
      <c r="H161" s="2"/>
      <c r="I161" s="2"/>
      <c r="J161" s="1"/>
      <c r="K161" s="1"/>
      <c r="L161" s="1"/>
      <c r="M161" s="1"/>
      <c r="N161" s="1"/>
      <c r="O161" s="1"/>
      <c r="P161" s="1"/>
      <c r="Q161" s="1"/>
      <c r="R161" s="1"/>
      <c r="S161" s="1"/>
      <c r="T161" s="1"/>
      <c r="U161" s="1"/>
      <c r="V161" s="1"/>
      <c r="W161" s="1"/>
      <c r="X161" s="1"/>
    </row>
    <row r="162">
      <c r="A162" s="1"/>
      <c r="B162" s="1"/>
      <c r="C162" s="2"/>
      <c r="D162" s="1"/>
      <c r="E162" s="1"/>
      <c r="F162" s="1"/>
      <c r="G162" s="1"/>
      <c r="H162" s="2"/>
      <c r="I162" s="2"/>
      <c r="J162" s="1"/>
      <c r="K162" s="1"/>
      <c r="L162" s="1"/>
      <c r="M162" s="1"/>
      <c r="N162" s="1"/>
      <c r="O162" s="1"/>
      <c r="P162" s="1"/>
      <c r="Q162" s="1"/>
      <c r="R162" s="1"/>
      <c r="S162" s="1"/>
      <c r="T162" s="1"/>
      <c r="U162" s="1"/>
      <c r="V162" s="1"/>
      <c r="W162" s="1"/>
      <c r="X162" s="1"/>
    </row>
    <row r="163">
      <c r="A163" s="1"/>
      <c r="B163" s="1"/>
      <c r="C163" s="2"/>
      <c r="D163" s="1"/>
      <c r="E163" s="1"/>
      <c r="F163" s="1"/>
      <c r="G163" s="1"/>
      <c r="H163" s="2"/>
      <c r="I163" s="2"/>
      <c r="J163" s="1"/>
      <c r="K163" s="1"/>
      <c r="L163" s="1"/>
      <c r="M163" s="1"/>
      <c r="N163" s="1"/>
      <c r="O163" s="1"/>
      <c r="P163" s="1"/>
      <c r="Q163" s="1"/>
      <c r="R163" s="1"/>
      <c r="S163" s="1"/>
      <c r="T163" s="1"/>
      <c r="U163" s="1"/>
      <c r="V163" s="1"/>
      <c r="W163" s="1"/>
      <c r="X163" s="1"/>
    </row>
    <row r="164">
      <c r="A164" s="1"/>
      <c r="B164" s="1"/>
      <c r="C164" s="2"/>
      <c r="D164" s="1"/>
      <c r="E164" s="1"/>
      <c r="F164" s="1"/>
      <c r="G164" s="1"/>
      <c r="H164" s="2"/>
      <c r="I164" s="2"/>
      <c r="J164" s="1"/>
      <c r="K164" s="1"/>
      <c r="L164" s="1"/>
      <c r="M164" s="1"/>
      <c r="N164" s="1"/>
      <c r="O164" s="1"/>
      <c r="P164" s="1"/>
      <c r="Q164" s="1"/>
      <c r="R164" s="1"/>
      <c r="S164" s="1"/>
      <c r="T164" s="1"/>
      <c r="U164" s="1"/>
      <c r="V164" s="1"/>
      <c r="W164" s="1"/>
      <c r="X164" s="1"/>
    </row>
    <row r="165">
      <c r="A165" s="1"/>
      <c r="B165" s="1"/>
      <c r="C165" s="2"/>
      <c r="D165" s="1"/>
      <c r="E165" s="1"/>
      <c r="F165" s="1"/>
      <c r="G165" s="1"/>
      <c r="H165" s="2"/>
      <c r="I165" s="2"/>
      <c r="J165" s="1"/>
      <c r="K165" s="1"/>
      <c r="L165" s="1"/>
      <c r="M165" s="1"/>
      <c r="N165" s="1"/>
      <c r="O165" s="1"/>
      <c r="P165" s="1"/>
      <c r="Q165" s="1"/>
      <c r="R165" s="1"/>
      <c r="S165" s="1"/>
      <c r="T165" s="1"/>
      <c r="U165" s="1"/>
      <c r="V165" s="1"/>
      <c r="W165" s="1"/>
      <c r="X165" s="1"/>
    </row>
    <row r="166">
      <c r="A166" s="1"/>
      <c r="B166" s="1"/>
      <c r="C166" s="2"/>
      <c r="D166" s="1"/>
      <c r="E166" s="1"/>
      <c r="F166" s="1"/>
      <c r="G166" s="1"/>
      <c r="H166" s="2"/>
      <c r="I166" s="2"/>
      <c r="J166" s="1"/>
      <c r="K166" s="1"/>
      <c r="L166" s="1"/>
      <c r="M166" s="1"/>
      <c r="N166" s="1"/>
      <c r="O166" s="1"/>
      <c r="P166" s="1"/>
      <c r="Q166" s="1"/>
      <c r="R166" s="1"/>
      <c r="S166" s="1"/>
      <c r="T166" s="1"/>
      <c r="U166" s="1"/>
      <c r="V166" s="1"/>
      <c r="W166" s="1"/>
      <c r="X166" s="1"/>
    </row>
    <row r="167">
      <c r="A167" s="1"/>
      <c r="B167" s="1"/>
      <c r="C167" s="2"/>
      <c r="D167" s="1"/>
      <c r="E167" s="1"/>
      <c r="F167" s="1"/>
      <c r="G167" s="1"/>
      <c r="H167" s="2"/>
      <c r="I167" s="2"/>
      <c r="J167" s="1"/>
      <c r="K167" s="1"/>
      <c r="L167" s="1"/>
      <c r="M167" s="1"/>
      <c r="N167" s="1"/>
      <c r="O167" s="1"/>
      <c r="P167" s="1"/>
      <c r="Q167" s="1"/>
      <c r="R167" s="1"/>
      <c r="S167" s="1"/>
      <c r="T167" s="1"/>
      <c r="U167" s="1"/>
      <c r="V167" s="1"/>
      <c r="W167" s="1"/>
      <c r="X167" s="1"/>
    </row>
    <row r="168">
      <c r="A168" s="1"/>
      <c r="B168" s="1"/>
      <c r="C168" s="2"/>
      <c r="D168" s="1"/>
      <c r="E168" s="1"/>
      <c r="F168" s="1"/>
      <c r="G168" s="1"/>
      <c r="H168" s="2"/>
      <c r="I168" s="2"/>
      <c r="J168" s="1"/>
      <c r="K168" s="1"/>
      <c r="L168" s="1"/>
      <c r="M168" s="1"/>
      <c r="N168" s="1"/>
      <c r="O168" s="1"/>
      <c r="P168" s="1"/>
      <c r="Q168" s="1"/>
      <c r="R168" s="1"/>
      <c r="S168" s="1"/>
      <c r="T168" s="1"/>
      <c r="U168" s="1"/>
      <c r="V168" s="1"/>
      <c r="W168" s="1"/>
      <c r="X168" s="1"/>
    </row>
    <row r="169">
      <c r="A169" s="1"/>
      <c r="B169" s="1"/>
      <c r="C169" s="2"/>
      <c r="D169" s="1"/>
      <c r="E169" s="1"/>
      <c r="F169" s="1"/>
      <c r="G169" s="1"/>
      <c r="H169" s="2"/>
      <c r="I169" s="2"/>
      <c r="J169" s="1"/>
      <c r="K169" s="1"/>
      <c r="L169" s="1"/>
      <c r="M169" s="1"/>
      <c r="N169" s="1"/>
      <c r="O169" s="1"/>
      <c r="P169" s="1"/>
      <c r="Q169" s="1"/>
      <c r="R169" s="1"/>
      <c r="S169" s="1"/>
      <c r="T169" s="1"/>
      <c r="U169" s="1"/>
      <c r="V169" s="1"/>
      <c r="W169" s="1"/>
      <c r="X169" s="1"/>
    </row>
    <row r="170">
      <c r="A170" s="1"/>
      <c r="B170" s="1"/>
      <c r="C170" s="2"/>
      <c r="D170" s="1"/>
      <c r="E170" s="1"/>
      <c r="F170" s="1"/>
      <c r="G170" s="1"/>
      <c r="H170" s="2"/>
      <c r="I170" s="2"/>
      <c r="J170" s="1"/>
      <c r="K170" s="1"/>
      <c r="L170" s="1"/>
      <c r="M170" s="1"/>
      <c r="N170" s="1"/>
      <c r="O170" s="1"/>
      <c r="P170" s="1"/>
      <c r="Q170" s="1"/>
      <c r="R170" s="1"/>
      <c r="S170" s="1"/>
      <c r="T170" s="1"/>
      <c r="U170" s="1"/>
      <c r="V170" s="1"/>
      <c r="W170" s="1"/>
      <c r="X170" s="1"/>
    </row>
    <row r="171">
      <c r="A171" s="1"/>
      <c r="B171" s="1"/>
      <c r="C171" s="2"/>
      <c r="D171" s="1"/>
      <c r="E171" s="1"/>
      <c r="F171" s="1"/>
      <c r="G171" s="1"/>
      <c r="H171" s="2"/>
      <c r="I171" s="2"/>
      <c r="J171" s="1"/>
      <c r="K171" s="1"/>
      <c r="L171" s="1"/>
      <c r="M171" s="1"/>
      <c r="N171" s="1"/>
      <c r="O171" s="1"/>
      <c r="P171" s="1"/>
      <c r="Q171" s="1"/>
      <c r="R171" s="1"/>
      <c r="S171" s="1"/>
      <c r="T171" s="1"/>
      <c r="U171" s="1"/>
      <c r="V171" s="1"/>
      <c r="W171" s="1"/>
      <c r="X171" s="1"/>
    </row>
    <row r="172">
      <c r="A172" s="1"/>
      <c r="B172" s="1"/>
      <c r="C172" s="2"/>
      <c r="D172" s="1"/>
      <c r="E172" s="1"/>
      <c r="F172" s="1"/>
      <c r="G172" s="1"/>
      <c r="H172" s="2"/>
      <c r="I172" s="2"/>
      <c r="J172" s="1"/>
      <c r="K172" s="1"/>
      <c r="L172" s="1"/>
      <c r="M172" s="1"/>
      <c r="N172" s="1"/>
      <c r="O172" s="1"/>
      <c r="P172" s="1"/>
      <c r="Q172" s="1"/>
      <c r="R172" s="1"/>
      <c r="S172" s="1"/>
      <c r="T172" s="1"/>
      <c r="U172" s="1"/>
      <c r="V172" s="1"/>
      <c r="W172" s="1"/>
      <c r="X172" s="1"/>
    </row>
    <row r="173">
      <c r="A173" s="1"/>
      <c r="B173" s="1"/>
      <c r="C173" s="2"/>
      <c r="D173" s="1"/>
      <c r="E173" s="1"/>
      <c r="F173" s="1"/>
      <c r="G173" s="1"/>
      <c r="H173" s="2"/>
      <c r="I173" s="2"/>
      <c r="J173" s="1"/>
      <c r="K173" s="1"/>
      <c r="L173" s="1"/>
      <c r="M173" s="1"/>
      <c r="N173" s="1"/>
      <c r="O173" s="1"/>
      <c r="P173" s="1"/>
      <c r="Q173" s="1"/>
      <c r="R173" s="1"/>
      <c r="S173" s="1"/>
      <c r="T173" s="1"/>
      <c r="U173" s="1"/>
      <c r="V173" s="1"/>
      <c r="W173" s="1"/>
      <c r="X173" s="1"/>
    </row>
    <row r="174">
      <c r="A174" s="1"/>
      <c r="B174" s="1"/>
      <c r="C174" s="2"/>
      <c r="D174" s="1"/>
      <c r="E174" s="1"/>
      <c r="F174" s="1"/>
      <c r="G174" s="1"/>
      <c r="H174" s="2"/>
      <c r="I174" s="2"/>
      <c r="J174" s="1"/>
      <c r="K174" s="1"/>
      <c r="L174" s="1"/>
      <c r="M174" s="1"/>
      <c r="N174" s="1"/>
      <c r="O174" s="1"/>
      <c r="P174" s="1"/>
      <c r="Q174" s="1"/>
      <c r="R174" s="1"/>
      <c r="S174" s="1"/>
      <c r="T174" s="1"/>
      <c r="U174" s="1"/>
      <c r="V174" s="1"/>
      <c r="W174" s="1"/>
      <c r="X174" s="1"/>
    </row>
    <row r="175">
      <c r="A175" s="1"/>
      <c r="B175" s="1"/>
      <c r="C175" s="2"/>
      <c r="D175" s="1"/>
      <c r="E175" s="1"/>
      <c r="F175" s="1"/>
      <c r="G175" s="1"/>
      <c r="H175" s="2"/>
      <c r="I175" s="2"/>
      <c r="J175" s="1"/>
      <c r="K175" s="1"/>
      <c r="L175" s="1"/>
      <c r="M175" s="1"/>
      <c r="N175" s="1"/>
      <c r="O175" s="1"/>
      <c r="P175" s="1"/>
      <c r="Q175" s="1"/>
      <c r="R175" s="1"/>
      <c r="S175" s="1"/>
      <c r="T175" s="1"/>
      <c r="U175" s="1"/>
      <c r="V175" s="1"/>
      <c r="W175" s="1"/>
      <c r="X175" s="1"/>
    </row>
    <row r="176">
      <c r="A176" s="1"/>
      <c r="B176" s="1"/>
      <c r="C176" s="2"/>
      <c r="D176" s="1"/>
      <c r="E176" s="1"/>
      <c r="F176" s="1"/>
      <c r="G176" s="1"/>
      <c r="H176" s="2"/>
      <c r="I176" s="2"/>
      <c r="J176" s="1"/>
      <c r="K176" s="1"/>
      <c r="L176" s="1"/>
      <c r="M176" s="1"/>
      <c r="N176" s="1"/>
      <c r="O176" s="1"/>
      <c r="P176" s="1"/>
      <c r="Q176" s="1"/>
      <c r="R176" s="1"/>
      <c r="S176" s="1"/>
      <c r="T176" s="1"/>
      <c r="U176" s="1"/>
      <c r="V176" s="1"/>
      <c r="W176" s="1"/>
      <c r="X176" s="1"/>
    </row>
    <row r="177">
      <c r="A177" s="1"/>
      <c r="B177" s="1"/>
      <c r="C177" s="2"/>
      <c r="D177" s="1"/>
      <c r="E177" s="1"/>
      <c r="F177" s="1"/>
      <c r="G177" s="1"/>
      <c r="H177" s="2"/>
      <c r="I177" s="2"/>
      <c r="J177" s="1"/>
      <c r="K177" s="1"/>
      <c r="L177" s="1"/>
      <c r="M177" s="1"/>
      <c r="N177" s="1"/>
      <c r="O177" s="1"/>
      <c r="P177" s="1"/>
      <c r="Q177" s="1"/>
      <c r="R177" s="1"/>
      <c r="S177" s="1"/>
      <c r="T177" s="1"/>
      <c r="U177" s="1"/>
      <c r="V177" s="1"/>
      <c r="W177" s="1"/>
      <c r="X177" s="1"/>
    </row>
    <row r="178">
      <c r="A178" s="1"/>
      <c r="B178" s="1"/>
      <c r="C178" s="2"/>
      <c r="D178" s="1"/>
      <c r="E178" s="1"/>
      <c r="F178" s="1"/>
      <c r="G178" s="1"/>
      <c r="H178" s="2"/>
      <c r="I178" s="2"/>
      <c r="J178" s="1"/>
      <c r="K178" s="1"/>
      <c r="L178" s="1"/>
      <c r="M178" s="1"/>
      <c r="N178" s="1"/>
      <c r="O178" s="1"/>
      <c r="P178" s="1"/>
      <c r="Q178" s="1"/>
      <c r="R178" s="1"/>
      <c r="S178" s="1"/>
      <c r="T178" s="1"/>
      <c r="U178" s="1"/>
      <c r="V178" s="1"/>
      <c r="W178" s="1"/>
      <c r="X178" s="1"/>
    </row>
    <row r="179">
      <c r="A179" s="1"/>
      <c r="B179" s="1"/>
      <c r="C179" s="2"/>
      <c r="D179" s="1"/>
      <c r="E179" s="1"/>
      <c r="F179" s="1"/>
      <c r="G179" s="1"/>
      <c r="H179" s="2"/>
      <c r="I179" s="2"/>
      <c r="J179" s="1"/>
      <c r="K179" s="1"/>
      <c r="L179" s="1"/>
      <c r="M179" s="1"/>
      <c r="N179" s="1"/>
      <c r="O179" s="1"/>
      <c r="P179" s="1"/>
      <c r="Q179" s="1"/>
      <c r="R179" s="1"/>
      <c r="S179" s="1"/>
      <c r="T179" s="1"/>
      <c r="U179" s="1"/>
      <c r="V179" s="1"/>
      <c r="W179" s="1"/>
      <c r="X179" s="1"/>
    </row>
    <row r="180">
      <c r="A180" s="1"/>
      <c r="B180" s="1"/>
      <c r="C180" s="2"/>
      <c r="D180" s="1"/>
      <c r="E180" s="1"/>
      <c r="F180" s="1"/>
      <c r="G180" s="1"/>
      <c r="H180" s="2"/>
      <c r="I180" s="2"/>
      <c r="J180" s="1"/>
      <c r="K180" s="1"/>
      <c r="L180" s="1"/>
      <c r="M180" s="1"/>
      <c r="N180" s="1"/>
      <c r="O180" s="1"/>
      <c r="P180" s="1"/>
      <c r="Q180" s="1"/>
      <c r="R180" s="1"/>
      <c r="S180" s="1"/>
      <c r="T180" s="1"/>
      <c r="U180" s="1"/>
      <c r="V180" s="1"/>
      <c r="W180" s="1"/>
      <c r="X180" s="1"/>
    </row>
    <row r="181">
      <c r="A181" s="1"/>
      <c r="B181" s="1"/>
      <c r="C181" s="2"/>
      <c r="D181" s="1"/>
      <c r="E181" s="1"/>
      <c r="F181" s="1"/>
      <c r="G181" s="1"/>
      <c r="H181" s="2"/>
      <c r="I181" s="2"/>
      <c r="J181" s="1"/>
      <c r="K181" s="1"/>
      <c r="L181" s="1"/>
      <c r="M181" s="1"/>
      <c r="N181" s="1"/>
      <c r="O181" s="1"/>
      <c r="P181" s="1"/>
      <c r="Q181" s="1"/>
      <c r="R181" s="1"/>
      <c r="S181" s="1"/>
      <c r="T181" s="1"/>
      <c r="U181" s="1"/>
      <c r="V181" s="1"/>
      <c r="W181" s="1"/>
      <c r="X181" s="1"/>
    </row>
    <row r="182">
      <c r="A182" s="1"/>
      <c r="B182" s="1"/>
      <c r="C182" s="2"/>
      <c r="D182" s="1"/>
      <c r="E182" s="1"/>
      <c r="F182" s="1"/>
      <c r="G182" s="1"/>
      <c r="H182" s="2"/>
      <c r="I182" s="2"/>
      <c r="J182" s="1"/>
      <c r="K182" s="1"/>
      <c r="L182" s="1"/>
      <c r="M182" s="1"/>
      <c r="N182" s="1"/>
      <c r="O182" s="1"/>
      <c r="P182" s="1"/>
      <c r="Q182" s="1"/>
      <c r="R182" s="1"/>
      <c r="S182" s="1"/>
      <c r="T182" s="1"/>
      <c r="U182" s="1"/>
      <c r="V182" s="1"/>
      <c r="W182" s="1"/>
      <c r="X182" s="1"/>
    </row>
    <row r="183">
      <c r="A183" s="1"/>
      <c r="B183" s="1"/>
      <c r="C183" s="2"/>
      <c r="D183" s="1"/>
      <c r="E183" s="1"/>
      <c r="F183" s="1"/>
      <c r="G183" s="1"/>
      <c r="H183" s="2"/>
      <c r="I183" s="2"/>
      <c r="J183" s="1"/>
      <c r="K183" s="1"/>
      <c r="L183" s="1"/>
      <c r="M183" s="1"/>
      <c r="N183" s="1"/>
      <c r="O183" s="1"/>
      <c r="P183" s="1"/>
      <c r="Q183" s="1"/>
      <c r="R183" s="1"/>
      <c r="S183" s="1"/>
      <c r="T183" s="1"/>
      <c r="U183" s="1"/>
      <c r="V183" s="1"/>
      <c r="W183" s="1"/>
      <c r="X183" s="1"/>
    </row>
    <row r="184">
      <c r="A184" s="1"/>
      <c r="B184" s="1"/>
      <c r="C184" s="2"/>
      <c r="D184" s="1"/>
      <c r="E184" s="1"/>
      <c r="F184" s="1"/>
      <c r="G184" s="1"/>
      <c r="H184" s="2"/>
      <c r="I184" s="2"/>
      <c r="J184" s="1"/>
      <c r="K184" s="1"/>
      <c r="L184" s="1"/>
      <c r="M184" s="1"/>
      <c r="N184" s="1"/>
      <c r="O184" s="1"/>
      <c r="P184" s="1"/>
      <c r="Q184" s="1"/>
      <c r="R184" s="1"/>
      <c r="S184" s="1"/>
      <c r="T184" s="1"/>
      <c r="U184" s="1"/>
      <c r="V184" s="1"/>
      <c r="W184" s="1"/>
      <c r="X184" s="1"/>
    </row>
    <row r="185">
      <c r="A185" s="1"/>
      <c r="B185" s="1"/>
      <c r="C185" s="2"/>
      <c r="D185" s="1"/>
      <c r="E185" s="1"/>
      <c r="F185" s="1"/>
      <c r="G185" s="1"/>
      <c r="H185" s="2"/>
      <c r="I185" s="2"/>
      <c r="J185" s="1"/>
      <c r="K185" s="1"/>
      <c r="L185" s="1"/>
      <c r="M185" s="1"/>
      <c r="N185" s="1"/>
      <c r="O185" s="1"/>
      <c r="P185" s="1"/>
      <c r="Q185" s="1"/>
      <c r="R185" s="1"/>
      <c r="S185" s="1"/>
      <c r="T185" s="1"/>
      <c r="U185" s="1"/>
      <c r="V185" s="1"/>
      <c r="W185" s="1"/>
      <c r="X185" s="1"/>
    </row>
    <row r="186">
      <c r="A186" s="1"/>
      <c r="B186" s="1"/>
      <c r="C186" s="2"/>
      <c r="D186" s="1"/>
      <c r="E186" s="1"/>
      <c r="F186" s="1"/>
      <c r="G186" s="1"/>
      <c r="H186" s="2"/>
      <c r="I186" s="2"/>
      <c r="J186" s="1"/>
      <c r="K186" s="1"/>
      <c r="L186" s="1"/>
      <c r="M186" s="1"/>
      <c r="N186" s="1"/>
      <c r="O186" s="1"/>
      <c r="P186" s="1"/>
      <c r="Q186" s="1"/>
      <c r="R186" s="1"/>
      <c r="S186" s="1"/>
      <c r="T186" s="1"/>
      <c r="U186" s="1"/>
      <c r="V186" s="1"/>
      <c r="W186" s="1"/>
      <c r="X186" s="1"/>
    </row>
    <row r="187">
      <c r="A187" s="1"/>
      <c r="B187" s="1"/>
      <c r="C187" s="2"/>
      <c r="D187" s="1"/>
      <c r="E187" s="1"/>
      <c r="F187" s="1"/>
      <c r="G187" s="1"/>
      <c r="H187" s="2"/>
      <c r="I187" s="2"/>
      <c r="J187" s="1"/>
      <c r="K187" s="1"/>
      <c r="L187" s="1"/>
      <c r="M187" s="1"/>
      <c r="N187" s="1"/>
      <c r="O187" s="1"/>
      <c r="P187" s="1"/>
      <c r="Q187" s="1"/>
      <c r="R187" s="1"/>
      <c r="S187" s="1"/>
      <c r="T187" s="1"/>
      <c r="U187" s="1"/>
      <c r="V187" s="1"/>
      <c r="W187" s="1"/>
      <c r="X187" s="1"/>
    </row>
    <row r="188">
      <c r="A188" s="1"/>
      <c r="B188" s="1"/>
      <c r="C188" s="2"/>
      <c r="D188" s="1"/>
      <c r="E188" s="1"/>
      <c r="F188" s="1"/>
      <c r="G188" s="1"/>
      <c r="H188" s="2"/>
      <c r="I188" s="2"/>
      <c r="J188" s="1"/>
      <c r="K188" s="1"/>
      <c r="L188" s="1"/>
      <c r="M188" s="1"/>
      <c r="N188" s="1"/>
      <c r="O188" s="1"/>
      <c r="P188" s="1"/>
      <c r="Q188" s="1"/>
      <c r="R188" s="1"/>
      <c r="S188" s="1"/>
      <c r="T188" s="1"/>
      <c r="U188" s="1"/>
      <c r="V188" s="1"/>
      <c r="W188" s="1"/>
      <c r="X188" s="1"/>
    </row>
    <row r="189">
      <c r="A189" s="1"/>
      <c r="B189" s="1"/>
      <c r="C189" s="2"/>
      <c r="D189" s="1"/>
      <c r="E189" s="1"/>
      <c r="F189" s="1"/>
      <c r="G189" s="1"/>
      <c r="H189" s="2"/>
      <c r="I189" s="2"/>
      <c r="J189" s="1"/>
      <c r="K189" s="1"/>
      <c r="L189" s="1"/>
      <c r="M189" s="1"/>
      <c r="N189" s="1"/>
      <c r="O189" s="1"/>
      <c r="P189" s="1"/>
      <c r="Q189" s="1"/>
      <c r="R189" s="1"/>
      <c r="S189" s="1"/>
      <c r="T189" s="1"/>
      <c r="U189" s="1"/>
      <c r="V189" s="1"/>
      <c r="W189" s="1"/>
      <c r="X189" s="1"/>
    </row>
    <row r="190">
      <c r="A190" s="1"/>
      <c r="B190" s="1"/>
      <c r="C190" s="2"/>
      <c r="D190" s="1"/>
      <c r="E190" s="1"/>
      <c r="F190" s="1"/>
      <c r="G190" s="1"/>
      <c r="H190" s="2"/>
      <c r="I190" s="2"/>
      <c r="J190" s="1"/>
      <c r="K190" s="1"/>
      <c r="L190" s="1"/>
      <c r="M190" s="1"/>
      <c r="N190" s="1"/>
      <c r="O190" s="1"/>
      <c r="P190" s="1"/>
      <c r="Q190" s="1"/>
      <c r="R190" s="1"/>
      <c r="S190" s="1"/>
      <c r="T190" s="1"/>
      <c r="U190" s="1"/>
      <c r="V190" s="1"/>
      <c r="W190" s="1"/>
      <c r="X190" s="1"/>
    </row>
    <row r="191">
      <c r="A191" s="1"/>
      <c r="B191" s="1"/>
      <c r="C191" s="2"/>
      <c r="D191" s="1"/>
      <c r="E191" s="1"/>
      <c r="F191" s="1"/>
      <c r="G191" s="1"/>
      <c r="H191" s="2"/>
      <c r="I191" s="2"/>
      <c r="J191" s="1"/>
      <c r="K191" s="1"/>
      <c r="L191" s="1"/>
      <c r="M191" s="1"/>
      <c r="N191" s="1"/>
      <c r="O191" s="1"/>
      <c r="P191" s="1"/>
      <c r="Q191" s="1"/>
      <c r="R191" s="1"/>
      <c r="S191" s="1"/>
      <c r="T191" s="1"/>
      <c r="U191" s="1"/>
      <c r="V191" s="1"/>
      <c r="W191" s="1"/>
      <c r="X191" s="1"/>
    </row>
    <row r="192">
      <c r="A192" s="1"/>
      <c r="B192" s="1"/>
      <c r="C192" s="2"/>
      <c r="D192" s="1"/>
      <c r="E192" s="1"/>
      <c r="F192" s="1"/>
      <c r="G192" s="1"/>
      <c r="H192" s="2"/>
      <c r="I192" s="2"/>
      <c r="J192" s="1"/>
      <c r="K192" s="1"/>
      <c r="L192" s="1"/>
      <c r="M192" s="1"/>
      <c r="N192" s="1"/>
      <c r="O192" s="1"/>
      <c r="P192" s="1"/>
      <c r="Q192" s="1"/>
      <c r="R192" s="1"/>
      <c r="S192" s="1"/>
      <c r="T192" s="1"/>
      <c r="U192" s="1"/>
      <c r="V192" s="1"/>
      <c r="W192" s="1"/>
      <c r="X192" s="1"/>
    </row>
    <row r="193">
      <c r="A193" s="1"/>
      <c r="B193" s="1"/>
      <c r="C193" s="2"/>
      <c r="D193" s="1"/>
      <c r="E193" s="1"/>
      <c r="F193" s="1"/>
      <c r="G193" s="1"/>
      <c r="H193" s="2"/>
      <c r="I193" s="2"/>
      <c r="J193" s="1"/>
      <c r="K193" s="1"/>
      <c r="L193" s="1"/>
      <c r="M193" s="1"/>
      <c r="N193" s="1"/>
      <c r="O193" s="1"/>
      <c r="P193" s="1"/>
      <c r="Q193" s="1"/>
      <c r="R193" s="1"/>
      <c r="S193" s="1"/>
      <c r="T193" s="1"/>
      <c r="U193" s="1"/>
      <c r="V193" s="1"/>
      <c r="W193" s="1"/>
      <c r="X193" s="1"/>
    </row>
    <row r="194">
      <c r="A194" s="1"/>
      <c r="B194" s="1"/>
      <c r="C194" s="2"/>
      <c r="D194" s="1"/>
      <c r="E194" s="1"/>
      <c r="F194" s="1"/>
      <c r="G194" s="1"/>
      <c r="H194" s="2"/>
      <c r="I194" s="2"/>
      <c r="J194" s="1"/>
      <c r="K194" s="1"/>
      <c r="L194" s="1"/>
      <c r="M194" s="1"/>
      <c r="N194" s="1"/>
      <c r="O194" s="1"/>
      <c r="P194" s="1"/>
      <c r="Q194" s="1"/>
      <c r="R194" s="1"/>
      <c r="S194" s="1"/>
      <c r="T194" s="1"/>
      <c r="U194" s="1"/>
      <c r="V194" s="1"/>
      <c r="W194" s="1"/>
      <c r="X194" s="1"/>
    </row>
    <row r="195">
      <c r="A195" s="1"/>
      <c r="B195" s="1"/>
      <c r="C195" s="2"/>
      <c r="D195" s="1"/>
      <c r="E195" s="1"/>
      <c r="F195" s="1"/>
      <c r="G195" s="1"/>
      <c r="H195" s="2"/>
      <c r="I195" s="2"/>
      <c r="J195" s="1"/>
      <c r="K195" s="1"/>
      <c r="L195" s="1"/>
      <c r="M195" s="1"/>
      <c r="N195" s="1"/>
      <c r="O195" s="1"/>
      <c r="P195" s="1"/>
      <c r="Q195" s="1"/>
      <c r="R195" s="1"/>
      <c r="S195" s="1"/>
      <c r="T195" s="1"/>
      <c r="U195" s="1"/>
      <c r="V195" s="1"/>
      <c r="W195" s="1"/>
      <c r="X195" s="1"/>
    </row>
    <row r="196">
      <c r="A196" s="1"/>
      <c r="B196" s="1"/>
      <c r="C196" s="2"/>
      <c r="D196" s="1"/>
      <c r="E196" s="1"/>
      <c r="F196" s="1"/>
      <c r="G196" s="1"/>
      <c r="H196" s="2"/>
      <c r="I196" s="2"/>
      <c r="J196" s="1"/>
      <c r="K196" s="1"/>
      <c r="L196" s="1"/>
      <c r="M196" s="1"/>
      <c r="N196" s="1"/>
      <c r="O196" s="1"/>
      <c r="P196" s="1"/>
      <c r="Q196" s="1"/>
      <c r="R196" s="1"/>
      <c r="S196" s="1"/>
      <c r="T196" s="1"/>
      <c r="U196" s="1"/>
      <c r="V196" s="1"/>
      <c r="W196" s="1"/>
      <c r="X196" s="1"/>
    </row>
    <row r="197">
      <c r="A197" s="1"/>
      <c r="B197" s="1"/>
      <c r="C197" s="2"/>
      <c r="D197" s="1"/>
      <c r="E197" s="1"/>
      <c r="F197" s="1"/>
      <c r="G197" s="1"/>
      <c r="H197" s="2"/>
      <c r="I197" s="2"/>
      <c r="J197" s="1"/>
      <c r="K197" s="1"/>
      <c r="L197" s="1"/>
      <c r="M197" s="1"/>
      <c r="N197" s="1"/>
      <c r="O197" s="1"/>
      <c r="P197" s="1"/>
      <c r="Q197" s="1"/>
      <c r="R197" s="1"/>
      <c r="S197" s="1"/>
      <c r="T197" s="1"/>
      <c r="U197" s="1"/>
      <c r="V197" s="1"/>
      <c r="W197" s="1"/>
      <c r="X197" s="1"/>
    </row>
    <row r="198">
      <c r="A198" s="1"/>
      <c r="B198" s="1"/>
      <c r="C198" s="2"/>
      <c r="D198" s="1"/>
      <c r="E198" s="1"/>
      <c r="F198" s="1"/>
      <c r="G198" s="1"/>
      <c r="H198" s="2"/>
      <c r="I198" s="2"/>
      <c r="J198" s="1"/>
      <c r="K198" s="1"/>
      <c r="L198" s="1"/>
      <c r="M198" s="1"/>
      <c r="N198" s="1"/>
      <c r="O198" s="1"/>
      <c r="P198" s="1"/>
      <c r="Q198" s="1"/>
      <c r="R198" s="1"/>
      <c r="S198" s="1"/>
      <c r="T198" s="1"/>
      <c r="U198" s="1"/>
      <c r="V198" s="1"/>
      <c r="W198" s="1"/>
      <c r="X198" s="1"/>
    </row>
    <row r="199">
      <c r="A199" s="1"/>
      <c r="B199" s="1"/>
      <c r="C199" s="2"/>
      <c r="D199" s="1"/>
      <c r="E199" s="1"/>
      <c r="F199" s="1"/>
      <c r="G199" s="1"/>
      <c r="H199" s="2"/>
      <c r="I199" s="2"/>
      <c r="J199" s="1"/>
      <c r="K199" s="1"/>
      <c r="L199" s="1"/>
      <c r="M199" s="1"/>
      <c r="N199" s="1"/>
      <c r="O199" s="1"/>
      <c r="P199" s="1"/>
      <c r="Q199" s="1"/>
      <c r="R199" s="1"/>
      <c r="S199" s="1"/>
      <c r="T199" s="1"/>
      <c r="U199" s="1"/>
      <c r="V199" s="1"/>
      <c r="W199" s="1"/>
      <c r="X199" s="1"/>
    </row>
    <row r="200">
      <c r="A200" s="1"/>
      <c r="B200" s="1"/>
      <c r="C200" s="2"/>
      <c r="D200" s="1"/>
      <c r="E200" s="1"/>
      <c r="F200" s="1"/>
      <c r="G200" s="1"/>
      <c r="H200" s="2"/>
      <c r="I200" s="2"/>
      <c r="J200" s="1"/>
      <c r="K200" s="1"/>
      <c r="L200" s="1"/>
      <c r="M200" s="1"/>
      <c r="N200" s="1"/>
      <c r="O200" s="1"/>
      <c r="P200" s="1"/>
      <c r="Q200" s="1"/>
      <c r="R200" s="1"/>
      <c r="S200" s="1"/>
      <c r="T200" s="1"/>
      <c r="U200" s="1"/>
      <c r="V200" s="1"/>
      <c r="W200" s="1"/>
      <c r="X200" s="1"/>
    </row>
    <row r="201">
      <c r="A201" s="1"/>
      <c r="B201" s="1"/>
      <c r="C201" s="2"/>
      <c r="D201" s="1"/>
      <c r="E201" s="1"/>
      <c r="F201" s="1"/>
      <c r="G201" s="1"/>
      <c r="H201" s="2"/>
      <c r="I201" s="2"/>
      <c r="J201" s="1"/>
      <c r="K201" s="1"/>
      <c r="L201" s="1"/>
      <c r="M201" s="1"/>
      <c r="N201" s="1"/>
      <c r="O201" s="1"/>
      <c r="P201" s="1"/>
      <c r="Q201" s="1"/>
      <c r="R201" s="1"/>
      <c r="S201" s="1"/>
      <c r="T201" s="1"/>
      <c r="U201" s="1"/>
      <c r="V201" s="1"/>
      <c r="W201" s="1"/>
      <c r="X201" s="1"/>
    </row>
    <row r="202">
      <c r="A202" s="1"/>
      <c r="B202" s="1"/>
      <c r="C202" s="2"/>
      <c r="D202" s="1"/>
      <c r="E202" s="1"/>
      <c r="F202" s="1"/>
      <c r="G202" s="1"/>
      <c r="H202" s="2"/>
      <c r="I202" s="2"/>
      <c r="J202" s="1"/>
      <c r="K202" s="1"/>
      <c r="L202" s="1"/>
      <c r="M202" s="1"/>
      <c r="N202" s="1"/>
      <c r="O202" s="1"/>
      <c r="P202" s="1"/>
      <c r="Q202" s="1"/>
      <c r="R202" s="1"/>
      <c r="S202" s="1"/>
      <c r="T202" s="1"/>
      <c r="U202" s="1"/>
      <c r="V202" s="1"/>
      <c r="W202" s="1"/>
      <c r="X202" s="1"/>
    </row>
    <row r="203">
      <c r="A203" s="1"/>
      <c r="B203" s="1"/>
      <c r="C203" s="2"/>
      <c r="D203" s="1"/>
      <c r="E203" s="1"/>
      <c r="F203" s="1"/>
      <c r="G203" s="1"/>
      <c r="H203" s="2"/>
      <c r="I203" s="2"/>
      <c r="J203" s="1"/>
      <c r="K203" s="1"/>
      <c r="L203" s="1"/>
      <c r="M203" s="1"/>
      <c r="N203" s="1"/>
      <c r="O203" s="1"/>
      <c r="P203" s="1"/>
      <c r="Q203" s="1"/>
      <c r="R203" s="1"/>
      <c r="S203" s="1"/>
      <c r="T203" s="1"/>
      <c r="U203" s="1"/>
      <c r="V203" s="1"/>
      <c r="W203" s="1"/>
      <c r="X203" s="1"/>
    </row>
    <row r="204">
      <c r="A204" s="1"/>
      <c r="B204" s="1"/>
      <c r="C204" s="2"/>
      <c r="D204" s="1"/>
      <c r="E204" s="1"/>
      <c r="F204" s="1"/>
      <c r="G204" s="1"/>
      <c r="H204" s="2"/>
      <c r="I204" s="2"/>
      <c r="J204" s="1"/>
      <c r="K204" s="1"/>
      <c r="L204" s="1"/>
      <c r="M204" s="1"/>
      <c r="N204" s="1"/>
      <c r="O204" s="1"/>
      <c r="P204" s="1"/>
      <c r="Q204" s="1"/>
      <c r="R204" s="1"/>
      <c r="S204" s="1"/>
      <c r="T204" s="1"/>
      <c r="U204" s="1"/>
      <c r="V204" s="1"/>
      <c r="W204" s="1"/>
      <c r="X204" s="1"/>
    </row>
    <row r="205">
      <c r="A205" s="1"/>
      <c r="B205" s="1"/>
      <c r="C205" s="2"/>
      <c r="D205" s="1"/>
      <c r="E205" s="1"/>
      <c r="F205" s="1"/>
      <c r="G205" s="1"/>
      <c r="H205" s="2"/>
      <c r="I205" s="2"/>
      <c r="J205" s="1"/>
      <c r="K205" s="1"/>
      <c r="L205" s="1"/>
      <c r="M205" s="1"/>
      <c r="N205" s="1"/>
      <c r="O205" s="1"/>
      <c r="P205" s="1"/>
      <c r="Q205" s="1"/>
      <c r="R205" s="1"/>
      <c r="S205" s="1"/>
      <c r="T205" s="1"/>
      <c r="U205" s="1"/>
      <c r="V205" s="1"/>
      <c r="W205" s="1"/>
      <c r="X205" s="1"/>
    </row>
    <row r="206">
      <c r="A206" s="1"/>
      <c r="B206" s="1"/>
      <c r="C206" s="2"/>
      <c r="D206" s="1"/>
      <c r="E206" s="1"/>
      <c r="F206" s="1"/>
      <c r="G206" s="1"/>
      <c r="H206" s="2"/>
      <c r="I206" s="2"/>
      <c r="J206" s="1"/>
      <c r="K206" s="1"/>
      <c r="L206" s="1"/>
      <c r="M206" s="1"/>
      <c r="N206" s="1"/>
      <c r="O206" s="1"/>
      <c r="P206" s="1"/>
      <c r="Q206" s="1"/>
      <c r="R206" s="1"/>
      <c r="S206" s="1"/>
      <c r="T206" s="1"/>
      <c r="U206" s="1"/>
      <c r="V206" s="1"/>
      <c r="W206" s="1"/>
      <c r="X206" s="1"/>
    </row>
    <row r="207">
      <c r="A207" s="1"/>
      <c r="B207" s="1"/>
      <c r="C207" s="2"/>
      <c r="D207" s="1"/>
      <c r="E207" s="1"/>
      <c r="F207" s="1"/>
      <c r="G207" s="1"/>
      <c r="H207" s="2"/>
      <c r="I207" s="2"/>
      <c r="J207" s="1"/>
      <c r="K207" s="1"/>
      <c r="L207" s="1"/>
      <c r="M207" s="1"/>
      <c r="N207" s="1"/>
      <c r="O207" s="1"/>
      <c r="P207" s="1"/>
      <c r="Q207" s="1"/>
      <c r="R207" s="1"/>
      <c r="S207" s="1"/>
      <c r="T207" s="1"/>
      <c r="U207" s="1"/>
      <c r="V207" s="1"/>
      <c r="W207" s="1"/>
      <c r="X207" s="1"/>
    </row>
    <row r="208">
      <c r="A208" s="1"/>
      <c r="B208" s="1"/>
      <c r="C208" s="2"/>
      <c r="D208" s="1"/>
      <c r="E208" s="1"/>
      <c r="F208" s="1"/>
      <c r="G208" s="1"/>
      <c r="H208" s="2"/>
      <c r="I208" s="2"/>
      <c r="J208" s="1"/>
      <c r="K208" s="1"/>
      <c r="L208" s="1"/>
      <c r="M208" s="1"/>
      <c r="N208" s="1"/>
      <c r="O208" s="1"/>
      <c r="P208" s="1"/>
      <c r="Q208" s="1"/>
      <c r="R208" s="1"/>
      <c r="S208" s="1"/>
      <c r="T208" s="1"/>
      <c r="U208" s="1"/>
      <c r="V208" s="1"/>
      <c r="W208" s="1"/>
      <c r="X208" s="1"/>
    </row>
    <row r="209">
      <c r="A209" s="1"/>
      <c r="B209" s="1"/>
      <c r="C209" s="2"/>
      <c r="D209" s="1"/>
      <c r="E209" s="1"/>
      <c r="F209" s="1"/>
      <c r="G209" s="1"/>
      <c r="H209" s="2"/>
      <c r="I209" s="2"/>
      <c r="J209" s="1"/>
      <c r="K209" s="1"/>
      <c r="L209" s="1"/>
      <c r="M209" s="1"/>
      <c r="N209" s="1"/>
      <c r="O209" s="1"/>
      <c r="P209" s="1"/>
      <c r="Q209" s="1"/>
      <c r="R209" s="1"/>
      <c r="S209" s="1"/>
      <c r="T209" s="1"/>
      <c r="U209" s="1"/>
      <c r="V209" s="1"/>
      <c r="W209" s="1"/>
      <c r="X209" s="1"/>
    </row>
    <row r="210">
      <c r="A210" s="1"/>
      <c r="B210" s="1"/>
      <c r="C210" s="2"/>
      <c r="D210" s="1"/>
      <c r="E210" s="1"/>
      <c r="F210" s="1"/>
      <c r="G210" s="1"/>
      <c r="H210" s="2"/>
      <c r="I210" s="2"/>
      <c r="J210" s="1"/>
      <c r="K210" s="1"/>
      <c r="L210" s="1"/>
      <c r="M210" s="1"/>
      <c r="N210" s="1"/>
      <c r="O210" s="1"/>
      <c r="P210" s="1"/>
      <c r="Q210" s="1"/>
      <c r="R210" s="1"/>
      <c r="S210" s="1"/>
      <c r="T210" s="1"/>
      <c r="U210" s="1"/>
      <c r="V210" s="1"/>
      <c r="W210" s="1"/>
      <c r="X210" s="1"/>
    </row>
    <row r="211">
      <c r="A211" s="1"/>
      <c r="B211" s="1"/>
      <c r="C211" s="2"/>
      <c r="D211" s="1"/>
      <c r="E211" s="1"/>
      <c r="F211" s="1"/>
      <c r="G211" s="1"/>
      <c r="H211" s="2"/>
      <c r="I211" s="2"/>
      <c r="J211" s="1"/>
      <c r="K211" s="1"/>
      <c r="L211" s="1"/>
      <c r="M211" s="1"/>
      <c r="N211" s="1"/>
      <c r="O211" s="1"/>
      <c r="P211" s="1"/>
      <c r="Q211" s="1"/>
      <c r="R211" s="1"/>
      <c r="S211" s="1"/>
      <c r="T211" s="1"/>
      <c r="U211" s="1"/>
      <c r="V211" s="1"/>
      <c r="W211" s="1"/>
      <c r="X211" s="1"/>
    </row>
    <row r="212">
      <c r="A212" s="1"/>
      <c r="B212" s="1"/>
      <c r="C212" s="2"/>
      <c r="D212" s="1"/>
      <c r="E212" s="1"/>
      <c r="F212" s="1"/>
      <c r="G212" s="1"/>
      <c r="H212" s="2"/>
      <c r="I212" s="2"/>
      <c r="J212" s="1"/>
      <c r="K212" s="1"/>
      <c r="L212" s="1"/>
      <c r="M212" s="1"/>
      <c r="N212" s="1"/>
      <c r="O212" s="1"/>
      <c r="P212" s="1"/>
      <c r="Q212" s="1"/>
      <c r="R212" s="1"/>
      <c r="S212" s="1"/>
      <c r="T212" s="1"/>
      <c r="U212" s="1"/>
      <c r="V212" s="1"/>
      <c r="W212" s="1"/>
      <c r="X212" s="1"/>
    </row>
    <row r="213">
      <c r="A213" s="1"/>
      <c r="B213" s="1"/>
      <c r="C213" s="2"/>
      <c r="D213" s="1"/>
      <c r="E213" s="1"/>
      <c r="F213" s="1"/>
      <c r="G213" s="1"/>
      <c r="H213" s="2"/>
      <c r="I213" s="2"/>
      <c r="J213" s="1"/>
      <c r="K213" s="1"/>
      <c r="L213" s="1"/>
      <c r="M213" s="1"/>
      <c r="N213" s="1"/>
      <c r="O213" s="1"/>
      <c r="P213" s="1"/>
      <c r="Q213" s="1"/>
      <c r="R213" s="1"/>
      <c r="S213" s="1"/>
      <c r="T213" s="1"/>
      <c r="U213" s="1"/>
      <c r="V213" s="1"/>
      <c r="W213" s="1"/>
      <c r="X213" s="1"/>
    </row>
    <row r="214">
      <c r="A214" s="1"/>
      <c r="B214" s="1"/>
      <c r="C214" s="2"/>
      <c r="D214" s="1"/>
      <c r="E214" s="1"/>
      <c r="F214" s="1"/>
      <c r="G214" s="1"/>
      <c r="H214" s="2"/>
      <c r="I214" s="2"/>
      <c r="J214" s="1"/>
      <c r="K214" s="1"/>
      <c r="L214" s="1"/>
      <c r="M214" s="1"/>
      <c r="N214" s="1"/>
      <c r="O214" s="1"/>
      <c r="P214" s="1"/>
      <c r="Q214" s="1"/>
      <c r="R214" s="1"/>
      <c r="S214" s="1"/>
      <c r="T214" s="1"/>
      <c r="U214" s="1"/>
      <c r="V214" s="1"/>
      <c r="W214" s="1"/>
      <c r="X214" s="1"/>
    </row>
    <row r="215">
      <c r="A215" s="1"/>
      <c r="B215" s="1"/>
      <c r="C215" s="2"/>
      <c r="D215" s="1"/>
      <c r="E215" s="1"/>
      <c r="F215" s="1"/>
      <c r="G215" s="1"/>
      <c r="H215" s="2"/>
      <c r="I215" s="2"/>
      <c r="J215" s="1"/>
      <c r="K215" s="1"/>
      <c r="L215" s="1"/>
      <c r="M215" s="1"/>
      <c r="N215" s="1"/>
      <c r="O215" s="1"/>
      <c r="P215" s="1"/>
      <c r="Q215" s="1"/>
      <c r="R215" s="1"/>
      <c r="S215" s="1"/>
      <c r="T215" s="1"/>
      <c r="U215" s="1"/>
      <c r="V215" s="1"/>
      <c r="W215" s="1"/>
      <c r="X215" s="1"/>
    </row>
    <row r="216">
      <c r="A216" s="1"/>
      <c r="B216" s="1"/>
      <c r="C216" s="2"/>
      <c r="D216" s="1"/>
      <c r="E216" s="1"/>
      <c r="F216" s="1"/>
      <c r="G216" s="1"/>
      <c r="H216" s="2"/>
      <c r="I216" s="2"/>
      <c r="J216" s="1"/>
      <c r="K216" s="1"/>
      <c r="L216" s="1"/>
      <c r="M216" s="1"/>
      <c r="N216" s="1"/>
      <c r="O216" s="1"/>
      <c r="P216" s="1"/>
      <c r="Q216" s="1"/>
      <c r="R216" s="1"/>
      <c r="S216" s="1"/>
      <c r="T216" s="1"/>
      <c r="U216" s="1"/>
      <c r="V216" s="1"/>
      <c r="W216" s="1"/>
      <c r="X216" s="1"/>
    </row>
    <row r="217">
      <c r="A217" s="1"/>
      <c r="B217" s="1"/>
      <c r="C217" s="2"/>
      <c r="D217" s="1"/>
      <c r="E217" s="1"/>
      <c r="F217" s="1"/>
      <c r="G217" s="1"/>
      <c r="H217" s="2"/>
      <c r="I217" s="2"/>
      <c r="J217" s="1"/>
      <c r="K217" s="1"/>
      <c r="L217" s="1"/>
      <c r="M217" s="1"/>
      <c r="N217" s="1"/>
      <c r="O217" s="1"/>
      <c r="P217" s="1"/>
      <c r="Q217" s="1"/>
      <c r="R217" s="1"/>
      <c r="S217" s="1"/>
      <c r="T217" s="1"/>
      <c r="U217" s="1"/>
      <c r="V217" s="1"/>
      <c r="W217" s="1"/>
      <c r="X217" s="1"/>
    </row>
    <row r="218">
      <c r="A218" s="1"/>
      <c r="B218" s="1"/>
      <c r="C218" s="2"/>
      <c r="D218" s="1"/>
      <c r="E218" s="1"/>
      <c r="F218" s="1"/>
      <c r="G218" s="1"/>
      <c r="H218" s="2"/>
      <c r="I218" s="2"/>
      <c r="J218" s="1"/>
      <c r="K218" s="1"/>
      <c r="L218" s="1"/>
      <c r="M218" s="1"/>
      <c r="N218" s="1"/>
      <c r="O218" s="1"/>
      <c r="P218" s="1"/>
      <c r="Q218" s="1"/>
      <c r="R218" s="1"/>
      <c r="S218" s="1"/>
      <c r="T218" s="1"/>
      <c r="U218" s="1"/>
      <c r="V218" s="1"/>
      <c r="W218" s="1"/>
      <c r="X218" s="1"/>
    </row>
    <row r="219">
      <c r="A219" s="1"/>
      <c r="B219" s="1"/>
      <c r="C219" s="2"/>
      <c r="D219" s="1"/>
      <c r="E219" s="1"/>
      <c r="F219" s="1"/>
      <c r="G219" s="1"/>
      <c r="H219" s="2"/>
      <c r="I219" s="2"/>
      <c r="J219" s="1"/>
      <c r="K219" s="1"/>
      <c r="L219" s="1"/>
      <c r="M219" s="1"/>
      <c r="N219" s="1"/>
      <c r="O219" s="1"/>
      <c r="P219" s="1"/>
      <c r="Q219" s="1"/>
      <c r="R219" s="1"/>
      <c r="S219" s="1"/>
      <c r="T219" s="1"/>
      <c r="U219" s="1"/>
      <c r="V219" s="1"/>
      <c r="W219" s="1"/>
      <c r="X219" s="1"/>
    </row>
    <row r="220">
      <c r="A220" s="1"/>
      <c r="B220" s="1"/>
      <c r="C220" s="2"/>
      <c r="D220" s="1"/>
      <c r="E220" s="1"/>
      <c r="F220" s="1"/>
      <c r="G220" s="1"/>
      <c r="H220" s="2"/>
      <c r="I220" s="2"/>
      <c r="J220" s="1"/>
      <c r="K220" s="1"/>
      <c r="L220" s="1"/>
      <c r="M220" s="1"/>
      <c r="N220" s="1"/>
      <c r="O220" s="1"/>
      <c r="P220" s="1"/>
      <c r="Q220" s="1"/>
      <c r="R220" s="1"/>
      <c r="S220" s="1"/>
      <c r="T220" s="1"/>
      <c r="U220" s="1"/>
      <c r="V220" s="1"/>
      <c r="W220" s="1"/>
      <c r="X220" s="1"/>
    </row>
    <row r="221">
      <c r="A221" s="1"/>
      <c r="B221" s="1"/>
      <c r="C221" s="2"/>
      <c r="D221" s="1"/>
      <c r="E221" s="1"/>
      <c r="F221" s="1"/>
      <c r="G221" s="1"/>
      <c r="H221" s="2"/>
      <c r="I221" s="2"/>
      <c r="J221" s="1"/>
      <c r="K221" s="1"/>
      <c r="L221" s="1"/>
      <c r="M221" s="1"/>
      <c r="N221" s="1"/>
      <c r="O221" s="1"/>
      <c r="P221" s="1"/>
      <c r="Q221" s="1"/>
      <c r="R221" s="1"/>
      <c r="S221" s="1"/>
      <c r="T221" s="1"/>
      <c r="U221" s="1"/>
      <c r="V221" s="1"/>
      <c r="W221" s="1"/>
      <c r="X221" s="1"/>
    </row>
    <row r="222">
      <c r="A222" s="1"/>
      <c r="B222" s="1"/>
      <c r="C222" s="2"/>
      <c r="D222" s="1"/>
      <c r="E222" s="1"/>
      <c r="F222" s="1"/>
      <c r="G222" s="1"/>
      <c r="H222" s="2"/>
      <c r="I222" s="2"/>
      <c r="J222" s="1"/>
      <c r="K222" s="1"/>
      <c r="L222" s="1"/>
      <c r="M222" s="1"/>
      <c r="N222" s="1"/>
      <c r="O222" s="1"/>
      <c r="P222" s="1"/>
      <c r="Q222" s="1"/>
      <c r="R222" s="1"/>
      <c r="S222" s="1"/>
      <c r="T222" s="1"/>
      <c r="U222" s="1"/>
      <c r="V222" s="1"/>
      <c r="W222" s="1"/>
      <c r="X222" s="1"/>
    </row>
    <row r="223">
      <c r="A223" s="1"/>
      <c r="B223" s="1"/>
      <c r="C223" s="2"/>
      <c r="D223" s="1"/>
      <c r="E223" s="1"/>
      <c r="F223" s="1"/>
      <c r="G223" s="1"/>
      <c r="H223" s="2"/>
      <c r="I223" s="2"/>
      <c r="J223" s="1"/>
      <c r="K223" s="1"/>
      <c r="L223" s="1"/>
      <c r="M223" s="1"/>
      <c r="N223" s="1"/>
      <c r="O223" s="1"/>
      <c r="P223" s="1"/>
      <c r="Q223" s="1"/>
      <c r="R223" s="1"/>
      <c r="S223" s="1"/>
      <c r="T223" s="1"/>
      <c r="U223" s="1"/>
      <c r="V223" s="1"/>
      <c r="W223" s="1"/>
      <c r="X223" s="1"/>
    </row>
    <row r="224">
      <c r="A224" s="1"/>
      <c r="B224" s="1"/>
      <c r="C224" s="2"/>
      <c r="D224" s="1"/>
      <c r="E224" s="1"/>
      <c r="F224" s="1"/>
      <c r="G224" s="1"/>
      <c r="H224" s="2"/>
      <c r="I224" s="2"/>
      <c r="J224" s="1"/>
      <c r="K224" s="1"/>
      <c r="L224" s="1"/>
      <c r="M224" s="1"/>
      <c r="N224" s="1"/>
      <c r="O224" s="1"/>
      <c r="P224" s="1"/>
      <c r="Q224" s="1"/>
      <c r="R224" s="1"/>
      <c r="S224" s="1"/>
      <c r="T224" s="1"/>
      <c r="U224" s="1"/>
      <c r="V224" s="1"/>
      <c r="W224" s="1"/>
      <c r="X224" s="1"/>
    </row>
    <row r="225">
      <c r="A225" s="1"/>
      <c r="B225" s="1"/>
      <c r="C225" s="2"/>
      <c r="D225" s="1"/>
      <c r="E225" s="1"/>
      <c r="F225" s="1"/>
      <c r="G225" s="1"/>
      <c r="H225" s="2"/>
      <c r="I225" s="2"/>
      <c r="J225" s="1"/>
      <c r="K225" s="1"/>
      <c r="L225" s="1"/>
      <c r="M225" s="1"/>
      <c r="N225" s="1"/>
      <c r="O225" s="1"/>
      <c r="P225" s="1"/>
      <c r="Q225" s="1"/>
      <c r="R225" s="1"/>
      <c r="S225" s="1"/>
      <c r="T225" s="1"/>
      <c r="U225" s="1"/>
      <c r="V225" s="1"/>
      <c r="W225" s="1"/>
      <c r="X225" s="1"/>
    </row>
    <row r="226">
      <c r="A226" s="1"/>
      <c r="B226" s="1"/>
      <c r="C226" s="2"/>
      <c r="D226" s="1"/>
      <c r="E226" s="1"/>
      <c r="F226" s="1"/>
      <c r="G226" s="1"/>
      <c r="H226" s="2"/>
      <c r="I226" s="2"/>
      <c r="J226" s="1"/>
      <c r="K226" s="1"/>
      <c r="L226" s="1"/>
      <c r="M226" s="1"/>
      <c r="N226" s="1"/>
      <c r="O226" s="1"/>
      <c r="P226" s="1"/>
      <c r="Q226" s="1"/>
      <c r="R226" s="1"/>
      <c r="S226" s="1"/>
      <c r="T226" s="1"/>
      <c r="U226" s="1"/>
      <c r="V226" s="1"/>
      <c r="W226" s="1"/>
      <c r="X226" s="1"/>
    </row>
    <row r="227">
      <c r="A227" s="1"/>
      <c r="B227" s="1"/>
      <c r="C227" s="2"/>
      <c r="D227" s="1"/>
      <c r="E227" s="1"/>
      <c r="F227" s="1"/>
      <c r="G227" s="1"/>
      <c r="H227" s="2"/>
      <c r="I227" s="2"/>
      <c r="J227" s="1"/>
      <c r="K227" s="1"/>
      <c r="L227" s="1"/>
      <c r="M227" s="1"/>
      <c r="N227" s="1"/>
      <c r="O227" s="1"/>
      <c r="P227" s="1"/>
      <c r="Q227" s="1"/>
      <c r="R227" s="1"/>
      <c r="S227" s="1"/>
      <c r="T227" s="1"/>
      <c r="U227" s="1"/>
      <c r="V227" s="1"/>
      <c r="W227" s="1"/>
      <c r="X227" s="1"/>
    </row>
    <row r="228">
      <c r="A228" s="1"/>
      <c r="B228" s="1"/>
      <c r="C228" s="2"/>
      <c r="D228" s="1"/>
      <c r="E228" s="1"/>
      <c r="F228" s="1"/>
      <c r="G228" s="1"/>
      <c r="H228" s="2"/>
      <c r="I228" s="2"/>
      <c r="J228" s="1"/>
      <c r="K228" s="1"/>
      <c r="L228" s="1"/>
      <c r="M228" s="1"/>
      <c r="N228" s="1"/>
      <c r="O228" s="1"/>
      <c r="P228" s="1"/>
      <c r="Q228" s="1"/>
      <c r="R228" s="1"/>
      <c r="S228" s="1"/>
      <c r="T228" s="1"/>
      <c r="U228" s="1"/>
      <c r="V228" s="1"/>
      <c r="W228" s="1"/>
      <c r="X228" s="1"/>
    </row>
    <row r="229">
      <c r="A229" s="1"/>
      <c r="B229" s="1"/>
      <c r="C229" s="2"/>
      <c r="D229" s="1"/>
      <c r="E229" s="1"/>
      <c r="F229" s="1"/>
      <c r="G229" s="1"/>
      <c r="H229" s="2"/>
      <c r="I229" s="2"/>
      <c r="J229" s="1"/>
      <c r="K229" s="1"/>
      <c r="L229" s="1"/>
      <c r="M229" s="1"/>
      <c r="N229" s="1"/>
      <c r="O229" s="1"/>
      <c r="P229" s="1"/>
      <c r="Q229" s="1"/>
      <c r="R229" s="1"/>
      <c r="S229" s="1"/>
      <c r="T229" s="1"/>
      <c r="U229" s="1"/>
      <c r="V229" s="1"/>
      <c r="W229" s="1"/>
      <c r="X229" s="1"/>
    </row>
    <row r="230">
      <c r="A230" s="1"/>
      <c r="B230" s="1"/>
      <c r="C230" s="2"/>
      <c r="D230" s="1"/>
      <c r="E230" s="1"/>
      <c r="F230" s="1"/>
      <c r="G230" s="1"/>
      <c r="H230" s="2"/>
      <c r="I230" s="2"/>
      <c r="J230" s="1"/>
      <c r="K230" s="1"/>
      <c r="L230" s="1"/>
      <c r="M230" s="1"/>
      <c r="N230" s="1"/>
      <c r="O230" s="1"/>
      <c r="P230" s="1"/>
      <c r="Q230" s="1"/>
      <c r="R230" s="1"/>
      <c r="S230" s="1"/>
      <c r="T230" s="1"/>
      <c r="U230" s="1"/>
      <c r="V230" s="1"/>
      <c r="W230" s="1"/>
      <c r="X230" s="1"/>
    </row>
    <row r="231">
      <c r="A231" s="1"/>
      <c r="B231" s="1"/>
      <c r="C231" s="2"/>
      <c r="D231" s="1"/>
      <c r="E231" s="1"/>
      <c r="F231" s="1"/>
      <c r="G231" s="1"/>
      <c r="H231" s="2"/>
      <c r="I231" s="2"/>
      <c r="J231" s="1"/>
      <c r="K231" s="1"/>
      <c r="L231" s="1"/>
      <c r="M231" s="1"/>
      <c r="N231" s="1"/>
      <c r="O231" s="1"/>
      <c r="P231" s="1"/>
      <c r="Q231" s="1"/>
      <c r="R231" s="1"/>
      <c r="S231" s="1"/>
      <c r="T231" s="1"/>
      <c r="U231" s="1"/>
      <c r="V231" s="1"/>
      <c r="W231" s="1"/>
      <c r="X231" s="1"/>
    </row>
    <row r="232">
      <c r="A232" s="1"/>
      <c r="B232" s="1"/>
      <c r="C232" s="2"/>
      <c r="D232" s="1"/>
      <c r="E232" s="1"/>
      <c r="F232" s="1"/>
      <c r="G232" s="1"/>
      <c r="H232" s="2"/>
      <c r="I232" s="2"/>
      <c r="J232" s="1"/>
      <c r="K232" s="1"/>
      <c r="L232" s="1"/>
      <c r="M232" s="1"/>
      <c r="N232" s="1"/>
      <c r="O232" s="1"/>
      <c r="P232" s="1"/>
      <c r="Q232" s="1"/>
      <c r="R232" s="1"/>
      <c r="S232" s="1"/>
      <c r="T232" s="1"/>
      <c r="U232" s="1"/>
      <c r="V232" s="1"/>
      <c r="W232" s="1"/>
      <c r="X232" s="1"/>
    </row>
    <row r="233">
      <c r="A233" s="1"/>
      <c r="B233" s="1"/>
      <c r="C233" s="2"/>
      <c r="D233" s="1"/>
      <c r="E233" s="1"/>
      <c r="F233" s="1"/>
      <c r="G233" s="1"/>
      <c r="H233" s="2"/>
      <c r="I233" s="2"/>
      <c r="J233" s="1"/>
      <c r="K233" s="1"/>
      <c r="L233" s="1"/>
      <c r="M233" s="1"/>
      <c r="N233" s="1"/>
      <c r="O233" s="1"/>
      <c r="P233" s="1"/>
      <c r="Q233" s="1"/>
      <c r="R233" s="1"/>
      <c r="S233" s="1"/>
      <c r="T233" s="1"/>
      <c r="U233" s="1"/>
      <c r="V233" s="1"/>
      <c r="W233" s="1"/>
      <c r="X233" s="1"/>
    </row>
    <row r="234">
      <c r="A234" s="1"/>
      <c r="B234" s="1"/>
      <c r="C234" s="2"/>
      <c r="D234" s="1"/>
      <c r="E234" s="1"/>
      <c r="F234" s="1"/>
      <c r="G234" s="1"/>
      <c r="H234" s="2"/>
      <c r="I234" s="2"/>
      <c r="J234" s="1"/>
      <c r="K234" s="1"/>
      <c r="L234" s="1"/>
      <c r="M234" s="1"/>
      <c r="N234" s="1"/>
      <c r="O234" s="1"/>
      <c r="P234" s="1"/>
      <c r="Q234" s="1"/>
      <c r="R234" s="1"/>
      <c r="S234" s="1"/>
      <c r="T234" s="1"/>
      <c r="U234" s="1"/>
      <c r="V234" s="1"/>
      <c r="W234" s="1"/>
      <c r="X234" s="1"/>
    </row>
    <row r="235">
      <c r="A235" s="1"/>
      <c r="B235" s="1"/>
      <c r="C235" s="2"/>
      <c r="D235" s="1"/>
      <c r="E235" s="1"/>
      <c r="F235" s="1"/>
      <c r="G235" s="1"/>
      <c r="H235" s="2"/>
      <c r="I235" s="2"/>
      <c r="J235" s="1"/>
      <c r="K235" s="1"/>
      <c r="L235" s="1"/>
      <c r="M235" s="1"/>
      <c r="N235" s="1"/>
      <c r="O235" s="1"/>
      <c r="P235" s="1"/>
      <c r="Q235" s="1"/>
      <c r="R235" s="1"/>
      <c r="S235" s="1"/>
      <c r="T235" s="1"/>
      <c r="U235" s="1"/>
      <c r="V235" s="1"/>
      <c r="W235" s="1"/>
      <c r="X235" s="1"/>
    </row>
    <row r="236">
      <c r="A236" s="1"/>
      <c r="B236" s="1"/>
      <c r="C236" s="2"/>
      <c r="D236" s="1"/>
      <c r="E236" s="1"/>
      <c r="F236" s="1"/>
      <c r="G236" s="1"/>
      <c r="H236" s="2"/>
      <c r="I236" s="2"/>
      <c r="J236" s="1"/>
      <c r="K236" s="1"/>
      <c r="L236" s="1"/>
      <c r="M236" s="1"/>
      <c r="N236" s="1"/>
      <c r="O236" s="1"/>
      <c r="P236" s="1"/>
      <c r="Q236" s="1"/>
      <c r="R236" s="1"/>
      <c r="S236" s="1"/>
      <c r="T236" s="1"/>
      <c r="U236" s="1"/>
      <c r="V236" s="1"/>
      <c r="W236" s="1"/>
      <c r="X236" s="1"/>
    </row>
    <row r="237">
      <c r="A237" s="1"/>
      <c r="B237" s="1"/>
      <c r="C237" s="2"/>
      <c r="D237" s="1"/>
      <c r="E237" s="1"/>
      <c r="F237" s="1"/>
      <c r="G237" s="1"/>
      <c r="H237" s="2"/>
      <c r="I237" s="2"/>
      <c r="J237" s="1"/>
      <c r="K237" s="1"/>
      <c r="L237" s="1"/>
      <c r="M237" s="1"/>
      <c r="N237" s="1"/>
      <c r="O237" s="1"/>
      <c r="P237" s="1"/>
      <c r="Q237" s="1"/>
      <c r="R237" s="1"/>
      <c r="S237" s="1"/>
      <c r="T237" s="1"/>
      <c r="U237" s="1"/>
      <c r="V237" s="1"/>
      <c r="W237" s="1"/>
      <c r="X237" s="1"/>
    </row>
    <row r="238">
      <c r="A238" s="1"/>
      <c r="B238" s="1"/>
      <c r="C238" s="2"/>
      <c r="D238" s="1"/>
      <c r="E238" s="1"/>
      <c r="F238" s="1"/>
      <c r="G238" s="1"/>
      <c r="H238" s="2"/>
      <c r="I238" s="2"/>
      <c r="J238" s="1"/>
      <c r="K238" s="1"/>
      <c r="L238" s="1"/>
      <c r="M238" s="1"/>
      <c r="N238" s="1"/>
      <c r="O238" s="1"/>
      <c r="P238" s="1"/>
      <c r="Q238" s="1"/>
      <c r="R238" s="1"/>
      <c r="S238" s="1"/>
      <c r="T238" s="1"/>
      <c r="U238" s="1"/>
      <c r="V238" s="1"/>
      <c r="W238" s="1"/>
      <c r="X238" s="1"/>
    </row>
    <row r="239">
      <c r="A239" s="1"/>
      <c r="B239" s="1"/>
      <c r="C239" s="2"/>
      <c r="D239" s="1"/>
      <c r="E239" s="1"/>
      <c r="F239" s="1"/>
      <c r="G239" s="1"/>
      <c r="H239" s="2"/>
      <c r="I239" s="2"/>
      <c r="J239" s="1"/>
      <c r="K239" s="1"/>
      <c r="L239" s="1"/>
      <c r="M239" s="1"/>
      <c r="N239" s="1"/>
      <c r="O239" s="1"/>
      <c r="P239" s="1"/>
      <c r="Q239" s="1"/>
      <c r="R239" s="1"/>
      <c r="S239" s="1"/>
      <c r="T239" s="1"/>
      <c r="U239" s="1"/>
      <c r="V239" s="1"/>
      <c r="W239" s="1"/>
      <c r="X239" s="1"/>
    </row>
    <row r="240">
      <c r="A240" s="1"/>
      <c r="B240" s="1"/>
      <c r="C240" s="2"/>
      <c r="D240" s="1"/>
      <c r="E240" s="1"/>
      <c r="F240" s="1"/>
      <c r="G240" s="1"/>
      <c r="H240" s="2"/>
      <c r="I240" s="2"/>
      <c r="J240" s="1"/>
      <c r="K240" s="1"/>
      <c r="L240" s="1"/>
      <c r="M240" s="1"/>
      <c r="N240" s="1"/>
      <c r="O240" s="1"/>
      <c r="P240" s="1"/>
      <c r="Q240" s="1"/>
      <c r="R240" s="1"/>
      <c r="S240" s="1"/>
      <c r="T240" s="1"/>
      <c r="U240" s="1"/>
      <c r="V240" s="1"/>
      <c r="W240" s="1"/>
      <c r="X240" s="1"/>
    </row>
    <row r="241">
      <c r="A241" s="1"/>
      <c r="B241" s="1"/>
      <c r="C241" s="2"/>
      <c r="D241" s="1"/>
      <c r="E241" s="1"/>
      <c r="F241" s="1"/>
      <c r="G241" s="1"/>
      <c r="H241" s="2"/>
      <c r="I241" s="2"/>
      <c r="J241" s="1"/>
      <c r="K241" s="1"/>
      <c r="L241" s="1"/>
      <c r="M241" s="1"/>
      <c r="N241" s="1"/>
      <c r="O241" s="1"/>
      <c r="P241" s="1"/>
      <c r="Q241" s="1"/>
      <c r="R241" s="1"/>
      <c r="S241" s="1"/>
      <c r="T241" s="1"/>
      <c r="U241" s="1"/>
      <c r="V241" s="1"/>
      <c r="W241" s="1"/>
      <c r="X241" s="1"/>
    </row>
    <row r="242">
      <c r="A242" s="1"/>
      <c r="B242" s="1"/>
      <c r="C242" s="2"/>
      <c r="D242" s="1"/>
      <c r="E242" s="1"/>
      <c r="F242" s="1"/>
      <c r="G242" s="1"/>
      <c r="H242" s="2"/>
      <c r="I242" s="2"/>
      <c r="J242" s="1"/>
      <c r="K242" s="1"/>
      <c r="L242" s="1"/>
      <c r="M242" s="1"/>
      <c r="N242" s="1"/>
      <c r="O242" s="1"/>
      <c r="P242" s="1"/>
      <c r="Q242" s="1"/>
      <c r="R242" s="1"/>
      <c r="S242" s="1"/>
      <c r="T242" s="1"/>
      <c r="U242" s="1"/>
      <c r="V242" s="1"/>
      <c r="W242" s="1"/>
      <c r="X242" s="1"/>
    </row>
    <row r="243">
      <c r="A243" s="1"/>
      <c r="B243" s="1"/>
      <c r="C243" s="2"/>
      <c r="D243" s="1"/>
      <c r="E243" s="1"/>
      <c r="F243" s="1"/>
      <c r="G243" s="1"/>
      <c r="H243" s="2"/>
      <c r="I243" s="2"/>
      <c r="J243" s="1"/>
      <c r="K243" s="1"/>
      <c r="L243" s="1"/>
      <c r="M243" s="1"/>
      <c r="N243" s="1"/>
      <c r="O243" s="1"/>
      <c r="P243" s="1"/>
      <c r="Q243" s="1"/>
      <c r="R243" s="1"/>
      <c r="S243" s="1"/>
      <c r="T243" s="1"/>
      <c r="U243" s="1"/>
      <c r="V243" s="1"/>
      <c r="W243" s="1"/>
      <c r="X243" s="1"/>
    </row>
    <row r="244">
      <c r="A244" s="1"/>
      <c r="B244" s="1"/>
      <c r="C244" s="2"/>
      <c r="D244" s="1"/>
      <c r="E244" s="1"/>
      <c r="F244" s="1"/>
      <c r="G244" s="1"/>
      <c r="H244" s="2"/>
      <c r="I244" s="2"/>
      <c r="J244" s="1"/>
      <c r="K244" s="1"/>
      <c r="L244" s="1"/>
      <c r="M244" s="1"/>
      <c r="N244" s="1"/>
      <c r="O244" s="1"/>
      <c r="P244" s="1"/>
      <c r="Q244" s="1"/>
      <c r="R244" s="1"/>
      <c r="S244" s="1"/>
      <c r="T244" s="1"/>
      <c r="U244" s="1"/>
      <c r="V244" s="1"/>
      <c r="W244" s="1"/>
      <c r="X244" s="1"/>
    </row>
    <row r="245">
      <c r="A245" s="1"/>
      <c r="B245" s="1"/>
      <c r="C245" s="2"/>
      <c r="D245" s="1"/>
      <c r="E245" s="1"/>
      <c r="F245" s="1"/>
      <c r="G245" s="1"/>
      <c r="H245" s="2"/>
      <c r="I245" s="2"/>
      <c r="J245" s="1"/>
      <c r="K245" s="1"/>
      <c r="L245" s="1"/>
      <c r="M245" s="1"/>
      <c r="N245" s="1"/>
      <c r="O245" s="1"/>
      <c r="P245" s="1"/>
      <c r="Q245" s="1"/>
      <c r="R245" s="1"/>
      <c r="S245" s="1"/>
      <c r="T245" s="1"/>
      <c r="U245" s="1"/>
      <c r="V245" s="1"/>
      <c r="W245" s="1"/>
      <c r="X245" s="1"/>
    </row>
    <row r="246">
      <c r="A246" s="1"/>
      <c r="B246" s="1"/>
      <c r="C246" s="2"/>
      <c r="D246" s="1"/>
      <c r="E246" s="1"/>
      <c r="F246" s="1"/>
      <c r="G246" s="1"/>
      <c r="H246" s="2"/>
      <c r="I246" s="2"/>
      <c r="J246" s="1"/>
      <c r="K246" s="1"/>
      <c r="L246" s="1"/>
      <c r="M246" s="1"/>
      <c r="N246" s="1"/>
      <c r="O246" s="1"/>
      <c r="P246" s="1"/>
      <c r="Q246" s="1"/>
      <c r="R246" s="1"/>
      <c r="S246" s="1"/>
      <c r="T246" s="1"/>
      <c r="U246" s="1"/>
      <c r="V246" s="1"/>
      <c r="W246" s="1"/>
      <c r="X246" s="1"/>
    </row>
    <row r="247">
      <c r="A247" s="1"/>
      <c r="B247" s="1"/>
      <c r="C247" s="2"/>
      <c r="D247" s="1"/>
      <c r="E247" s="1"/>
      <c r="F247" s="1"/>
      <c r="G247" s="1"/>
      <c r="H247" s="2"/>
      <c r="I247" s="2"/>
      <c r="J247" s="1"/>
      <c r="K247" s="1"/>
      <c r="L247" s="1"/>
      <c r="M247" s="1"/>
      <c r="N247" s="1"/>
      <c r="O247" s="1"/>
      <c r="P247" s="1"/>
      <c r="Q247" s="1"/>
      <c r="R247" s="1"/>
      <c r="S247" s="1"/>
      <c r="T247" s="1"/>
      <c r="U247" s="1"/>
      <c r="V247" s="1"/>
      <c r="W247" s="1"/>
      <c r="X247" s="1"/>
    </row>
    <row r="248">
      <c r="A248" s="1"/>
      <c r="B248" s="1"/>
      <c r="C248" s="2"/>
      <c r="D248" s="1"/>
      <c r="E248" s="1"/>
      <c r="F248" s="1"/>
      <c r="G248" s="1"/>
      <c r="H248" s="2"/>
      <c r="I248" s="2"/>
      <c r="J248" s="1"/>
      <c r="K248" s="1"/>
      <c r="L248" s="1"/>
      <c r="M248" s="1"/>
      <c r="N248" s="1"/>
      <c r="O248" s="1"/>
      <c r="P248" s="1"/>
      <c r="Q248" s="1"/>
      <c r="R248" s="1"/>
      <c r="S248" s="1"/>
      <c r="T248" s="1"/>
      <c r="U248" s="1"/>
      <c r="V248" s="1"/>
      <c r="W248" s="1"/>
      <c r="X248" s="1"/>
    </row>
    <row r="249">
      <c r="A249" s="1"/>
      <c r="B249" s="1"/>
      <c r="C249" s="2"/>
      <c r="D249" s="1"/>
      <c r="E249" s="1"/>
      <c r="F249" s="1"/>
      <c r="G249" s="1"/>
      <c r="H249" s="2"/>
      <c r="I249" s="2"/>
      <c r="J249" s="1"/>
      <c r="K249" s="1"/>
      <c r="L249" s="1"/>
      <c r="M249" s="1"/>
      <c r="N249" s="1"/>
      <c r="O249" s="1"/>
      <c r="P249" s="1"/>
      <c r="Q249" s="1"/>
      <c r="R249" s="1"/>
      <c r="S249" s="1"/>
      <c r="T249" s="1"/>
      <c r="U249" s="1"/>
      <c r="V249" s="1"/>
      <c r="W249" s="1"/>
      <c r="X249" s="1"/>
    </row>
    <row r="250">
      <c r="A250" s="1"/>
      <c r="B250" s="1"/>
      <c r="C250" s="2"/>
      <c r="D250" s="1"/>
      <c r="E250" s="1"/>
      <c r="F250" s="1"/>
      <c r="G250" s="1"/>
      <c r="H250" s="2"/>
      <c r="I250" s="2"/>
      <c r="J250" s="1"/>
      <c r="K250" s="1"/>
      <c r="L250" s="1"/>
      <c r="M250" s="1"/>
      <c r="N250" s="1"/>
      <c r="O250" s="1"/>
      <c r="P250" s="1"/>
      <c r="Q250" s="1"/>
      <c r="R250" s="1"/>
      <c r="S250" s="1"/>
      <c r="T250" s="1"/>
      <c r="U250" s="1"/>
      <c r="V250" s="1"/>
      <c r="W250" s="1"/>
      <c r="X250" s="1"/>
    </row>
    <row r="251">
      <c r="A251" s="1"/>
      <c r="B251" s="1"/>
      <c r="C251" s="2"/>
      <c r="D251" s="1"/>
      <c r="E251" s="1"/>
      <c r="F251" s="1"/>
      <c r="G251" s="1"/>
      <c r="H251" s="2"/>
      <c r="I251" s="2"/>
      <c r="J251" s="1"/>
      <c r="K251" s="1"/>
      <c r="L251" s="1"/>
      <c r="M251" s="1"/>
      <c r="N251" s="1"/>
      <c r="O251" s="1"/>
      <c r="P251" s="1"/>
      <c r="Q251" s="1"/>
      <c r="R251" s="1"/>
      <c r="S251" s="1"/>
      <c r="T251" s="1"/>
      <c r="U251" s="1"/>
      <c r="V251" s="1"/>
      <c r="W251" s="1"/>
      <c r="X251" s="1"/>
    </row>
    <row r="252">
      <c r="A252" s="1"/>
      <c r="B252" s="1"/>
      <c r="C252" s="2"/>
      <c r="D252" s="1"/>
      <c r="E252" s="1"/>
      <c r="F252" s="1"/>
      <c r="G252" s="1"/>
      <c r="H252" s="2"/>
      <c r="I252" s="2"/>
      <c r="J252" s="1"/>
      <c r="K252" s="1"/>
      <c r="L252" s="1"/>
      <c r="M252" s="1"/>
      <c r="N252" s="1"/>
      <c r="O252" s="1"/>
      <c r="P252" s="1"/>
      <c r="Q252" s="1"/>
      <c r="R252" s="1"/>
      <c r="S252" s="1"/>
      <c r="T252" s="1"/>
      <c r="U252" s="1"/>
      <c r="V252" s="1"/>
      <c r="W252" s="1"/>
      <c r="X252" s="1"/>
    </row>
    <row r="253">
      <c r="A253" s="1"/>
      <c r="B253" s="1"/>
      <c r="C253" s="2"/>
      <c r="D253" s="1"/>
      <c r="E253" s="1"/>
      <c r="F253" s="1"/>
      <c r="G253" s="1"/>
      <c r="H253" s="2"/>
      <c r="I253" s="2"/>
      <c r="J253" s="1"/>
      <c r="K253" s="1"/>
      <c r="L253" s="1"/>
      <c r="M253" s="1"/>
      <c r="N253" s="1"/>
      <c r="O253" s="1"/>
      <c r="P253" s="1"/>
      <c r="Q253" s="1"/>
      <c r="R253" s="1"/>
      <c r="S253" s="1"/>
      <c r="T253" s="1"/>
      <c r="U253" s="1"/>
      <c r="V253" s="1"/>
      <c r="W253" s="1"/>
      <c r="X253" s="1"/>
    </row>
    <row r="254">
      <c r="A254" s="1"/>
      <c r="B254" s="1"/>
      <c r="C254" s="2"/>
      <c r="D254" s="1"/>
      <c r="E254" s="1"/>
      <c r="F254" s="1"/>
      <c r="G254" s="1"/>
      <c r="H254" s="2"/>
      <c r="I254" s="2"/>
      <c r="J254" s="1"/>
      <c r="K254" s="1"/>
      <c r="L254" s="1"/>
      <c r="M254" s="1"/>
      <c r="N254" s="1"/>
      <c r="O254" s="1"/>
      <c r="P254" s="1"/>
      <c r="Q254" s="1"/>
      <c r="R254" s="1"/>
      <c r="S254" s="1"/>
      <c r="T254" s="1"/>
      <c r="U254" s="1"/>
      <c r="V254" s="1"/>
      <c r="W254" s="1"/>
      <c r="X254" s="1"/>
    </row>
    <row r="255">
      <c r="A255" s="1"/>
      <c r="B255" s="1"/>
      <c r="C255" s="2"/>
      <c r="D255" s="1"/>
      <c r="E255" s="1"/>
      <c r="F255" s="1"/>
      <c r="G255" s="1"/>
      <c r="H255" s="2"/>
      <c r="I255" s="2"/>
      <c r="J255" s="1"/>
      <c r="K255" s="1"/>
      <c r="L255" s="1"/>
      <c r="M255" s="1"/>
      <c r="N255" s="1"/>
      <c r="O255" s="1"/>
      <c r="P255" s="1"/>
      <c r="Q255" s="1"/>
      <c r="R255" s="1"/>
      <c r="S255" s="1"/>
      <c r="T255" s="1"/>
      <c r="U255" s="1"/>
      <c r="V255" s="1"/>
      <c r="W255" s="1"/>
      <c r="X255" s="1"/>
    </row>
    <row r="256">
      <c r="A256" s="1"/>
      <c r="B256" s="1"/>
      <c r="C256" s="2"/>
      <c r="D256" s="1"/>
      <c r="E256" s="1"/>
      <c r="F256" s="1"/>
      <c r="G256" s="1"/>
      <c r="H256" s="2"/>
      <c r="I256" s="2"/>
      <c r="J256" s="1"/>
      <c r="K256" s="1"/>
      <c r="L256" s="1"/>
      <c r="M256" s="1"/>
      <c r="N256" s="1"/>
      <c r="O256" s="1"/>
      <c r="P256" s="1"/>
      <c r="Q256" s="1"/>
      <c r="R256" s="1"/>
      <c r="S256" s="1"/>
      <c r="T256" s="1"/>
      <c r="U256" s="1"/>
      <c r="V256" s="1"/>
      <c r="W256" s="1"/>
      <c r="X256" s="1"/>
    </row>
    <row r="257">
      <c r="A257" s="1"/>
      <c r="B257" s="1"/>
      <c r="C257" s="2"/>
      <c r="D257" s="1"/>
      <c r="E257" s="1"/>
      <c r="F257" s="1"/>
      <c r="G257" s="1"/>
      <c r="H257" s="2"/>
      <c r="I257" s="2"/>
      <c r="J257" s="1"/>
      <c r="K257" s="1"/>
      <c r="L257" s="1"/>
      <c r="M257" s="1"/>
      <c r="N257" s="1"/>
      <c r="O257" s="1"/>
      <c r="P257" s="1"/>
      <c r="Q257" s="1"/>
      <c r="R257" s="1"/>
      <c r="S257" s="1"/>
      <c r="T257" s="1"/>
      <c r="U257" s="1"/>
      <c r="V257" s="1"/>
      <c r="W257" s="1"/>
      <c r="X257" s="1"/>
    </row>
    <row r="258">
      <c r="A258" s="1"/>
      <c r="B258" s="1"/>
      <c r="C258" s="2"/>
      <c r="D258" s="1"/>
      <c r="E258" s="1"/>
      <c r="F258" s="1"/>
      <c r="G258" s="1"/>
      <c r="H258" s="2"/>
      <c r="I258" s="2"/>
      <c r="J258" s="1"/>
      <c r="K258" s="1"/>
      <c r="L258" s="1"/>
      <c r="M258" s="1"/>
      <c r="N258" s="1"/>
      <c r="O258" s="1"/>
      <c r="P258" s="1"/>
      <c r="Q258" s="1"/>
      <c r="R258" s="1"/>
      <c r="S258" s="1"/>
      <c r="T258" s="1"/>
      <c r="U258" s="1"/>
      <c r="V258" s="1"/>
      <c r="W258" s="1"/>
      <c r="X258" s="1"/>
    </row>
    <row r="259">
      <c r="A259" s="1"/>
      <c r="B259" s="1"/>
      <c r="C259" s="2"/>
      <c r="D259" s="1"/>
      <c r="E259" s="1"/>
      <c r="F259" s="1"/>
      <c r="G259" s="1"/>
      <c r="H259" s="2"/>
      <c r="I259" s="2"/>
      <c r="J259" s="1"/>
      <c r="K259" s="1"/>
      <c r="L259" s="1"/>
      <c r="M259" s="1"/>
      <c r="N259" s="1"/>
      <c r="O259" s="1"/>
      <c r="P259" s="1"/>
      <c r="Q259" s="1"/>
      <c r="R259" s="1"/>
      <c r="S259" s="1"/>
      <c r="T259" s="1"/>
      <c r="U259" s="1"/>
      <c r="V259" s="1"/>
      <c r="W259" s="1"/>
      <c r="X259" s="1"/>
    </row>
    <row r="260">
      <c r="A260" s="1"/>
      <c r="B260" s="1"/>
      <c r="C260" s="2"/>
      <c r="D260" s="1"/>
      <c r="E260" s="1"/>
      <c r="F260" s="1"/>
      <c r="G260" s="1"/>
      <c r="H260" s="2"/>
      <c r="I260" s="2"/>
      <c r="J260" s="1"/>
      <c r="K260" s="1"/>
      <c r="L260" s="1"/>
      <c r="M260" s="1"/>
      <c r="N260" s="1"/>
      <c r="O260" s="1"/>
      <c r="P260" s="1"/>
      <c r="Q260" s="1"/>
      <c r="R260" s="1"/>
      <c r="S260" s="1"/>
      <c r="T260" s="1"/>
      <c r="U260" s="1"/>
      <c r="V260" s="1"/>
      <c r="W260" s="1"/>
      <c r="X260" s="1"/>
    </row>
    <row r="261">
      <c r="A261" s="1"/>
      <c r="B261" s="1"/>
      <c r="C261" s="2"/>
      <c r="D261" s="1"/>
      <c r="E261" s="1"/>
      <c r="F261" s="1"/>
      <c r="G261" s="1"/>
      <c r="H261" s="2"/>
      <c r="I261" s="2"/>
      <c r="J261" s="1"/>
      <c r="K261" s="1"/>
      <c r="L261" s="1"/>
      <c r="M261" s="1"/>
      <c r="N261" s="1"/>
      <c r="O261" s="1"/>
      <c r="P261" s="1"/>
      <c r="Q261" s="1"/>
      <c r="R261" s="1"/>
      <c r="S261" s="1"/>
      <c r="T261" s="1"/>
      <c r="U261" s="1"/>
      <c r="V261" s="1"/>
      <c r="W261" s="1"/>
      <c r="X261" s="1"/>
    </row>
    <row r="262">
      <c r="A262" s="1"/>
      <c r="B262" s="1"/>
      <c r="C262" s="2"/>
      <c r="D262" s="1"/>
      <c r="E262" s="1"/>
      <c r="F262" s="1"/>
      <c r="G262" s="1"/>
      <c r="H262" s="2"/>
      <c r="I262" s="2"/>
      <c r="J262" s="1"/>
      <c r="K262" s="1"/>
      <c r="L262" s="1"/>
      <c r="M262" s="1"/>
      <c r="N262" s="1"/>
      <c r="O262" s="1"/>
      <c r="P262" s="1"/>
      <c r="Q262" s="1"/>
      <c r="R262" s="1"/>
      <c r="S262" s="1"/>
      <c r="T262" s="1"/>
      <c r="U262" s="1"/>
      <c r="V262" s="1"/>
      <c r="W262" s="1"/>
      <c r="X262" s="1"/>
    </row>
    <row r="263">
      <c r="A263" s="1"/>
      <c r="B263" s="1"/>
      <c r="C263" s="2"/>
      <c r="D263" s="1"/>
      <c r="E263" s="1"/>
      <c r="F263" s="1"/>
      <c r="G263" s="1"/>
      <c r="H263" s="2"/>
      <c r="I263" s="2"/>
      <c r="J263" s="1"/>
      <c r="K263" s="1"/>
      <c r="L263" s="1"/>
      <c r="M263" s="1"/>
      <c r="N263" s="1"/>
      <c r="O263" s="1"/>
      <c r="P263" s="1"/>
      <c r="Q263" s="1"/>
      <c r="R263" s="1"/>
      <c r="S263" s="1"/>
      <c r="T263" s="1"/>
      <c r="U263" s="1"/>
      <c r="V263" s="1"/>
      <c r="W263" s="1"/>
      <c r="X263" s="1"/>
    </row>
    <row r="264">
      <c r="A264" s="1"/>
      <c r="B264" s="1"/>
      <c r="C264" s="2"/>
      <c r="D264" s="1"/>
      <c r="E264" s="1"/>
      <c r="F264" s="1"/>
      <c r="G264" s="1"/>
      <c r="H264" s="2"/>
      <c r="I264" s="2"/>
      <c r="J264" s="1"/>
      <c r="K264" s="1"/>
      <c r="L264" s="1"/>
      <c r="M264" s="1"/>
      <c r="N264" s="1"/>
      <c r="O264" s="1"/>
      <c r="P264" s="1"/>
      <c r="Q264" s="1"/>
      <c r="R264" s="1"/>
      <c r="S264" s="1"/>
      <c r="T264" s="1"/>
      <c r="U264" s="1"/>
      <c r="V264" s="1"/>
      <c r="W264" s="1"/>
      <c r="X264" s="1"/>
    </row>
    <row r="265">
      <c r="A265" s="1"/>
      <c r="B265" s="1"/>
      <c r="C265" s="2"/>
      <c r="D265" s="1"/>
      <c r="E265" s="1"/>
      <c r="F265" s="1"/>
      <c r="G265" s="1"/>
      <c r="H265" s="2"/>
      <c r="I265" s="2"/>
      <c r="J265" s="1"/>
      <c r="K265" s="1"/>
      <c r="L265" s="1"/>
      <c r="M265" s="1"/>
      <c r="N265" s="1"/>
      <c r="O265" s="1"/>
      <c r="P265" s="1"/>
      <c r="Q265" s="1"/>
      <c r="R265" s="1"/>
      <c r="S265" s="1"/>
      <c r="T265" s="1"/>
      <c r="U265" s="1"/>
      <c r="V265" s="1"/>
      <c r="W265" s="1"/>
      <c r="X265" s="1"/>
    </row>
    <row r="266">
      <c r="A266" s="1"/>
      <c r="B266" s="1"/>
      <c r="C266" s="2"/>
      <c r="D266" s="1"/>
      <c r="E266" s="1"/>
      <c r="F266" s="1"/>
      <c r="G266" s="1"/>
      <c r="H266" s="2"/>
      <c r="I266" s="2"/>
      <c r="J266" s="1"/>
      <c r="K266" s="1"/>
      <c r="L266" s="1"/>
      <c r="M266" s="1"/>
      <c r="N266" s="1"/>
      <c r="O266" s="1"/>
      <c r="P266" s="1"/>
      <c r="Q266" s="1"/>
      <c r="R266" s="1"/>
      <c r="S266" s="1"/>
      <c r="T266" s="1"/>
      <c r="U266" s="1"/>
      <c r="V266" s="1"/>
      <c r="W266" s="1"/>
      <c r="X266" s="1"/>
    </row>
    <row r="267">
      <c r="A267" s="1"/>
      <c r="B267" s="1"/>
      <c r="C267" s="2"/>
      <c r="D267" s="1"/>
      <c r="E267" s="1"/>
      <c r="F267" s="1"/>
      <c r="G267" s="1"/>
      <c r="H267" s="2"/>
      <c r="I267" s="2"/>
      <c r="J267" s="1"/>
      <c r="K267" s="1"/>
      <c r="L267" s="1"/>
      <c r="M267" s="1"/>
      <c r="N267" s="1"/>
      <c r="O267" s="1"/>
      <c r="P267" s="1"/>
      <c r="Q267" s="1"/>
      <c r="R267" s="1"/>
      <c r="S267" s="1"/>
      <c r="T267" s="1"/>
      <c r="U267" s="1"/>
      <c r="V267" s="1"/>
      <c r="W267" s="1"/>
      <c r="X267" s="1"/>
    </row>
    <row r="268">
      <c r="A268" s="1"/>
      <c r="B268" s="1"/>
      <c r="C268" s="2"/>
      <c r="D268" s="1"/>
      <c r="E268" s="1"/>
      <c r="F268" s="1"/>
      <c r="G268" s="1"/>
      <c r="H268" s="2"/>
      <c r="I268" s="2"/>
      <c r="J268" s="1"/>
      <c r="K268" s="1"/>
      <c r="L268" s="1"/>
      <c r="M268" s="1"/>
      <c r="N268" s="1"/>
      <c r="O268" s="1"/>
      <c r="P268" s="1"/>
      <c r="Q268" s="1"/>
      <c r="R268" s="1"/>
      <c r="S268" s="1"/>
      <c r="T268" s="1"/>
      <c r="U268" s="1"/>
      <c r="V268" s="1"/>
      <c r="W268" s="1"/>
      <c r="X268" s="1"/>
    </row>
    <row r="269">
      <c r="A269" s="1"/>
      <c r="B269" s="1"/>
      <c r="C269" s="2"/>
      <c r="D269" s="1"/>
      <c r="E269" s="1"/>
      <c r="F269" s="1"/>
      <c r="G269" s="1"/>
      <c r="H269" s="2"/>
      <c r="I269" s="2"/>
      <c r="J269" s="1"/>
      <c r="K269" s="1"/>
      <c r="L269" s="1"/>
      <c r="M269" s="1"/>
      <c r="N269" s="1"/>
      <c r="O269" s="1"/>
      <c r="P269" s="1"/>
      <c r="Q269" s="1"/>
      <c r="R269" s="1"/>
      <c r="S269" s="1"/>
      <c r="T269" s="1"/>
      <c r="U269" s="1"/>
      <c r="V269" s="1"/>
      <c r="W269" s="1"/>
      <c r="X269" s="1"/>
    </row>
    <row r="270">
      <c r="A270" s="1"/>
      <c r="B270" s="1"/>
      <c r="C270" s="2"/>
      <c r="D270" s="1"/>
      <c r="E270" s="1"/>
      <c r="F270" s="1"/>
      <c r="G270" s="1"/>
      <c r="H270" s="2"/>
      <c r="I270" s="2"/>
      <c r="J270" s="1"/>
      <c r="K270" s="1"/>
      <c r="L270" s="1"/>
      <c r="M270" s="1"/>
      <c r="N270" s="1"/>
      <c r="O270" s="1"/>
      <c r="P270" s="1"/>
      <c r="Q270" s="1"/>
      <c r="R270" s="1"/>
      <c r="S270" s="1"/>
      <c r="T270" s="1"/>
      <c r="U270" s="1"/>
      <c r="V270" s="1"/>
      <c r="W270" s="1"/>
      <c r="X270" s="1"/>
    </row>
    <row r="271">
      <c r="A271" s="1"/>
      <c r="B271" s="1"/>
      <c r="C271" s="2"/>
      <c r="D271" s="1"/>
      <c r="E271" s="1"/>
      <c r="F271" s="1"/>
      <c r="G271" s="1"/>
      <c r="H271" s="2"/>
      <c r="I271" s="2"/>
      <c r="J271" s="1"/>
      <c r="K271" s="1"/>
      <c r="L271" s="1"/>
      <c r="M271" s="1"/>
      <c r="N271" s="1"/>
      <c r="O271" s="1"/>
      <c r="P271" s="1"/>
      <c r="Q271" s="1"/>
      <c r="R271" s="1"/>
      <c r="S271" s="1"/>
      <c r="T271" s="1"/>
      <c r="U271" s="1"/>
      <c r="V271" s="1"/>
      <c r="W271" s="1"/>
      <c r="X271" s="1"/>
    </row>
    <row r="272">
      <c r="A272" s="1"/>
      <c r="B272" s="1"/>
      <c r="C272" s="2"/>
      <c r="D272" s="1"/>
      <c r="E272" s="1"/>
      <c r="F272" s="1"/>
      <c r="G272" s="1"/>
      <c r="H272" s="2"/>
      <c r="I272" s="2"/>
      <c r="J272" s="1"/>
      <c r="K272" s="1"/>
      <c r="L272" s="1"/>
      <c r="M272" s="1"/>
      <c r="N272" s="1"/>
      <c r="O272" s="1"/>
      <c r="P272" s="1"/>
      <c r="Q272" s="1"/>
      <c r="R272" s="1"/>
      <c r="S272" s="1"/>
      <c r="T272" s="1"/>
      <c r="U272" s="1"/>
      <c r="V272" s="1"/>
      <c r="W272" s="1"/>
      <c r="X272" s="1"/>
    </row>
    <row r="273">
      <c r="A273" s="1"/>
      <c r="B273" s="1"/>
      <c r="C273" s="2"/>
      <c r="D273" s="1"/>
      <c r="E273" s="1"/>
      <c r="F273" s="1"/>
      <c r="G273" s="1"/>
      <c r="H273" s="2"/>
      <c r="I273" s="2"/>
      <c r="J273" s="1"/>
      <c r="K273" s="1"/>
      <c r="L273" s="1"/>
      <c r="M273" s="1"/>
      <c r="N273" s="1"/>
      <c r="O273" s="1"/>
      <c r="P273" s="1"/>
      <c r="Q273" s="1"/>
      <c r="R273" s="1"/>
      <c r="S273" s="1"/>
      <c r="T273" s="1"/>
      <c r="U273" s="1"/>
      <c r="V273" s="1"/>
      <c r="W273" s="1"/>
      <c r="X273" s="1"/>
    </row>
    <row r="274">
      <c r="A274" s="1"/>
      <c r="B274" s="1"/>
      <c r="C274" s="2"/>
      <c r="D274" s="1"/>
      <c r="E274" s="1"/>
      <c r="F274" s="1"/>
      <c r="G274" s="1"/>
      <c r="H274" s="2"/>
      <c r="I274" s="2"/>
      <c r="J274" s="1"/>
      <c r="K274" s="1"/>
      <c r="L274" s="1"/>
      <c r="M274" s="1"/>
      <c r="N274" s="1"/>
      <c r="O274" s="1"/>
      <c r="P274" s="1"/>
      <c r="Q274" s="1"/>
      <c r="R274" s="1"/>
      <c r="S274" s="1"/>
      <c r="T274" s="1"/>
      <c r="U274" s="1"/>
      <c r="V274" s="1"/>
      <c r="W274" s="1"/>
      <c r="X274" s="1"/>
    </row>
    <row r="275">
      <c r="A275" s="1"/>
      <c r="B275" s="1"/>
      <c r="C275" s="2"/>
      <c r="D275" s="1"/>
      <c r="E275" s="1"/>
      <c r="F275" s="1"/>
      <c r="G275" s="1"/>
      <c r="H275" s="2"/>
      <c r="I275" s="2"/>
      <c r="J275" s="1"/>
      <c r="K275" s="1"/>
      <c r="L275" s="1"/>
      <c r="M275" s="1"/>
      <c r="N275" s="1"/>
      <c r="O275" s="1"/>
      <c r="P275" s="1"/>
      <c r="Q275" s="1"/>
      <c r="R275" s="1"/>
      <c r="S275" s="1"/>
      <c r="T275" s="1"/>
      <c r="U275" s="1"/>
      <c r="V275" s="1"/>
      <c r="W275" s="1"/>
      <c r="X275" s="1"/>
    </row>
    <row r="276">
      <c r="A276" s="1"/>
      <c r="B276" s="1"/>
      <c r="C276" s="2"/>
      <c r="D276" s="1"/>
      <c r="E276" s="1"/>
      <c r="F276" s="1"/>
      <c r="G276" s="1"/>
      <c r="H276" s="2"/>
      <c r="I276" s="2"/>
      <c r="J276" s="1"/>
      <c r="K276" s="1"/>
      <c r="L276" s="1"/>
      <c r="M276" s="1"/>
      <c r="N276" s="1"/>
      <c r="O276" s="1"/>
      <c r="P276" s="1"/>
      <c r="Q276" s="1"/>
      <c r="R276" s="1"/>
      <c r="S276" s="1"/>
      <c r="T276" s="1"/>
      <c r="U276" s="1"/>
      <c r="V276" s="1"/>
      <c r="W276" s="1"/>
      <c r="X276" s="1"/>
    </row>
    <row r="277">
      <c r="A277" s="1"/>
      <c r="B277" s="1"/>
      <c r="C277" s="2"/>
      <c r="D277" s="1"/>
      <c r="E277" s="1"/>
      <c r="F277" s="1"/>
      <c r="G277" s="1"/>
      <c r="H277" s="2"/>
      <c r="I277" s="2"/>
      <c r="J277" s="1"/>
      <c r="K277" s="1"/>
      <c r="L277" s="1"/>
      <c r="M277" s="1"/>
      <c r="N277" s="1"/>
      <c r="O277" s="1"/>
      <c r="P277" s="1"/>
      <c r="Q277" s="1"/>
      <c r="R277" s="1"/>
      <c r="S277" s="1"/>
      <c r="T277" s="1"/>
      <c r="U277" s="1"/>
      <c r="V277" s="1"/>
      <c r="W277" s="1"/>
      <c r="X277" s="1"/>
    </row>
    <row r="278">
      <c r="A278" s="1"/>
      <c r="B278" s="1"/>
      <c r="C278" s="2"/>
      <c r="D278" s="1"/>
      <c r="E278" s="1"/>
      <c r="F278" s="1"/>
      <c r="G278" s="1"/>
      <c r="H278" s="2"/>
      <c r="I278" s="2"/>
      <c r="J278" s="1"/>
      <c r="K278" s="1"/>
      <c r="L278" s="1"/>
      <c r="M278" s="1"/>
      <c r="N278" s="1"/>
      <c r="O278" s="1"/>
      <c r="P278" s="1"/>
      <c r="Q278" s="1"/>
      <c r="R278" s="1"/>
      <c r="S278" s="1"/>
      <c r="T278" s="1"/>
      <c r="U278" s="1"/>
      <c r="V278" s="1"/>
      <c r="W278" s="1"/>
      <c r="X278" s="1"/>
    </row>
    <row r="279">
      <c r="A279" s="1"/>
      <c r="B279" s="1"/>
      <c r="C279" s="2"/>
      <c r="D279" s="1"/>
      <c r="E279" s="1"/>
      <c r="F279" s="1"/>
      <c r="G279" s="1"/>
      <c r="H279" s="2"/>
      <c r="I279" s="2"/>
      <c r="J279" s="1"/>
      <c r="K279" s="1"/>
      <c r="L279" s="1"/>
      <c r="M279" s="1"/>
      <c r="N279" s="1"/>
      <c r="O279" s="1"/>
      <c r="P279" s="1"/>
      <c r="Q279" s="1"/>
      <c r="R279" s="1"/>
      <c r="S279" s="1"/>
      <c r="T279" s="1"/>
      <c r="U279" s="1"/>
      <c r="V279" s="1"/>
      <c r="W279" s="1"/>
      <c r="X279" s="1"/>
    </row>
    <row r="280">
      <c r="A280" s="1"/>
      <c r="B280" s="1"/>
      <c r="C280" s="2"/>
      <c r="D280" s="1"/>
      <c r="E280" s="1"/>
      <c r="F280" s="1"/>
      <c r="G280" s="1"/>
      <c r="H280" s="2"/>
      <c r="I280" s="2"/>
      <c r="J280" s="1"/>
      <c r="K280" s="1"/>
      <c r="L280" s="1"/>
      <c r="M280" s="1"/>
      <c r="N280" s="1"/>
      <c r="O280" s="1"/>
      <c r="P280" s="1"/>
      <c r="Q280" s="1"/>
      <c r="R280" s="1"/>
      <c r="S280" s="1"/>
      <c r="T280" s="1"/>
      <c r="U280" s="1"/>
      <c r="V280" s="1"/>
      <c r="W280" s="1"/>
      <c r="X280" s="1"/>
    </row>
    <row r="281">
      <c r="A281" s="1"/>
      <c r="B281" s="1"/>
      <c r="C281" s="2"/>
      <c r="D281" s="1"/>
      <c r="E281" s="1"/>
      <c r="F281" s="1"/>
      <c r="G281" s="1"/>
      <c r="H281" s="2"/>
      <c r="I281" s="2"/>
      <c r="J281" s="1"/>
      <c r="K281" s="1"/>
      <c r="L281" s="1"/>
      <c r="M281" s="1"/>
      <c r="N281" s="1"/>
      <c r="O281" s="1"/>
      <c r="P281" s="1"/>
      <c r="Q281" s="1"/>
      <c r="R281" s="1"/>
      <c r="S281" s="1"/>
      <c r="T281" s="1"/>
      <c r="U281" s="1"/>
      <c r="V281" s="1"/>
      <c r="W281" s="1"/>
      <c r="X281" s="1"/>
    </row>
    <row r="282">
      <c r="A282" s="1"/>
      <c r="B282" s="1"/>
      <c r="C282" s="2"/>
      <c r="D282" s="1"/>
      <c r="E282" s="1"/>
      <c r="F282" s="1"/>
      <c r="G282" s="1"/>
      <c r="H282" s="2"/>
      <c r="I282" s="2"/>
      <c r="J282" s="1"/>
      <c r="K282" s="1"/>
      <c r="L282" s="1"/>
      <c r="M282" s="1"/>
      <c r="N282" s="1"/>
      <c r="O282" s="1"/>
      <c r="P282" s="1"/>
      <c r="Q282" s="1"/>
      <c r="R282" s="1"/>
      <c r="S282" s="1"/>
      <c r="T282" s="1"/>
      <c r="U282" s="1"/>
      <c r="V282" s="1"/>
      <c r="W282" s="1"/>
      <c r="X282" s="1"/>
    </row>
    <row r="283">
      <c r="A283" s="1"/>
      <c r="B283" s="1"/>
      <c r="C283" s="2"/>
      <c r="D283" s="1"/>
      <c r="E283" s="1"/>
      <c r="F283" s="1"/>
      <c r="G283" s="1"/>
      <c r="H283" s="2"/>
      <c r="I283" s="2"/>
      <c r="J283" s="1"/>
      <c r="K283" s="1"/>
      <c r="L283" s="1"/>
      <c r="M283" s="1"/>
      <c r="N283" s="1"/>
      <c r="O283" s="1"/>
      <c r="P283" s="1"/>
      <c r="Q283" s="1"/>
      <c r="R283" s="1"/>
      <c r="S283" s="1"/>
      <c r="T283" s="1"/>
      <c r="U283" s="1"/>
      <c r="V283" s="1"/>
      <c r="W283" s="1"/>
      <c r="X283" s="1"/>
    </row>
    <row r="284">
      <c r="A284" s="1"/>
      <c r="B284" s="1"/>
      <c r="C284" s="2"/>
      <c r="D284" s="1"/>
      <c r="E284" s="1"/>
      <c r="F284" s="1"/>
      <c r="G284" s="1"/>
      <c r="H284" s="2"/>
      <c r="I284" s="2"/>
      <c r="J284" s="1"/>
      <c r="K284" s="1"/>
      <c r="L284" s="1"/>
      <c r="M284" s="1"/>
      <c r="N284" s="1"/>
      <c r="O284" s="1"/>
      <c r="P284" s="1"/>
      <c r="Q284" s="1"/>
      <c r="R284" s="1"/>
      <c r="S284" s="1"/>
      <c r="T284" s="1"/>
      <c r="U284" s="1"/>
      <c r="V284" s="1"/>
      <c r="W284" s="1"/>
      <c r="X284" s="1"/>
    </row>
    <row r="285">
      <c r="A285" s="1"/>
      <c r="B285" s="1"/>
      <c r="C285" s="2"/>
      <c r="D285" s="1"/>
      <c r="E285" s="1"/>
      <c r="F285" s="1"/>
      <c r="G285" s="1"/>
      <c r="H285" s="2"/>
      <c r="I285" s="2"/>
      <c r="J285" s="1"/>
      <c r="K285" s="1"/>
      <c r="L285" s="1"/>
      <c r="M285" s="1"/>
      <c r="N285" s="1"/>
      <c r="O285" s="1"/>
      <c r="P285" s="1"/>
      <c r="Q285" s="1"/>
      <c r="R285" s="1"/>
      <c r="S285" s="1"/>
      <c r="T285" s="1"/>
      <c r="U285" s="1"/>
      <c r="V285" s="1"/>
      <c r="W285" s="1"/>
      <c r="X285" s="1"/>
    </row>
    <row r="286">
      <c r="A286" s="1"/>
      <c r="B286" s="1"/>
      <c r="C286" s="2"/>
      <c r="D286" s="1"/>
      <c r="E286" s="1"/>
      <c r="F286" s="1"/>
      <c r="G286" s="1"/>
      <c r="H286" s="2"/>
      <c r="I286" s="2"/>
      <c r="J286" s="1"/>
      <c r="K286" s="1"/>
      <c r="L286" s="1"/>
      <c r="M286" s="1"/>
      <c r="N286" s="1"/>
      <c r="O286" s="1"/>
      <c r="P286" s="1"/>
      <c r="Q286" s="1"/>
      <c r="R286" s="1"/>
      <c r="S286" s="1"/>
      <c r="T286" s="1"/>
      <c r="U286" s="1"/>
      <c r="V286" s="1"/>
      <c r="W286" s="1"/>
      <c r="X286" s="1"/>
    </row>
    <row r="287">
      <c r="A287" s="1"/>
      <c r="B287" s="1"/>
      <c r="C287" s="2"/>
      <c r="D287" s="1"/>
      <c r="E287" s="1"/>
      <c r="F287" s="1"/>
      <c r="G287" s="1"/>
      <c r="H287" s="2"/>
      <c r="I287" s="2"/>
      <c r="J287" s="1"/>
      <c r="K287" s="1"/>
      <c r="L287" s="1"/>
      <c r="M287" s="1"/>
      <c r="N287" s="1"/>
      <c r="O287" s="1"/>
      <c r="P287" s="1"/>
      <c r="Q287" s="1"/>
      <c r="R287" s="1"/>
      <c r="S287" s="1"/>
      <c r="T287" s="1"/>
      <c r="U287" s="1"/>
      <c r="V287" s="1"/>
      <c r="W287" s="1"/>
      <c r="X287" s="1"/>
    </row>
    <row r="288">
      <c r="A288" s="1"/>
      <c r="B288" s="1"/>
      <c r="C288" s="2"/>
      <c r="D288" s="1"/>
      <c r="E288" s="1"/>
      <c r="F288" s="1"/>
      <c r="G288" s="1"/>
      <c r="H288" s="2"/>
      <c r="I288" s="2"/>
      <c r="J288" s="1"/>
      <c r="K288" s="1"/>
      <c r="L288" s="1"/>
      <c r="M288" s="1"/>
      <c r="N288" s="1"/>
      <c r="O288" s="1"/>
      <c r="P288" s="1"/>
      <c r="Q288" s="1"/>
      <c r="R288" s="1"/>
      <c r="S288" s="1"/>
      <c r="T288" s="1"/>
      <c r="U288" s="1"/>
      <c r="V288" s="1"/>
      <c r="W288" s="1"/>
      <c r="X288" s="1"/>
    </row>
    <row r="289">
      <c r="A289" s="1"/>
      <c r="B289" s="1"/>
      <c r="C289" s="2"/>
      <c r="D289" s="1"/>
      <c r="E289" s="1"/>
      <c r="F289" s="1"/>
      <c r="G289" s="1"/>
      <c r="H289" s="2"/>
      <c r="I289" s="2"/>
      <c r="J289" s="1"/>
      <c r="K289" s="1"/>
      <c r="L289" s="1"/>
      <c r="M289" s="1"/>
      <c r="N289" s="1"/>
      <c r="O289" s="1"/>
      <c r="P289" s="1"/>
      <c r="Q289" s="1"/>
      <c r="R289" s="1"/>
      <c r="S289" s="1"/>
      <c r="T289" s="1"/>
      <c r="U289" s="1"/>
      <c r="V289" s="1"/>
      <c r="W289" s="1"/>
      <c r="X289" s="1"/>
    </row>
    <row r="290">
      <c r="A290" s="1"/>
      <c r="B290" s="1"/>
      <c r="C290" s="2"/>
      <c r="D290" s="1"/>
      <c r="E290" s="1"/>
      <c r="F290" s="1"/>
      <c r="G290" s="1"/>
      <c r="H290" s="2"/>
      <c r="I290" s="2"/>
      <c r="J290" s="1"/>
      <c r="K290" s="1"/>
      <c r="L290" s="1"/>
      <c r="M290" s="1"/>
      <c r="N290" s="1"/>
      <c r="O290" s="1"/>
      <c r="P290" s="1"/>
      <c r="Q290" s="1"/>
      <c r="R290" s="1"/>
      <c r="S290" s="1"/>
      <c r="T290" s="1"/>
      <c r="U290" s="1"/>
      <c r="V290" s="1"/>
      <c r="W290" s="1"/>
      <c r="X290" s="1"/>
    </row>
    <row r="291">
      <c r="A291" s="1"/>
      <c r="B291" s="1"/>
      <c r="C291" s="2"/>
      <c r="D291" s="1"/>
      <c r="E291" s="1"/>
      <c r="F291" s="1"/>
      <c r="G291" s="1"/>
      <c r="H291" s="2"/>
      <c r="I291" s="2"/>
      <c r="J291" s="1"/>
      <c r="K291" s="1"/>
      <c r="L291" s="1"/>
      <c r="M291" s="1"/>
      <c r="N291" s="1"/>
      <c r="O291" s="1"/>
      <c r="P291" s="1"/>
      <c r="Q291" s="1"/>
      <c r="R291" s="1"/>
      <c r="S291" s="1"/>
      <c r="T291" s="1"/>
      <c r="U291" s="1"/>
      <c r="V291" s="1"/>
      <c r="W291" s="1"/>
      <c r="X291" s="1"/>
    </row>
    <row r="292">
      <c r="A292" s="1"/>
      <c r="B292" s="1"/>
      <c r="C292" s="2"/>
      <c r="D292" s="1"/>
      <c r="E292" s="1"/>
      <c r="F292" s="1"/>
      <c r="G292" s="1"/>
      <c r="H292" s="2"/>
      <c r="I292" s="2"/>
      <c r="J292" s="1"/>
      <c r="K292" s="1"/>
      <c r="L292" s="1"/>
      <c r="M292" s="1"/>
      <c r="N292" s="1"/>
      <c r="O292" s="1"/>
      <c r="P292" s="1"/>
      <c r="Q292" s="1"/>
      <c r="R292" s="1"/>
      <c r="S292" s="1"/>
      <c r="T292" s="1"/>
      <c r="U292" s="1"/>
      <c r="V292" s="1"/>
      <c r="W292" s="1"/>
      <c r="X292" s="1"/>
    </row>
    <row r="293">
      <c r="A293" s="1"/>
      <c r="B293" s="1"/>
      <c r="C293" s="2"/>
      <c r="D293" s="1"/>
      <c r="E293" s="1"/>
      <c r="F293" s="1"/>
      <c r="G293" s="1"/>
      <c r="H293" s="2"/>
      <c r="I293" s="2"/>
      <c r="J293" s="1"/>
      <c r="K293" s="1"/>
      <c r="L293" s="1"/>
      <c r="M293" s="1"/>
      <c r="N293" s="1"/>
      <c r="O293" s="1"/>
      <c r="P293" s="1"/>
      <c r="Q293" s="1"/>
      <c r="R293" s="1"/>
      <c r="S293" s="1"/>
      <c r="T293" s="1"/>
      <c r="U293" s="1"/>
      <c r="V293" s="1"/>
      <c r="W293" s="1"/>
      <c r="X293" s="1"/>
    </row>
    <row r="294">
      <c r="A294" s="1"/>
      <c r="B294" s="1"/>
      <c r="C294" s="2"/>
      <c r="D294" s="1"/>
      <c r="E294" s="1"/>
      <c r="F294" s="1"/>
      <c r="G294" s="1"/>
      <c r="H294" s="2"/>
      <c r="I294" s="2"/>
      <c r="J294" s="1"/>
      <c r="K294" s="1"/>
      <c r="L294" s="1"/>
      <c r="M294" s="1"/>
      <c r="N294" s="1"/>
      <c r="O294" s="1"/>
      <c r="P294" s="1"/>
      <c r="Q294" s="1"/>
      <c r="R294" s="1"/>
      <c r="S294" s="1"/>
      <c r="T294" s="1"/>
      <c r="U294" s="1"/>
      <c r="V294" s="1"/>
      <c r="W294" s="1"/>
      <c r="X294" s="1"/>
    </row>
    <row r="295">
      <c r="A295" s="1"/>
      <c r="B295" s="1"/>
      <c r="C295" s="2"/>
      <c r="D295" s="1"/>
      <c r="E295" s="1"/>
      <c r="F295" s="1"/>
      <c r="G295" s="1"/>
      <c r="H295" s="2"/>
      <c r="I295" s="2"/>
      <c r="J295" s="1"/>
      <c r="K295" s="1"/>
      <c r="L295" s="1"/>
      <c r="M295" s="1"/>
      <c r="N295" s="1"/>
      <c r="O295" s="1"/>
      <c r="P295" s="1"/>
      <c r="Q295" s="1"/>
      <c r="R295" s="1"/>
      <c r="S295" s="1"/>
      <c r="T295" s="1"/>
      <c r="U295" s="1"/>
      <c r="V295" s="1"/>
      <c r="W295" s="1"/>
      <c r="X295" s="1"/>
    </row>
    <row r="296">
      <c r="A296" s="1"/>
      <c r="B296" s="1"/>
      <c r="C296" s="2"/>
      <c r="D296" s="1"/>
      <c r="E296" s="1"/>
      <c r="F296" s="1"/>
      <c r="G296" s="1"/>
      <c r="H296" s="2"/>
      <c r="I296" s="2"/>
      <c r="J296" s="1"/>
      <c r="K296" s="1"/>
      <c r="L296" s="1"/>
      <c r="M296" s="1"/>
      <c r="N296" s="1"/>
      <c r="O296" s="1"/>
      <c r="P296" s="1"/>
      <c r="Q296" s="1"/>
      <c r="R296" s="1"/>
      <c r="S296" s="1"/>
      <c r="T296" s="1"/>
      <c r="U296" s="1"/>
      <c r="V296" s="1"/>
      <c r="W296" s="1"/>
      <c r="X296" s="1"/>
    </row>
    <row r="297">
      <c r="A297" s="1"/>
      <c r="B297" s="1"/>
      <c r="C297" s="2"/>
      <c r="D297" s="1"/>
      <c r="E297" s="1"/>
      <c r="F297" s="1"/>
      <c r="G297" s="1"/>
      <c r="H297" s="2"/>
      <c r="I297" s="2"/>
      <c r="J297" s="1"/>
      <c r="K297" s="1"/>
      <c r="L297" s="1"/>
      <c r="M297" s="1"/>
      <c r="N297" s="1"/>
      <c r="O297" s="1"/>
      <c r="P297" s="1"/>
      <c r="Q297" s="1"/>
      <c r="R297" s="1"/>
      <c r="S297" s="1"/>
      <c r="T297" s="1"/>
      <c r="U297" s="1"/>
      <c r="V297" s="1"/>
      <c r="W297" s="1"/>
      <c r="X297" s="1"/>
    </row>
    <row r="298">
      <c r="A298" s="1"/>
      <c r="B298" s="1"/>
      <c r="C298" s="2"/>
      <c r="D298" s="1"/>
      <c r="E298" s="1"/>
      <c r="F298" s="1"/>
      <c r="G298" s="1"/>
      <c r="H298" s="2"/>
      <c r="I298" s="2"/>
      <c r="J298" s="1"/>
      <c r="K298" s="1"/>
      <c r="L298" s="1"/>
      <c r="M298" s="1"/>
      <c r="N298" s="1"/>
      <c r="O298" s="1"/>
      <c r="P298" s="1"/>
      <c r="Q298" s="1"/>
      <c r="R298" s="1"/>
      <c r="S298" s="1"/>
      <c r="T298" s="1"/>
      <c r="U298" s="1"/>
      <c r="V298" s="1"/>
      <c r="W298" s="1"/>
      <c r="X298" s="1"/>
    </row>
    <row r="299">
      <c r="A299" s="1"/>
      <c r="B299" s="1"/>
      <c r="C299" s="2"/>
      <c r="D299" s="1"/>
      <c r="E299" s="1"/>
      <c r="F299" s="1"/>
      <c r="G299" s="1"/>
      <c r="H299" s="2"/>
      <c r="I299" s="2"/>
      <c r="J299" s="1"/>
      <c r="K299" s="1"/>
      <c r="L299" s="1"/>
      <c r="M299" s="1"/>
      <c r="N299" s="1"/>
      <c r="O299" s="1"/>
      <c r="P299" s="1"/>
      <c r="Q299" s="1"/>
      <c r="R299" s="1"/>
      <c r="S299" s="1"/>
      <c r="T299" s="1"/>
      <c r="U299" s="1"/>
      <c r="V299" s="1"/>
      <c r="W299" s="1"/>
      <c r="X299" s="1"/>
    </row>
    <row r="300">
      <c r="A300" s="1"/>
      <c r="B300" s="1"/>
      <c r="C300" s="2"/>
      <c r="D300" s="1"/>
      <c r="E300" s="1"/>
      <c r="F300" s="1"/>
      <c r="G300" s="1"/>
      <c r="H300" s="2"/>
      <c r="I300" s="2"/>
      <c r="J300" s="1"/>
      <c r="K300" s="1"/>
      <c r="L300" s="1"/>
      <c r="M300" s="1"/>
      <c r="N300" s="1"/>
      <c r="O300" s="1"/>
      <c r="P300" s="1"/>
      <c r="Q300" s="1"/>
      <c r="R300" s="1"/>
      <c r="S300" s="1"/>
      <c r="T300" s="1"/>
      <c r="U300" s="1"/>
      <c r="V300" s="1"/>
      <c r="W300" s="1"/>
      <c r="X300" s="1"/>
    </row>
    <row r="301">
      <c r="A301" s="1"/>
      <c r="B301" s="1"/>
      <c r="C301" s="2"/>
      <c r="D301" s="1"/>
      <c r="E301" s="1"/>
      <c r="F301" s="1"/>
      <c r="G301" s="1"/>
      <c r="H301" s="2"/>
      <c r="I301" s="2"/>
      <c r="J301" s="1"/>
      <c r="K301" s="1"/>
      <c r="L301" s="1"/>
      <c r="M301" s="1"/>
      <c r="N301" s="1"/>
      <c r="O301" s="1"/>
      <c r="P301" s="1"/>
      <c r="Q301" s="1"/>
      <c r="R301" s="1"/>
      <c r="S301" s="1"/>
      <c r="T301" s="1"/>
      <c r="U301" s="1"/>
      <c r="V301" s="1"/>
      <c r="W301" s="1"/>
      <c r="X301" s="1"/>
    </row>
    <row r="302">
      <c r="A302" s="1"/>
      <c r="B302" s="1"/>
      <c r="C302" s="2"/>
      <c r="D302" s="1"/>
      <c r="E302" s="1"/>
      <c r="F302" s="1"/>
      <c r="G302" s="1"/>
      <c r="H302" s="2"/>
      <c r="I302" s="2"/>
      <c r="J302" s="1"/>
      <c r="K302" s="1"/>
      <c r="L302" s="1"/>
      <c r="M302" s="1"/>
      <c r="N302" s="1"/>
      <c r="O302" s="1"/>
      <c r="P302" s="1"/>
      <c r="Q302" s="1"/>
      <c r="R302" s="1"/>
      <c r="S302" s="1"/>
      <c r="T302" s="1"/>
      <c r="U302" s="1"/>
      <c r="V302" s="1"/>
      <c r="W302" s="1"/>
      <c r="X302" s="1"/>
    </row>
    <row r="303">
      <c r="A303" s="1"/>
      <c r="B303" s="1"/>
      <c r="C303" s="2"/>
      <c r="D303" s="1"/>
      <c r="E303" s="1"/>
      <c r="F303" s="1"/>
      <c r="G303" s="1"/>
      <c r="H303" s="2"/>
      <c r="I303" s="2"/>
      <c r="J303" s="1"/>
      <c r="K303" s="1"/>
      <c r="L303" s="1"/>
      <c r="M303" s="1"/>
      <c r="N303" s="1"/>
      <c r="O303" s="1"/>
      <c r="P303" s="1"/>
      <c r="Q303" s="1"/>
      <c r="R303" s="1"/>
      <c r="S303" s="1"/>
      <c r="T303" s="1"/>
      <c r="U303" s="1"/>
      <c r="V303" s="1"/>
      <c r="W303" s="1"/>
      <c r="X303" s="1"/>
    </row>
    <row r="304">
      <c r="A304" s="1"/>
      <c r="B304" s="1"/>
      <c r="C304" s="2"/>
      <c r="D304" s="1"/>
      <c r="E304" s="1"/>
      <c r="F304" s="1"/>
      <c r="G304" s="1"/>
      <c r="H304" s="2"/>
      <c r="I304" s="2"/>
      <c r="J304" s="1"/>
      <c r="K304" s="1"/>
      <c r="L304" s="1"/>
      <c r="M304" s="1"/>
      <c r="N304" s="1"/>
      <c r="O304" s="1"/>
      <c r="P304" s="1"/>
      <c r="Q304" s="1"/>
      <c r="R304" s="1"/>
      <c r="S304" s="1"/>
      <c r="T304" s="1"/>
      <c r="U304" s="1"/>
      <c r="V304" s="1"/>
      <c r="W304" s="1"/>
      <c r="X304" s="1"/>
    </row>
    <row r="305">
      <c r="A305" s="1"/>
      <c r="B305" s="1"/>
      <c r="C305" s="2"/>
      <c r="D305" s="1"/>
      <c r="E305" s="1"/>
      <c r="F305" s="1"/>
      <c r="G305" s="1"/>
      <c r="H305" s="2"/>
      <c r="I305" s="2"/>
      <c r="J305" s="1"/>
      <c r="K305" s="1"/>
      <c r="L305" s="1"/>
      <c r="M305" s="1"/>
      <c r="N305" s="1"/>
      <c r="O305" s="1"/>
      <c r="P305" s="1"/>
      <c r="Q305" s="1"/>
      <c r="R305" s="1"/>
      <c r="S305" s="1"/>
      <c r="T305" s="1"/>
      <c r="U305" s="1"/>
      <c r="V305" s="1"/>
      <c r="W305" s="1"/>
      <c r="X305" s="1"/>
    </row>
    <row r="306">
      <c r="A306" s="1"/>
      <c r="B306" s="1"/>
      <c r="C306" s="2"/>
      <c r="D306" s="1"/>
      <c r="E306" s="1"/>
      <c r="F306" s="1"/>
      <c r="G306" s="1"/>
      <c r="H306" s="2"/>
      <c r="I306" s="2"/>
      <c r="J306" s="1"/>
      <c r="K306" s="1"/>
      <c r="L306" s="1"/>
      <c r="M306" s="1"/>
      <c r="N306" s="1"/>
      <c r="O306" s="1"/>
      <c r="P306" s="1"/>
      <c r="Q306" s="1"/>
      <c r="R306" s="1"/>
      <c r="S306" s="1"/>
      <c r="T306" s="1"/>
      <c r="U306" s="1"/>
      <c r="V306" s="1"/>
      <c r="W306" s="1"/>
      <c r="X306" s="1"/>
    </row>
    <row r="307">
      <c r="A307" s="1"/>
      <c r="B307" s="1"/>
      <c r="C307" s="2"/>
      <c r="D307" s="1"/>
      <c r="E307" s="1"/>
      <c r="F307" s="1"/>
      <c r="G307" s="1"/>
      <c r="H307" s="2"/>
      <c r="I307" s="2"/>
      <c r="J307" s="1"/>
      <c r="K307" s="1"/>
      <c r="L307" s="1"/>
      <c r="M307" s="1"/>
      <c r="N307" s="1"/>
      <c r="O307" s="1"/>
      <c r="P307" s="1"/>
      <c r="Q307" s="1"/>
      <c r="R307" s="1"/>
      <c r="S307" s="1"/>
      <c r="T307" s="1"/>
      <c r="U307" s="1"/>
      <c r="V307" s="1"/>
      <c r="W307" s="1"/>
      <c r="X307" s="1"/>
    </row>
    <row r="308">
      <c r="A308" s="1"/>
      <c r="B308" s="1"/>
      <c r="C308" s="2"/>
      <c r="D308" s="1"/>
      <c r="E308" s="1"/>
      <c r="F308" s="1"/>
      <c r="G308" s="1"/>
      <c r="H308" s="2"/>
      <c r="I308" s="2"/>
      <c r="J308" s="1"/>
      <c r="K308" s="1"/>
      <c r="L308" s="1"/>
      <c r="M308" s="1"/>
      <c r="N308" s="1"/>
      <c r="O308" s="1"/>
      <c r="P308" s="1"/>
      <c r="Q308" s="1"/>
      <c r="R308" s="1"/>
      <c r="S308" s="1"/>
      <c r="T308" s="1"/>
      <c r="U308" s="1"/>
      <c r="V308" s="1"/>
      <c r="W308" s="1"/>
      <c r="X308" s="1"/>
    </row>
    <row r="309">
      <c r="A309" s="1"/>
      <c r="B309" s="1"/>
      <c r="C309" s="2"/>
      <c r="D309" s="1"/>
      <c r="E309" s="1"/>
      <c r="F309" s="1"/>
      <c r="G309" s="1"/>
      <c r="H309" s="2"/>
      <c r="I309" s="2"/>
      <c r="J309" s="1"/>
      <c r="K309" s="1"/>
      <c r="L309" s="1"/>
      <c r="M309" s="1"/>
      <c r="N309" s="1"/>
      <c r="O309" s="1"/>
      <c r="P309" s="1"/>
      <c r="Q309" s="1"/>
      <c r="R309" s="1"/>
      <c r="S309" s="1"/>
      <c r="T309" s="1"/>
      <c r="U309" s="1"/>
      <c r="V309" s="1"/>
      <c r="W309" s="1"/>
      <c r="X309" s="1"/>
    </row>
    <row r="310">
      <c r="A310" s="1"/>
      <c r="B310" s="1"/>
      <c r="C310" s="2"/>
      <c r="D310" s="1"/>
      <c r="E310" s="1"/>
      <c r="F310" s="1"/>
      <c r="G310" s="1"/>
      <c r="H310" s="2"/>
      <c r="I310" s="2"/>
      <c r="J310" s="1"/>
      <c r="K310" s="1"/>
      <c r="L310" s="1"/>
      <c r="M310" s="1"/>
      <c r="N310" s="1"/>
      <c r="O310" s="1"/>
      <c r="P310" s="1"/>
      <c r="Q310" s="1"/>
      <c r="R310" s="1"/>
      <c r="S310" s="1"/>
      <c r="T310" s="1"/>
      <c r="U310" s="1"/>
      <c r="V310" s="1"/>
      <c r="W310" s="1"/>
      <c r="X310" s="1"/>
    </row>
    <row r="311">
      <c r="A311" s="1"/>
      <c r="B311" s="1"/>
      <c r="C311" s="2"/>
      <c r="D311" s="1"/>
      <c r="E311" s="1"/>
      <c r="F311" s="1"/>
      <c r="G311" s="1"/>
      <c r="H311" s="2"/>
      <c r="I311" s="2"/>
      <c r="J311" s="1"/>
      <c r="K311" s="1"/>
      <c r="L311" s="1"/>
      <c r="M311" s="1"/>
      <c r="N311" s="1"/>
      <c r="O311" s="1"/>
      <c r="P311" s="1"/>
      <c r="Q311" s="1"/>
      <c r="R311" s="1"/>
      <c r="S311" s="1"/>
      <c r="T311" s="1"/>
      <c r="U311" s="1"/>
      <c r="V311" s="1"/>
      <c r="W311" s="1"/>
      <c r="X311" s="1"/>
    </row>
    <row r="312">
      <c r="A312" s="1"/>
      <c r="B312" s="1"/>
      <c r="C312" s="2"/>
      <c r="D312" s="1"/>
      <c r="E312" s="1"/>
      <c r="F312" s="1"/>
      <c r="G312" s="1"/>
      <c r="H312" s="2"/>
      <c r="I312" s="2"/>
      <c r="J312" s="1"/>
      <c r="K312" s="1"/>
      <c r="L312" s="1"/>
      <c r="M312" s="1"/>
      <c r="N312" s="1"/>
      <c r="O312" s="1"/>
      <c r="P312" s="1"/>
      <c r="Q312" s="1"/>
      <c r="R312" s="1"/>
      <c r="S312" s="1"/>
      <c r="T312" s="1"/>
      <c r="U312" s="1"/>
      <c r="V312" s="1"/>
      <c r="W312" s="1"/>
      <c r="X312" s="1"/>
    </row>
    <row r="313">
      <c r="A313" s="1"/>
      <c r="B313" s="1"/>
      <c r="C313" s="2"/>
      <c r="D313" s="1"/>
      <c r="E313" s="1"/>
      <c r="F313" s="1"/>
      <c r="G313" s="1"/>
      <c r="H313" s="2"/>
      <c r="I313" s="2"/>
      <c r="J313" s="1"/>
      <c r="K313" s="1"/>
      <c r="L313" s="1"/>
      <c r="M313" s="1"/>
      <c r="N313" s="1"/>
      <c r="O313" s="1"/>
      <c r="P313" s="1"/>
      <c r="Q313" s="1"/>
      <c r="R313" s="1"/>
      <c r="S313" s="1"/>
      <c r="T313" s="1"/>
      <c r="U313" s="1"/>
      <c r="V313" s="1"/>
      <c r="W313" s="1"/>
      <c r="X313" s="1"/>
    </row>
    <row r="314">
      <c r="A314" s="1"/>
      <c r="B314" s="1"/>
      <c r="C314" s="2"/>
      <c r="D314" s="1"/>
      <c r="E314" s="1"/>
      <c r="F314" s="1"/>
      <c r="G314" s="1"/>
      <c r="H314" s="2"/>
      <c r="I314" s="2"/>
      <c r="J314" s="1"/>
      <c r="K314" s="1"/>
      <c r="L314" s="1"/>
      <c r="M314" s="1"/>
      <c r="N314" s="1"/>
      <c r="O314" s="1"/>
      <c r="P314" s="1"/>
      <c r="Q314" s="1"/>
      <c r="R314" s="1"/>
      <c r="S314" s="1"/>
      <c r="T314" s="1"/>
      <c r="U314" s="1"/>
      <c r="V314" s="1"/>
      <c r="W314" s="1"/>
      <c r="X314" s="1"/>
    </row>
    <row r="315">
      <c r="A315" s="1"/>
      <c r="B315" s="1"/>
      <c r="C315" s="2"/>
      <c r="D315" s="1"/>
      <c r="E315" s="1"/>
      <c r="F315" s="1"/>
      <c r="G315" s="1"/>
      <c r="H315" s="2"/>
      <c r="I315" s="2"/>
      <c r="J315" s="1"/>
      <c r="K315" s="1"/>
      <c r="L315" s="1"/>
      <c r="M315" s="1"/>
      <c r="N315" s="1"/>
      <c r="O315" s="1"/>
      <c r="P315" s="1"/>
      <c r="Q315" s="1"/>
      <c r="R315" s="1"/>
      <c r="S315" s="1"/>
      <c r="T315" s="1"/>
      <c r="U315" s="1"/>
      <c r="V315" s="1"/>
      <c r="W315" s="1"/>
      <c r="X315" s="1"/>
    </row>
    <row r="316">
      <c r="A316" s="1"/>
      <c r="B316" s="1"/>
      <c r="C316" s="2"/>
      <c r="D316" s="1"/>
      <c r="E316" s="1"/>
      <c r="F316" s="1"/>
      <c r="G316" s="1"/>
      <c r="H316" s="2"/>
      <c r="I316" s="2"/>
      <c r="J316" s="1"/>
      <c r="K316" s="1"/>
      <c r="L316" s="1"/>
      <c r="M316" s="1"/>
      <c r="N316" s="1"/>
      <c r="O316" s="1"/>
      <c r="P316" s="1"/>
      <c r="Q316" s="1"/>
      <c r="R316" s="1"/>
      <c r="S316" s="1"/>
      <c r="T316" s="1"/>
      <c r="U316" s="1"/>
      <c r="V316" s="1"/>
      <c r="W316" s="1"/>
      <c r="X316" s="1"/>
    </row>
    <row r="317">
      <c r="A317" s="1"/>
      <c r="B317" s="1"/>
      <c r="C317" s="2"/>
      <c r="D317" s="1"/>
      <c r="E317" s="1"/>
      <c r="F317" s="1"/>
      <c r="G317" s="1"/>
      <c r="H317" s="2"/>
      <c r="I317" s="2"/>
      <c r="J317" s="1"/>
      <c r="K317" s="1"/>
      <c r="L317" s="1"/>
      <c r="M317" s="1"/>
      <c r="N317" s="1"/>
      <c r="O317" s="1"/>
      <c r="P317" s="1"/>
      <c r="Q317" s="1"/>
      <c r="R317" s="1"/>
      <c r="S317" s="1"/>
      <c r="T317" s="1"/>
      <c r="U317" s="1"/>
      <c r="V317" s="1"/>
      <c r="W317" s="1"/>
      <c r="X317" s="1"/>
    </row>
    <row r="318">
      <c r="A318" s="1"/>
      <c r="B318" s="1"/>
      <c r="C318" s="2"/>
      <c r="D318" s="1"/>
      <c r="E318" s="1"/>
      <c r="F318" s="1"/>
      <c r="G318" s="1"/>
      <c r="H318" s="2"/>
      <c r="I318" s="2"/>
      <c r="J318" s="1"/>
      <c r="K318" s="1"/>
      <c r="L318" s="1"/>
      <c r="M318" s="1"/>
      <c r="N318" s="1"/>
      <c r="O318" s="1"/>
      <c r="P318" s="1"/>
      <c r="Q318" s="1"/>
      <c r="R318" s="1"/>
      <c r="S318" s="1"/>
      <c r="T318" s="1"/>
      <c r="U318" s="1"/>
      <c r="V318" s="1"/>
      <c r="W318" s="1"/>
      <c r="X318" s="1"/>
    </row>
    <row r="319">
      <c r="A319" s="1"/>
      <c r="B319" s="1"/>
      <c r="C319" s="2"/>
      <c r="D319" s="1"/>
      <c r="E319" s="1"/>
      <c r="F319" s="1"/>
      <c r="G319" s="1"/>
      <c r="H319" s="2"/>
      <c r="I319" s="2"/>
      <c r="J319" s="1"/>
      <c r="K319" s="1"/>
      <c r="L319" s="1"/>
      <c r="M319" s="1"/>
      <c r="N319" s="1"/>
      <c r="O319" s="1"/>
      <c r="P319" s="1"/>
      <c r="Q319" s="1"/>
      <c r="R319" s="1"/>
      <c r="S319" s="1"/>
      <c r="T319" s="1"/>
      <c r="U319" s="1"/>
      <c r="V319" s="1"/>
      <c r="W319" s="1"/>
      <c r="X319" s="1"/>
    </row>
    <row r="320">
      <c r="A320" s="1"/>
      <c r="B320" s="1"/>
      <c r="C320" s="2"/>
      <c r="D320" s="1"/>
      <c r="E320" s="1"/>
      <c r="F320" s="1"/>
      <c r="G320" s="1"/>
      <c r="H320" s="2"/>
      <c r="I320" s="2"/>
      <c r="J320" s="1"/>
      <c r="K320" s="1"/>
      <c r="L320" s="1"/>
      <c r="M320" s="1"/>
      <c r="N320" s="1"/>
      <c r="O320" s="1"/>
      <c r="P320" s="1"/>
      <c r="Q320" s="1"/>
      <c r="R320" s="1"/>
      <c r="S320" s="1"/>
      <c r="T320" s="1"/>
      <c r="U320" s="1"/>
      <c r="V320" s="1"/>
      <c r="W320" s="1"/>
      <c r="X320" s="1"/>
    </row>
    <row r="321">
      <c r="A321" s="1"/>
      <c r="B321" s="1"/>
      <c r="C321" s="2"/>
      <c r="D321" s="1"/>
      <c r="E321" s="1"/>
      <c r="F321" s="1"/>
      <c r="G321" s="1"/>
      <c r="H321" s="2"/>
      <c r="I321" s="2"/>
      <c r="J321" s="1"/>
      <c r="K321" s="1"/>
      <c r="L321" s="1"/>
      <c r="M321" s="1"/>
      <c r="N321" s="1"/>
      <c r="O321" s="1"/>
      <c r="P321" s="1"/>
      <c r="Q321" s="1"/>
      <c r="R321" s="1"/>
      <c r="S321" s="1"/>
      <c r="T321" s="1"/>
      <c r="U321" s="1"/>
      <c r="V321" s="1"/>
      <c r="W321" s="1"/>
      <c r="X321" s="1"/>
    </row>
    <row r="322">
      <c r="A322" s="1"/>
      <c r="B322" s="1"/>
      <c r="C322" s="2"/>
      <c r="D322" s="1"/>
      <c r="E322" s="1"/>
      <c r="F322" s="1"/>
      <c r="G322" s="1"/>
      <c r="H322" s="2"/>
      <c r="I322" s="2"/>
      <c r="J322" s="1"/>
      <c r="K322" s="1"/>
      <c r="L322" s="1"/>
      <c r="M322" s="1"/>
      <c r="N322" s="1"/>
      <c r="O322" s="1"/>
      <c r="P322" s="1"/>
      <c r="Q322" s="1"/>
      <c r="R322" s="1"/>
      <c r="S322" s="1"/>
      <c r="T322" s="1"/>
      <c r="U322" s="1"/>
      <c r="V322" s="1"/>
      <c r="W322" s="1"/>
      <c r="X322" s="1"/>
    </row>
    <row r="323">
      <c r="A323" s="1"/>
      <c r="B323" s="1"/>
      <c r="C323" s="2"/>
      <c r="D323" s="1"/>
      <c r="E323" s="1"/>
      <c r="F323" s="1"/>
      <c r="G323" s="1"/>
      <c r="H323" s="2"/>
      <c r="I323" s="2"/>
      <c r="J323" s="1"/>
      <c r="K323" s="1"/>
      <c r="L323" s="1"/>
      <c r="M323" s="1"/>
      <c r="N323" s="1"/>
      <c r="O323" s="1"/>
      <c r="P323" s="1"/>
      <c r="Q323" s="1"/>
      <c r="R323" s="1"/>
      <c r="S323" s="1"/>
      <c r="T323" s="1"/>
      <c r="U323" s="1"/>
      <c r="V323" s="1"/>
      <c r="W323" s="1"/>
      <c r="X323" s="1"/>
    </row>
    <row r="324">
      <c r="A324" s="1"/>
      <c r="B324" s="1"/>
      <c r="C324" s="2"/>
      <c r="D324" s="1"/>
      <c r="E324" s="1"/>
      <c r="F324" s="1"/>
      <c r="G324" s="1"/>
      <c r="H324" s="2"/>
      <c r="I324" s="2"/>
      <c r="J324" s="1"/>
      <c r="K324" s="1"/>
      <c r="L324" s="1"/>
      <c r="M324" s="1"/>
      <c r="N324" s="1"/>
      <c r="O324" s="1"/>
      <c r="P324" s="1"/>
      <c r="Q324" s="1"/>
      <c r="R324" s="1"/>
      <c r="S324" s="1"/>
      <c r="T324" s="1"/>
      <c r="U324" s="1"/>
      <c r="V324" s="1"/>
      <c r="W324" s="1"/>
      <c r="X324" s="1"/>
    </row>
    <row r="325">
      <c r="A325" s="1"/>
      <c r="B325" s="1"/>
      <c r="C325" s="2"/>
      <c r="D325" s="1"/>
      <c r="E325" s="1"/>
      <c r="F325" s="1"/>
      <c r="G325" s="1"/>
      <c r="H325" s="2"/>
      <c r="I325" s="2"/>
      <c r="J325" s="1"/>
      <c r="K325" s="1"/>
      <c r="L325" s="1"/>
      <c r="M325" s="1"/>
      <c r="N325" s="1"/>
      <c r="O325" s="1"/>
      <c r="P325" s="1"/>
      <c r="Q325" s="1"/>
      <c r="R325" s="1"/>
      <c r="S325" s="1"/>
      <c r="T325" s="1"/>
      <c r="U325" s="1"/>
      <c r="V325" s="1"/>
      <c r="W325" s="1"/>
      <c r="X325" s="1"/>
    </row>
    <row r="326">
      <c r="A326" s="1"/>
      <c r="B326" s="1"/>
      <c r="C326" s="2"/>
      <c r="D326" s="1"/>
      <c r="E326" s="1"/>
      <c r="F326" s="1"/>
      <c r="G326" s="1"/>
      <c r="H326" s="2"/>
      <c r="I326" s="2"/>
      <c r="J326" s="1"/>
      <c r="K326" s="1"/>
      <c r="L326" s="1"/>
      <c r="M326" s="1"/>
      <c r="N326" s="1"/>
      <c r="O326" s="1"/>
      <c r="P326" s="1"/>
      <c r="Q326" s="1"/>
      <c r="R326" s="1"/>
      <c r="S326" s="1"/>
      <c r="T326" s="1"/>
      <c r="U326" s="1"/>
      <c r="V326" s="1"/>
      <c r="W326" s="1"/>
      <c r="X326" s="1"/>
    </row>
    <row r="327">
      <c r="A327" s="1"/>
      <c r="B327" s="1"/>
      <c r="C327" s="2"/>
      <c r="D327" s="1"/>
      <c r="E327" s="1"/>
      <c r="F327" s="1"/>
      <c r="G327" s="1"/>
      <c r="H327" s="2"/>
      <c r="I327" s="2"/>
      <c r="J327" s="1"/>
      <c r="K327" s="1"/>
      <c r="L327" s="1"/>
      <c r="M327" s="1"/>
      <c r="N327" s="1"/>
      <c r="O327" s="1"/>
      <c r="P327" s="1"/>
      <c r="Q327" s="1"/>
      <c r="R327" s="1"/>
      <c r="S327" s="1"/>
      <c r="T327" s="1"/>
      <c r="U327" s="1"/>
      <c r="V327" s="1"/>
      <c r="W327" s="1"/>
      <c r="X327" s="1"/>
    </row>
    <row r="328">
      <c r="A328" s="1"/>
      <c r="B328" s="1"/>
      <c r="C328" s="2"/>
      <c r="D328" s="1"/>
      <c r="E328" s="1"/>
      <c r="F328" s="1"/>
      <c r="G328" s="1"/>
      <c r="H328" s="2"/>
      <c r="I328" s="2"/>
      <c r="J328" s="1"/>
      <c r="K328" s="1"/>
      <c r="L328" s="1"/>
      <c r="M328" s="1"/>
      <c r="N328" s="1"/>
      <c r="O328" s="1"/>
      <c r="P328" s="1"/>
      <c r="Q328" s="1"/>
      <c r="R328" s="1"/>
      <c r="S328" s="1"/>
      <c r="T328" s="1"/>
      <c r="U328" s="1"/>
      <c r="V328" s="1"/>
      <c r="W328" s="1"/>
      <c r="X328" s="1"/>
    </row>
    <row r="329">
      <c r="A329" s="1"/>
      <c r="B329" s="1"/>
      <c r="C329" s="2"/>
      <c r="D329" s="1"/>
      <c r="E329" s="1"/>
      <c r="F329" s="1"/>
      <c r="G329" s="1"/>
      <c r="H329" s="2"/>
      <c r="I329" s="2"/>
      <c r="J329" s="1"/>
      <c r="K329" s="1"/>
      <c r="L329" s="1"/>
      <c r="M329" s="1"/>
      <c r="N329" s="1"/>
      <c r="O329" s="1"/>
      <c r="P329" s="1"/>
      <c r="Q329" s="1"/>
      <c r="R329" s="1"/>
      <c r="S329" s="1"/>
      <c r="T329" s="1"/>
      <c r="U329" s="1"/>
      <c r="V329" s="1"/>
      <c r="W329" s="1"/>
      <c r="X329" s="1"/>
    </row>
    <row r="330">
      <c r="A330" s="1"/>
      <c r="B330" s="1"/>
      <c r="C330" s="2"/>
      <c r="D330" s="1"/>
      <c r="E330" s="1"/>
      <c r="F330" s="1"/>
      <c r="G330" s="1"/>
      <c r="H330" s="2"/>
      <c r="I330" s="2"/>
      <c r="J330" s="1"/>
      <c r="K330" s="1"/>
      <c r="L330" s="1"/>
      <c r="M330" s="1"/>
      <c r="N330" s="1"/>
      <c r="O330" s="1"/>
      <c r="P330" s="1"/>
      <c r="Q330" s="1"/>
      <c r="R330" s="1"/>
      <c r="S330" s="1"/>
      <c r="T330" s="1"/>
      <c r="U330" s="1"/>
      <c r="V330" s="1"/>
      <c r="W330" s="1"/>
      <c r="X330" s="1"/>
    </row>
    <row r="331">
      <c r="A331" s="1"/>
      <c r="B331" s="1"/>
      <c r="C331" s="2"/>
      <c r="D331" s="1"/>
      <c r="E331" s="1"/>
      <c r="F331" s="1"/>
      <c r="G331" s="1"/>
      <c r="H331" s="2"/>
      <c r="I331" s="2"/>
      <c r="J331" s="1"/>
      <c r="K331" s="1"/>
      <c r="L331" s="1"/>
      <c r="M331" s="1"/>
      <c r="N331" s="1"/>
      <c r="O331" s="1"/>
      <c r="P331" s="1"/>
      <c r="Q331" s="1"/>
      <c r="R331" s="1"/>
      <c r="S331" s="1"/>
      <c r="T331" s="1"/>
      <c r="U331" s="1"/>
      <c r="V331" s="1"/>
      <c r="W331" s="1"/>
      <c r="X331" s="1"/>
    </row>
    <row r="332">
      <c r="A332" s="1"/>
      <c r="B332" s="1"/>
      <c r="C332" s="2"/>
      <c r="D332" s="1"/>
      <c r="E332" s="1"/>
      <c r="F332" s="1"/>
      <c r="G332" s="1"/>
      <c r="H332" s="2"/>
      <c r="I332" s="2"/>
      <c r="J332" s="1"/>
      <c r="K332" s="1"/>
      <c r="L332" s="1"/>
      <c r="M332" s="1"/>
      <c r="N332" s="1"/>
      <c r="O332" s="1"/>
      <c r="P332" s="1"/>
      <c r="Q332" s="1"/>
      <c r="R332" s="1"/>
      <c r="S332" s="1"/>
      <c r="T332" s="1"/>
      <c r="U332" s="1"/>
      <c r="V332" s="1"/>
      <c r="W332" s="1"/>
      <c r="X332" s="1"/>
    </row>
    <row r="333">
      <c r="A333" s="1"/>
      <c r="B333" s="1"/>
      <c r="C333" s="2"/>
      <c r="D333" s="1"/>
      <c r="E333" s="1"/>
      <c r="F333" s="1"/>
      <c r="G333" s="1"/>
      <c r="H333" s="2"/>
      <c r="I333" s="2"/>
      <c r="J333" s="1"/>
      <c r="K333" s="1"/>
      <c r="L333" s="1"/>
      <c r="M333" s="1"/>
      <c r="N333" s="1"/>
      <c r="O333" s="1"/>
      <c r="P333" s="1"/>
      <c r="Q333" s="1"/>
      <c r="R333" s="1"/>
      <c r="S333" s="1"/>
      <c r="T333" s="1"/>
      <c r="U333" s="1"/>
      <c r="V333" s="1"/>
      <c r="W333" s="1"/>
      <c r="X333" s="1"/>
    </row>
    <row r="334">
      <c r="A334" s="1"/>
      <c r="B334" s="1"/>
      <c r="C334" s="2"/>
      <c r="D334" s="1"/>
      <c r="E334" s="1"/>
      <c r="F334" s="1"/>
      <c r="G334" s="1"/>
      <c r="H334" s="2"/>
      <c r="I334" s="2"/>
      <c r="J334" s="1"/>
      <c r="K334" s="1"/>
      <c r="L334" s="1"/>
      <c r="M334" s="1"/>
      <c r="N334" s="1"/>
      <c r="O334" s="1"/>
      <c r="P334" s="1"/>
      <c r="Q334" s="1"/>
      <c r="R334" s="1"/>
      <c r="S334" s="1"/>
      <c r="T334" s="1"/>
      <c r="U334" s="1"/>
      <c r="V334" s="1"/>
      <c r="W334" s="1"/>
      <c r="X334" s="1"/>
    </row>
    <row r="335">
      <c r="A335" s="1"/>
      <c r="B335" s="1"/>
      <c r="C335" s="2"/>
      <c r="D335" s="1"/>
      <c r="E335" s="1"/>
      <c r="F335" s="1"/>
      <c r="G335" s="1"/>
      <c r="H335" s="2"/>
      <c r="I335" s="2"/>
      <c r="J335" s="1"/>
      <c r="K335" s="1"/>
      <c r="L335" s="1"/>
      <c r="M335" s="1"/>
      <c r="N335" s="1"/>
      <c r="O335" s="1"/>
      <c r="P335" s="1"/>
      <c r="Q335" s="1"/>
      <c r="R335" s="1"/>
      <c r="S335" s="1"/>
      <c r="T335" s="1"/>
      <c r="U335" s="1"/>
      <c r="V335" s="1"/>
      <c r="W335" s="1"/>
      <c r="X335" s="1"/>
    </row>
    <row r="336">
      <c r="A336" s="1"/>
      <c r="B336" s="1"/>
      <c r="C336" s="2"/>
      <c r="D336" s="1"/>
      <c r="E336" s="1"/>
      <c r="F336" s="1"/>
      <c r="G336" s="1"/>
      <c r="H336" s="2"/>
      <c r="I336" s="2"/>
      <c r="J336" s="1"/>
      <c r="K336" s="1"/>
      <c r="L336" s="1"/>
      <c r="M336" s="1"/>
      <c r="N336" s="1"/>
      <c r="O336" s="1"/>
      <c r="P336" s="1"/>
      <c r="Q336" s="1"/>
      <c r="R336" s="1"/>
      <c r="S336" s="1"/>
      <c r="T336" s="1"/>
      <c r="U336" s="1"/>
      <c r="V336" s="1"/>
      <c r="W336" s="1"/>
      <c r="X336" s="1"/>
    </row>
    <row r="337">
      <c r="A337" s="1"/>
      <c r="B337" s="1"/>
      <c r="C337" s="2"/>
      <c r="D337" s="1"/>
      <c r="E337" s="1"/>
      <c r="F337" s="1"/>
      <c r="G337" s="1"/>
      <c r="H337" s="2"/>
      <c r="I337" s="2"/>
      <c r="J337" s="1"/>
      <c r="K337" s="1"/>
      <c r="L337" s="1"/>
      <c r="M337" s="1"/>
      <c r="N337" s="1"/>
      <c r="O337" s="1"/>
      <c r="P337" s="1"/>
      <c r="Q337" s="1"/>
      <c r="R337" s="1"/>
      <c r="S337" s="1"/>
      <c r="T337" s="1"/>
      <c r="U337" s="1"/>
      <c r="V337" s="1"/>
      <c r="W337" s="1"/>
      <c r="X337" s="1"/>
    </row>
    <row r="338">
      <c r="A338" s="1"/>
      <c r="B338" s="1"/>
      <c r="C338" s="2"/>
      <c r="D338" s="1"/>
      <c r="E338" s="1"/>
      <c r="F338" s="1"/>
      <c r="G338" s="1"/>
      <c r="H338" s="2"/>
      <c r="I338" s="2"/>
      <c r="J338" s="1"/>
      <c r="K338" s="1"/>
      <c r="L338" s="1"/>
      <c r="M338" s="1"/>
      <c r="N338" s="1"/>
      <c r="O338" s="1"/>
      <c r="P338" s="1"/>
      <c r="Q338" s="1"/>
      <c r="R338" s="1"/>
      <c r="S338" s="1"/>
      <c r="T338" s="1"/>
      <c r="U338" s="1"/>
      <c r="V338" s="1"/>
      <c r="W338" s="1"/>
      <c r="X338" s="1"/>
    </row>
    <row r="339">
      <c r="A339" s="1"/>
      <c r="B339" s="1"/>
      <c r="C339" s="2"/>
      <c r="D339" s="1"/>
      <c r="E339" s="1"/>
      <c r="F339" s="1"/>
      <c r="G339" s="1"/>
      <c r="H339" s="2"/>
      <c r="I339" s="2"/>
      <c r="J339" s="1"/>
      <c r="K339" s="1"/>
      <c r="L339" s="1"/>
      <c r="M339" s="1"/>
      <c r="N339" s="1"/>
      <c r="O339" s="1"/>
      <c r="P339" s="1"/>
      <c r="Q339" s="1"/>
      <c r="R339" s="1"/>
      <c r="S339" s="1"/>
      <c r="T339" s="1"/>
      <c r="U339" s="1"/>
      <c r="V339" s="1"/>
      <c r="W339" s="1"/>
      <c r="X339" s="1"/>
    </row>
    <row r="340">
      <c r="A340" s="1"/>
      <c r="B340" s="1"/>
      <c r="C340" s="2"/>
      <c r="D340" s="1"/>
      <c r="E340" s="1"/>
      <c r="F340" s="1"/>
      <c r="G340" s="1"/>
      <c r="H340" s="2"/>
      <c r="I340" s="2"/>
      <c r="J340" s="1"/>
      <c r="K340" s="1"/>
      <c r="L340" s="1"/>
      <c r="M340" s="1"/>
      <c r="N340" s="1"/>
      <c r="O340" s="1"/>
      <c r="P340" s="1"/>
      <c r="Q340" s="1"/>
      <c r="R340" s="1"/>
      <c r="S340" s="1"/>
      <c r="T340" s="1"/>
      <c r="U340" s="1"/>
      <c r="V340" s="1"/>
      <c r="W340" s="1"/>
      <c r="X340" s="1"/>
    </row>
    <row r="341">
      <c r="A341" s="1"/>
      <c r="B341" s="1"/>
      <c r="C341" s="2"/>
      <c r="D341" s="1"/>
      <c r="E341" s="1"/>
      <c r="F341" s="1"/>
      <c r="G341" s="1"/>
      <c r="H341" s="2"/>
      <c r="I341" s="2"/>
      <c r="J341" s="1"/>
      <c r="K341" s="1"/>
      <c r="L341" s="1"/>
      <c r="M341" s="1"/>
      <c r="N341" s="1"/>
      <c r="O341" s="1"/>
      <c r="P341" s="1"/>
      <c r="Q341" s="1"/>
      <c r="R341" s="1"/>
      <c r="S341" s="1"/>
      <c r="T341" s="1"/>
      <c r="U341" s="1"/>
      <c r="V341" s="1"/>
      <c r="W341" s="1"/>
      <c r="X341" s="1"/>
    </row>
    <row r="342">
      <c r="A342" s="1"/>
      <c r="B342" s="1"/>
      <c r="C342" s="2"/>
      <c r="D342" s="1"/>
      <c r="E342" s="1"/>
      <c r="F342" s="1"/>
      <c r="G342" s="1"/>
      <c r="H342" s="2"/>
      <c r="I342" s="2"/>
      <c r="J342" s="1"/>
      <c r="K342" s="1"/>
      <c r="L342" s="1"/>
      <c r="M342" s="1"/>
      <c r="N342" s="1"/>
      <c r="O342" s="1"/>
      <c r="P342" s="1"/>
      <c r="Q342" s="1"/>
      <c r="R342" s="1"/>
      <c r="S342" s="1"/>
      <c r="T342" s="1"/>
      <c r="U342" s="1"/>
      <c r="V342" s="1"/>
      <c r="W342" s="1"/>
      <c r="X342" s="1"/>
    </row>
    <row r="343">
      <c r="A343" s="1"/>
      <c r="B343" s="1"/>
      <c r="C343" s="2"/>
      <c r="D343" s="1"/>
      <c r="E343" s="1"/>
      <c r="F343" s="1"/>
      <c r="G343" s="1"/>
      <c r="H343" s="2"/>
      <c r="I343" s="2"/>
      <c r="J343" s="1"/>
      <c r="K343" s="1"/>
      <c r="L343" s="1"/>
      <c r="M343" s="1"/>
      <c r="N343" s="1"/>
      <c r="O343" s="1"/>
      <c r="P343" s="1"/>
      <c r="Q343" s="1"/>
      <c r="R343" s="1"/>
      <c r="S343" s="1"/>
      <c r="T343" s="1"/>
      <c r="U343" s="1"/>
      <c r="V343" s="1"/>
      <c r="W343" s="1"/>
      <c r="X343" s="1"/>
    </row>
    <row r="344">
      <c r="A344" s="1"/>
      <c r="B344" s="1"/>
      <c r="C344" s="2"/>
      <c r="D344" s="1"/>
      <c r="E344" s="1"/>
      <c r="F344" s="1"/>
      <c r="G344" s="1"/>
      <c r="H344" s="2"/>
      <c r="I344" s="2"/>
      <c r="J344" s="1"/>
      <c r="K344" s="1"/>
      <c r="L344" s="1"/>
      <c r="M344" s="1"/>
      <c r="N344" s="1"/>
      <c r="O344" s="1"/>
      <c r="P344" s="1"/>
      <c r="Q344" s="1"/>
      <c r="R344" s="1"/>
      <c r="S344" s="1"/>
      <c r="T344" s="1"/>
      <c r="U344" s="1"/>
      <c r="V344" s="1"/>
      <c r="W344" s="1"/>
      <c r="X344" s="1"/>
    </row>
    <row r="345">
      <c r="A345" s="1"/>
      <c r="B345" s="1"/>
      <c r="C345" s="2"/>
      <c r="D345" s="1"/>
      <c r="E345" s="1"/>
      <c r="F345" s="1"/>
      <c r="G345" s="1"/>
      <c r="H345" s="2"/>
      <c r="I345" s="2"/>
      <c r="J345" s="1"/>
      <c r="K345" s="1"/>
      <c r="L345" s="1"/>
      <c r="M345" s="1"/>
      <c r="N345" s="1"/>
      <c r="O345" s="1"/>
      <c r="P345" s="1"/>
      <c r="Q345" s="1"/>
      <c r="R345" s="1"/>
      <c r="S345" s="1"/>
      <c r="T345" s="1"/>
      <c r="U345" s="1"/>
      <c r="V345" s="1"/>
      <c r="W345" s="1"/>
      <c r="X345" s="1"/>
    </row>
    <row r="346">
      <c r="A346" s="1"/>
      <c r="B346" s="1"/>
      <c r="C346" s="2"/>
      <c r="D346" s="1"/>
      <c r="E346" s="1"/>
      <c r="F346" s="1"/>
      <c r="G346" s="1"/>
      <c r="H346" s="2"/>
      <c r="I346" s="2"/>
      <c r="J346" s="1"/>
      <c r="K346" s="1"/>
      <c r="L346" s="1"/>
      <c r="M346" s="1"/>
      <c r="N346" s="1"/>
      <c r="O346" s="1"/>
      <c r="P346" s="1"/>
      <c r="Q346" s="1"/>
      <c r="R346" s="1"/>
      <c r="S346" s="1"/>
      <c r="T346" s="1"/>
      <c r="U346" s="1"/>
      <c r="V346" s="1"/>
      <c r="W346" s="1"/>
      <c r="X346" s="1"/>
    </row>
    <row r="347">
      <c r="A347" s="1"/>
      <c r="B347" s="1"/>
      <c r="C347" s="2"/>
      <c r="D347" s="1"/>
      <c r="E347" s="1"/>
      <c r="F347" s="1"/>
      <c r="G347" s="1"/>
      <c r="H347" s="2"/>
      <c r="I347" s="2"/>
      <c r="J347" s="1"/>
      <c r="K347" s="1"/>
      <c r="L347" s="1"/>
      <c r="M347" s="1"/>
      <c r="N347" s="1"/>
      <c r="O347" s="1"/>
      <c r="P347" s="1"/>
      <c r="Q347" s="1"/>
      <c r="R347" s="1"/>
      <c r="S347" s="1"/>
      <c r="T347" s="1"/>
      <c r="U347" s="1"/>
      <c r="V347" s="1"/>
      <c r="W347" s="1"/>
      <c r="X347" s="1"/>
    </row>
    <row r="348">
      <c r="A348" s="1"/>
      <c r="B348" s="1"/>
      <c r="C348" s="2"/>
      <c r="D348" s="1"/>
      <c r="E348" s="1"/>
      <c r="F348" s="1"/>
      <c r="G348" s="1"/>
      <c r="H348" s="2"/>
      <c r="I348" s="2"/>
      <c r="J348" s="1"/>
      <c r="K348" s="1"/>
      <c r="L348" s="1"/>
      <c r="M348" s="1"/>
      <c r="N348" s="1"/>
      <c r="O348" s="1"/>
      <c r="P348" s="1"/>
      <c r="Q348" s="1"/>
      <c r="R348" s="1"/>
      <c r="S348" s="1"/>
      <c r="T348" s="1"/>
      <c r="U348" s="1"/>
      <c r="V348" s="1"/>
      <c r="W348" s="1"/>
      <c r="X348" s="1"/>
    </row>
    <row r="349">
      <c r="A349" s="1"/>
      <c r="B349" s="1"/>
      <c r="C349" s="2"/>
      <c r="D349" s="1"/>
      <c r="E349" s="1"/>
      <c r="F349" s="1"/>
      <c r="G349" s="1"/>
      <c r="H349" s="2"/>
      <c r="I349" s="2"/>
      <c r="J349" s="1"/>
      <c r="K349" s="1"/>
      <c r="L349" s="1"/>
      <c r="M349" s="1"/>
      <c r="N349" s="1"/>
      <c r="O349" s="1"/>
      <c r="P349" s="1"/>
      <c r="Q349" s="1"/>
      <c r="R349" s="1"/>
      <c r="S349" s="1"/>
      <c r="T349" s="1"/>
      <c r="U349" s="1"/>
      <c r="V349" s="1"/>
      <c r="W349" s="1"/>
      <c r="X349" s="1"/>
    </row>
    <row r="350">
      <c r="A350" s="1"/>
      <c r="B350" s="1"/>
      <c r="C350" s="2"/>
      <c r="D350" s="1"/>
      <c r="E350" s="1"/>
      <c r="F350" s="1"/>
      <c r="G350" s="1"/>
      <c r="H350" s="2"/>
      <c r="I350" s="2"/>
      <c r="J350" s="1"/>
      <c r="K350" s="1"/>
      <c r="L350" s="1"/>
      <c r="M350" s="1"/>
      <c r="N350" s="1"/>
      <c r="O350" s="1"/>
      <c r="P350" s="1"/>
      <c r="Q350" s="1"/>
      <c r="R350" s="1"/>
      <c r="S350" s="1"/>
      <c r="T350" s="1"/>
      <c r="U350" s="1"/>
      <c r="V350" s="1"/>
      <c r="W350" s="1"/>
      <c r="X350" s="1"/>
    </row>
    <row r="351">
      <c r="A351" s="1"/>
      <c r="B351" s="1"/>
      <c r="C351" s="2"/>
      <c r="D351" s="1"/>
      <c r="E351" s="1"/>
      <c r="F351" s="1"/>
      <c r="G351" s="1"/>
      <c r="H351" s="2"/>
      <c r="I351" s="2"/>
      <c r="J351" s="1"/>
      <c r="K351" s="1"/>
      <c r="L351" s="1"/>
      <c r="M351" s="1"/>
      <c r="N351" s="1"/>
      <c r="O351" s="1"/>
      <c r="P351" s="1"/>
      <c r="Q351" s="1"/>
      <c r="R351" s="1"/>
      <c r="S351" s="1"/>
      <c r="T351" s="1"/>
      <c r="U351" s="1"/>
      <c r="V351" s="1"/>
      <c r="W351" s="1"/>
      <c r="X351" s="1"/>
    </row>
    <row r="352">
      <c r="A352" s="1"/>
      <c r="B352" s="1"/>
      <c r="C352" s="2"/>
      <c r="D352" s="1"/>
      <c r="E352" s="1"/>
      <c r="F352" s="1"/>
      <c r="G352" s="1"/>
      <c r="H352" s="2"/>
      <c r="I352" s="2"/>
      <c r="J352" s="1"/>
      <c r="K352" s="1"/>
      <c r="L352" s="1"/>
      <c r="M352" s="1"/>
      <c r="N352" s="1"/>
      <c r="O352" s="1"/>
      <c r="P352" s="1"/>
      <c r="Q352" s="1"/>
      <c r="R352" s="1"/>
      <c r="S352" s="1"/>
      <c r="T352" s="1"/>
      <c r="U352" s="1"/>
      <c r="V352" s="1"/>
      <c r="W352" s="1"/>
      <c r="X352" s="1"/>
    </row>
    <row r="353">
      <c r="A353" s="1"/>
      <c r="B353" s="1"/>
      <c r="C353" s="2"/>
      <c r="D353" s="1"/>
      <c r="E353" s="1"/>
      <c r="F353" s="1"/>
      <c r="G353" s="1"/>
      <c r="H353" s="2"/>
      <c r="I353" s="2"/>
      <c r="J353" s="1"/>
      <c r="K353" s="1"/>
      <c r="L353" s="1"/>
      <c r="M353" s="1"/>
      <c r="N353" s="1"/>
      <c r="O353" s="1"/>
      <c r="P353" s="1"/>
      <c r="Q353" s="1"/>
      <c r="R353" s="1"/>
      <c r="S353" s="1"/>
      <c r="T353" s="1"/>
      <c r="U353" s="1"/>
      <c r="V353" s="1"/>
      <c r="W353" s="1"/>
      <c r="X353" s="1"/>
    </row>
    <row r="354">
      <c r="A354" s="1"/>
      <c r="B354" s="1"/>
      <c r="C354" s="2"/>
      <c r="D354" s="1"/>
      <c r="E354" s="1"/>
      <c r="F354" s="1"/>
      <c r="G354" s="1"/>
      <c r="H354" s="2"/>
      <c r="I354" s="2"/>
      <c r="J354" s="1"/>
      <c r="K354" s="1"/>
      <c r="L354" s="1"/>
      <c r="M354" s="1"/>
      <c r="N354" s="1"/>
      <c r="O354" s="1"/>
      <c r="P354" s="1"/>
      <c r="Q354" s="1"/>
      <c r="R354" s="1"/>
      <c r="S354" s="1"/>
      <c r="T354" s="1"/>
      <c r="U354" s="1"/>
      <c r="V354" s="1"/>
      <c r="W354" s="1"/>
      <c r="X354" s="1"/>
    </row>
    <row r="355">
      <c r="A355" s="1"/>
      <c r="B355" s="1"/>
      <c r="C355" s="2"/>
      <c r="D355" s="1"/>
      <c r="E355" s="1"/>
      <c r="F355" s="1"/>
      <c r="G355" s="1"/>
      <c r="H355" s="2"/>
      <c r="I355" s="2"/>
      <c r="J355" s="1"/>
      <c r="K355" s="1"/>
      <c r="L355" s="1"/>
      <c r="M355" s="1"/>
      <c r="N355" s="1"/>
      <c r="O355" s="1"/>
      <c r="P355" s="1"/>
      <c r="Q355" s="1"/>
      <c r="R355" s="1"/>
      <c r="S355" s="1"/>
      <c r="T355" s="1"/>
      <c r="U355" s="1"/>
      <c r="V355" s="1"/>
      <c r="W355" s="1"/>
      <c r="X355" s="1"/>
    </row>
    <row r="356">
      <c r="A356" s="1"/>
      <c r="B356" s="1"/>
      <c r="C356" s="2"/>
      <c r="D356" s="1"/>
      <c r="E356" s="1"/>
      <c r="F356" s="1"/>
      <c r="G356" s="1"/>
      <c r="H356" s="2"/>
      <c r="I356" s="2"/>
      <c r="J356" s="1"/>
      <c r="K356" s="1"/>
      <c r="L356" s="1"/>
      <c r="M356" s="1"/>
      <c r="N356" s="1"/>
      <c r="O356" s="1"/>
      <c r="P356" s="1"/>
      <c r="Q356" s="1"/>
      <c r="R356" s="1"/>
      <c r="S356" s="1"/>
      <c r="T356" s="1"/>
      <c r="U356" s="1"/>
      <c r="V356" s="1"/>
      <c r="W356" s="1"/>
      <c r="X356" s="1"/>
    </row>
    <row r="357">
      <c r="A357" s="1"/>
      <c r="B357" s="1"/>
      <c r="C357" s="2"/>
      <c r="D357" s="1"/>
      <c r="E357" s="1"/>
      <c r="F357" s="1"/>
      <c r="G357" s="1"/>
      <c r="H357" s="2"/>
      <c r="I357" s="2"/>
      <c r="J357" s="1"/>
      <c r="K357" s="1"/>
      <c r="L357" s="1"/>
      <c r="M357" s="1"/>
      <c r="N357" s="1"/>
      <c r="O357" s="1"/>
      <c r="P357" s="1"/>
      <c r="Q357" s="1"/>
      <c r="R357" s="1"/>
      <c r="S357" s="1"/>
      <c r="T357" s="1"/>
      <c r="U357" s="1"/>
      <c r="V357" s="1"/>
      <c r="W357" s="1"/>
      <c r="X357" s="1"/>
    </row>
    <row r="358">
      <c r="A358" s="1"/>
      <c r="B358" s="1"/>
      <c r="C358" s="2"/>
      <c r="D358" s="1"/>
      <c r="E358" s="1"/>
      <c r="F358" s="1"/>
      <c r="G358" s="1"/>
      <c r="H358" s="2"/>
      <c r="I358" s="2"/>
      <c r="J358" s="1"/>
      <c r="K358" s="1"/>
      <c r="L358" s="1"/>
      <c r="M358" s="1"/>
      <c r="N358" s="1"/>
      <c r="O358" s="1"/>
      <c r="P358" s="1"/>
      <c r="Q358" s="1"/>
      <c r="R358" s="1"/>
      <c r="S358" s="1"/>
      <c r="T358" s="1"/>
      <c r="U358" s="1"/>
      <c r="V358" s="1"/>
      <c r="W358" s="1"/>
      <c r="X358" s="1"/>
    </row>
    <row r="359">
      <c r="A359" s="1"/>
      <c r="B359" s="1"/>
      <c r="C359" s="2"/>
      <c r="D359" s="1"/>
      <c r="E359" s="1"/>
      <c r="F359" s="1"/>
      <c r="G359" s="1"/>
      <c r="H359" s="2"/>
      <c r="I359" s="2"/>
      <c r="J359" s="1"/>
      <c r="K359" s="1"/>
      <c r="L359" s="1"/>
      <c r="M359" s="1"/>
      <c r="N359" s="1"/>
      <c r="O359" s="1"/>
      <c r="P359" s="1"/>
      <c r="Q359" s="1"/>
      <c r="R359" s="1"/>
      <c r="S359" s="1"/>
      <c r="T359" s="1"/>
      <c r="U359" s="1"/>
      <c r="V359" s="1"/>
      <c r="W359" s="1"/>
      <c r="X359" s="1"/>
    </row>
    <row r="360">
      <c r="A360" s="1"/>
      <c r="B360" s="1"/>
      <c r="C360" s="2"/>
      <c r="D360" s="1"/>
      <c r="E360" s="1"/>
      <c r="F360" s="1"/>
      <c r="G360" s="1"/>
      <c r="H360" s="2"/>
      <c r="I360" s="2"/>
      <c r="J360" s="1"/>
      <c r="K360" s="1"/>
      <c r="L360" s="1"/>
      <c r="M360" s="1"/>
      <c r="N360" s="1"/>
      <c r="O360" s="1"/>
      <c r="P360" s="1"/>
      <c r="Q360" s="1"/>
      <c r="R360" s="1"/>
      <c r="S360" s="1"/>
      <c r="T360" s="1"/>
      <c r="U360" s="1"/>
      <c r="V360" s="1"/>
      <c r="W360" s="1"/>
      <c r="X360" s="1"/>
    </row>
    <row r="361">
      <c r="A361" s="1"/>
      <c r="B361" s="1"/>
      <c r="C361" s="2"/>
      <c r="D361" s="1"/>
      <c r="E361" s="1"/>
      <c r="F361" s="1"/>
      <c r="G361" s="1"/>
      <c r="H361" s="2"/>
      <c r="I361" s="2"/>
      <c r="J361" s="1"/>
      <c r="K361" s="1"/>
      <c r="L361" s="1"/>
      <c r="M361" s="1"/>
      <c r="N361" s="1"/>
      <c r="O361" s="1"/>
      <c r="P361" s="1"/>
      <c r="Q361" s="1"/>
      <c r="R361" s="1"/>
      <c r="S361" s="1"/>
      <c r="T361" s="1"/>
      <c r="U361" s="1"/>
      <c r="V361" s="1"/>
      <c r="W361" s="1"/>
      <c r="X361" s="1"/>
    </row>
    <row r="362">
      <c r="A362" s="1"/>
      <c r="B362" s="1"/>
      <c r="C362" s="2"/>
      <c r="D362" s="1"/>
      <c r="E362" s="1"/>
      <c r="F362" s="1"/>
      <c r="G362" s="1"/>
      <c r="H362" s="2"/>
      <c r="I362" s="2"/>
      <c r="J362" s="1"/>
      <c r="K362" s="1"/>
      <c r="L362" s="1"/>
      <c r="M362" s="1"/>
      <c r="N362" s="1"/>
      <c r="O362" s="1"/>
      <c r="P362" s="1"/>
      <c r="Q362" s="1"/>
      <c r="R362" s="1"/>
      <c r="S362" s="1"/>
      <c r="T362" s="1"/>
      <c r="U362" s="1"/>
      <c r="V362" s="1"/>
      <c r="W362" s="1"/>
      <c r="X362" s="1"/>
    </row>
    <row r="363">
      <c r="A363" s="1"/>
      <c r="B363" s="1"/>
      <c r="C363" s="2"/>
      <c r="D363" s="1"/>
      <c r="E363" s="1"/>
      <c r="F363" s="1"/>
      <c r="G363" s="1"/>
      <c r="H363" s="2"/>
      <c r="I363" s="2"/>
      <c r="J363" s="1"/>
      <c r="K363" s="1"/>
      <c r="L363" s="1"/>
      <c r="M363" s="1"/>
      <c r="N363" s="1"/>
      <c r="O363" s="1"/>
      <c r="P363" s="1"/>
      <c r="Q363" s="1"/>
      <c r="R363" s="1"/>
      <c r="S363" s="1"/>
      <c r="T363" s="1"/>
      <c r="U363" s="1"/>
      <c r="V363" s="1"/>
      <c r="W363" s="1"/>
      <c r="X363" s="1"/>
    </row>
    <row r="364">
      <c r="A364" s="1"/>
      <c r="B364" s="1"/>
      <c r="C364" s="2"/>
      <c r="D364" s="1"/>
      <c r="E364" s="1"/>
      <c r="F364" s="1"/>
      <c r="G364" s="1"/>
      <c r="H364" s="2"/>
      <c r="I364" s="2"/>
      <c r="J364" s="1"/>
      <c r="K364" s="1"/>
      <c r="L364" s="1"/>
      <c r="M364" s="1"/>
      <c r="N364" s="1"/>
      <c r="O364" s="1"/>
      <c r="P364" s="1"/>
      <c r="Q364" s="1"/>
      <c r="R364" s="1"/>
      <c r="S364" s="1"/>
      <c r="T364" s="1"/>
      <c r="U364" s="1"/>
      <c r="V364" s="1"/>
      <c r="W364" s="1"/>
      <c r="X364" s="1"/>
    </row>
    <row r="365">
      <c r="A365" s="1"/>
      <c r="B365" s="1"/>
      <c r="C365" s="2"/>
      <c r="D365" s="1"/>
      <c r="E365" s="1"/>
      <c r="F365" s="1"/>
      <c r="G365" s="1"/>
      <c r="H365" s="2"/>
      <c r="I365" s="2"/>
      <c r="J365" s="1"/>
      <c r="K365" s="1"/>
      <c r="L365" s="1"/>
      <c r="M365" s="1"/>
      <c r="N365" s="1"/>
      <c r="O365" s="1"/>
      <c r="P365" s="1"/>
      <c r="Q365" s="1"/>
      <c r="R365" s="1"/>
      <c r="S365" s="1"/>
      <c r="T365" s="1"/>
      <c r="U365" s="1"/>
      <c r="V365" s="1"/>
      <c r="W365" s="1"/>
      <c r="X365" s="1"/>
    </row>
    <row r="366">
      <c r="A366" s="1"/>
      <c r="B366" s="1"/>
      <c r="C366" s="2"/>
      <c r="D366" s="1"/>
      <c r="E366" s="1"/>
      <c r="F366" s="1"/>
      <c r="G366" s="1"/>
      <c r="H366" s="2"/>
      <c r="I366" s="2"/>
      <c r="J366" s="1"/>
      <c r="K366" s="1"/>
      <c r="L366" s="1"/>
      <c r="M366" s="1"/>
      <c r="N366" s="1"/>
      <c r="O366" s="1"/>
      <c r="P366" s="1"/>
      <c r="Q366" s="1"/>
      <c r="R366" s="1"/>
      <c r="S366" s="1"/>
      <c r="T366" s="1"/>
      <c r="U366" s="1"/>
      <c r="V366" s="1"/>
      <c r="W366" s="1"/>
      <c r="X366" s="1"/>
    </row>
    <row r="367">
      <c r="A367" s="1"/>
      <c r="B367" s="1"/>
      <c r="C367" s="2"/>
      <c r="D367" s="1"/>
      <c r="E367" s="1"/>
      <c r="F367" s="1"/>
      <c r="G367" s="1"/>
      <c r="H367" s="2"/>
      <c r="I367" s="2"/>
      <c r="J367" s="1"/>
      <c r="K367" s="1"/>
      <c r="L367" s="1"/>
      <c r="M367" s="1"/>
      <c r="N367" s="1"/>
      <c r="O367" s="1"/>
      <c r="P367" s="1"/>
      <c r="Q367" s="1"/>
      <c r="R367" s="1"/>
      <c r="S367" s="1"/>
      <c r="T367" s="1"/>
      <c r="U367" s="1"/>
      <c r="V367" s="1"/>
      <c r="W367" s="1"/>
      <c r="X367" s="1"/>
    </row>
    <row r="368">
      <c r="A368" s="1"/>
      <c r="B368" s="1"/>
      <c r="C368" s="2"/>
      <c r="D368" s="1"/>
      <c r="E368" s="1"/>
      <c r="F368" s="1"/>
      <c r="G368" s="1"/>
      <c r="H368" s="2"/>
      <c r="I368" s="2"/>
      <c r="J368" s="1"/>
      <c r="K368" s="1"/>
      <c r="L368" s="1"/>
      <c r="M368" s="1"/>
      <c r="N368" s="1"/>
      <c r="O368" s="1"/>
      <c r="P368" s="1"/>
      <c r="Q368" s="1"/>
      <c r="R368" s="1"/>
      <c r="S368" s="1"/>
      <c r="T368" s="1"/>
      <c r="U368" s="1"/>
      <c r="V368" s="1"/>
      <c r="W368" s="1"/>
      <c r="X368" s="1"/>
    </row>
    <row r="369">
      <c r="A369" s="1"/>
      <c r="B369" s="1"/>
      <c r="C369" s="2"/>
      <c r="D369" s="1"/>
      <c r="E369" s="1"/>
      <c r="F369" s="1"/>
      <c r="G369" s="1"/>
      <c r="H369" s="2"/>
      <c r="I369" s="2"/>
      <c r="J369" s="1"/>
      <c r="K369" s="1"/>
      <c r="L369" s="1"/>
      <c r="M369" s="1"/>
      <c r="N369" s="1"/>
      <c r="O369" s="1"/>
      <c r="P369" s="1"/>
      <c r="Q369" s="1"/>
      <c r="R369" s="1"/>
      <c r="S369" s="1"/>
      <c r="T369" s="1"/>
      <c r="U369" s="1"/>
      <c r="V369" s="1"/>
      <c r="W369" s="1"/>
      <c r="X369" s="1"/>
    </row>
    <row r="370">
      <c r="A370" s="1"/>
      <c r="B370" s="1"/>
      <c r="C370" s="2"/>
      <c r="D370" s="1"/>
      <c r="E370" s="1"/>
      <c r="F370" s="1"/>
      <c r="G370" s="1"/>
      <c r="H370" s="2"/>
      <c r="I370" s="2"/>
      <c r="J370" s="1"/>
      <c r="K370" s="1"/>
      <c r="L370" s="1"/>
      <c r="M370" s="1"/>
      <c r="N370" s="1"/>
      <c r="O370" s="1"/>
      <c r="P370" s="1"/>
      <c r="Q370" s="1"/>
      <c r="R370" s="1"/>
      <c r="S370" s="1"/>
      <c r="T370" s="1"/>
      <c r="U370" s="1"/>
      <c r="V370" s="1"/>
      <c r="W370" s="1"/>
      <c r="X370" s="1"/>
    </row>
    <row r="371">
      <c r="A371" s="1"/>
      <c r="B371" s="1"/>
      <c r="C371" s="2"/>
      <c r="D371" s="1"/>
      <c r="E371" s="1"/>
      <c r="F371" s="1"/>
      <c r="G371" s="1"/>
      <c r="H371" s="2"/>
      <c r="I371" s="2"/>
      <c r="J371" s="1"/>
      <c r="K371" s="1"/>
      <c r="L371" s="1"/>
      <c r="M371" s="1"/>
      <c r="N371" s="1"/>
      <c r="O371" s="1"/>
      <c r="P371" s="1"/>
      <c r="Q371" s="1"/>
      <c r="R371" s="1"/>
      <c r="S371" s="1"/>
      <c r="T371" s="1"/>
      <c r="U371" s="1"/>
      <c r="V371" s="1"/>
      <c r="W371" s="1"/>
      <c r="X371" s="1"/>
    </row>
    <row r="372">
      <c r="A372" s="1"/>
      <c r="B372" s="1"/>
      <c r="C372" s="2"/>
      <c r="D372" s="1"/>
      <c r="E372" s="1"/>
      <c r="F372" s="1"/>
      <c r="G372" s="1"/>
      <c r="H372" s="2"/>
      <c r="I372" s="2"/>
      <c r="J372" s="1"/>
      <c r="K372" s="1"/>
      <c r="L372" s="1"/>
      <c r="M372" s="1"/>
      <c r="N372" s="1"/>
      <c r="O372" s="1"/>
      <c r="P372" s="1"/>
      <c r="Q372" s="1"/>
      <c r="R372" s="1"/>
      <c r="S372" s="1"/>
      <c r="T372" s="1"/>
      <c r="U372" s="1"/>
      <c r="V372" s="1"/>
      <c r="W372" s="1"/>
      <c r="X372" s="1"/>
    </row>
    <row r="373">
      <c r="A373" s="1"/>
      <c r="B373" s="1"/>
      <c r="C373" s="2"/>
      <c r="D373" s="1"/>
      <c r="E373" s="1"/>
      <c r="F373" s="1"/>
      <c r="G373" s="1"/>
      <c r="H373" s="2"/>
      <c r="I373" s="2"/>
      <c r="J373" s="1"/>
      <c r="K373" s="1"/>
      <c r="L373" s="1"/>
      <c r="M373" s="1"/>
      <c r="N373" s="1"/>
      <c r="O373" s="1"/>
      <c r="P373" s="1"/>
      <c r="Q373" s="1"/>
      <c r="R373" s="1"/>
      <c r="S373" s="1"/>
      <c r="T373" s="1"/>
      <c r="U373" s="1"/>
      <c r="V373" s="1"/>
      <c r="W373" s="1"/>
      <c r="X373" s="1"/>
    </row>
    <row r="374">
      <c r="A374" s="1"/>
      <c r="B374" s="1"/>
      <c r="C374" s="2"/>
      <c r="D374" s="1"/>
      <c r="E374" s="1"/>
      <c r="F374" s="1"/>
      <c r="G374" s="1"/>
      <c r="H374" s="2"/>
      <c r="I374" s="2"/>
      <c r="J374" s="1"/>
      <c r="K374" s="1"/>
      <c r="L374" s="1"/>
      <c r="M374" s="1"/>
      <c r="N374" s="1"/>
      <c r="O374" s="1"/>
      <c r="P374" s="1"/>
      <c r="Q374" s="1"/>
      <c r="R374" s="1"/>
      <c r="S374" s="1"/>
      <c r="T374" s="1"/>
      <c r="U374" s="1"/>
      <c r="V374" s="1"/>
      <c r="W374" s="1"/>
      <c r="X374" s="1"/>
    </row>
    <row r="375">
      <c r="A375" s="1"/>
      <c r="B375" s="1"/>
      <c r="C375" s="2"/>
      <c r="D375" s="1"/>
      <c r="E375" s="1"/>
      <c r="F375" s="1"/>
      <c r="G375" s="1"/>
      <c r="H375" s="2"/>
      <c r="I375" s="2"/>
      <c r="J375" s="1"/>
      <c r="K375" s="1"/>
      <c r="L375" s="1"/>
      <c r="M375" s="1"/>
      <c r="N375" s="1"/>
      <c r="O375" s="1"/>
      <c r="P375" s="1"/>
      <c r="Q375" s="1"/>
      <c r="R375" s="1"/>
      <c r="S375" s="1"/>
      <c r="T375" s="1"/>
      <c r="U375" s="1"/>
      <c r="V375" s="1"/>
      <c r="W375" s="1"/>
      <c r="X375" s="1"/>
    </row>
    <row r="376">
      <c r="A376" s="1"/>
      <c r="B376" s="1"/>
      <c r="C376" s="2"/>
      <c r="D376" s="1"/>
      <c r="E376" s="1"/>
      <c r="F376" s="1"/>
      <c r="G376" s="1"/>
      <c r="H376" s="2"/>
      <c r="I376" s="2"/>
      <c r="J376" s="1"/>
      <c r="K376" s="1"/>
      <c r="L376" s="1"/>
      <c r="M376" s="1"/>
      <c r="N376" s="1"/>
      <c r="O376" s="1"/>
      <c r="P376" s="1"/>
      <c r="Q376" s="1"/>
      <c r="R376" s="1"/>
      <c r="S376" s="1"/>
      <c r="T376" s="1"/>
      <c r="U376" s="1"/>
      <c r="V376" s="1"/>
      <c r="W376" s="1"/>
      <c r="X376" s="1"/>
    </row>
    <row r="377">
      <c r="A377" s="1"/>
      <c r="B377" s="1"/>
      <c r="C377" s="2"/>
      <c r="D377" s="1"/>
      <c r="E377" s="1"/>
      <c r="F377" s="1"/>
      <c r="G377" s="1"/>
      <c r="H377" s="2"/>
      <c r="I377" s="2"/>
      <c r="J377" s="1"/>
      <c r="K377" s="1"/>
      <c r="L377" s="1"/>
      <c r="M377" s="1"/>
      <c r="N377" s="1"/>
      <c r="O377" s="1"/>
      <c r="P377" s="1"/>
      <c r="Q377" s="1"/>
      <c r="R377" s="1"/>
      <c r="S377" s="1"/>
      <c r="T377" s="1"/>
      <c r="U377" s="1"/>
      <c r="V377" s="1"/>
      <c r="W377" s="1"/>
      <c r="X377" s="1"/>
    </row>
    <row r="378">
      <c r="A378" s="1"/>
      <c r="B378" s="1"/>
      <c r="C378" s="2"/>
      <c r="D378" s="1"/>
      <c r="E378" s="1"/>
      <c r="F378" s="1"/>
      <c r="G378" s="1"/>
      <c r="H378" s="2"/>
      <c r="I378" s="2"/>
      <c r="J378" s="1"/>
      <c r="K378" s="1"/>
      <c r="L378" s="1"/>
      <c r="M378" s="1"/>
      <c r="N378" s="1"/>
      <c r="O378" s="1"/>
      <c r="P378" s="1"/>
      <c r="Q378" s="1"/>
      <c r="R378" s="1"/>
      <c r="S378" s="1"/>
      <c r="T378" s="1"/>
      <c r="U378" s="1"/>
      <c r="V378" s="1"/>
      <c r="W378" s="1"/>
      <c r="X378" s="1"/>
    </row>
    <row r="379">
      <c r="A379" s="1"/>
      <c r="B379" s="1"/>
      <c r="C379" s="2"/>
      <c r="D379" s="1"/>
      <c r="E379" s="1"/>
      <c r="F379" s="1"/>
      <c r="G379" s="1"/>
      <c r="H379" s="2"/>
      <c r="I379" s="2"/>
      <c r="J379" s="1"/>
      <c r="K379" s="1"/>
      <c r="L379" s="1"/>
      <c r="M379" s="1"/>
      <c r="N379" s="1"/>
      <c r="O379" s="1"/>
      <c r="P379" s="1"/>
      <c r="Q379" s="1"/>
      <c r="R379" s="1"/>
      <c r="S379" s="1"/>
      <c r="T379" s="1"/>
      <c r="U379" s="1"/>
      <c r="V379" s="1"/>
      <c r="W379" s="1"/>
      <c r="X379" s="1"/>
    </row>
    <row r="380">
      <c r="A380" s="1"/>
      <c r="B380" s="1"/>
      <c r="C380" s="2"/>
      <c r="D380" s="1"/>
      <c r="E380" s="1"/>
      <c r="F380" s="1"/>
      <c r="G380" s="1"/>
      <c r="H380" s="2"/>
      <c r="I380" s="2"/>
      <c r="J380" s="1"/>
      <c r="K380" s="1"/>
      <c r="L380" s="1"/>
      <c r="M380" s="1"/>
      <c r="N380" s="1"/>
      <c r="O380" s="1"/>
      <c r="P380" s="1"/>
      <c r="Q380" s="1"/>
      <c r="R380" s="1"/>
      <c r="S380" s="1"/>
      <c r="T380" s="1"/>
      <c r="U380" s="1"/>
      <c r="V380" s="1"/>
      <c r="W380" s="1"/>
      <c r="X380" s="1"/>
    </row>
    <row r="381">
      <c r="A381" s="1"/>
      <c r="B381" s="1"/>
      <c r="C381" s="2"/>
      <c r="D381" s="1"/>
      <c r="E381" s="1"/>
      <c r="F381" s="1"/>
      <c r="G381" s="1"/>
      <c r="H381" s="2"/>
      <c r="I381" s="2"/>
      <c r="J381" s="1"/>
      <c r="K381" s="1"/>
      <c r="L381" s="1"/>
      <c r="M381" s="1"/>
      <c r="N381" s="1"/>
      <c r="O381" s="1"/>
      <c r="P381" s="1"/>
      <c r="Q381" s="1"/>
      <c r="R381" s="1"/>
      <c r="S381" s="1"/>
      <c r="T381" s="1"/>
      <c r="U381" s="1"/>
      <c r="V381" s="1"/>
      <c r="W381" s="1"/>
      <c r="X381" s="1"/>
    </row>
    <row r="382">
      <c r="A382" s="1"/>
      <c r="B382" s="1"/>
      <c r="C382" s="2"/>
      <c r="D382" s="1"/>
      <c r="E382" s="1"/>
      <c r="F382" s="1"/>
      <c r="G382" s="1"/>
      <c r="H382" s="2"/>
      <c r="I382" s="2"/>
      <c r="J382" s="1"/>
      <c r="K382" s="1"/>
      <c r="L382" s="1"/>
      <c r="M382" s="1"/>
      <c r="N382" s="1"/>
      <c r="O382" s="1"/>
      <c r="P382" s="1"/>
      <c r="Q382" s="1"/>
      <c r="R382" s="1"/>
      <c r="S382" s="1"/>
      <c r="T382" s="1"/>
      <c r="U382" s="1"/>
      <c r="V382" s="1"/>
      <c r="W382" s="1"/>
      <c r="X382" s="1"/>
    </row>
    <row r="383">
      <c r="A383" s="1"/>
      <c r="B383" s="1"/>
      <c r="C383" s="2"/>
      <c r="D383" s="1"/>
      <c r="E383" s="1"/>
      <c r="F383" s="1"/>
      <c r="G383" s="1"/>
      <c r="H383" s="2"/>
      <c r="I383" s="2"/>
      <c r="J383" s="1"/>
      <c r="K383" s="1"/>
      <c r="L383" s="1"/>
      <c r="M383" s="1"/>
      <c r="N383" s="1"/>
      <c r="O383" s="1"/>
      <c r="P383" s="1"/>
      <c r="Q383" s="1"/>
      <c r="R383" s="1"/>
      <c r="S383" s="1"/>
      <c r="T383" s="1"/>
      <c r="U383" s="1"/>
      <c r="V383" s="1"/>
      <c r="W383" s="1"/>
      <c r="X383" s="1"/>
    </row>
    <row r="384">
      <c r="A384" s="1"/>
      <c r="B384" s="1"/>
      <c r="C384" s="2"/>
      <c r="D384" s="1"/>
      <c r="E384" s="1"/>
      <c r="F384" s="1"/>
      <c r="G384" s="1"/>
      <c r="H384" s="2"/>
      <c r="I384" s="2"/>
      <c r="J384" s="1"/>
      <c r="K384" s="1"/>
      <c r="L384" s="1"/>
      <c r="M384" s="1"/>
      <c r="N384" s="1"/>
      <c r="O384" s="1"/>
      <c r="P384" s="1"/>
      <c r="Q384" s="1"/>
      <c r="R384" s="1"/>
      <c r="S384" s="1"/>
      <c r="T384" s="1"/>
      <c r="U384" s="1"/>
      <c r="V384" s="1"/>
      <c r="W384" s="1"/>
      <c r="X384" s="1"/>
    </row>
    <row r="385">
      <c r="A385" s="1"/>
      <c r="B385" s="1"/>
      <c r="C385" s="2"/>
      <c r="D385" s="1"/>
      <c r="E385" s="1"/>
      <c r="F385" s="1"/>
      <c r="G385" s="1"/>
      <c r="H385" s="2"/>
      <c r="I385" s="2"/>
      <c r="J385" s="1"/>
      <c r="K385" s="1"/>
      <c r="L385" s="1"/>
      <c r="M385" s="1"/>
      <c r="N385" s="1"/>
      <c r="O385" s="1"/>
      <c r="P385" s="1"/>
      <c r="Q385" s="1"/>
      <c r="R385" s="1"/>
      <c r="S385" s="1"/>
      <c r="T385" s="1"/>
      <c r="U385" s="1"/>
      <c r="V385" s="1"/>
      <c r="W385" s="1"/>
      <c r="X385" s="1"/>
    </row>
    <row r="386">
      <c r="A386" s="1"/>
      <c r="B386" s="1"/>
      <c r="C386" s="2"/>
      <c r="D386" s="1"/>
      <c r="E386" s="1"/>
      <c r="F386" s="1"/>
      <c r="G386" s="1"/>
      <c r="H386" s="2"/>
      <c r="I386" s="2"/>
      <c r="J386" s="1"/>
      <c r="K386" s="1"/>
      <c r="L386" s="1"/>
      <c r="M386" s="1"/>
      <c r="N386" s="1"/>
      <c r="O386" s="1"/>
      <c r="P386" s="1"/>
      <c r="Q386" s="1"/>
      <c r="R386" s="1"/>
      <c r="S386" s="1"/>
      <c r="T386" s="1"/>
      <c r="U386" s="1"/>
      <c r="V386" s="1"/>
      <c r="W386" s="1"/>
      <c r="X386" s="1"/>
    </row>
    <row r="387">
      <c r="A387" s="1"/>
      <c r="B387" s="1"/>
      <c r="C387" s="2"/>
      <c r="D387" s="1"/>
      <c r="E387" s="1"/>
      <c r="F387" s="1"/>
      <c r="G387" s="1"/>
      <c r="H387" s="2"/>
      <c r="I387" s="2"/>
      <c r="J387" s="1"/>
      <c r="K387" s="1"/>
      <c r="L387" s="1"/>
      <c r="M387" s="1"/>
      <c r="N387" s="1"/>
      <c r="O387" s="1"/>
      <c r="P387" s="1"/>
      <c r="Q387" s="1"/>
      <c r="R387" s="1"/>
      <c r="S387" s="1"/>
      <c r="T387" s="1"/>
      <c r="U387" s="1"/>
      <c r="V387" s="1"/>
      <c r="W387" s="1"/>
      <c r="X387" s="1"/>
    </row>
    <row r="388">
      <c r="A388" s="1"/>
      <c r="B388" s="1"/>
      <c r="C388" s="2"/>
      <c r="D388" s="1"/>
      <c r="E388" s="1"/>
      <c r="F388" s="1"/>
      <c r="G388" s="1"/>
      <c r="H388" s="2"/>
      <c r="I388" s="2"/>
      <c r="J388" s="1"/>
      <c r="K388" s="1"/>
      <c r="L388" s="1"/>
      <c r="M388" s="1"/>
      <c r="N388" s="1"/>
      <c r="O388" s="1"/>
      <c r="P388" s="1"/>
      <c r="Q388" s="1"/>
      <c r="R388" s="1"/>
      <c r="S388" s="1"/>
      <c r="T388" s="1"/>
      <c r="U388" s="1"/>
      <c r="V388" s="1"/>
      <c r="W388" s="1"/>
      <c r="X388" s="1"/>
    </row>
    <row r="389">
      <c r="A389" s="1"/>
      <c r="B389" s="1"/>
      <c r="C389" s="2"/>
      <c r="D389" s="1"/>
      <c r="E389" s="1"/>
      <c r="F389" s="1"/>
      <c r="G389" s="1"/>
      <c r="H389" s="2"/>
      <c r="I389" s="2"/>
      <c r="J389" s="1"/>
      <c r="K389" s="1"/>
      <c r="L389" s="1"/>
      <c r="M389" s="1"/>
      <c r="N389" s="1"/>
      <c r="O389" s="1"/>
      <c r="P389" s="1"/>
      <c r="Q389" s="1"/>
      <c r="R389" s="1"/>
      <c r="S389" s="1"/>
      <c r="T389" s="1"/>
      <c r="U389" s="1"/>
      <c r="V389" s="1"/>
      <c r="W389" s="1"/>
      <c r="X389" s="1"/>
    </row>
    <row r="390">
      <c r="A390" s="1"/>
      <c r="B390" s="1"/>
      <c r="C390" s="2"/>
      <c r="D390" s="1"/>
      <c r="E390" s="1"/>
      <c r="F390" s="1"/>
      <c r="G390" s="1"/>
      <c r="H390" s="2"/>
      <c r="I390" s="2"/>
      <c r="J390" s="1"/>
      <c r="K390" s="1"/>
      <c r="L390" s="1"/>
      <c r="M390" s="1"/>
      <c r="N390" s="1"/>
      <c r="O390" s="1"/>
      <c r="P390" s="1"/>
      <c r="Q390" s="1"/>
      <c r="R390" s="1"/>
      <c r="S390" s="1"/>
      <c r="T390" s="1"/>
      <c r="U390" s="1"/>
      <c r="V390" s="1"/>
      <c r="W390" s="1"/>
      <c r="X390" s="1"/>
    </row>
    <row r="391">
      <c r="A391" s="1"/>
      <c r="B391" s="1"/>
      <c r="C391" s="2"/>
      <c r="D391" s="1"/>
      <c r="E391" s="1"/>
      <c r="F391" s="1"/>
      <c r="G391" s="1"/>
      <c r="H391" s="2"/>
      <c r="I391" s="2"/>
      <c r="J391" s="1"/>
      <c r="K391" s="1"/>
      <c r="L391" s="1"/>
      <c r="M391" s="1"/>
      <c r="N391" s="1"/>
      <c r="O391" s="1"/>
      <c r="P391" s="1"/>
      <c r="Q391" s="1"/>
      <c r="R391" s="1"/>
      <c r="S391" s="1"/>
      <c r="T391" s="1"/>
      <c r="U391" s="1"/>
      <c r="V391" s="1"/>
      <c r="W391" s="1"/>
      <c r="X391" s="1"/>
    </row>
    <row r="392">
      <c r="A392" s="1"/>
      <c r="B392" s="1"/>
      <c r="C392" s="2"/>
      <c r="D392" s="1"/>
      <c r="E392" s="1"/>
      <c r="F392" s="1"/>
      <c r="G392" s="1"/>
      <c r="H392" s="2"/>
      <c r="I392" s="2"/>
      <c r="J392" s="1"/>
      <c r="K392" s="1"/>
      <c r="L392" s="1"/>
      <c r="M392" s="1"/>
      <c r="N392" s="1"/>
      <c r="O392" s="1"/>
      <c r="P392" s="1"/>
      <c r="Q392" s="1"/>
      <c r="R392" s="1"/>
      <c r="S392" s="1"/>
      <c r="T392" s="1"/>
      <c r="U392" s="1"/>
      <c r="V392" s="1"/>
      <c r="W392" s="1"/>
      <c r="X392" s="1"/>
    </row>
    <row r="393">
      <c r="A393" s="1"/>
      <c r="B393" s="1"/>
      <c r="C393" s="2"/>
      <c r="D393" s="1"/>
      <c r="E393" s="1"/>
      <c r="F393" s="1"/>
      <c r="G393" s="1"/>
      <c r="H393" s="2"/>
      <c r="I393" s="2"/>
      <c r="J393" s="1"/>
      <c r="K393" s="1"/>
      <c r="L393" s="1"/>
      <c r="M393" s="1"/>
      <c r="N393" s="1"/>
      <c r="O393" s="1"/>
      <c r="P393" s="1"/>
      <c r="Q393" s="1"/>
      <c r="R393" s="1"/>
      <c r="S393" s="1"/>
      <c r="T393" s="1"/>
      <c r="U393" s="1"/>
      <c r="V393" s="1"/>
      <c r="W393" s="1"/>
      <c r="X393" s="1"/>
    </row>
    <row r="394">
      <c r="A394" s="1"/>
      <c r="B394" s="1"/>
      <c r="C394" s="2"/>
      <c r="D394" s="1"/>
      <c r="E394" s="1"/>
      <c r="F394" s="1"/>
      <c r="G394" s="1"/>
      <c r="H394" s="2"/>
      <c r="I394" s="2"/>
      <c r="J394" s="1"/>
      <c r="K394" s="1"/>
      <c r="L394" s="1"/>
      <c r="M394" s="1"/>
      <c r="N394" s="1"/>
      <c r="O394" s="1"/>
      <c r="P394" s="1"/>
      <c r="Q394" s="1"/>
      <c r="R394" s="1"/>
      <c r="S394" s="1"/>
      <c r="T394" s="1"/>
      <c r="U394" s="1"/>
      <c r="V394" s="1"/>
      <c r="W394" s="1"/>
      <c r="X394" s="1"/>
    </row>
    <row r="395">
      <c r="A395" s="1"/>
      <c r="B395" s="1"/>
      <c r="C395" s="2"/>
      <c r="D395" s="1"/>
      <c r="E395" s="1"/>
      <c r="F395" s="1"/>
      <c r="G395" s="1"/>
      <c r="H395" s="2"/>
      <c r="I395" s="2"/>
      <c r="J395" s="1"/>
      <c r="K395" s="1"/>
      <c r="L395" s="1"/>
      <c r="M395" s="1"/>
      <c r="N395" s="1"/>
      <c r="O395" s="1"/>
      <c r="P395" s="1"/>
      <c r="Q395" s="1"/>
      <c r="R395" s="1"/>
      <c r="S395" s="1"/>
      <c r="T395" s="1"/>
      <c r="U395" s="1"/>
      <c r="V395" s="1"/>
      <c r="W395" s="1"/>
      <c r="X395" s="1"/>
    </row>
    <row r="396">
      <c r="A396" s="1"/>
      <c r="B396" s="1"/>
      <c r="C396" s="2"/>
      <c r="D396" s="1"/>
      <c r="E396" s="1"/>
      <c r="F396" s="1"/>
      <c r="G396" s="1"/>
      <c r="H396" s="2"/>
      <c r="I396" s="2"/>
      <c r="J396" s="1"/>
      <c r="K396" s="1"/>
      <c r="L396" s="1"/>
      <c r="M396" s="1"/>
      <c r="N396" s="1"/>
      <c r="O396" s="1"/>
      <c r="P396" s="1"/>
      <c r="Q396" s="1"/>
      <c r="R396" s="1"/>
      <c r="S396" s="1"/>
      <c r="T396" s="1"/>
      <c r="U396" s="1"/>
      <c r="V396" s="1"/>
      <c r="W396" s="1"/>
      <c r="X396" s="1"/>
    </row>
    <row r="397">
      <c r="A397" s="1"/>
      <c r="B397" s="1"/>
      <c r="C397" s="2"/>
      <c r="D397" s="1"/>
      <c r="E397" s="1"/>
      <c r="F397" s="1"/>
      <c r="G397" s="1"/>
      <c r="H397" s="2"/>
      <c r="I397" s="2"/>
      <c r="J397" s="1"/>
      <c r="K397" s="1"/>
      <c r="L397" s="1"/>
      <c r="M397" s="1"/>
      <c r="N397" s="1"/>
      <c r="O397" s="1"/>
      <c r="P397" s="1"/>
      <c r="Q397" s="1"/>
      <c r="R397" s="1"/>
      <c r="S397" s="1"/>
      <c r="T397" s="1"/>
      <c r="U397" s="1"/>
      <c r="V397" s="1"/>
      <c r="W397" s="1"/>
      <c r="X397" s="1"/>
    </row>
    <row r="398">
      <c r="A398" s="1"/>
      <c r="B398" s="1"/>
      <c r="C398" s="2"/>
      <c r="D398" s="1"/>
      <c r="E398" s="1"/>
      <c r="F398" s="1"/>
      <c r="G398" s="1"/>
      <c r="H398" s="2"/>
      <c r="I398" s="2"/>
      <c r="J398" s="1"/>
      <c r="K398" s="1"/>
      <c r="L398" s="1"/>
      <c r="M398" s="1"/>
      <c r="N398" s="1"/>
      <c r="O398" s="1"/>
      <c r="P398" s="1"/>
      <c r="Q398" s="1"/>
      <c r="R398" s="1"/>
      <c r="S398" s="1"/>
      <c r="T398" s="1"/>
      <c r="U398" s="1"/>
      <c r="V398" s="1"/>
      <c r="W398" s="1"/>
      <c r="X398" s="1"/>
    </row>
    <row r="399">
      <c r="A399" s="1"/>
      <c r="B399" s="1"/>
      <c r="C399" s="2"/>
      <c r="D399" s="1"/>
      <c r="E399" s="1"/>
      <c r="F399" s="1"/>
      <c r="G399" s="1"/>
      <c r="H399" s="2"/>
      <c r="I399" s="2"/>
      <c r="J399" s="1"/>
      <c r="K399" s="1"/>
      <c r="L399" s="1"/>
      <c r="M399" s="1"/>
      <c r="N399" s="1"/>
      <c r="O399" s="1"/>
      <c r="P399" s="1"/>
      <c r="Q399" s="1"/>
      <c r="R399" s="1"/>
      <c r="S399" s="1"/>
      <c r="T399" s="1"/>
      <c r="U399" s="1"/>
      <c r="V399" s="1"/>
      <c r="W399" s="1"/>
      <c r="X399" s="1"/>
    </row>
    <row r="400">
      <c r="A400" s="1"/>
      <c r="B400" s="1"/>
      <c r="C400" s="2"/>
      <c r="D400" s="1"/>
      <c r="E400" s="1"/>
      <c r="F400" s="1"/>
      <c r="G400" s="1"/>
      <c r="H400" s="2"/>
      <c r="I400" s="2"/>
      <c r="J400" s="1"/>
      <c r="K400" s="1"/>
      <c r="L400" s="1"/>
      <c r="M400" s="1"/>
      <c r="N400" s="1"/>
      <c r="O400" s="1"/>
      <c r="P400" s="1"/>
      <c r="Q400" s="1"/>
      <c r="R400" s="1"/>
      <c r="S400" s="1"/>
      <c r="T400" s="1"/>
      <c r="U400" s="1"/>
      <c r="V400" s="1"/>
      <c r="W400" s="1"/>
      <c r="X400" s="1"/>
    </row>
    <row r="401">
      <c r="A401" s="1"/>
      <c r="B401" s="1"/>
      <c r="C401" s="2"/>
      <c r="D401" s="1"/>
      <c r="E401" s="1"/>
      <c r="F401" s="1"/>
      <c r="G401" s="1"/>
      <c r="H401" s="2"/>
      <c r="I401" s="2"/>
      <c r="J401" s="1"/>
      <c r="K401" s="1"/>
      <c r="L401" s="1"/>
      <c r="M401" s="1"/>
      <c r="N401" s="1"/>
      <c r="O401" s="1"/>
      <c r="P401" s="1"/>
      <c r="Q401" s="1"/>
      <c r="R401" s="1"/>
      <c r="S401" s="1"/>
      <c r="T401" s="1"/>
      <c r="U401" s="1"/>
      <c r="V401" s="1"/>
      <c r="W401" s="1"/>
      <c r="X401" s="1"/>
    </row>
    <row r="402">
      <c r="A402" s="1"/>
      <c r="B402" s="1"/>
      <c r="C402" s="2"/>
      <c r="D402" s="1"/>
      <c r="E402" s="1"/>
      <c r="F402" s="1"/>
      <c r="G402" s="1"/>
      <c r="H402" s="2"/>
      <c r="I402" s="2"/>
      <c r="J402" s="1"/>
      <c r="K402" s="1"/>
      <c r="L402" s="1"/>
      <c r="M402" s="1"/>
      <c r="N402" s="1"/>
      <c r="O402" s="1"/>
      <c r="P402" s="1"/>
      <c r="Q402" s="1"/>
      <c r="R402" s="1"/>
      <c r="S402" s="1"/>
      <c r="T402" s="1"/>
      <c r="U402" s="1"/>
      <c r="V402" s="1"/>
      <c r="W402" s="1"/>
      <c r="X402" s="1"/>
    </row>
    <row r="403">
      <c r="A403" s="1"/>
      <c r="B403" s="1"/>
      <c r="C403" s="2"/>
      <c r="D403" s="1"/>
      <c r="E403" s="1"/>
      <c r="F403" s="1"/>
      <c r="G403" s="1"/>
      <c r="H403" s="2"/>
      <c r="I403" s="2"/>
      <c r="J403" s="1"/>
      <c r="K403" s="1"/>
      <c r="L403" s="1"/>
      <c r="M403" s="1"/>
      <c r="N403" s="1"/>
      <c r="O403" s="1"/>
      <c r="P403" s="1"/>
      <c r="Q403" s="1"/>
      <c r="R403" s="1"/>
      <c r="S403" s="1"/>
      <c r="T403" s="1"/>
      <c r="U403" s="1"/>
      <c r="V403" s="1"/>
      <c r="W403" s="1"/>
      <c r="X403" s="1"/>
    </row>
    <row r="404">
      <c r="A404" s="1"/>
      <c r="B404" s="1"/>
      <c r="C404" s="2"/>
      <c r="D404" s="1"/>
      <c r="E404" s="1"/>
      <c r="F404" s="1"/>
      <c r="G404" s="1"/>
      <c r="H404" s="2"/>
      <c r="I404" s="2"/>
      <c r="J404" s="1"/>
      <c r="K404" s="1"/>
      <c r="L404" s="1"/>
      <c r="M404" s="1"/>
      <c r="N404" s="1"/>
      <c r="O404" s="1"/>
      <c r="P404" s="1"/>
      <c r="Q404" s="1"/>
      <c r="R404" s="1"/>
      <c r="S404" s="1"/>
      <c r="T404" s="1"/>
      <c r="U404" s="1"/>
      <c r="V404" s="1"/>
      <c r="W404" s="1"/>
      <c r="X404" s="1"/>
    </row>
    <row r="405">
      <c r="A405" s="1"/>
      <c r="B405" s="1"/>
      <c r="C405" s="2"/>
      <c r="D405" s="1"/>
      <c r="E405" s="1"/>
      <c r="F405" s="1"/>
      <c r="G405" s="1"/>
      <c r="H405" s="2"/>
      <c r="I405" s="2"/>
      <c r="J405" s="1"/>
      <c r="K405" s="1"/>
      <c r="L405" s="1"/>
      <c r="M405" s="1"/>
      <c r="N405" s="1"/>
      <c r="O405" s="1"/>
      <c r="P405" s="1"/>
      <c r="Q405" s="1"/>
      <c r="R405" s="1"/>
      <c r="S405" s="1"/>
      <c r="T405" s="1"/>
      <c r="U405" s="1"/>
      <c r="V405" s="1"/>
      <c r="W405" s="1"/>
      <c r="X405" s="1"/>
    </row>
    <row r="406">
      <c r="A406" s="1"/>
      <c r="B406" s="1"/>
      <c r="C406" s="2"/>
      <c r="D406" s="1"/>
      <c r="E406" s="1"/>
      <c r="F406" s="1"/>
      <c r="G406" s="1"/>
      <c r="H406" s="2"/>
      <c r="I406" s="2"/>
      <c r="J406" s="1"/>
      <c r="K406" s="1"/>
      <c r="L406" s="1"/>
      <c r="M406" s="1"/>
      <c r="N406" s="1"/>
      <c r="O406" s="1"/>
      <c r="P406" s="1"/>
      <c r="Q406" s="1"/>
      <c r="R406" s="1"/>
      <c r="S406" s="1"/>
      <c r="T406" s="1"/>
      <c r="U406" s="1"/>
      <c r="V406" s="1"/>
      <c r="W406" s="1"/>
      <c r="X406" s="1"/>
    </row>
    <row r="407">
      <c r="A407" s="1"/>
      <c r="B407" s="1"/>
      <c r="C407" s="2"/>
      <c r="D407" s="1"/>
      <c r="E407" s="1"/>
      <c r="F407" s="1"/>
      <c r="G407" s="1"/>
      <c r="H407" s="2"/>
      <c r="I407" s="2"/>
      <c r="J407" s="1"/>
      <c r="K407" s="1"/>
      <c r="L407" s="1"/>
      <c r="M407" s="1"/>
      <c r="N407" s="1"/>
      <c r="O407" s="1"/>
      <c r="P407" s="1"/>
      <c r="Q407" s="1"/>
      <c r="R407" s="1"/>
      <c r="S407" s="1"/>
      <c r="T407" s="1"/>
      <c r="U407" s="1"/>
      <c r="V407" s="1"/>
      <c r="W407" s="1"/>
      <c r="X407" s="1"/>
    </row>
    <row r="408">
      <c r="A408" s="1"/>
      <c r="B408" s="1"/>
      <c r="C408" s="2"/>
      <c r="D408" s="1"/>
      <c r="E408" s="1"/>
      <c r="F408" s="1"/>
      <c r="G408" s="1"/>
      <c r="H408" s="2"/>
      <c r="I408" s="2"/>
      <c r="J408" s="1"/>
      <c r="K408" s="1"/>
      <c r="L408" s="1"/>
      <c r="M408" s="1"/>
      <c r="N408" s="1"/>
      <c r="O408" s="1"/>
      <c r="P408" s="1"/>
      <c r="Q408" s="1"/>
      <c r="R408" s="1"/>
      <c r="S408" s="1"/>
      <c r="T408" s="1"/>
      <c r="U408" s="1"/>
      <c r="V408" s="1"/>
      <c r="W408" s="1"/>
      <c r="X408" s="1"/>
    </row>
    <row r="409">
      <c r="A409" s="1"/>
      <c r="B409" s="1"/>
      <c r="C409" s="2"/>
      <c r="D409" s="1"/>
      <c r="E409" s="1"/>
      <c r="F409" s="1"/>
      <c r="G409" s="1"/>
      <c r="H409" s="2"/>
      <c r="I409" s="2"/>
      <c r="J409" s="1"/>
      <c r="K409" s="1"/>
      <c r="L409" s="1"/>
      <c r="M409" s="1"/>
      <c r="N409" s="1"/>
      <c r="O409" s="1"/>
      <c r="P409" s="1"/>
      <c r="Q409" s="1"/>
      <c r="R409" s="1"/>
      <c r="S409" s="1"/>
      <c r="T409" s="1"/>
      <c r="U409" s="1"/>
      <c r="V409" s="1"/>
      <c r="W409" s="1"/>
      <c r="X409" s="1"/>
    </row>
    <row r="410">
      <c r="A410" s="1"/>
      <c r="B410" s="1"/>
      <c r="C410" s="2"/>
      <c r="D410" s="1"/>
      <c r="E410" s="1"/>
      <c r="F410" s="1"/>
      <c r="G410" s="1"/>
      <c r="H410" s="2"/>
      <c r="I410" s="2"/>
      <c r="J410" s="1"/>
      <c r="K410" s="1"/>
      <c r="L410" s="1"/>
      <c r="M410" s="1"/>
      <c r="N410" s="1"/>
      <c r="O410" s="1"/>
      <c r="P410" s="1"/>
      <c r="Q410" s="1"/>
      <c r="R410" s="1"/>
      <c r="S410" s="1"/>
      <c r="T410" s="1"/>
      <c r="U410" s="1"/>
      <c r="V410" s="1"/>
      <c r="W410" s="1"/>
      <c r="X410" s="1"/>
    </row>
    <row r="411">
      <c r="A411" s="1"/>
      <c r="B411" s="1"/>
      <c r="C411" s="2"/>
      <c r="D411" s="1"/>
      <c r="E411" s="1"/>
      <c r="F411" s="1"/>
      <c r="G411" s="1"/>
      <c r="H411" s="2"/>
      <c r="I411" s="2"/>
      <c r="J411" s="1"/>
      <c r="K411" s="1"/>
      <c r="L411" s="1"/>
      <c r="M411" s="1"/>
      <c r="N411" s="1"/>
      <c r="O411" s="1"/>
      <c r="P411" s="1"/>
      <c r="Q411" s="1"/>
      <c r="R411" s="1"/>
      <c r="S411" s="1"/>
      <c r="T411" s="1"/>
      <c r="U411" s="1"/>
      <c r="V411" s="1"/>
      <c r="W411" s="1"/>
      <c r="X411" s="1"/>
    </row>
    <row r="412">
      <c r="A412" s="1"/>
      <c r="B412" s="1"/>
      <c r="C412" s="2"/>
      <c r="D412" s="1"/>
      <c r="E412" s="1"/>
      <c r="F412" s="1"/>
      <c r="G412" s="1"/>
      <c r="H412" s="2"/>
      <c r="I412" s="2"/>
      <c r="J412" s="1"/>
      <c r="K412" s="1"/>
      <c r="L412" s="1"/>
      <c r="M412" s="1"/>
      <c r="N412" s="1"/>
      <c r="O412" s="1"/>
      <c r="P412" s="1"/>
      <c r="Q412" s="1"/>
      <c r="R412" s="1"/>
      <c r="S412" s="1"/>
      <c r="T412" s="1"/>
      <c r="U412" s="1"/>
      <c r="V412" s="1"/>
      <c r="W412" s="1"/>
      <c r="X412" s="1"/>
    </row>
    <row r="413">
      <c r="A413" s="1"/>
      <c r="B413" s="1"/>
      <c r="C413" s="2"/>
      <c r="D413" s="1"/>
      <c r="E413" s="1"/>
      <c r="F413" s="1"/>
      <c r="G413" s="1"/>
      <c r="H413" s="2"/>
      <c r="I413" s="2"/>
      <c r="J413" s="1"/>
      <c r="K413" s="1"/>
      <c r="L413" s="1"/>
      <c r="M413" s="1"/>
      <c r="N413" s="1"/>
      <c r="O413" s="1"/>
      <c r="P413" s="1"/>
      <c r="Q413" s="1"/>
      <c r="R413" s="1"/>
      <c r="S413" s="1"/>
      <c r="T413" s="1"/>
      <c r="U413" s="1"/>
      <c r="V413" s="1"/>
      <c r="W413" s="1"/>
      <c r="X413" s="1"/>
    </row>
    <row r="414">
      <c r="A414" s="1"/>
      <c r="B414" s="1"/>
      <c r="C414" s="2"/>
      <c r="D414" s="1"/>
      <c r="E414" s="1"/>
      <c r="F414" s="1"/>
      <c r="G414" s="1"/>
      <c r="H414" s="2"/>
      <c r="I414" s="2"/>
      <c r="J414" s="1"/>
      <c r="K414" s="1"/>
      <c r="L414" s="1"/>
      <c r="M414" s="1"/>
      <c r="N414" s="1"/>
      <c r="O414" s="1"/>
      <c r="P414" s="1"/>
      <c r="Q414" s="1"/>
      <c r="R414" s="1"/>
      <c r="S414" s="1"/>
      <c r="T414" s="1"/>
      <c r="U414" s="1"/>
      <c r="V414" s="1"/>
      <c r="W414" s="1"/>
      <c r="X414" s="1"/>
    </row>
    <row r="415">
      <c r="A415" s="1"/>
      <c r="B415" s="1"/>
      <c r="C415" s="2"/>
      <c r="D415" s="1"/>
      <c r="E415" s="1"/>
      <c r="F415" s="1"/>
      <c r="G415" s="1"/>
      <c r="H415" s="2"/>
      <c r="I415" s="2"/>
      <c r="J415" s="1"/>
      <c r="K415" s="1"/>
      <c r="L415" s="1"/>
      <c r="M415" s="1"/>
      <c r="N415" s="1"/>
      <c r="O415" s="1"/>
      <c r="P415" s="1"/>
      <c r="Q415" s="1"/>
      <c r="R415" s="1"/>
      <c r="S415" s="1"/>
      <c r="T415" s="1"/>
      <c r="U415" s="1"/>
      <c r="V415" s="1"/>
      <c r="W415" s="1"/>
      <c r="X415" s="1"/>
    </row>
    <row r="416">
      <c r="A416" s="1"/>
      <c r="B416" s="1"/>
      <c r="C416" s="2"/>
      <c r="D416" s="1"/>
      <c r="E416" s="1"/>
      <c r="F416" s="1"/>
      <c r="G416" s="1"/>
      <c r="H416" s="2"/>
      <c r="I416" s="2"/>
      <c r="J416" s="1"/>
      <c r="K416" s="1"/>
      <c r="L416" s="1"/>
      <c r="M416" s="1"/>
      <c r="N416" s="1"/>
      <c r="O416" s="1"/>
      <c r="P416" s="1"/>
      <c r="Q416" s="1"/>
      <c r="R416" s="1"/>
      <c r="S416" s="1"/>
      <c r="T416" s="1"/>
      <c r="U416" s="1"/>
      <c r="V416" s="1"/>
      <c r="W416" s="1"/>
      <c r="X416" s="1"/>
    </row>
    <row r="417">
      <c r="A417" s="1"/>
      <c r="B417" s="1"/>
      <c r="C417" s="2"/>
      <c r="D417" s="1"/>
      <c r="E417" s="1"/>
      <c r="F417" s="1"/>
      <c r="G417" s="1"/>
      <c r="H417" s="2"/>
      <c r="I417" s="2"/>
      <c r="J417" s="1"/>
      <c r="K417" s="1"/>
      <c r="L417" s="1"/>
      <c r="M417" s="1"/>
      <c r="N417" s="1"/>
      <c r="O417" s="1"/>
      <c r="P417" s="1"/>
      <c r="Q417" s="1"/>
      <c r="R417" s="1"/>
      <c r="S417" s="1"/>
      <c r="T417" s="1"/>
      <c r="U417" s="1"/>
      <c r="V417" s="1"/>
      <c r="W417" s="1"/>
      <c r="X417" s="1"/>
    </row>
    <row r="418">
      <c r="A418" s="1"/>
      <c r="B418" s="1"/>
      <c r="C418" s="2"/>
      <c r="D418" s="1"/>
      <c r="E418" s="1"/>
      <c r="F418" s="1"/>
      <c r="G418" s="1"/>
      <c r="H418" s="2"/>
      <c r="I418" s="2"/>
      <c r="J418" s="1"/>
      <c r="K418" s="1"/>
      <c r="L418" s="1"/>
      <c r="M418" s="1"/>
      <c r="N418" s="1"/>
      <c r="O418" s="1"/>
      <c r="P418" s="1"/>
      <c r="Q418" s="1"/>
      <c r="R418" s="1"/>
      <c r="S418" s="1"/>
      <c r="T418" s="1"/>
      <c r="U418" s="1"/>
      <c r="V418" s="1"/>
      <c r="W418" s="1"/>
      <c r="X418" s="1"/>
    </row>
    <row r="419">
      <c r="A419" s="1"/>
      <c r="B419" s="1"/>
      <c r="C419" s="2"/>
      <c r="D419" s="1"/>
      <c r="E419" s="1"/>
      <c r="F419" s="1"/>
      <c r="G419" s="1"/>
      <c r="H419" s="2"/>
      <c r="I419" s="2"/>
      <c r="J419" s="1"/>
      <c r="K419" s="1"/>
      <c r="L419" s="1"/>
      <c r="M419" s="1"/>
      <c r="N419" s="1"/>
      <c r="O419" s="1"/>
      <c r="P419" s="1"/>
      <c r="Q419" s="1"/>
      <c r="R419" s="1"/>
      <c r="S419" s="1"/>
      <c r="T419" s="1"/>
      <c r="U419" s="1"/>
      <c r="V419" s="1"/>
      <c r="W419" s="1"/>
      <c r="X419" s="1"/>
    </row>
    <row r="420">
      <c r="A420" s="1"/>
      <c r="B420" s="1"/>
      <c r="C420" s="2"/>
      <c r="D420" s="1"/>
      <c r="E420" s="1"/>
      <c r="F420" s="1"/>
      <c r="G420" s="1"/>
      <c r="H420" s="2"/>
      <c r="I420" s="2"/>
      <c r="J420" s="1"/>
      <c r="K420" s="1"/>
      <c r="L420" s="1"/>
      <c r="M420" s="1"/>
      <c r="N420" s="1"/>
      <c r="O420" s="1"/>
      <c r="P420" s="1"/>
      <c r="Q420" s="1"/>
      <c r="R420" s="1"/>
      <c r="S420" s="1"/>
      <c r="T420" s="1"/>
      <c r="U420" s="1"/>
      <c r="V420" s="1"/>
      <c r="W420" s="1"/>
      <c r="X420" s="1"/>
    </row>
    <row r="421">
      <c r="A421" s="1"/>
      <c r="B421" s="1"/>
      <c r="C421" s="2"/>
      <c r="D421" s="1"/>
      <c r="E421" s="1"/>
      <c r="F421" s="1"/>
      <c r="G421" s="1"/>
      <c r="H421" s="2"/>
      <c r="I421" s="2"/>
      <c r="J421" s="1"/>
      <c r="K421" s="1"/>
      <c r="L421" s="1"/>
      <c r="M421" s="1"/>
      <c r="N421" s="1"/>
      <c r="O421" s="1"/>
      <c r="P421" s="1"/>
      <c r="Q421" s="1"/>
      <c r="R421" s="1"/>
      <c r="S421" s="1"/>
      <c r="T421" s="1"/>
      <c r="U421" s="1"/>
      <c r="V421" s="1"/>
      <c r="W421" s="1"/>
      <c r="X421" s="1"/>
    </row>
    <row r="422">
      <c r="A422" s="1"/>
      <c r="B422" s="1"/>
      <c r="C422" s="2"/>
      <c r="D422" s="1"/>
      <c r="E422" s="1"/>
      <c r="F422" s="1"/>
      <c r="G422" s="1"/>
      <c r="H422" s="2"/>
      <c r="I422" s="2"/>
      <c r="J422" s="1"/>
      <c r="K422" s="1"/>
      <c r="L422" s="1"/>
      <c r="M422" s="1"/>
      <c r="N422" s="1"/>
      <c r="O422" s="1"/>
      <c r="P422" s="1"/>
      <c r="Q422" s="1"/>
      <c r="R422" s="1"/>
      <c r="S422" s="1"/>
      <c r="T422" s="1"/>
      <c r="U422" s="1"/>
      <c r="V422" s="1"/>
      <c r="W422" s="1"/>
      <c r="X422" s="1"/>
    </row>
    <row r="423">
      <c r="A423" s="1"/>
      <c r="B423" s="1"/>
      <c r="C423" s="2"/>
      <c r="D423" s="1"/>
      <c r="E423" s="1"/>
      <c r="F423" s="1"/>
      <c r="G423" s="1"/>
      <c r="H423" s="2"/>
      <c r="I423" s="2"/>
      <c r="J423" s="1"/>
      <c r="K423" s="1"/>
      <c r="L423" s="1"/>
      <c r="M423" s="1"/>
      <c r="N423" s="1"/>
      <c r="O423" s="1"/>
      <c r="P423" s="1"/>
      <c r="Q423" s="1"/>
      <c r="R423" s="1"/>
      <c r="S423" s="1"/>
      <c r="T423" s="1"/>
      <c r="U423" s="1"/>
      <c r="V423" s="1"/>
      <c r="W423" s="1"/>
      <c r="X423" s="1"/>
    </row>
    <row r="424">
      <c r="A424" s="1"/>
      <c r="B424" s="1"/>
      <c r="C424" s="2"/>
      <c r="D424" s="1"/>
      <c r="E424" s="1"/>
      <c r="F424" s="1"/>
      <c r="G424" s="1"/>
      <c r="H424" s="2"/>
      <c r="I424" s="2"/>
      <c r="J424" s="1"/>
      <c r="K424" s="1"/>
      <c r="L424" s="1"/>
      <c r="M424" s="1"/>
      <c r="N424" s="1"/>
      <c r="O424" s="1"/>
      <c r="P424" s="1"/>
      <c r="Q424" s="1"/>
      <c r="R424" s="1"/>
      <c r="S424" s="1"/>
      <c r="T424" s="1"/>
      <c r="U424" s="1"/>
      <c r="V424" s="1"/>
      <c r="W424" s="1"/>
      <c r="X424" s="1"/>
    </row>
    <row r="425">
      <c r="A425" s="1"/>
      <c r="B425" s="1"/>
      <c r="C425" s="2"/>
      <c r="D425" s="1"/>
      <c r="E425" s="1"/>
      <c r="F425" s="1"/>
      <c r="G425" s="1"/>
      <c r="H425" s="2"/>
      <c r="I425" s="2"/>
      <c r="J425" s="1"/>
      <c r="K425" s="1"/>
      <c r="L425" s="1"/>
      <c r="M425" s="1"/>
      <c r="N425" s="1"/>
      <c r="O425" s="1"/>
      <c r="P425" s="1"/>
      <c r="Q425" s="1"/>
      <c r="R425" s="1"/>
      <c r="S425" s="1"/>
      <c r="T425" s="1"/>
      <c r="U425" s="1"/>
      <c r="V425" s="1"/>
      <c r="W425" s="1"/>
      <c r="X425" s="1"/>
    </row>
    <row r="426">
      <c r="A426" s="1"/>
      <c r="B426" s="1"/>
      <c r="C426" s="2"/>
      <c r="D426" s="1"/>
      <c r="E426" s="1"/>
      <c r="F426" s="1"/>
      <c r="G426" s="1"/>
      <c r="H426" s="2"/>
      <c r="I426" s="2"/>
      <c r="J426" s="1"/>
      <c r="K426" s="1"/>
      <c r="L426" s="1"/>
      <c r="M426" s="1"/>
      <c r="N426" s="1"/>
      <c r="O426" s="1"/>
      <c r="P426" s="1"/>
      <c r="Q426" s="1"/>
      <c r="R426" s="1"/>
      <c r="S426" s="1"/>
      <c r="T426" s="1"/>
      <c r="U426" s="1"/>
      <c r="V426" s="1"/>
      <c r="W426" s="1"/>
      <c r="X426" s="1"/>
    </row>
    <row r="427">
      <c r="A427" s="1"/>
      <c r="B427" s="1"/>
      <c r="C427" s="2"/>
      <c r="D427" s="1"/>
      <c r="E427" s="1"/>
      <c r="F427" s="1"/>
      <c r="G427" s="1"/>
      <c r="H427" s="2"/>
      <c r="I427" s="2"/>
      <c r="J427" s="1"/>
      <c r="K427" s="1"/>
      <c r="L427" s="1"/>
      <c r="M427" s="1"/>
      <c r="N427" s="1"/>
      <c r="O427" s="1"/>
      <c r="P427" s="1"/>
      <c r="Q427" s="1"/>
      <c r="R427" s="1"/>
      <c r="S427" s="1"/>
      <c r="T427" s="1"/>
      <c r="U427" s="1"/>
      <c r="V427" s="1"/>
      <c r="W427" s="1"/>
      <c r="X427" s="1"/>
    </row>
    <row r="428">
      <c r="A428" s="1"/>
      <c r="B428" s="1"/>
      <c r="C428" s="2"/>
      <c r="D428" s="1"/>
      <c r="E428" s="1"/>
      <c r="F428" s="1"/>
      <c r="G428" s="1"/>
      <c r="H428" s="2"/>
      <c r="I428" s="2"/>
      <c r="J428" s="1"/>
      <c r="K428" s="1"/>
      <c r="L428" s="1"/>
      <c r="M428" s="1"/>
      <c r="N428" s="1"/>
      <c r="O428" s="1"/>
      <c r="P428" s="1"/>
      <c r="Q428" s="1"/>
      <c r="R428" s="1"/>
      <c r="S428" s="1"/>
      <c r="T428" s="1"/>
      <c r="U428" s="1"/>
      <c r="V428" s="1"/>
      <c r="W428" s="1"/>
      <c r="X428" s="1"/>
    </row>
    <row r="429">
      <c r="A429" s="1"/>
      <c r="B429" s="1"/>
      <c r="C429" s="2"/>
      <c r="D429" s="1"/>
      <c r="E429" s="1"/>
      <c r="F429" s="1"/>
      <c r="G429" s="1"/>
      <c r="H429" s="2"/>
      <c r="I429" s="2"/>
      <c r="J429" s="1"/>
      <c r="K429" s="1"/>
      <c r="L429" s="1"/>
      <c r="M429" s="1"/>
      <c r="N429" s="1"/>
      <c r="O429" s="1"/>
      <c r="P429" s="1"/>
      <c r="Q429" s="1"/>
      <c r="R429" s="1"/>
      <c r="S429" s="1"/>
      <c r="T429" s="1"/>
      <c r="U429" s="1"/>
      <c r="V429" s="1"/>
      <c r="W429" s="1"/>
      <c r="X429" s="1"/>
    </row>
    <row r="430">
      <c r="A430" s="1"/>
      <c r="B430" s="1"/>
      <c r="C430" s="2"/>
      <c r="D430" s="1"/>
      <c r="E430" s="1"/>
      <c r="F430" s="1"/>
      <c r="G430" s="1"/>
      <c r="H430" s="2"/>
      <c r="I430" s="2"/>
      <c r="J430" s="1"/>
      <c r="K430" s="1"/>
      <c r="L430" s="1"/>
      <c r="M430" s="1"/>
      <c r="N430" s="1"/>
      <c r="O430" s="1"/>
      <c r="P430" s="1"/>
      <c r="Q430" s="1"/>
      <c r="R430" s="1"/>
      <c r="S430" s="1"/>
      <c r="T430" s="1"/>
      <c r="U430" s="1"/>
      <c r="V430" s="1"/>
      <c r="W430" s="1"/>
      <c r="X430" s="1"/>
    </row>
    <row r="431">
      <c r="A431" s="1"/>
      <c r="B431" s="1"/>
      <c r="C431" s="2"/>
      <c r="D431" s="1"/>
      <c r="E431" s="1"/>
      <c r="F431" s="1"/>
      <c r="G431" s="1"/>
      <c r="H431" s="2"/>
      <c r="I431" s="2"/>
      <c r="J431" s="1"/>
      <c r="K431" s="1"/>
      <c r="L431" s="1"/>
      <c r="M431" s="1"/>
      <c r="N431" s="1"/>
      <c r="O431" s="1"/>
      <c r="P431" s="1"/>
      <c r="Q431" s="1"/>
      <c r="R431" s="1"/>
      <c r="S431" s="1"/>
      <c r="T431" s="1"/>
      <c r="U431" s="1"/>
      <c r="V431" s="1"/>
      <c r="W431" s="1"/>
      <c r="X431" s="1"/>
    </row>
    <row r="432">
      <c r="A432" s="1"/>
      <c r="B432" s="1"/>
      <c r="C432" s="2"/>
      <c r="D432" s="1"/>
      <c r="E432" s="1"/>
      <c r="F432" s="1"/>
      <c r="G432" s="1"/>
      <c r="H432" s="2"/>
      <c r="I432" s="2"/>
      <c r="J432" s="1"/>
      <c r="K432" s="1"/>
      <c r="L432" s="1"/>
      <c r="M432" s="1"/>
      <c r="N432" s="1"/>
      <c r="O432" s="1"/>
      <c r="P432" s="1"/>
      <c r="Q432" s="1"/>
      <c r="R432" s="1"/>
      <c r="S432" s="1"/>
      <c r="T432" s="1"/>
      <c r="U432" s="1"/>
      <c r="V432" s="1"/>
      <c r="W432" s="1"/>
      <c r="X432" s="1"/>
    </row>
    <row r="433">
      <c r="A433" s="1"/>
      <c r="B433" s="1"/>
      <c r="C433" s="2"/>
      <c r="D433" s="1"/>
      <c r="E433" s="1"/>
      <c r="F433" s="1"/>
      <c r="G433" s="1"/>
      <c r="H433" s="2"/>
      <c r="I433" s="2"/>
      <c r="J433" s="1"/>
      <c r="K433" s="1"/>
      <c r="L433" s="1"/>
      <c r="M433" s="1"/>
      <c r="N433" s="1"/>
      <c r="O433" s="1"/>
      <c r="P433" s="1"/>
      <c r="Q433" s="1"/>
      <c r="R433" s="1"/>
      <c r="S433" s="1"/>
      <c r="T433" s="1"/>
      <c r="U433" s="1"/>
      <c r="V433" s="1"/>
      <c r="W433" s="1"/>
      <c r="X433" s="1"/>
    </row>
    <row r="434">
      <c r="A434" s="1"/>
      <c r="B434" s="1"/>
      <c r="C434" s="2"/>
      <c r="D434" s="1"/>
      <c r="E434" s="1"/>
      <c r="F434" s="1"/>
      <c r="G434" s="1"/>
      <c r="H434" s="2"/>
      <c r="I434" s="2"/>
      <c r="J434" s="1"/>
      <c r="K434" s="1"/>
      <c r="L434" s="1"/>
      <c r="M434" s="1"/>
      <c r="N434" s="1"/>
      <c r="O434" s="1"/>
      <c r="P434" s="1"/>
      <c r="Q434" s="1"/>
      <c r="R434" s="1"/>
      <c r="S434" s="1"/>
      <c r="T434" s="1"/>
      <c r="U434" s="1"/>
      <c r="V434" s="1"/>
      <c r="W434" s="1"/>
      <c r="X434" s="1"/>
    </row>
    <row r="435">
      <c r="A435" s="1"/>
      <c r="B435" s="1"/>
      <c r="C435" s="2"/>
      <c r="D435" s="1"/>
      <c r="E435" s="1"/>
      <c r="F435" s="1"/>
      <c r="G435" s="1"/>
      <c r="H435" s="2"/>
      <c r="I435" s="2"/>
      <c r="J435" s="1"/>
      <c r="K435" s="1"/>
      <c r="L435" s="1"/>
      <c r="M435" s="1"/>
      <c r="N435" s="1"/>
      <c r="O435" s="1"/>
      <c r="P435" s="1"/>
      <c r="Q435" s="1"/>
      <c r="R435" s="1"/>
      <c r="S435" s="1"/>
      <c r="T435" s="1"/>
      <c r="U435" s="1"/>
      <c r="V435" s="1"/>
      <c r="W435" s="1"/>
      <c r="X435" s="1"/>
    </row>
    <row r="436">
      <c r="A436" s="1"/>
      <c r="B436" s="1"/>
      <c r="C436" s="2"/>
      <c r="D436" s="1"/>
      <c r="E436" s="1"/>
      <c r="F436" s="1"/>
      <c r="G436" s="1"/>
      <c r="H436" s="2"/>
      <c r="I436" s="2"/>
      <c r="J436" s="1"/>
      <c r="K436" s="1"/>
      <c r="L436" s="1"/>
      <c r="M436" s="1"/>
      <c r="N436" s="1"/>
      <c r="O436" s="1"/>
      <c r="P436" s="1"/>
      <c r="Q436" s="1"/>
      <c r="R436" s="1"/>
      <c r="S436" s="1"/>
      <c r="T436" s="1"/>
      <c r="U436" s="1"/>
      <c r="V436" s="1"/>
      <c r="W436" s="1"/>
      <c r="X436" s="1"/>
    </row>
    <row r="437">
      <c r="A437" s="1"/>
      <c r="B437" s="1"/>
      <c r="C437" s="2"/>
      <c r="D437" s="1"/>
      <c r="E437" s="1"/>
      <c r="F437" s="1"/>
      <c r="G437" s="1"/>
      <c r="H437" s="2"/>
      <c r="I437" s="2"/>
      <c r="J437" s="1"/>
      <c r="K437" s="1"/>
      <c r="L437" s="1"/>
      <c r="M437" s="1"/>
      <c r="N437" s="1"/>
      <c r="O437" s="1"/>
      <c r="P437" s="1"/>
      <c r="Q437" s="1"/>
      <c r="R437" s="1"/>
      <c r="S437" s="1"/>
      <c r="T437" s="1"/>
      <c r="U437" s="1"/>
      <c r="V437" s="1"/>
      <c r="W437" s="1"/>
      <c r="X437" s="1"/>
    </row>
    <row r="438">
      <c r="A438" s="1"/>
      <c r="B438" s="1"/>
      <c r="C438" s="2"/>
      <c r="D438" s="1"/>
      <c r="E438" s="1"/>
      <c r="F438" s="1"/>
      <c r="G438" s="1"/>
      <c r="H438" s="2"/>
      <c r="I438" s="2"/>
      <c r="J438" s="1"/>
      <c r="K438" s="1"/>
      <c r="L438" s="1"/>
      <c r="M438" s="1"/>
      <c r="N438" s="1"/>
      <c r="O438" s="1"/>
      <c r="P438" s="1"/>
      <c r="Q438" s="1"/>
      <c r="R438" s="1"/>
      <c r="S438" s="1"/>
      <c r="T438" s="1"/>
      <c r="U438" s="1"/>
      <c r="V438" s="1"/>
      <c r="W438" s="1"/>
      <c r="X438" s="1"/>
    </row>
    <row r="439">
      <c r="A439" s="1"/>
      <c r="B439" s="1"/>
      <c r="C439" s="2"/>
      <c r="D439" s="1"/>
      <c r="E439" s="1"/>
      <c r="F439" s="1"/>
      <c r="G439" s="1"/>
      <c r="H439" s="2"/>
      <c r="I439" s="2"/>
      <c r="J439" s="1"/>
      <c r="K439" s="1"/>
      <c r="L439" s="1"/>
      <c r="M439" s="1"/>
      <c r="N439" s="1"/>
      <c r="O439" s="1"/>
      <c r="P439" s="1"/>
      <c r="Q439" s="1"/>
      <c r="R439" s="1"/>
      <c r="S439" s="1"/>
      <c r="T439" s="1"/>
      <c r="U439" s="1"/>
      <c r="V439" s="1"/>
      <c r="W439" s="1"/>
      <c r="X439" s="1"/>
    </row>
    <row r="440">
      <c r="A440" s="1"/>
      <c r="B440" s="1"/>
      <c r="C440" s="2"/>
      <c r="D440" s="1"/>
      <c r="E440" s="1"/>
      <c r="F440" s="1"/>
      <c r="G440" s="1"/>
      <c r="H440" s="2"/>
      <c r="I440" s="2"/>
      <c r="J440" s="1"/>
      <c r="K440" s="1"/>
      <c r="L440" s="1"/>
      <c r="M440" s="1"/>
      <c r="N440" s="1"/>
      <c r="O440" s="1"/>
      <c r="P440" s="1"/>
      <c r="Q440" s="1"/>
      <c r="R440" s="1"/>
      <c r="S440" s="1"/>
      <c r="T440" s="1"/>
      <c r="U440" s="1"/>
      <c r="V440" s="1"/>
      <c r="W440" s="1"/>
      <c r="X440" s="1"/>
    </row>
    <row r="441">
      <c r="A441" s="1"/>
      <c r="B441" s="1"/>
      <c r="C441" s="2"/>
      <c r="D441" s="1"/>
      <c r="E441" s="1"/>
      <c r="F441" s="1"/>
      <c r="G441" s="1"/>
      <c r="H441" s="2"/>
      <c r="I441" s="2"/>
      <c r="J441" s="1"/>
      <c r="K441" s="1"/>
      <c r="L441" s="1"/>
      <c r="M441" s="1"/>
      <c r="N441" s="1"/>
      <c r="O441" s="1"/>
      <c r="P441" s="1"/>
      <c r="Q441" s="1"/>
      <c r="R441" s="1"/>
      <c r="S441" s="1"/>
      <c r="T441" s="1"/>
      <c r="U441" s="1"/>
      <c r="V441" s="1"/>
      <c r="W441" s="1"/>
      <c r="X441" s="1"/>
    </row>
    <row r="442">
      <c r="A442" s="1"/>
      <c r="B442" s="1"/>
      <c r="C442" s="2"/>
      <c r="D442" s="1"/>
      <c r="E442" s="1"/>
      <c r="F442" s="1"/>
      <c r="G442" s="1"/>
      <c r="H442" s="2"/>
      <c r="I442" s="2"/>
      <c r="J442" s="1"/>
      <c r="K442" s="1"/>
      <c r="L442" s="1"/>
      <c r="M442" s="1"/>
      <c r="N442" s="1"/>
      <c r="O442" s="1"/>
      <c r="P442" s="1"/>
      <c r="Q442" s="1"/>
      <c r="R442" s="1"/>
      <c r="S442" s="1"/>
      <c r="T442" s="1"/>
      <c r="U442" s="1"/>
      <c r="V442" s="1"/>
      <c r="W442" s="1"/>
      <c r="X442" s="1"/>
    </row>
    <row r="443">
      <c r="A443" s="1"/>
      <c r="B443" s="1"/>
      <c r="C443" s="2"/>
      <c r="D443" s="1"/>
      <c r="E443" s="1"/>
      <c r="F443" s="1"/>
      <c r="G443" s="1"/>
      <c r="H443" s="2"/>
      <c r="I443" s="2"/>
      <c r="J443" s="1"/>
      <c r="K443" s="1"/>
      <c r="L443" s="1"/>
      <c r="M443" s="1"/>
      <c r="N443" s="1"/>
      <c r="O443" s="1"/>
      <c r="P443" s="1"/>
      <c r="Q443" s="1"/>
      <c r="R443" s="1"/>
      <c r="S443" s="1"/>
      <c r="T443" s="1"/>
      <c r="U443" s="1"/>
      <c r="V443" s="1"/>
      <c r="W443" s="1"/>
      <c r="X443" s="1"/>
    </row>
    <row r="444">
      <c r="A444" s="1"/>
      <c r="B444" s="1"/>
      <c r="C444" s="2"/>
      <c r="D444" s="1"/>
      <c r="E444" s="1"/>
      <c r="F444" s="1"/>
      <c r="G444" s="1"/>
      <c r="H444" s="2"/>
      <c r="I444" s="2"/>
      <c r="J444" s="1"/>
      <c r="K444" s="1"/>
      <c r="L444" s="1"/>
      <c r="M444" s="1"/>
      <c r="N444" s="1"/>
      <c r="O444" s="1"/>
      <c r="P444" s="1"/>
      <c r="Q444" s="1"/>
      <c r="R444" s="1"/>
      <c r="S444" s="1"/>
      <c r="T444" s="1"/>
      <c r="U444" s="1"/>
      <c r="V444" s="1"/>
      <c r="W444" s="1"/>
      <c r="X444" s="1"/>
    </row>
    <row r="445">
      <c r="A445" s="1"/>
      <c r="B445" s="1"/>
      <c r="C445" s="2"/>
      <c r="D445" s="1"/>
      <c r="E445" s="1"/>
      <c r="F445" s="1"/>
      <c r="G445" s="1"/>
      <c r="H445" s="2"/>
      <c r="I445" s="2"/>
      <c r="J445" s="1"/>
      <c r="K445" s="1"/>
      <c r="L445" s="1"/>
      <c r="M445" s="1"/>
      <c r="N445" s="1"/>
      <c r="O445" s="1"/>
      <c r="P445" s="1"/>
      <c r="Q445" s="1"/>
      <c r="R445" s="1"/>
      <c r="S445" s="1"/>
      <c r="T445" s="1"/>
      <c r="U445" s="1"/>
      <c r="V445" s="1"/>
      <c r="W445" s="1"/>
      <c r="X445" s="1"/>
    </row>
    <row r="446">
      <c r="A446" s="1"/>
      <c r="B446" s="1"/>
      <c r="C446" s="2"/>
      <c r="D446" s="1"/>
      <c r="E446" s="1"/>
      <c r="F446" s="1"/>
      <c r="G446" s="1"/>
      <c r="H446" s="2"/>
      <c r="I446" s="2"/>
      <c r="J446" s="1"/>
      <c r="K446" s="1"/>
      <c r="L446" s="1"/>
      <c r="M446" s="1"/>
      <c r="N446" s="1"/>
      <c r="O446" s="1"/>
      <c r="P446" s="1"/>
      <c r="Q446" s="1"/>
      <c r="R446" s="1"/>
      <c r="S446" s="1"/>
      <c r="T446" s="1"/>
      <c r="U446" s="1"/>
      <c r="V446" s="1"/>
      <c r="W446" s="1"/>
      <c r="X446" s="1"/>
    </row>
    <row r="447">
      <c r="A447" s="1"/>
      <c r="B447" s="1"/>
      <c r="C447" s="2"/>
      <c r="D447" s="1"/>
      <c r="E447" s="1"/>
      <c r="F447" s="1"/>
      <c r="G447" s="1"/>
      <c r="H447" s="2"/>
      <c r="I447" s="2"/>
      <c r="J447" s="1"/>
      <c r="K447" s="1"/>
      <c r="L447" s="1"/>
      <c r="M447" s="1"/>
      <c r="N447" s="1"/>
      <c r="O447" s="1"/>
      <c r="P447" s="1"/>
      <c r="Q447" s="1"/>
      <c r="R447" s="1"/>
      <c r="S447" s="1"/>
      <c r="T447" s="1"/>
      <c r="U447" s="1"/>
      <c r="V447" s="1"/>
      <c r="W447" s="1"/>
      <c r="X447" s="1"/>
    </row>
    <row r="448">
      <c r="A448" s="1"/>
      <c r="B448" s="1"/>
      <c r="C448" s="2"/>
      <c r="D448" s="1"/>
      <c r="E448" s="1"/>
      <c r="F448" s="1"/>
      <c r="G448" s="1"/>
      <c r="H448" s="2"/>
      <c r="I448" s="2"/>
      <c r="J448" s="1"/>
      <c r="K448" s="1"/>
      <c r="L448" s="1"/>
      <c r="M448" s="1"/>
      <c r="N448" s="1"/>
      <c r="O448" s="1"/>
      <c r="P448" s="1"/>
      <c r="Q448" s="1"/>
      <c r="R448" s="1"/>
      <c r="S448" s="1"/>
      <c r="T448" s="1"/>
      <c r="U448" s="1"/>
      <c r="V448" s="1"/>
      <c r="W448" s="1"/>
      <c r="X448" s="1"/>
    </row>
    <row r="449">
      <c r="A449" s="1"/>
      <c r="B449" s="1"/>
      <c r="C449" s="2"/>
      <c r="D449" s="1"/>
      <c r="E449" s="1"/>
      <c r="F449" s="1"/>
      <c r="G449" s="1"/>
      <c r="H449" s="2"/>
      <c r="I449" s="2"/>
      <c r="J449" s="1"/>
      <c r="K449" s="1"/>
      <c r="L449" s="1"/>
      <c r="M449" s="1"/>
      <c r="N449" s="1"/>
      <c r="O449" s="1"/>
      <c r="P449" s="1"/>
      <c r="Q449" s="1"/>
      <c r="R449" s="1"/>
      <c r="S449" s="1"/>
      <c r="T449" s="1"/>
      <c r="U449" s="1"/>
      <c r="V449" s="1"/>
      <c r="W449" s="1"/>
      <c r="X449" s="1"/>
    </row>
    <row r="450">
      <c r="A450" s="1"/>
      <c r="B450" s="1"/>
      <c r="C450" s="2"/>
      <c r="D450" s="1"/>
      <c r="E450" s="1"/>
      <c r="F450" s="1"/>
      <c r="G450" s="1"/>
      <c r="H450" s="2"/>
      <c r="I450" s="2"/>
      <c r="J450" s="1"/>
      <c r="K450" s="1"/>
      <c r="L450" s="1"/>
      <c r="M450" s="1"/>
      <c r="N450" s="1"/>
      <c r="O450" s="1"/>
      <c r="P450" s="1"/>
      <c r="Q450" s="1"/>
      <c r="R450" s="1"/>
      <c r="S450" s="1"/>
      <c r="T450" s="1"/>
      <c r="U450" s="1"/>
      <c r="V450" s="1"/>
      <c r="W450" s="1"/>
      <c r="X450" s="1"/>
    </row>
    <row r="451">
      <c r="A451" s="1"/>
      <c r="B451" s="1"/>
      <c r="C451" s="2"/>
      <c r="D451" s="1"/>
      <c r="E451" s="1"/>
      <c r="F451" s="1"/>
      <c r="G451" s="1"/>
      <c r="H451" s="2"/>
      <c r="I451" s="2"/>
      <c r="J451" s="1"/>
      <c r="K451" s="1"/>
      <c r="L451" s="1"/>
      <c r="M451" s="1"/>
      <c r="N451" s="1"/>
      <c r="O451" s="1"/>
      <c r="P451" s="1"/>
      <c r="Q451" s="1"/>
      <c r="R451" s="1"/>
      <c r="S451" s="1"/>
      <c r="T451" s="1"/>
      <c r="U451" s="1"/>
      <c r="V451" s="1"/>
      <c r="W451" s="1"/>
      <c r="X451" s="1"/>
    </row>
    <row r="452">
      <c r="A452" s="1"/>
      <c r="B452" s="1"/>
      <c r="C452" s="2"/>
      <c r="D452" s="1"/>
      <c r="E452" s="1"/>
      <c r="F452" s="1"/>
      <c r="G452" s="1"/>
      <c r="H452" s="2"/>
      <c r="I452" s="2"/>
      <c r="J452" s="1"/>
      <c r="K452" s="1"/>
      <c r="L452" s="1"/>
      <c r="M452" s="1"/>
      <c r="N452" s="1"/>
      <c r="O452" s="1"/>
      <c r="P452" s="1"/>
      <c r="Q452" s="1"/>
      <c r="R452" s="1"/>
      <c r="S452" s="1"/>
      <c r="T452" s="1"/>
      <c r="U452" s="1"/>
      <c r="V452" s="1"/>
      <c r="W452" s="1"/>
      <c r="X452" s="1"/>
    </row>
    <row r="453">
      <c r="A453" s="1"/>
      <c r="B453" s="1"/>
      <c r="C453" s="2"/>
      <c r="D453" s="1"/>
      <c r="E453" s="1"/>
      <c r="F453" s="1"/>
      <c r="G453" s="1"/>
      <c r="H453" s="2"/>
      <c r="I453" s="2"/>
      <c r="J453" s="1"/>
      <c r="K453" s="1"/>
      <c r="L453" s="1"/>
      <c r="M453" s="1"/>
      <c r="N453" s="1"/>
      <c r="O453" s="1"/>
      <c r="P453" s="1"/>
      <c r="Q453" s="1"/>
      <c r="R453" s="1"/>
      <c r="S453" s="1"/>
      <c r="T453" s="1"/>
      <c r="U453" s="1"/>
      <c r="V453" s="1"/>
      <c r="W453" s="1"/>
      <c r="X453" s="1"/>
    </row>
    <row r="454">
      <c r="A454" s="1"/>
      <c r="B454" s="1"/>
      <c r="C454" s="2"/>
      <c r="D454" s="1"/>
      <c r="E454" s="1"/>
      <c r="F454" s="1"/>
      <c r="G454" s="1"/>
      <c r="H454" s="2"/>
      <c r="I454" s="2"/>
      <c r="J454" s="1"/>
      <c r="K454" s="1"/>
      <c r="L454" s="1"/>
      <c r="M454" s="1"/>
      <c r="N454" s="1"/>
      <c r="O454" s="1"/>
      <c r="P454" s="1"/>
      <c r="Q454" s="1"/>
      <c r="R454" s="1"/>
      <c r="S454" s="1"/>
      <c r="T454" s="1"/>
      <c r="U454" s="1"/>
      <c r="V454" s="1"/>
      <c r="W454" s="1"/>
      <c r="X454" s="1"/>
    </row>
    <row r="455">
      <c r="A455" s="1"/>
      <c r="B455" s="1"/>
      <c r="C455" s="2"/>
      <c r="D455" s="1"/>
      <c r="E455" s="1"/>
      <c r="F455" s="1"/>
      <c r="G455" s="1"/>
      <c r="H455" s="2"/>
      <c r="I455" s="2"/>
      <c r="J455" s="1"/>
      <c r="K455" s="1"/>
      <c r="L455" s="1"/>
      <c r="M455" s="1"/>
      <c r="N455" s="1"/>
      <c r="O455" s="1"/>
      <c r="P455" s="1"/>
      <c r="Q455" s="1"/>
      <c r="R455" s="1"/>
      <c r="S455" s="1"/>
      <c r="T455" s="1"/>
      <c r="U455" s="1"/>
      <c r="V455" s="1"/>
      <c r="W455" s="1"/>
      <c r="X455" s="1"/>
    </row>
    <row r="456">
      <c r="A456" s="1"/>
      <c r="B456" s="1"/>
      <c r="C456" s="2"/>
      <c r="D456" s="1"/>
      <c r="E456" s="1"/>
      <c r="F456" s="1"/>
      <c r="G456" s="1"/>
      <c r="H456" s="2"/>
      <c r="I456" s="2"/>
      <c r="J456" s="1"/>
      <c r="K456" s="1"/>
      <c r="L456" s="1"/>
      <c r="M456" s="1"/>
      <c r="N456" s="1"/>
      <c r="O456" s="1"/>
      <c r="P456" s="1"/>
      <c r="Q456" s="1"/>
      <c r="R456" s="1"/>
      <c r="S456" s="1"/>
      <c r="T456" s="1"/>
      <c r="U456" s="1"/>
      <c r="V456" s="1"/>
      <c r="W456" s="1"/>
      <c r="X456" s="1"/>
    </row>
    <row r="457">
      <c r="A457" s="1"/>
      <c r="B457" s="1"/>
      <c r="C457" s="2"/>
      <c r="D457" s="1"/>
      <c r="E457" s="1"/>
      <c r="F457" s="1"/>
      <c r="G457" s="1"/>
      <c r="H457" s="2"/>
      <c r="I457" s="2"/>
      <c r="J457" s="1"/>
      <c r="K457" s="1"/>
      <c r="L457" s="1"/>
      <c r="M457" s="1"/>
      <c r="N457" s="1"/>
      <c r="O457" s="1"/>
      <c r="P457" s="1"/>
      <c r="Q457" s="1"/>
      <c r="R457" s="1"/>
      <c r="S457" s="1"/>
      <c r="T457" s="1"/>
      <c r="U457" s="1"/>
      <c r="V457" s="1"/>
      <c r="W457" s="1"/>
      <c r="X457" s="1"/>
    </row>
    <row r="458">
      <c r="A458" s="1"/>
      <c r="B458" s="1"/>
      <c r="C458" s="2"/>
      <c r="D458" s="1"/>
      <c r="E458" s="1"/>
      <c r="F458" s="1"/>
      <c r="G458" s="1"/>
      <c r="H458" s="2"/>
      <c r="I458" s="2"/>
      <c r="J458" s="1"/>
      <c r="K458" s="1"/>
      <c r="L458" s="1"/>
      <c r="M458" s="1"/>
      <c r="N458" s="1"/>
      <c r="O458" s="1"/>
      <c r="P458" s="1"/>
      <c r="Q458" s="1"/>
      <c r="R458" s="1"/>
      <c r="S458" s="1"/>
      <c r="T458" s="1"/>
      <c r="U458" s="1"/>
      <c r="V458" s="1"/>
      <c r="W458" s="1"/>
      <c r="X458" s="1"/>
    </row>
    <row r="459">
      <c r="A459" s="1"/>
      <c r="B459" s="1"/>
      <c r="C459" s="2"/>
      <c r="D459" s="1"/>
      <c r="E459" s="1"/>
      <c r="F459" s="1"/>
      <c r="G459" s="1"/>
      <c r="H459" s="2"/>
      <c r="I459" s="2"/>
      <c r="J459" s="1"/>
      <c r="K459" s="1"/>
      <c r="L459" s="1"/>
      <c r="M459" s="1"/>
      <c r="N459" s="1"/>
      <c r="O459" s="1"/>
      <c r="P459" s="1"/>
      <c r="Q459" s="1"/>
      <c r="R459" s="1"/>
      <c r="S459" s="1"/>
      <c r="T459" s="1"/>
      <c r="U459" s="1"/>
      <c r="V459" s="1"/>
      <c r="W459" s="1"/>
      <c r="X459" s="1"/>
    </row>
    <row r="460">
      <c r="A460" s="1"/>
      <c r="B460" s="1"/>
      <c r="C460" s="2"/>
      <c r="D460" s="1"/>
      <c r="E460" s="1"/>
      <c r="F460" s="1"/>
      <c r="G460" s="1"/>
      <c r="H460" s="2"/>
      <c r="I460" s="2"/>
      <c r="J460" s="1"/>
      <c r="K460" s="1"/>
      <c r="L460" s="1"/>
      <c r="M460" s="1"/>
      <c r="N460" s="1"/>
      <c r="O460" s="1"/>
      <c r="P460" s="1"/>
      <c r="Q460" s="1"/>
      <c r="R460" s="1"/>
      <c r="S460" s="1"/>
      <c r="T460" s="1"/>
      <c r="U460" s="1"/>
      <c r="V460" s="1"/>
      <c r="W460" s="1"/>
      <c r="X460" s="1"/>
    </row>
    <row r="461">
      <c r="A461" s="1"/>
      <c r="B461" s="1"/>
      <c r="C461" s="2"/>
      <c r="D461" s="1"/>
      <c r="E461" s="1"/>
      <c r="F461" s="1"/>
      <c r="G461" s="1"/>
      <c r="H461" s="2"/>
      <c r="I461" s="2"/>
      <c r="J461" s="1"/>
      <c r="K461" s="1"/>
      <c r="L461" s="1"/>
      <c r="M461" s="1"/>
      <c r="N461" s="1"/>
      <c r="O461" s="1"/>
      <c r="P461" s="1"/>
      <c r="Q461" s="1"/>
      <c r="R461" s="1"/>
      <c r="S461" s="1"/>
      <c r="T461" s="1"/>
      <c r="U461" s="1"/>
      <c r="V461" s="1"/>
      <c r="W461" s="1"/>
      <c r="X461" s="1"/>
    </row>
    <row r="462">
      <c r="A462" s="1"/>
      <c r="B462" s="1"/>
      <c r="C462" s="2"/>
      <c r="D462" s="1"/>
      <c r="E462" s="1"/>
      <c r="F462" s="1"/>
      <c r="G462" s="1"/>
      <c r="H462" s="2"/>
      <c r="I462" s="2"/>
      <c r="J462" s="1"/>
      <c r="K462" s="1"/>
      <c r="L462" s="1"/>
      <c r="M462" s="1"/>
      <c r="N462" s="1"/>
      <c r="O462" s="1"/>
      <c r="P462" s="1"/>
      <c r="Q462" s="1"/>
      <c r="R462" s="1"/>
      <c r="S462" s="1"/>
      <c r="T462" s="1"/>
      <c r="U462" s="1"/>
      <c r="V462" s="1"/>
      <c r="W462" s="1"/>
      <c r="X462" s="1"/>
    </row>
    <row r="463">
      <c r="A463" s="1"/>
      <c r="B463" s="1"/>
      <c r="C463" s="2"/>
      <c r="D463" s="1"/>
      <c r="E463" s="1"/>
      <c r="F463" s="1"/>
      <c r="G463" s="1"/>
      <c r="H463" s="2"/>
      <c r="I463" s="2"/>
      <c r="J463" s="1"/>
      <c r="K463" s="1"/>
      <c r="L463" s="1"/>
      <c r="M463" s="1"/>
      <c r="N463" s="1"/>
      <c r="O463" s="1"/>
      <c r="P463" s="1"/>
      <c r="Q463" s="1"/>
      <c r="R463" s="1"/>
      <c r="S463" s="1"/>
      <c r="T463" s="1"/>
      <c r="U463" s="1"/>
      <c r="V463" s="1"/>
      <c r="W463" s="1"/>
      <c r="X463" s="1"/>
    </row>
    <row r="464">
      <c r="A464" s="1"/>
      <c r="B464" s="1"/>
      <c r="C464" s="2"/>
      <c r="D464" s="1"/>
      <c r="E464" s="1"/>
      <c r="F464" s="1"/>
      <c r="G464" s="1"/>
      <c r="H464" s="2"/>
      <c r="I464" s="2"/>
      <c r="J464" s="1"/>
      <c r="K464" s="1"/>
      <c r="L464" s="1"/>
      <c r="M464" s="1"/>
      <c r="N464" s="1"/>
      <c r="O464" s="1"/>
      <c r="P464" s="1"/>
      <c r="Q464" s="1"/>
      <c r="R464" s="1"/>
      <c r="S464" s="1"/>
      <c r="T464" s="1"/>
      <c r="U464" s="1"/>
      <c r="V464" s="1"/>
      <c r="W464" s="1"/>
      <c r="X464" s="1"/>
    </row>
    <row r="465">
      <c r="A465" s="1"/>
      <c r="B465" s="1"/>
      <c r="C465" s="2"/>
      <c r="D465" s="1"/>
      <c r="E465" s="1"/>
      <c r="F465" s="1"/>
      <c r="G465" s="1"/>
      <c r="H465" s="2"/>
      <c r="I465" s="2"/>
      <c r="J465" s="1"/>
      <c r="K465" s="1"/>
      <c r="L465" s="1"/>
      <c r="M465" s="1"/>
      <c r="N465" s="1"/>
      <c r="O465" s="1"/>
      <c r="P465" s="1"/>
      <c r="Q465" s="1"/>
      <c r="R465" s="1"/>
      <c r="S465" s="1"/>
      <c r="T465" s="1"/>
      <c r="U465" s="1"/>
      <c r="V465" s="1"/>
      <c r="W465" s="1"/>
      <c r="X465" s="1"/>
    </row>
    <row r="466">
      <c r="A466" s="1"/>
      <c r="B466" s="1"/>
      <c r="C466" s="2"/>
      <c r="D466" s="1"/>
      <c r="E466" s="1"/>
      <c r="F466" s="1"/>
      <c r="G466" s="1"/>
      <c r="H466" s="2"/>
      <c r="I466" s="2"/>
      <c r="J466" s="1"/>
      <c r="K466" s="1"/>
      <c r="L466" s="1"/>
      <c r="M466" s="1"/>
      <c r="N466" s="1"/>
      <c r="O466" s="1"/>
      <c r="P466" s="1"/>
      <c r="Q466" s="1"/>
      <c r="R466" s="1"/>
      <c r="S466" s="1"/>
      <c r="T466" s="1"/>
      <c r="U466" s="1"/>
      <c r="V466" s="1"/>
      <c r="W466" s="1"/>
      <c r="X466" s="1"/>
    </row>
    <row r="467">
      <c r="A467" s="1"/>
      <c r="B467" s="1"/>
      <c r="C467" s="2"/>
      <c r="D467" s="1"/>
      <c r="E467" s="1"/>
      <c r="F467" s="1"/>
      <c r="G467" s="1"/>
      <c r="H467" s="2"/>
      <c r="I467" s="2"/>
      <c r="J467" s="1"/>
      <c r="K467" s="1"/>
      <c r="L467" s="1"/>
      <c r="M467" s="1"/>
      <c r="N467" s="1"/>
      <c r="O467" s="1"/>
      <c r="P467" s="1"/>
      <c r="Q467" s="1"/>
      <c r="R467" s="1"/>
      <c r="S467" s="1"/>
      <c r="T467" s="1"/>
      <c r="U467" s="1"/>
      <c r="V467" s="1"/>
      <c r="W467" s="1"/>
      <c r="X467" s="1"/>
    </row>
    <row r="468">
      <c r="A468" s="1"/>
      <c r="B468" s="1"/>
      <c r="C468" s="2"/>
      <c r="D468" s="1"/>
      <c r="E468" s="1"/>
      <c r="F468" s="1"/>
      <c r="G468" s="1"/>
      <c r="H468" s="2"/>
      <c r="I468" s="2"/>
      <c r="J468" s="1"/>
      <c r="K468" s="1"/>
      <c r="L468" s="1"/>
      <c r="M468" s="1"/>
      <c r="N468" s="1"/>
      <c r="O468" s="1"/>
      <c r="P468" s="1"/>
      <c r="Q468" s="1"/>
      <c r="R468" s="1"/>
      <c r="S468" s="1"/>
      <c r="T468" s="1"/>
      <c r="U468" s="1"/>
      <c r="V468" s="1"/>
      <c r="W468" s="1"/>
      <c r="X468" s="1"/>
    </row>
    <row r="469">
      <c r="A469" s="1"/>
      <c r="B469" s="1"/>
      <c r="C469" s="2"/>
      <c r="D469" s="1"/>
      <c r="E469" s="1"/>
      <c r="F469" s="1"/>
      <c r="G469" s="1"/>
      <c r="H469" s="2"/>
      <c r="I469" s="2"/>
      <c r="J469" s="1"/>
      <c r="K469" s="1"/>
      <c r="L469" s="1"/>
      <c r="M469" s="1"/>
      <c r="N469" s="1"/>
      <c r="O469" s="1"/>
      <c r="P469" s="1"/>
      <c r="Q469" s="1"/>
      <c r="R469" s="1"/>
      <c r="S469" s="1"/>
      <c r="T469" s="1"/>
      <c r="U469" s="1"/>
      <c r="V469" s="1"/>
      <c r="W469" s="1"/>
      <c r="X469" s="1"/>
    </row>
    <row r="470">
      <c r="A470" s="1"/>
      <c r="B470" s="1"/>
      <c r="C470" s="2"/>
      <c r="D470" s="1"/>
      <c r="E470" s="1"/>
      <c r="F470" s="1"/>
      <c r="G470" s="1"/>
      <c r="H470" s="2"/>
      <c r="I470" s="2"/>
      <c r="J470" s="1"/>
      <c r="K470" s="1"/>
      <c r="L470" s="1"/>
      <c r="M470" s="1"/>
      <c r="N470" s="1"/>
      <c r="O470" s="1"/>
      <c r="P470" s="1"/>
      <c r="Q470" s="1"/>
      <c r="R470" s="1"/>
      <c r="S470" s="1"/>
      <c r="T470" s="1"/>
      <c r="U470" s="1"/>
      <c r="V470" s="1"/>
      <c r="W470" s="1"/>
      <c r="X470" s="1"/>
    </row>
    <row r="471">
      <c r="A471" s="1"/>
      <c r="B471" s="1"/>
      <c r="C471" s="2"/>
      <c r="D471" s="1"/>
      <c r="E471" s="1"/>
      <c r="F471" s="1"/>
      <c r="G471" s="1"/>
      <c r="H471" s="2"/>
      <c r="I471" s="2"/>
      <c r="J471" s="1"/>
      <c r="K471" s="1"/>
      <c r="L471" s="1"/>
      <c r="M471" s="1"/>
      <c r="N471" s="1"/>
      <c r="O471" s="1"/>
      <c r="P471" s="1"/>
      <c r="Q471" s="1"/>
      <c r="R471" s="1"/>
      <c r="S471" s="1"/>
      <c r="T471" s="1"/>
      <c r="U471" s="1"/>
      <c r="V471" s="1"/>
      <c r="W471" s="1"/>
      <c r="X471" s="1"/>
    </row>
    <row r="472">
      <c r="A472" s="1"/>
      <c r="B472" s="1"/>
      <c r="C472" s="2"/>
      <c r="D472" s="1"/>
      <c r="E472" s="1"/>
      <c r="F472" s="1"/>
      <c r="G472" s="1"/>
      <c r="H472" s="2"/>
      <c r="I472" s="2"/>
      <c r="J472" s="1"/>
      <c r="K472" s="1"/>
      <c r="L472" s="1"/>
      <c r="M472" s="1"/>
      <c r="N472" s="1"/>
      <c r="O472" s="1"/>
      <c r="P472" s="1"/>
      <c r="Q472" s="1"/>
      <c r="R472" s="1"/>
      <c r="S472" s="1"/>
      <c r="T472" s="1"/>
      <c r="U472" s="1"/>
      <c r="V472" s="1"/>
      <c r="W472" s="1"/>
      <c r="X472" s="1"/>
    </row>
    <row r="473">
      <c r="A473" s="1"/>
      <c r="B473" s="1"/>
      <c r="C473" s="2"/>
      <c r="D473" s="1"/>
      <c r="E473" s="1"/>
      <c r="F473" s="1"/>
      <c r="G473" s="1"/>
      <c r="H473" s="2"/>
      <c r="I473" s="2"/>
      <c r="J473" s="1"/>
      <c r="K473" s="1"/>
      <c r="L473" s="1"/>
      <c r="M473" s="1"/>
      <c r="N473" s="1"/>
      <c r="O473" s="1"/>
      <c r="P473" s="1"/>
      <c r="Q473" s="1"/>
      <c r="R473" s="1"/>
      <c r="S473" s="1"/>
      <c r="T473" s="1"/>
      <c r="U473" s="1"/>
      <c r="V473" s="1"/>
      <c r="W473" s="1"/>
      <c r="X473" s="1"/>
    </row>
    <row r="474">
      <c r="A474" s="1"/>
      <c r="B474" s="1"/>
      <c r="C474" s="2"/>
      <c r="D474" s="1"/>
      <c r="E474" s="1"/>
      <c r="F474" s="1"/>
      <c r="G474" s="1"/>
      <c r="H474" s="2"/>
      <c r="I474" s="2"/>
      <c r="J474" s="1"/>
      <c r="K474" s="1"/>
      <c r="L474" s="1"/>
      <c r="M474" s="1"/>
      <c r="N474" s="1"/>
      <c r="O474" s="1"/>
      <c r="P474" s="1"/>
      <c r="Q474" s="1"/>
      <c r="R474" s="1"/>
      <c r="S474" s="1"/>
      <c r="T474" s="1"/>
      <c r="U474" s="1"/>
      <c r="V474" s="1"/>
      <c r="W474" s="1"/>
      <c r="X474" s="1"/>
    </row>
    <row r="475">
      <c r="A475" s="1"/>
      <c r="B475" s="1"/>
      <c r="C475" s="2"/>
      <c r="D475" s="1"/>
      <c r="E475" s="1"/>
      <c r="F475" s="1"/>
      <c r="G475" s="1"/>
      <c r="H475" s="2"/>
      <c r="I475" s="2"/>
      <c r="J475" s="1"/>
      <c r="K475" s="1"/>
      <c r="L475" s="1"/>
      <c r="M475" s="1"/>
      <c r="N475" s="1"/>
      <c r="O475" s="1"/>
      <c r="P475" s="1"/>
      <c r="Q475" s="1"/>
      <c r="R475" s="1"/>
      <c r="S475" s="1"/>
      <c r="T475" s="1"/>
      <c r="U475" s="1"/>
      <c r="V475" s="1"/>
      <c r="W475" s="1"/>
      <c r="X475" s="1"/>
    </row>
    <row r="476">
      <c r="A476" s="1"/>
      <c r="B476" s="1"/>
      <c r="C476" s="2"/>
      <c r="D476" s="1"/>
      <c r="E476" s="1"/>
      <c r="F476" s="1"/>
      <c r="G476" s="1"/>
      <c r="H476" s="2"/>
      <c r="I476" s="2"/>
      <c r="J476" s="1"/>
      <c r="K476" s="1"/>
      <c r="L476" s="1"/>
      <c r="M476" s="1"/>
      <c r="N476" s="1"/>
      <c r="O476" s="1"/>
      <c r="P476" s="1"/>
      <c r="Q476" s="1"/>
      <c r="R476" s="1"/>
      <c r="S476" s="1"/>
      <c r="T476" s="1"/>
      <c r="U476" s="1"/>
      <c r="V476" s="1"/>
      <c r="W476" s="1"/>
      <c r="X476" s="1"/>
    </row>
    <row r="477">
      <c r="A477" s="1"/>
      <c r="B477" s="1"/>
      <c r="C477" s="2"/>
      <c r="D477" s="1"/>
      <c r="E477" s="1"/>
      <c r="F477" s="1"/>
      <c r="G477" s="1"/>
      <c r="H477" s="2"/>
      <c r="I477" s="2"/>
      <c r="J477" s="1"/>
      <c r="K477" s="1"/>
      <c r="L477" s="1"/>
      <c r="M477" s="1"/>
      <c r="N477" s="1"/>
      <c r="O477" s="1"/>
      <c r="P477" s="1"/>
      <c r="Q477" s="1"/>
      <c r="R477" s="1"/>
      <c r="S477" s="1"/>
      <c r="T477" s="1"/>
      <c r="U477" s="1"/>
      <c r="V477" s="1"/>
      <c r="W477" s="1"/>
      <c r="X477" s="1"/>
    </row>
    <row r="478">
      <c r="A478" s="1"/>
      <c r="B478" s="1"/>
      <c r="C478" s="2"/>
      <c r="D478" s="1"/>
      <c r="E478" s="1"/>
      <c r="F478" s="1"/>
      <c r="G478" s="1"/>
      <c r="H478" s="2"/>
      <c r="I478" s="2"/>
      <c r="J478" s="1"/>
      <c r="K478" s="1"/>
      <c r="L478" s="1"/>
      <c r="M478" s="1"/>
      <c r="N478" s="1"/>
      <c r="O478" s="1"/>
      <c r="P478" s="1"/>
      <c r="Q478" s="1"/>
      <c r="R478" s="1"/>
      <c r="S478" s="1"/>
      <c r="T478" s="1"/>
      <c r="U478" s="1"/>
      <c r="V478" s="1"/>
      <c r="W478" s="1"/>
      <c r="X478" s="1"/>
    </row>
    <row r="479">
      <c r="A479" s="1"/>
      <c r="B479" s="1"/>
      <c r="C479" s="2"/>
      <c r="D479" s="1"/>
      <c r="E479" s="1"/>
      <c r="F479" s="1"/>
      <c r="G479" s="1"/>
      <c r="H479" s="2"/>
      <c r="I479" s="2"/>
      <c r="J479" s="1"/>
      <c r="K479" s="1"/>
      <c r="L479" s="1"/>
      <c r="M479" s="1"/>
      <c r="N479" s="1"/>
      <c r="O479" s="1"/>
      <c r="P479" s="1"/>
      <c r="Q479" s="1"/>
      <c r="R479" s="1"/>
      <c r="S479" s="1"/>
      <c r="T479" s="1"/>
      <c r="U479" s="1"/>
      <c r="V479" s="1"/>
      <c r="W479" s="1"/>
      <c r="X479" s="1"/>
    </row>
    <row r="480">
      <c r="A480" s="1"/>
      <c r="B480" s="1"/>
      <c r="C480" s="2"/>
      <c r="D480" s="1"/>
      <c r="E480" s="1"/>
      <c r="F480" s="1"/>
      <c r="G480" s="1"/>
      <c r="H480" s="2"/>
      <c r="I480" s="2"/>
      <c r="J480" s="1"/>
      <c r="K480" s="1"/>
      <c r="L480" s="1"/>
      <c r="M480" s="1"/>
      <c r="N480" s="1"/>
      <c r="O480" s="1"/>
      <c r="P480" s="1"/>
      <c r="Q480" s="1"/>
      <c r="R480" s="1"/>
      <c r="S480" s="1"/>
      <c r="T480" s="1"/>
      <c r="U480" s="1"/>
      <c r="V480" s="1"/>
      <c r="W480" s="1"/>
      <c r="X480" s="1"/>
    </row>
    <row r="481">
      <c r="A481" s="1"/>
      <c r="B481" s="1"/>
      <c r="C481" s="2"/>
      <c r="D481" s="1"/>
      <c r="E481" s="1"/>
      <c r="F481" s="1"/>
      <c r="G481" s="1"/>
      <c r="H481" s="2"/>
      <c r="I481" s="2"/>
      <c r="J481" s="1"/>
      <c r="K481" s="1"/>
      <c r="L481" s="1"/>
      <c r="M481" s="1"/>
      <c r="N481" s="1"/>
      <c r="O481" s="1"/>
      <c r="P481" s="1"/>
      <c r="Q481" s="1"/>
      <c r="R481" s="1"/>
      <c r="S481" s="1"/>
      <c r="T481" s="1"/>
      <c r="U481" s="1"/>
      <c r="V481" s="1"/>
      <c r="W481" s="1"/>
      <c r="X481" s="1"/>
    </row>
    <row r="482">
      <c r="A482" s="1"/>
      <c r="B482" s="1"/>
      <c r="C482" s="2"/>
      <c r="D482" s="1"/>
      <c r="E482" s="1"/>
      <c r="F482" s="1"/>
      <c r="G482" s="1"/>
      <c r="H482" s="2"/>
      <c r="I482" s="2"/>
      <c r="J482" s="1"/>
      <c r="K482" s="1"/>
      <c r="L482" s="1"/>
      <c r="M482" s="1"/>
      <c r="N482" s="1"/>
      <c r="O482" s="1"/>
      <c r="P482" s="1"/>
      <c r="Q482" s="1"/>
      <c r="R482" s="1"/>
      <c r="S482" s="1"/>
      <c r="T482" s="1"/>
      <c r="U482" s="1"/>
      <c r="V482" s="1"/>
      <c r="W482" s="1"/>
      <c r="X482" s="1"/>
    </row>
    <row r="483">
      <c r="A483" s="1"/>
      <c r="B483" s="1"/>
      <c r="C483" s="2"/>
      <c r="D483" s="1"/>
      <c r="E483" s="1"/>
      <c r="F483" s="1"/>
      <c r="G483" s="1"/>
      <c r="H483" s="2"/>
      <c r="I483" s="2"/>
      <c r="J483" s="1"/>
      <c r="K483" s="1"/>
      <c r="L483" s="1"/>
      <c r="M483" s="1"/>
      <c r="N483" s="1"/>
      <c r="O483" s="1"/>
      <c r="P483" s="1"/>
      <c r="Q483" s="1"/>
      <c r="R483" s="1"/>
      <c r="S483" s="1"/>
      <c r="T483" s="1"/>
      <c r="U483" s="1"/>
      <c r="V483" s="1"/>
      <c r="W483" s="1"/>
      <c r="X483" s="1"/>
    </row>
    <row r="484">
      <c r="A484" s="1"/>
      <c r="B484" s="1"/>
      <c r="C484" s="2"/>
      <c r="D484" s="1"/>
      <c r="E484" s="1"/>
      <c r="F484" s="1"/>
      <c r="G484" s="1"/>
      <c r="H484" s="2"/>
      <c r="I484" s="2"/>
      <c r="J484" s="1"/>
      <c r="K484" s="1"/>
      <c r="L484" s="1"/>
      <c r="M484" s="1"/>
      <c r="N484" s="1"/>
      <c r="O484" s="1"/>
      <c r="P484" s="1"/>
      <c r="Q484" s="1"/>
      <c r="R484" s="1"/>
      <c r="S484" s="1"/>
      <c r="T484" s="1"/>
      <c r="U484" s="1"/>
      <c r="V484" s="1"/>
      <c r="W484" s="1"/>
      <c r="X484" s="1"/>
    </row>
    <row r="485">
      <c r="A485" s="1"/>
      <c r="B485" s="1"/>
      <c r="C485" s="2"/>
      <c r="D485" s="1"/>
      <c r="E485" s="1"/>
      <c r="F485" s="1"/>
      <c r="G485" s="1"/>
      <c r="H485" s="2"/>
      <c r="I485" s="2"/>
      <c r="J485" s="1"/>
      <c r="K485" s="1"/>
      <c r="L485" s="1"/>
      <c r="M485" s="1"/>
      <c r="N485" s="1"/>
      <c r="O485" s="1"/>
      <c r="P485" s="1"/>
      <c r="Q485" s="1"/>
      <c r="R485" s="1"/>
      <c r="S485" s="1"/>
      <c r="T485" s="1"/>
      <c r="U485" s="1"/>
      <c r="V485" s="1"/>
      <c r="W485" s="1"/>
      <c r="X485" s="1"/>
    </row>
    <row r="486">
      <c r="A486" s="1"/>
      <c r="B486" s="1"/>
      <c r="C486" s="2"/>
      <c r="D486" s="1"/>
      <c r="E486" s="1"/>
      <c r="F486" s="1"/>
      <c r="G486" s="1"/>
      <c r="H486" s="2"/>
      <c r="I486" s="2"/>
      <c r="J486" s="1"/>
      <c r="K486" s="1"/>
      <c r="L486" s="1"/>
      <c r="M486" s="1"/>
      <c r="N486" s="1"/>
      <c r="O486" s="1"/>
      <c r="P486" s="1"/>
      <c r="Q486" s="1"/>
      <c r="R486" s="1"/>
      <c r="S486" s="1"/>
      <c r="T486" s="1"/>
      <c r="U486" s="1"/>
      <c r="V486" s="1"/>
      <c r="W486" s="1"/>
      <c r="X486" s="1"/>
    </row>
    <row r="487">
      <c r="A487" s="1"/>
      <c r="B487" s="1"/>
      <c r="C487" s="2"/>
      <c r="D487" s="1"/>
      <c r="E487" s="1"/>
      <c r="F487" s="1"/>
      <c r="G487" s="1"/>
      <c r="H487" s="2"/>
      <c r="I487" s="2"/>
      <c r="J487" s="1"/>
      <c r="K487" s="1"/>
      <c r="L487" s="1"/>
      <c r="M487" s="1"/>
      <c r="N487" s="1"/>
      <c r="O487" s="1"/>
      <c r="P487" s="1"/>
      <c r="Q487" s="1"/>
      <c r="R487" s="1"/>
      <c r="S487" s="1"/>
      <c r="T487" s="1"/>
      <c r="U487" s="1"/>
      <c r="V487" s="1"/>
      <c r="W487" s="1"/>
      <c r="X487" s="1"/>
    </row>
    <row r="488">
      <c r="A488" s="1"/>
      <c r="B488" s="1"/>
      <c r="C488" s="2"/>
      <c r="D488" s="1"/>
      <c r="E488" s="1"/>
      <c r="F488" s="1"/>
      <c r="G488" s="1"/>
      <c r="H488" s="2"/>
      <c r="I488" s="2"/>
      <c r="J488" s="1"/>
      <c r="K488" s="1"/>
      <c r="L488" s="1"/>
      <c r="M488" s="1"/>
      <c r="N488" s="1"/>
      <c r="O488" s="1"/>
      <c r="P488" s="1"/>
      <c r="Q488" s="1"/>
      <c r="R488" s="1"/>
      <c r="S488" s="1"/>
      <c r="T488" s="1"/>
      <c r="U488" s="1"/>
      <c r="V488" s="1"/>
      <c r="W488" s="1"/>
      <c r="X488" s="1"/>
    </row>
    <row r="489">
      <c r="A489" s="1"/>
      <c r="B489" s="1"/>
      <c r="C489" s="2"/>
      <c r="D489" s="1"/>
      <c r="E489" s="1"/>
      <c r="F489" s="1"/>
      <c r="G489" s="1"/>
      <c r="H489" s="2"/>
      <c r="I489" s="2"/>
      <c r="J489" s="1"/>
      <c r="K489" s="1"/>
      <c r="L489" s="1"/>
      <c r="M489" s="1"/>
      <c r="N489" s="1"/>
      <c r="O489" s="1"/>
      <c r="P489" s="1"/>
      <c r="Q489" s="1"/>
      <c r="R489" s="1"/>
      <c r="S489" s="1"/>
      <c r="T489" s="1"/>
      <c r="U489" s="1"/>
      <c r="V489" s="1"/>
      <c r="W489" s="1"/>
      <c r="X489" s="1"/>
    </row>
    <row r="490">
      <c r="A490" s="1"/>
      <c r="B490" s="1"/>
      <c r="C490" s="2"/>
      <c r="D490" s="1"/>
      <c r="E490" s="1"/>
      <c r="F490" s="1"/>
      <c r="G490" s="1"/>
      <c r="H490" s="2"/>
      <c r="I490" s="2"/>
      <c r="J490" s="1"/>
      <c r="K490" s="1"/>
      <c r="L490" s="1"/>
      <c r="M490" s="1"/>
      <c r="N490" s="1"/>
      <c r="O490" s="1"/>
      <c r="P490" s="1"/>
      <c r="Q490" s="1"/>
      <c r="R490" s="1"/>
      <c r="S490" s="1"/>
      <c r="T490" s="1"/>
      <c r="U490" s="1"/>
      <c r="V490" s="1"/>
      <c r="W490" s="1"/>
      <c r="X490" s="1"/>
    </row>
    <row r="491">
      <c r="A491" s="1"/>
      <c r="B491" s="1"/>
      <c r="C491" s="2"/>
      <c r="D491" s="1"/>
      <c r="E491" s="1"/>
      <c r="F491" s="1"/>
      <c r="G491" s="1"/>
      <c r="H491" s="2"/>
      <c r="I491" s="2"/>
      <c r="J491" s="1"/>
      <c r="K491" s="1"/>
      <c r="L491" s="1"/>
      <c r="M491" s="1"/>
      <c r="N491" s="1"/>
      <c r="O491" s="1"/>
      <c r="P491" s="1"/>
      <c r="Q491" s="1"/>
      <c r="R491" s="1"/>
      <c r="S491" s="1"/>
      <c r="T491" s="1"/>
      <c r="U491" s="1"/>
      <c r="V491" s="1"/>
      <c r="W491" s="1"/>
      <c r="X491" s="1"/>
    </row>
    <row r="492">
      <c r="A492" s="1"/>
      <c r="B492" s="1"/>
      <c r="C492" s="2"/>
      <c r="D492" s="1"/>
      <c r="E492" s="1"/>
      <c r="F492" s="1"/>
      <c r="G492" s="1"/>
      <c r="H492" s="2"/>
      <c r="I492" s="2"/>
      <c r="J492" s="1"/>
      <c r="K492" s="1"/>
      <c r="L492" s="1"/>
      <c r="M492" s="1"/>
      <c r="N492" s="1"/>
      <c r="O492" s="1"/>
      <c r="P492" s="1"/>
      <c r="Q492" s="1"/>
      <c r="R492" s="1"/>
      <c r="S492" s="1"/>
      <c r="T492" s="1"/>
      <c r="U492" s="1"/>
      <c r="V492" s="1"/>
      <c r="W492" s="1"/>
      <c r="X492" s="1"/>
    </row>
    <row r="493">
      <c r="A493" s="1"/>
      <c r="B493" s="1"/>
      <c r="C493" s="2"/>
      <c r="D493" s="1"/>
      <c r="E493" s="1"/>
      <c r="F493" s="1"/>
      <c r="G493" s="1"/>
      <c r="H493" s="2"/>
      <c r="I493" s="2"/>
      <c r="J493" s="1"/>
      <c r="K493" s="1"/>
      <c r="L493" s="1"/>
      <c r="M493" s="1"/>
      <c r="N493" s="1"/>
      <c r="O493" s="1"/>
      <c r="P493" s="1"/>
      <c r="Q493" s="1"/>
      <c r="R493" s="1"/>
      <c r="S493" s="1"/>
      <c r="T493" s="1"/>
      <c r="U493" s="1"/>
      <c r="V493" s="1"/>
      <c r="W493" s="1"/>
      <c r="X493" s="1"/>
    </row>
    <row r="494">
      <c r="A494" s="1"/>
      <c r="B494" s="1"/>
      <c r="C494" s="2"/>
      <c r="D494" s="1"/>
      <c r="E494" s="1"/>
      <c r="F494" s="1"/>
      <c r="G494" s="1"/>
      <c r="H494" s="2"/>
      <c r="I494" s="2"/>
      <c r="J494" s="1"/>
      <c r="K494" s="1"/>
      <c r="L494" s="1"/>
      <c r="M494" s="1"/>
      <c r="N494" s="1"/>
      <c r="O494" s="1"/>
      <c r="P494" s="1"/>
      <c r="Q494" s="1"/>
      <c r="R494" s="1"/>
      <c r="S494" s="1"/>
      <c r="T494" s="1"/>
      <c r="U494" s="1"/>
      <c r="V494" s="1"/>
      <c r="W494" s="1"/>
      <c r="X494" s="1"/>
    </row>
    <row r="495">
      <c r="A495" s="1"/>
      <c r="B495" s="1"/>
      <c r="C495" s="2"/>
      <c r="D495" s="1"/>
      <c r="E495" s="1"/>
      <c r="F495" s="1"/>
      <c r="G495" s="1"/>
      <c r="H495" s="2"/>
      <c r="I495" s="2"/>
      <c r="J495" s="1"/>
      <c r="K495" s="1"/>
      <c r="L495" s="1"/>
      <c r="M495" s="1"/>
      <c r="N495" s="1"/>
      <c r="O495" s="1"/>
      <c r="P495" s="1"/>
      <c r="Q495" s="1"/>
      <c r="R495" s="1"/>
      <c r="S495" s="1"/>
      <c r="T495" s="1"/>
      <c r="U495" s="1"/>
      <c r="V495" s="1"/>
      <c r="W495" s="1"/>
      <c r="X495" s="1"/>
    </row>
    <row r="496">
      <c r="A496" s="1"/>
      <c r="B496" s="1"/>
      <c r="C496" s="2"/>
      <c r="D496" s="1"/>
      <c r="E496" s="1"/>
      <c r="F496" s="1"/>
      <c r="G496" s="1"/>
      <c r="H496" s="2"/>
      <c r="I496" s="2"/>
      <c r="J496" s="1"/>
      <c r="K496" s="1"/>
      <c r="L496" s="1"/>
      <c r="M496" s="1"/>
      <c r="N496" s="1"/>
      <c r="O496" s="1"/>
      <c r="P496" s="1"/>
      <c r="Q496" s="1"/>
      <c r="R496" s="1"/>
      <c r="S496" s="1"/>
      <c r="T496" s="1"/>
      <c r="U496" s="1"/>
      <c r="V496" s="1"/>
      <c r="W496" s="1"/>
      <c r="X496" s="1"/>
    </row>
    <row r="497">
      <c r="A497" s="1"/>
      <c r="B497" s="1"/>
      <c r="C497" s="2"/>
      <c r="D497" s="1"/>
      <c r="E497" s="1"/>
      <c r="F497" s="1"/>
      <c r="G497" s="1"/>
      <c r="H497" s="2"/>
      <c r="I497" s="2"/>
      <c r="J497" s="1"/>
      <c r="K497" s="1"/>
      <c r="L497" s="1"/>
      <c r="M497" s="1"/>
      <c r="N497" s="1"/>
      <c r="O497" s="1"/>
      <c r="P497" s="1"/>
      <c r="Q497" s="1"/>
      <c r="R497" s="1"/>
      <c r="S497" s="1"/>
      <c r="T497" s="1"/>
      <c r="U497" s="1"/>
      <c r="V497" s="1"/>
      <c r="W497" s="1"/>
      <c r="X497" s="1"/>
    </row>
    <row r="498">
      <c r="A498" s="1"/>
      <c r="B498" s="1"/>
      <c r="C498" s="2"/>
      <c r="D498" s="1"/>
      <c r="E498" s="1"/>
      <c r="F498" s="1"/>
      <c r="G498" s="1"/>
      <c r="H498" s="2"/>
      <c r="I498" s="2"/>
      <c r="J498" s="1"/>
      <c r="K498" s="1"/>
      <c r="L498" s="1"/>
      <c r="M498" s="1"/>
      <c r="N498" s="1"/>
      <c r="O498" s="1"/>
      <c r="P498" s="1"/>
      <c r="Q498" s="1"/>
      <c r="R498" s="1"/>
      <c r="S498" s="1"/>
      <c r="T498" s="1"/>
      <c r="U498" s="1"/>
      <c r="V498" s="1"/>
      <c r="W498" s="1"/>
      <c r="X498" s="1"/>
    </row>
    <row r="499">
      <c r="A499" s="1"/>
      <c r="B499" s="1"/>
      <c r="C499" s="2"/>
      <c r="D499" s="1"/>
      <c r="E499" s="1"/>
      <c r="F499" s="1"/>
      <c r="G499" s="1"/>
      <c r="H499" s="2"/>
      <c r="I499" s="2"/>
      <c r="J499" s="1"/>
      <c r="K499" s="1"/>
      <c r="L499" s="1"/>
      <c r="M499" s="1"/>
      <c r="N499" s="1"/>
      <c r="O499" s="1"/>
      <c r="P499" s="1"/>
      <c r="Q499" s="1"/>
      <c r="R499" s="1"/>
      <c r="S499" s="1"/>
      <c r="T499" s="1"/>
      <c r="U499" s="1"/>
      <c r="V499" s="1"/>
      <c r="W499" s="1"/>
      <c r="X499" s="1"/>
    </row>
    <row r="500">
      <c r="A500" s="1"/>
      <c r="B500" s="1"/>
      <c r="C500" s="2"/>
      <c r="D500" s="1"/>
      <c r="E500" s="1"/>
      <c r="F500" s="1"/>
      <c r="G500" s="1"/>
      <c r="H500" s="2"/>
      <c r="I500" s="2"/>
      <c r="J500" s="1"/>
      <c r="K500" s="1"/>
      <c r="L500" s="1"/>
      <c r="M500" s="1"/>
      <c r="N500" s="1"/>
      <c r="O500" s="1"/>
      <c r="P500" s="1"/>
      <c r="Q500" s="1"/>
      <c r="R500" s="1"/>
      <c r="S500" s="1"/>
      <c r="T500" s="1"/>
      <c r="U500" s="1"/>
      <c r="V500" s="1"/>
      <c r="W500" s="1"/>
      <c r="X500" s="1"/>
    </row>
    <row r="501">
      <c r="A501" s="1"/>
      <c r="B501" s="1"/>
      <c r="C501" s="2"/>
      <c r="D501" s="1"/>
      <c r="E501" s="1"/>
      <c r="F501" s="1"/>
      <c r="G501" s="1"/>
      <c r="H501" s="2"/>
      <c r="I501" s="2"/>
      <c r="J501" s="1"/>
      <c r="K501" s="1"/>
      <c r="L501" s="1"/>
      <c r="M501" s="1"/>
      <c r="N501" s="1"/>
      <c r="O501" s="1"/>
      <c r="P501" s="1"/>
      <c r="Q501" s="1"/>
      <c r="R501" s="1"/>
      <c r="S501" s="1"/>
      <c r="T501" s="1"/>
      <c r="U501" s="1"/>
      <c r="V501" s="1"/>
      <c r="W501" s="1"/>
      <c r="X501" s="1"/>
    </row>
    <row r="502">
      <c r="A502" s="1"/>
      <c r="B502" s="1"/>
      <c r="C502" s="2"/>
      <c r="D502" s="1"/>
      <c r="E502" s="1"/>
      <c r="F502" s="1"/>
      <c r="G502" s="1"/>
      <c r="H502" s="2"/>
      <c r="I502" s="2"/>
      <c r="J502" s="1"/>
      <c r="K502" s="1"/>
      <c r="L502" s="1"/>
      <c r="M502" s="1"/>
      <c r="N502" s="1"/>
      <c r="O502" s="1"/>
      <c r="P502" s="1"/>
      <c r="Q502" s="1"/>
      <c r="R502" s="1"/>
      <c r="S502" s="1"/>
      <c r="T502" s="1"/>
      <c r="U502" s="1"/>
      <c r="V502" s="1"/>
      <c r="W502" s="1"/>
      <c r="X502" s="1"/>
    </row>
    <row r="503">
      <c r="A503" s="1"/>
      <c r="B503" s="1"/>
      <c r="C503" s="2"/>
      <c r="D503" s="1"/>
      <c r="E503" s="1"/>
      <c r="F503" s="1"/>
      <c r="G503" s="1"/>
      <c r="H503" s="2"/>
      <c r="I503" s="2"/>
      <c r="J503" s="1"/>
      <c r="K503" s="1"/>
      <c r="L503" s="1"/>
      <c r="M503" s="1"/>
      <c r="N503" s="1"/>
      <c r="O503" s="1"/>
      <c r="P503" s="1"/>
      <c r="Q503" s="1"/>
      <c r="R503" s="1"/>
      <c r="S503" s="1"/>
      <c r="T503" s="1"/>
      <c r="U503" s="1"/>
      <c r="V503" s="1"/>
      <c r="W503" s="1"/>
      <c r="X503" s="1"/>
    </row>
    <row r="504">
      <c r="A504" s="1"/>
      <c r="B504" s="1"/>
      <c r="C504" s="2"/>
      <c r="D504" s="1"/>
      <c r="E504" s="1"/>
      <c r="F504" s="1"/>
      <c r="G504" s="1"/>
      <c r="H504" s="2"/>
      <c r="I504" s="2"/>
      <c r="J504" s="1"/>
      <c r="K504" s="1"/>
      <c r="L504" s="1"/>
      <c r="M504" s="1"/>
      <c r="N504" s="1"/>
      <c r="O504" s="1"/>
      <c r="P504" s="1"/>
      <c r="Q504" s="1"/>
      <c r="R504" s="1"/>
      <c r="S504" s="1"/>
      <c r="T504" s="1"/>
      <c r="U504" s="1"/>
      <c r="V504" s="1"/>
      <c r="W504" s="1"/>
      <c r="X504" s="1"/>
    </row>
    <row r="505">
      <c r="A505" s="1"/>
      <c r="B505" s="1"/>
      <c r="C505" s="2"/>
      <c r="D505" s="1"/>
      <c r="E505" s="1"/>
      <c r="F505" s="1"/>
      <c r="G505" s="1"/>
      <c r="H505" s="2"/>
      <c r="I505" s="2"/>
      <c r="J505" s="1"/>
      <c r="K505" s="1"/>
      <c r="L505" s="1"/>
      <c r="M505" s="1"/>
      <c r="N505" s="1"/>
      <c r="O505" s="1"/>
      <c r="P505" s="1"/>
      <c r="Q505" s="1"/>
      <c r="R505" s="1"/>
      <c r="S505" s="1"/>
      <c r="T505" s="1"/>
      <c r="U505" s="1"/>
      <c r="V505" s="1"/>
      <c r="W505" s="1"/>
      <c r="X505" s="1"/>
    </row>
    <row r="506">
      <c r="A506" s="1"/>
      <c r="B506" s="1"/>
      <c r="C506" s="2"/>
      <c r="D506" s="1"/>
      <c r="E506" s="1"/>
      <c r="F506" s="1"/>
      <c r="G506" s="1"/>
      <c r="H506" s="2"/>
      <c r="I506" s="2"/>
      <c r="J506" s="1"/>
      <c r="K506" s="1"/>
      <c r="L506" s="1"/>
      <c r="M506" s="1"/>
      <c r="N506" s="1"/>
      <c r="O506" s="1"/>
      <c r="P506" s="1"/>
      <c r="Q506" s="1"/>
      <c r="R506" s="1"/>
      <c r="S506" s="1"/>
      <c r="T506" s="1"/>
      <c r="U506" s="1"/>
      <c r="V506" s="1"/>
      <c r="W506" s="1"/>
      <c r="X506" s="1"/>
    </row>
    <row r="507">
      <c r="A507" s="1"/>
      <c r="B507" s="1"/>
      <c r="C507" s="2"/>
      <c r="D507" s="1"/>
      <c r="E507" s="1"/>
      <c r="F507" s="1"/>
      <c r="G507" s="1"/>
      <c r="H507" s="2"/>
      <c r="I507" s="2"/>
      <c r="J507" s="1"/>
      <c r="K507" s="1"/>
      <c r="L507" s="1"/>
      <c r="M507" s="1"/>
      <c r="N507" s="1"/>
      <c r="O507" s="1"/>
      <c r="P507" s="1"/>
      <c r="Q507" s="1"/>
      <c r="R507" s="1"/>
      <c r="S507" s="1"/>
      <c r="T507" s="1"/>
      <c r="U507" s="1"/>
      <c r="V507" s="1"/>
      <c r="W507" s="1"/>
      <c r="X507" s="1"/>
    </row>
    <row r="508">
      <c r="A508" s="1"/>
      <c r="B508" s="1"/>
      <c r="C508" s="2"/>
      <c r="D508" s="1"/>
      <c r="E508" s="1"/>
      <c r="F508" s="1"/>
      <c r="G508" s="1"/>
      <c r="H508" s="2"/>
      <c r="I508" s="2"/>
      <c r="J508" s="1"/>
      <c r="K508" s="1"/>
      <c r="L508" s="1"/>
      <c r="M508" s="1"/>
      <c r="N508" s="1"/>
      <c r="O508" s="1"/>
      <c r="P508" s="1"/>
      <c r="Q508" s="1"/>
      <c r="R508" s="1"/>
      <c r="S508" s="1"/>
      <c r="T508" s="1"/>
      <c r="U508" s="1"/>
      <c r="V508" s="1"/>
      <c r="W508" s="1"/>
      <c r="X508" s="1"/>
    </row>
    <row r="509">
      <c r="A509" s="1"/>
      <c r="B509" s="1"/>
      <c r="C509" s="2"/>
      <c r="D509" s="1"/>
      <c r="E509" s="1"/>
      <c r="F509" s="1"/>
      <c r="G509" s="1"/>
      <c r="H509" s="2"/>
      <c r="I509" s="2"/>
      <c r="J509" s="1"/>
      <c r="K509" s="1"/>
      <c r="L509" s="1"/>
      <c r="M509" s="1"/>
      <c r="N509" s="1"/>
      <c r="O509" s="1"/>
      <c r="P509" s="1"/>
      <c r="Q509" s="1"/>
      <c r="R509" s="1"/>
      <c r="S509" s="1"/>
      <c r="T509" s="1"/>
      <c r="U509" s="1"/>
      <c r="V509" s="1"/>
      <c r="W509" s="1"/>
      <c r="X509" s="1"/>
    </row>
    <row r="510">
      <c r="A510" s="1"/>
      <c r="B510" s="1"/>
      <c r="C510" s="2"/>
      <c r="D510" s="1"/>
      <c r="E510" s="1"/>
      <c r="F510" s="1"/>
      <c r="G510" s="1"/>
      <c r="H510" s="2"/>
      <c r="I510" s="2"/>
      <c r="J510" s="1"/>
      <c r="K510" s="1"/>
      <c r="L510" s="1"/>
      <c r="M510" s="1"/>
      <c r="N510" s="1"/>
      <c r="O510" s="1"/>
      <c r="P510" s="1"/>
      <c r="Q510" s="1"/>
      <c r="R510" s="1"/>
      <c r="S510" s="1"/>
      <c r="T510" s="1"/>
      <c r="U510" s="1"/>
      <c r="V510" s="1"/>
      <c r="W510" s="1"/>
      <c r="X510" s="1"/>
    </row>
    <row r="511">
      <c r="A511" s="1"/>
      <c r="B511" s="1"/>
      <c r="C511" s="2"/>
      <c r="D511" s="1"/>
      <c r="E511" s="1"/>
      <c r="F511" s="1"/>
      <c r="G511" s="1"/>
      <c r="H511" s="2"/>
      <c r="I511" s="2"/>
      <c r="J511" s="1"/>
      <c r="K511" s="1"/>
      <c r="L511" s="1"/>
      <c r="M511" s="1"/>
      <c r="N511" s="1"/>
      <c r="O511" s="1"/>
      <c r="P511" s="1"/>
      <c r="Q511" s="1"/>
      <c r="R511" s="1"/>
      <c r="S511" s="1"/>
      <c r="T511" s="1"/>
      <c r="U511" s="1"/>
      <c r="V511" s="1"/>
      <c r="W511" s="1"/>
      <c r="X511" s="1"/>
    </row>
    <row r="512">
      <c r="A512" s="1"/>
      <c r="B512" s="1"/>
      <c r="C512" s="2"/>
      <c r="D512" s="1"/>
      <c r="E512" s="1"/>
      <c r="F512" s="1"/>
      <c r="G512" s="1"/>
      <c r="H512" s="2"/>
      <c r="I512" s="2"/>
      <c r="J512" s="1"/>
      <c r="K512" s="1"/>
      <c r="L512" s="1"/>
      <c r="M512" s="1"/>
      <c r="N512" s="1"/>
      <c r="O512" s="1"/>
      <c r="P512" s="1"/>
      <c r="Q512" s="1"/>
      <c r="R512" s="1"/>
      <c r="S512" s="1"/>
      <c r="T512" s="1"/>
      <c r="U512" s="1"/>
      <c r="V512" s="1"/>
      <c r="W512" s="1"/>
      <c r="X512" s="1"/>
    </row>
    <row r="513">
      <c r="A513" s="1"/>
      <c r="B513" s="1"/>
      <c r="C513" s="2"/>
      <c r="D513" s="1"/>
      <c r="E513" s="1"/>
      <c r="F513" s="1"/>
      <c r="G513" s="1"/>
      <c r="H513" s="2"/>
      <c r="I513" s="2"/>
      <c r="J513" s="1"/>
      <c r="K513" s="1"/>
      <c r="L513" s="1"/>
      <c r="M513" s="1"/>
      <c r="N513" s="1"/>
      <c r="O513" s="1"/>
      <c r="P513" s="1"/>
      <c r="Q513" s="1"/>
      <c r="R513" s="1"/>
      <c r="S513" s="1"/>
      <c r="T513" s="1"/>
      <c r="U513" s="1"/>
      <c r="V513" s="1"/>
      <c r="W513" s="1"/>
      <c r="X513" s="1"/>
    </row>
    <row r="514">
      <c r="A514" s="1"/>
      <c r="B514" s="1"/>
      <c r="C514" s="2"/>
      <c r="D514" s="1"/>
      <c r="E514" s="1"/>
      <c r="F514" s="1"/>
      <c r="G514" s="1"/>
      <c r="H514" s="2"/>
      <c r="I514" s="2"/>
      <c r="J514" s="1"/>
      <c r="K514" s="1"/>
      <c r="L514" s="1"/>
      <c r="M514" s="1"/>
      <c r="N514" s="1"/>
      <c r="O514" s="1"/>
      <c r="P514" s="1"/>
      <c r="Q514" s="1"/>
      <c r="R514" s="1"/>
      <c r="S514" s="1"/>
      <c r="T514" s="1"/>
      <c r="U514" s="1"/>
      <c r="V514" s="1"/>
      <c r="W514" s="1"/>
      <c r="X514" s="1"/>
    </row>
    <row r="515">
      <c r="A515" s="1"/>
      <c r="B515" s="1"/>
      <c r="C515" s="2"/>
      <c r="D515" s="1"/>
      <c r="E515" s="1"/>
      <c r="F515" s="1"/>
      <c r="G515" s="1"/>
      <c r="H515" s="2"/>
      <c r="I515" s="2"/>
      <c r="J515" s="1"/>
      <c r="K515" s="1"/>
      <c r="L515" s="1"/>
      <c r="M515" s="1"/>
      <c r="N515" s="1"/>
      <c r="O515" s="1"/>
      <c r="P515" s="1"/>
      <c r="Q515" s="1"/>
      <c r="R515" s="1"/>
      <c r="S515" s="1"/>
      <c r="T515" s="1"/>
      <c r="U515" s="1"/>
      <c r="V515" s="1"/>
      <c r="W515" s="1"/>
      <c r="X515" s="1"/>
    </row>
    <row r="516">
      <c r="A516" s="1"/>
      <c r="B516" s="1"/>
      <c r="C516" s="2"/>
      <c r="D516" s="1"/>
      <c r="E516" s="1"/>
      <c r="F516" s="1"/>
      <c r="G516" s="1"/>
      <c r="H516" s="2"/>
      <c r="I516" s="2"/>
      <c r="J516" s="1"/>
      <c r="K516" s="1"/>
      <c r="L516" s="1"/>
      <c r="M516" s="1"/>
      <c r="N516" s="1"/>
      <c r="O516" s="1"/>
      <c r="P516" s="1"/>
      <c r="Q516" s="1"/>
      <c r="R516" s="1"/>
      <c r="S516" s="1"/>
      <c r="T516" s="1"/>
      <c r="U516" s="1"/>
      <c r="V516" s="1"/>
      <c r="W516" s="1"/>
      <c r="X516" s="1"/>
    </row>
    <row r="517">
      <c r="A517" s="1"/>
      <c r="B517" s="1"/>
      <c r="C517" s="2"/>
      <c r="D517" s="1"/>
      <c r="E517" s="1"/>
      <c r="F517" s="1"/>
      <c r="G517" s="1"/>
      <c r="H517" s="2"/>
      <c r="I517" s="2"/>
      <c r="J517" s="1"/>
      <c r="K517" s="1"/>
      <c r="L517" s="1"/>
      <c r="M517" s="1"/>
      <c r="N517" s="1"/>
      <c r="O517" s="1"/>
      <c r="P517" s="1"/>
      <c r="Q517" s="1"/>
      <c r="R517" s="1"/>
      <c r="S517" s="1"/>
      <c r="T517" s="1"/>
      <c r="U517" s="1"/>
      <c r="V517" s="1"/>
      <c r="W517" s="1"/>
      <c r="X517" s="1"/>
    </row>
    <row r="518">
      <c r="A518" s="1"/>
      <c r="B518" s="1"/>
      <c r="C518" s="2"/>
      <c r="D518" s="1"/>
      <c r="E518" s="1"/>
      <c r="F518" s="1"/>
      <c r="G518" s="1"/>
      <c r="H518" s="2"/>
      <c r="I518" s="2"/>
      <c r="J518" s="1"/>
      <c r="K518" s="1"/>
      <c r="L518" s="1"/>
      <c r="M518" s="1"/>
      <c r="N518" s="1"/>
      <c r="O518" s="1"/>
      <c r="P518" s="1"/>
      <c r="Q518" s="1"/>
      <c r="R518" s="1"/>
      <c r="S518" s="1"/>
      <c r="T518" s="1"/>
      <c r="U518" s="1"/>
      <c r="V518" s="1"/>
      <c r="W518" s="1"/>
      <c r="X518" s="1"/>
    </row>
    <row r="519">
      <c r="A519" s="1"/>
      <c r="B519" s="1"/>
      <c r="C519" s="2"/>
      <c r="D519" s="1"/>
      <c r="E519" s="1"/>
      <c r="F519" s="1"/>
      <c r="G519" s="1"/>
      <c r="H519" s="2"/>
      <c r="I519" s="2"/>
      <c r="J519" s="1"/>
      <c r="K519" s="1"/>
      <c r="L519" s="1"/>
      <c r="M519" s="1"/>
      <c r="N519" s="1"/>
      <c r="O519" s="1"/>
      <c r="P519" s="1"/>
      <c r="Q519" s="1"/>
      <c r="R519" s="1"/>
      <c r="S519" s="1"/>
      <c r="T519" s="1"/>
      <c r="U519" s="1"/>
      <c r="V519" s="1"/>
      <c r="W519" s="1"/>
      <c r="X519" s="1"/>
    </row>
    <row r="520">
      <c r="A520" s="1"/>
      <c r="B520" s="1"/>
      <c r="C520" s="2"/>
      <c r="D520" s="1"/>
      <c r="E520" s="1"/>
      <c r="F520" s="1"/>
      <c r="G520" s="1"/>
      <c r="H520" s="2"/>
      <c r="I520" s="2"/>
      <c r="J520" s="1"/>
      <c r="K520" s="1"/>
      <c r="L520" s="1"/>
      <c r="M520" s="1"/>
      <c r="N520" s="1"/>
      <c r="O520" s="1"/>
      <c r="P520" s="1"/>
      <c r="Q520" s="1"/>
      <c r="R520" s="1"/>
      <c r="S520" s="1"/>
      <c r="T520" s="1"/>
      <c r="U520" s="1"/>
      <c r="V520" s="1"/>
      <c r="W520" s="1"/>
      <c r="X520" s="1"/>
    </row>
    <row r="521">
      <c r="A521" s="1"/>
      <c r="B521" s="1"/>
      <c r="C521" s="2"/>
      <c r="D521" s="1"/>
      <c r="E521" s="1"/>
      <c r="F521" s="1"/>
      <c r="G521" s="1"/>
      <c r="H521" s="2"/>
      <c r="I521" s="2"/>
      <c r="J521" s="1"/>
      <c r="K521" s="1"/>
      <c r="L521" s="1"/>
      <c r="M521" s="1"/>
      <c r="N521" s="1"/>
      <c r="O521" s="1"/>
      <c r="P521" s="1"/>
      <c r="Q521" s="1"/>
      <c r="R521" s="1"/>
      <c r="S521" s="1"/>
      <c r="T521" s="1"/>
      <c r="U521" s="1"/>
      <c r="V521" s="1"/>
      <c r="W521" s="1"/>
      <c r="X521" s="1"/>
    </row>
    <row r="522">
      <c r="A522" s="1"/>
      <c r="B522" s="1"/>
      <c r="C522" s="2"/>
      <c r="D522" s="1"/>
      <c r="E522" s="1"/>
      <c r="F522" s="1"/>
      <c r="G522" s="1"/>
      <c r="H522" s="2"/>
      <c r="I522" s="2"/>
      <c r="J522" s="1"/>
      <c r="K522" s="1"/>
      <c r="L522" s="1"/>
      <c r="M522" s="1"/>
      <c r="N522" s="1"/>
      <c r="O522" s="1"/>
      <c r="P522" s="1"/>
      <c r="Q522" s="1"/>
      <c r="R522" s="1"/>
      <c r="S522" s="1"/>
      <c r="T522" s="1"/>
      <c r="U522" s="1"/>
      <c r="V522" s="1"/>
      <c r="W522" s="1"/>
      <c r="X522" s="1"/>
    </row>
    <row r="523">
      <c r="A523" s="1"/>
      <c r="B523" s="1"/>
      <c r="C523" s="2"/>
      <c r="D523" s="1"/>
      <c r="E523" s="1"/>
      <c r="F523" s="1"/>
      <c r="G523" s="1"/>
      <c r="H523" s="2"/>
      <c r="I523" s="2"/>
      <c r="J523" s="1"/>
      <c r="K523" s="1"/>
      <c r="L523" s="1"/>
      <c r="M523" s="1"/>
      <c r="N523" s="1"/>
      <c r="O523" s="1"/>
      <c r="P523" s="1"/>
      <c r="Q523" s="1"/>
      <c r="R523" s="1"/>
      <c r="S523" s="1"/>
      <c r="T523" s="1"/>
      <c r="U523" s="1"/>
      <c r="V523" s="1"/>
      <c r="W523" s="1"/>
      <c r="X523" s="1"/>
    </row>
    <row r="524">
      <c r="A524" s="1"/>
      <c r="B524" s="1"/>
      <c r="C524" s="2"/>
      <c r="D524" s="1"/>
      <c r="E524" s="1"/>
      <c r="F524" s="1"/>
      <c r="G524" s="1"/>
      <c r="H524" s="2"/>
      <c r="I524" s="2"/>
      <c r="J524" s="1"/>
      <c r="K524" s="1"/>
      <c r="L524" s="1"/>
      <c r="M524" s="1"/>
      <c r="N524" s="1"/>
      <c r="O524" s="1"/>
      <c r="P524" s="1"/>
      <c r="Q524" s="1"/>
      <c r="R524" s="1"/>
      <c r="S524" s="1"/>
      <c r="T524" s="1"/>
      <c r="U524" s="1"/>
      <c r="V524" s="1"/>
      <c r="W524" s="1"/>
      <c r="X524" s="1"/>
    </row>
    <row r="525">
      <c r="A525" s="1"/>
      <c r="B525" s="1"/>
      <c r="C525" s="2"/>
      <c r="D525" s="1"/>
      <c r="E525" s="1"/>
      <c r="F525" s="1"/>
      <c r="G525" s="1"/>
      <c r="H525" s="2"/>
      <c r="I525" s="2"/>
      <c r="J525" s="1"/>
      <c r="K525" s="1"/>
      <c r="L525" s="1"/>
      <c r="M525" s="1"/>
      <c r="N525" s="1"/>
      <c r="O525" s="1"/>
      <c r="P525" s="1"/>
      <c r="Q525" s="1"/>
      <c r="R525" s="1"/>
      <c r="S525" s="1"/>
      <c r="T525" s="1"/>
      <c r="U525" s="1"/>
      <c r="V525" s="1"/>
      <c r="W525" s="1"/>
      <c r="X525" s="1"/>
    </row>
    <row r="526">
      <c r="A526" s="1"/>
      <c r="B526" s="1"/>
      <c r="C526" s="2"/>
      <c r="D526" s="1"/>
      <c r="E526" s="1"/>
      <c r="F526" s="1"/>
      <c r="G526" s="1"/>
      <c r="H526" s="2"/>
      <c r="I526" s="2"/>
      <c r="J526" s="1"/>
      <c r="K526" s="1"/>
      <c r="L526" s="1"/>
      <c r="M526" s="1"/>
      <c r="N526" s="1"/>
      <c r="O526" s="1"/>
      <c r="P526" s="1"/>
      <c r="Q526" s="1"/>
      <c r="R526" s="1"/>
      <c r="S526" s="1"/>
      <c r="T526" s="1"/>
      <c r="U526" s="1"/>
      <c r="V526" s="1"/>
      <c r="W526" s="1"/>
      <c r="X526" s="1"/>
    </row>
    <row r="527">
      <c r="A527" s="1"/>
      <c r="B527" s="1"/>
      <c r="C527" s="2"/>
      <c r="D527" s="1"/>
      <c r="E527" s="1"/>
      <c r="F527" s="1"/>
      <c r="G527" s="1"/>
      <c r="H527" s="2"/>
      <c r="I527" s="2"/>
      <c r="J527" s="1"/>
      <c r="K527" s="1"/>
      <c r="L527" s="1"/>
      <c r="M527" s="1"/>
      <c r="N527" s="1"/>
      <c r="O527" s="1"/>
      <c r="P527" s="1"/>
      <c r="Q527" s="1"/>
      <c r="R527" s="1"/>
      <c r="S527" s="1"/>
      <c r="T527" s="1"/>
      <c r="U527" s="1"/>
      <c r="V527" s="1"/>
      <c r="W527" s="1"/>
      <c r="X527" s="1"/>
    </row>
    <row r="528">
      <c r="A528" s="1"/>
      <c r="B528" s="1"/>
      <c r="C528" s="2"/>
      <c r="D528" s="1"/>
      <c r="E528" s="1"/>
      <c r="F528" s="1"/>
      <c r="G528" s="1"/>
      <c r="H528" s="2"/>
      <c r="I528" s="2"/>
      <c r="J528" s="1"/>
      <c r="K528" s="1"/>
      <c r="L528" s="1"/>
      <c r="M528" s="1"/>
      <c r="N528" s="1"/>
      <c r="O528" s="1"/>
      <c r="P528" s="1"/>
      <c r="Q528" s="1"/>
      <c r="R528" s="1"/>
      <c r="S528" s="1"/>
      <c r="T528" s="1"/>
      <c r="U528" s="1"/>
      <c r="V528" s="1"/>
      <c r="W528" s="1"/>
      <c r="X528" s="1"/>
    </row>
    <row r="529">
      <c r="A529" s="1"/>
      <c r="B529" s="1"/>
      <c r="C529" s="2"/>
      <c r="D529" s="1"/>
      <c r="E529" s="1"/>
      <c r="F529" s="1"/>
      <c r="G529" s="1"/>
      <c r="H529" s="2"/>
      <c r="I529" s="2"/>
      <c r="J529" s="1"/>
      <c r="K529" s="1"/>
      <c r="L529" s="1"/>
      <c r="M529" s="1"/>
      <c r="N529" s="1"/>
      <c r="O529" s="1"/>
      <c r="P529" s="1"/>
      <c r="Q529" s="1"/>
      <c r="R529" s="1"/>
      <c r="S529" s="1"/>
      <c r="T529" s="1"/>
      <c r="U529" s="1"/>
      <c r="V529" s="1"/>
      <c r="W529" s="1"/>
      <c r="X529" s="1"/>
    </row>
    <row r="530">
      <c r="A530" s="1"/>
      <c r="B530" s="1"/>
      <c r="C530" s="2"/>
      <c r="D530" s="1"/>
      <c r="E530" s="1"/>
      <c r="F530" s="1"/>
      <c r="G530" s="1"/>
      <c r="H530" s="2"/>
      <c r="I530" s="2"/>
      <c r="J530" s="1"/>
      <c r="K530" s="1"/>
      <c r="L530" s="1"/>
      <c r="M530" s="1"/>
      <c r="N530" s="1"/>
      <c r="O530" s="1"/>
      <c r="P530" s="1"/>
      <c r="Q530" s="1"/>
      <c r="R530" s="1"/>
      <c r="S530" s="1"/>
      <c r="T530" s="1"/>
      <c r="U530" s="1"/>
      <c r="V530" s="1"/>
      <c r="W530" s="1"/>
      <c r="X530" s="1"/>
    </row>
    <row r="531">
      <c r="A531" s="1"/>
      <c r="B531" s="1"/>
      <c r="C531" s="2"/>
      <c r="D531" s="1"/>
      <c r="E531" s="1"/>
      <c r="F531" s="1"/>
      <c r="G531" s="1"/>
      <c r="H531" s="2"/>
      <c r="I531" s="2"/>
      <c r="J531" s="1"/>
      <c r="K531" s="1"/>
      <c r="L531" s="1"/>
      <c r="M531" s="1"/>
      <c r="N531" s="1"/>
      <c r="O531" s="1"/>
      <c r="P531" s="1"/>
      <c r="Q531" s="1"/>
      <c r="R531" s="1"/>
      <c r="S531" s="1"/>
      <c r="T531" s="1"/>
      <c r="U531" s="1"/>
      <c r="V531" s="1"/>
      <c r="W531" s="1"/>
      <c r="X531" s="1"/>
    </row>
    <row r="532">
      <c r="A532" s="1"/>
      <c r="B532" s="1"/>
      <c r="C532" s="2"/>
      <c r="D532" s="1"/>
      <c r="E532" s="1"/>
      <c r="F532" s="1"/>
      <c r="G532" s="1"/>
      <c r="H532" s="2"/>
      <c r="I532" s="2"/>
      <c r="J532" s="1"/>
      <c r="K532" s="1"/>
      <c r="L532" s="1"/>
      <c r="M532" s="1"/>
      <c r="N532" s="1"/>
      <c r="O532" s="1"/>
      <c r="P532" s="1"/>
      <c r="Q532" s="1"/>
      <c r="R532" s="1"/>
      <c r="S532" s="1"/>
      <c r="T532" s="1"/>
      <c r="U532" s="1"/>
      <c r="V532" s="1"/>
      <c r="W532" s="1"/>
      <c r="X532" s="1"/>
    </row>
    <row r="533">
      <c r="A533" s="1"/>
      <c r="B533" s="1"/>
      <c r="C533" s="2"/>
      <c r="D533" s="1"/>
      <c r="E533" s="1"/>
      <c r="F533" s="1"/>
      <c r="G533" s="1"/>
      <c r="H533" s="2"/>
      <c r="I533" s="2"/>
      <c r="J533" s="1"/>
      <c r="K533" s="1"/>
      <c r="L533" s="1"/>
      <c r="M533" s="1"/>
      <c r="N533" s="1"/>
      <c r="O533" s="1"/>
      <c r="P533" s="1"/>
      <c r="Q533" s="1"/>
      <c r="R533" s="1"/>
      <c r="S533" s="1"/>
      <c r="T533" s="1"/>
      <c r="U533" s="1"/>
      <c r="V533" s="1"/>
      <c r="W533" s="1"/>
      <c r="X533" s="1"/>
    </row>
    <row r="534">
      <c r="A534" s="1"/>
      <c r="B534" s="1"/>
      <c r="C534" s="2"/>
      <c r="D534" s="1"/>
      <c r="E534" s="1"/>
      <c r="F534" s="1"/>
      <c r="G534" s="1"/>
      <c r="H534" s="2"/>
      <c r="I534" s="2"/>
      <c r="J534" s="1"/>
      <c r="K534" s="1"/>
      <c r="L534" s="1"/>
      <c r="M534" s="1"/>
      <c r="N534" s="1"/>
      <c r="O534" s="1"/>
      <c r="P534" s="1"/>
      <c r="Q534" s="1"/>
      <c r="R534" s="1"/>
      <c r="S534" s="1"/>
      <c r="T534" s="1"/>
      <c r="U534" s="1"/>
      <c r="V534" s="1"/>
      <c r="W534" s="1"/>
      <c r="X534" s="1"/>
    </row>
    <row r="535">
      <c r="A535" s="1"/>
      <c r="B535" s="1"/>
      <c r="C535" s="2"/>
      <c r="D535" s="1"/>
      <c r="E535" s="1"/>
      <c r="F535" s="1"/>
      <c r="G535" s="1"/>
      <c r="H535" s="2"/>
      <c r="I535" s="2"/>
      <c r="J535" s="1"/>
      <c r="K535" s="1"/>
      <c r="L535" s="1"/>
      <c r="M535" s="1"/>
      <c r="N535" s="1"/>
      <c r="O535" s="1"/>
      <c r="P535" s="1"/>
      <c r="Q535" s="1"/>
      <c r="R535" s="1"/>
      <c r="S535" s="1"/>
      <c r="T535" s="1"/>
      <c r="U535" s="1"/>
      <c r="V535" s="1"/>
      <c r="W535" s="1"/>
      <c r="X535" s="1"/>
    </row>
    <row r="536">
      <c r="A536" s="1"/>
      <c r="B536" s="1"/>
      <c r="C536" s="2"/>
      <c r="D536" s="1"/>
      <c r="E536" s="1"/>
      <c r="F536" s="1"/>
      <c r="G536" s="1"/>
      <c r="H536" s="2"/>
      <c r="I536" s="2"/>
      <c r="J536" s="1"/>
      <c r="K536" s="1"/>
      <c r="L536" s="1"/>
      <c r="M536" s="1"/>
      <c r="N536" s="1"/>
      <c r="O536" s="1"/>
      <c r="P536" s="1"/>
      <c r="Q536" s="1"/>
      <c r="R536" s="1"/>
      <c r="S536" s="1"/>
      <c r="T536" s="1"/>
      <c r="U536" s="1"/>
      <c r="V536" s="1"/>
      <c r="W536" s="1"/>
      <c r="X536" s="1"/>
    </row>
    <row r="537">
      <c r="A537" s="1"/>
      <c r="B537" s="1"/>
      <c r="C537" s="2"/>
      <c r="D537" s="1"/>
      <c r="E537" s="1"/>
      <c r="F537" s="1"/>
      <c r="G537" s="1"/>
      <c r="H537" s="2"/>
      <c r="I537" s="2"/>
      <c r="J537" s="1"/>
      <c r="K537" s="1"/>
      <c r="L537" s="1"/>
      <c r="M537" s="1"/>
      <c r="N537" s="1"/>
      <c r="O537" s="1"/>
      <c r="P537" s="1"/>
      <c r="Q537" s="1"/>
      <c r="R537" s="1"/>
      <c r="S537" s="1"/>
      <c r="T537" s="1"/>
      <c r="U537" s="1"/>
      <c r="V537" s="1"/>
      <c r="W537" s="1"/>
      <c r="X537" s="1"/>
    </row>
    <row r="538">
      <c r="A538" s="1"/>
      <c r="B538" s="1"/>
      <c r="C538" s="2"/>
      <c r="D538" s="1"/>
      <c r="E538" s="1"/>
      <c r="F538" s="1"/>
      <c r="G538" s="1"/>
      <c r="H538" s="2"/>
      <c r="I538" s="2"/>
      <c r="J538" s="1"/>
      <c r="K538" s="1"/>
      <c r="L538" s="1"/>
      <c r="M538" s="1"/>
      <c r="N538" s="1"/>
      <c r="O538" s="1"/>
      <c r="P538" s="1"/>
      <c r="Q538" s="1"/>
      <c r="R538" s="1"/>
      <c r="S538" s="1"/>
      <c r="T538" s="1"/>
      <c r="U538" s="1"/>
      <c r="V538" s="1"/>
      <c r="W538" s="1"/>
      <c r="X538" s="1"/>
    </row>
    <row r="539">
      <c r="A539" s="1"/>
      <c r="B539" s="1"/>
      <c r="C539" s="2"/>
      <c r="D539" s="1"/>
      <c r="E539" s="1"/>
      <c r="F539" s="1"/>
      <c r="G539" s="1"/>
      <c r="H539" s="2"/>
      <c r="I539" s="2"/>
      <c r="J539" s="1"/>
      <c r="K539" s="1"/>
      <c r="L539" s="1"/>
      <c r="M539" s="1"/>
      <c r="N539" s="1"/>
      <c r="O539" s="1"/>
      <c r="P539" s="1"/>
      <c r="Q539" s="1"/>
      <c r="R539" s="1"/>
      <c r="S539" s="1"/>
      <c r="T539" s="1"/>
      <c r="U539" s="1"/>
      <c r="V539" s="1"/>
      <c r="W539" s="1"/>
      <c r="X539" s="1"/>
    </row>
    <row r="540">
      <c r="A540" s="1"/>
      <c r="B540" s="1"/>
      <c r="C540" s="2"/>
      <c r="D540" s="1"/>
      <c r="E540" s="1"/>
      <c r="F540" s="1"/>
      <c r="G540" s="1"/>
      <c r="H540" s="2"/>
      <c r="I540" s="2"/>
      <c r="J540" s="1"/>
      <c r="K540" s="1"/>
      <c r="L540" s="1"/>
      <c r="M540" s="1"/>
      <c r="N540" s="1"/>
      <c r="O540" s="1"/>
      <c r="P540" s="1"/>
      <c r="Q540" s="1"/>
      <c r="R540" s="1"/>
      <c r="S540" s="1"/>
      <c r="T540" s="1"/>
      <c r="U540" s="1"/>
      <c r="V540" s="1"/>
      <c r="W540" s="1"/>
      <c r="X540" s="1"/>
    </row>
    <row r="541">
      <c r="A541" s="1"/>
      <c r="B541" s="1"/>
      <c r="C541" s="2"/>
      <c r="D541" s="1"/>
      <c r="E541" s="1"/>
      <c r="F541" s="1"/>
      <c r="G541" s="1"/>
      <c r="H541" s="2"/>
      <c r="I541" s="2"/>
      <c r="J541" s="1"/>
      <c r="K541" s="1"/>
      <c r="L541" s="1"/>
      <c r="M541" s="1"/>
      <c r="N541" s="1"/>
      <c r="O541" s="1"/>
      <c r="P541" s="1"/>
      <c r="Q541" s="1"/>
      <c r="R541" s="1"/>
      <c r="S541" s="1"/>
      <c r="T541" s="1"/>
      <c r="U541" s="1"/>
      <c r="V541" s="1"/>
      <c r="W541" s="1"/>
      <c r="X541" s="1"/>
    </row>
    <row r="542">
      <c r="A542" s="1"/>
      <c r="B542" s="1"/>
      <c r="C542" s="2"/>
      <c r="D542" s="1"/>
      <c r="E542" s="1"/>
      <c r="F542" s="1"/>
      <c r="G542" s="1"/>
      <c r="H542" s="2"/>
      <c r="I542" s="2"/>
      <c r="J542" s="1"/>
      <c r="K542" s="1"/>
      <c r="L542" s="1"/>
      <c r="M542" s="1"/>
      <c r="N542" s="1"/>
      <c r="O542" s="1"/>
      <c r="P542" s="1"/>
      <c r="Q542" s="1"/>
      <c r="R542" s="1"/>
      <c r="S542" s="1"/>
      <c r="T542" s="1"/>
      <c r="U542" s="1"/>
      <c r="V542" s="1"/>
      <c r="W542" s="1"/>
      <c r="X542" s="1"/>
    </row>
    <row r="543">
      <c r="A543" s="1"/>
      <c r="B543" s="1"/>
      <c r="C543" s="2"/>
      <c r="D543" s="1"/>
      <c r="E543" s="1"/>
      <c r="F543" s="1"/>
      <c r="G543" s="1"/>
      <c r="H543" s="2"/>
      <c r="I543" s="2"/>
      <c r="J543" s="1"/>
      <c r="K543" s="1"/>
      <c r="L543" s="1"/>
      <c r="M543" s="1"/>
      <c r="N543" s="1"/>
      <c r="O543" s="1"/>
      <c r="P543" s="1"/>
      <c r="Q543" s="1"/>
      <c r="R543" s="1"/>
      <c r="S543" s="1"/>
      <c r="T543" s="1"/>
      <c r="U543" s="1"/>
      <c r="V543" s="1"/>
      <c r="W543" s="1"/>
      <c r="X543" s="1"/>
    </row>
    <row r="544">
      <c r="A544" s="1"/>
      <c r="B544" s="1"/>
      <c r="C544" s="2"/>
      <c r="D544" s="1"/>
      <c r="E544" s="1"/>
      <c r="F544" s="1"/>
      <c r="G544" s="1"/>
      <c r="H544" s="2"/>
      <c r="I544" s="2"/>
      <c r="J544" s="1"/>
      <c r="K544" s="1"/>
      <c r="L544" s="1"/>
      <c r="M544" s="1"/>
      <c r="N544" s="1"/>
      <c r="O544" s="1"/>
      <c r="P544" s="1"/>
      <c r="Q544" s="1"/>
      <c r="R544" s="1"/>
      <c r="S544" s="1"/>
      <c r="T544" s="1"/>
      <c r="U544" s="1"/>
      <c r="V544" s="1"/>
      <c r="W544" s="1"/>
      <c r="X544" s="1"/>
    </row>
    <row r="545">
      <c r="A545" s="1"/>
      <c r="B545" s="1"/>
      <c r="C545" s="2"/>
      <c r="D545" s="1"/>
      <c r="E545" s="1"/>
      <c r="F545" s="1"/>
      <c r="G545" s="1"/>
      <c r="H545" s="2"/>
      <c r="I545" s="2"/>
      <c r="J545" s="1"/>
      <c r="K545" s="1"/>
      <c r="L545" s="1"/>
      <c r="M545" s="1"/>
      <c r="N545" s="1"/>
      <c r="O545" s="1"/>
      <c r="P545" s="1"/>
      <c r="Q545" s="1"/>
      <c r="R545" s="1"/>
      <c r="S545" s="1"/>
      <c r="T545" s="1"/>
      <c r="U545" s="1"/>
      <c r="V545" s="1"/>
      <c r="W545" s="1"/>
      <c r="X545" s="1"/>
    </row>
    <row r="546">
      <c r="A546" s="1"/>
      <c r="B546" s="1"/>
      <c r="C546" s="2"/>
      <c r="D546" s="1"/>
      <c r="E546" s="1"/>
      <c r="F546" s="1"/>
      <c r="G546" s="1"/>
      <c r="H546" s="2"/>
      <c r="I546" s="2"/>
      <c r="J546" s="1"/>
      <c r="K546" s="1"/>
      <c r="L546" s="1"/>
      <c r="M546" s="1"/>
      <c r="N546" s="1"/>
      <c r="O546" s="1"/>
      <c r="P546" s="1"/>
      <c r="Q546" s="1"/>
      <c r="R546" s="1"/>
      <c r="S546" s="1"/>
      <c r="T546" s="1"/>
      <c r="U546" s="1"/>
      <c r="V546" s="1"/>
      <c r="W546" s="1"/>
      <c r="X546" s="1"/>
    </row>
    <row r="547">
      <c r="A547" s="1"/>
      <c r="B547" s="1"/>
      <c r="C547" s="2"/>
      <c r="D547" s="1"/>
      <c r="E547" s="1"/>
      <c r="F547" s="1"/>
      <c r="G547" s="1"/>
      <c r="H547" s="2"/>
      <c r="I547" s="2"/>
      <c r="J547" s="1"/>
      <c r="K547" s="1"/>
      <c r="L547" s="1"/>
      <c r="M547" s="1"/>
      <c r="N547" s="1"/>
      <c r="O547" s="1"/>
      <c r="P547" s="1"/>
      <c r="Q547" s="1"/>
      <c r="R547" s="1"/>
      <c r="S547" s="1"/>
      <c r="T547" s="1"/>
      <c r="U547" s="1"/>
      <c r="V547" s="1"/>
      <c r="W547" s="1"/>
      <c r="X547" s="1"/>
    </row>
    <row r="548">
      <c r="A548" s="1"/>
      <c r="B548" s="1"/>
      <c r="C548" s="2"/>
      <c r="D548" s="1"/>
      <c r="E548" s="1"/>
      <c r="F548" s="1"/>
      <c r="G548" s="1"/>
      <c r="H548" s="2"/>
      <c r="I548" s="2"/>
      <c r="J548" s="1"/>
      <c r="K548" s="1"/>
      <c r="L548" s="1"/>
      <c r="M548" s="1"/>
      <c r="N548" s="1"/>
      <c r="O548" s="1"/>
      <c r="P548" s="1"/>
      <c r="Q548" s="1"/>
      <c r="R548" s="1"/>
      <c r="S548" s="1"/>
      <c r="T548" s="1"/>
      <c r="U548" s="1"/>
      <c r="V548" s="1"/>
      <c r="W548" s="1"/>
      <c r="X548" s="1"/>
    </row>
    <row r="549">
      <c r="A549" s="1"/>
      <c r="B549" s="1"/>
      <c r="C549" s="2"/>
      <c r="D549" s="1"/>
      <c r="E549" s="1"/>
      <c r="F549" s="1"/>
      <c r="G549" s="1"/>
      <c r="H549" s="2"/>
      <c r="I549" s="2"/>
      <c r="J549" s="1"/>
      <c r="K549" s="1"/>
      <c r="L549" s="1"/>
      <c r="M549" s="1"/>
      <c r="N549" s="1"/>
      <c r="O549" s="1"/>
      <c r="P549" s="1"/>
      <c r="Q549" s="1"/>
      <c r="R549" s="1"/>
      <c r="S549" s="1"/>
      <c r="T549" s="1"/>
      <c r="U549" s="1"/>
      <c r="V549" s="1"/>
      <c r="W549" s="1"/>
      <c r="X549" s="1"/>
    </row>
    <row r="550">
      <c r="A550" s="1"/>
      <c r="B550" s="1"/>
      <c r="C550" s="2"/>
      <c r="D550" s="1"/>
      <c r="E550" s="1"/>
      <c r="F550" s="1"/>
      <c r="G550" s="1"/>
      <c r="H550" s="2"/>
      <c r="I550" s="2"/>
      <c r="J550" s="1"/>
      <c r="K550" s="1"/>
      <c r="L550" s="1"/>
      <c r="M550" s="1"/>
      <c r="N550" s="1"/>
      <c r="O550" s="1"/>
      <c r="P550" s="1"/>
      <c r="Q550" s="1"/>
      <c r="R550" s="1"/>
      <c r="S550" s="1"/>
      <c r="T550" s="1"/>
      <c r="U550" s="1"/>
      <c r="V550" s="1"/>
      <c r="W550" s="1"/>
      <c r="X550" s="1"/>
    </row>
    <row r="551">
      <c r="A551" s="1"/>
      <c r="B551" s="1"/>
      <c r="C551" s="2"/>
      <c r="D551" s="1"/>
      <c r="E551" s="1"/>
      <c r="F551" s="1"/>
      <c r="G551" s="1"/>
      <c r="H551" s="2"/>
      <c r="I551" s="2"/>
      <c r="J551" s="1"/>
      <c r="K551" s="1"/>
      <c r="L551" s="1"/>
      <c r="M551" s="1"/>
      <c r="N551" s="1"/>
      <c r="O551" s="1"/>
      <c r="P551" s="1"/>
      <c r="Q551" s="1"/>
      <c r="R551" s="1"/>
      <c r="S551" s="1"/>
      <c r="T551" s="1"/>
      <c r="U551" s="1"/>
      <c r="V551" s="1"/>
      <c r="W551" s="1"/>
      <c r="X551" s="1"/>
    </row>
    <row r="552">
      <c r="A552" s="1"/>
      <c r="B552" s="1"/>
      <c r="C552" s="2"/>
      <c r="D552" s="1"/>
      <c r="E552" s="1"/>
      <c r="F552" s="1"/>
      <c r="G552" s="1"/>
      <c r="H552" s="2"/>
      <c r="I552" s="2"/>
      <c r="J552" s="1"/>
      <c r="K552" s="1"/>
      <c r="L552" s="1"/>
      <c r="M552" s="1"/>
      <c r="N552" s="1"/>
      <c r="O552" s="1"/>
      <c r="P552" s="1"/>
      <c r="Q552" s="1"/>
      <c r="R552" s="1"/>
      <c r="S552" s="1"/>
      <c r="T552" s="1"/>
      <c r="U552" s="1"/>
      <c r="V552" s="1"/>
      <c r="W552" s="1"/>
      <c r="X552" s="1"/>
    </row>
    <row r="553">
      <c r="A553" s="1"/>
      <c r="B553" s="1"/>
      <c r="C553" s="2"/>
      <c r="D553" s="1"/>
      <c r="E553" s="1"/>
      <c r="F553" s="1"/>
      <c r="G553" s="1"/>
      <c r="H553" s="2"/>
      <c r="I553" s="2"/>
      <c r="J553" s="1"/>
      <c r="K553" s="1"/>
      <c r="L553" s="1"/>
      <c r="M553" s="1"/>
      <c r="N553" s="1"/>
      <c r="O553" s="1"/>
      <c r="P553" s="1"/>
      <c r="Q553" s="1"/>
      <c r="R553" s="1"/>
      <c r="S553" s="1"/>
      <c r="T553" s="1"/>
      <c r="U553" s="1"/>
      <c r="V553" s="1"/>
      <c r="W553" s="1"/>
      <c r="X553" s="1"/>
    </row>
    <row r="554">
      <c r="A554" s="1"/>
      <c r="B554" s="1"/>
      <c r="C554" s="2"/>
      <c r="D554" s="1"/>
      <c r="E554" s="1"/>
      <c r="F554" s="1"/>
      <c r="G554" s="1"/>
      <c r="H554" s="2"/>
      <c r="I554" s="2"/>
      <c r="J554" s="1"/>
      <c r="K554" s="1"/>
      <c r="L554" s="1"/>
      <c r="M554" s="1"/>
      <c r="N554" s="1"/>
      <c r="O554" s="1"/>
      <c r="P554" s="1"/>
      <c r="Q554" s="1"/>
      <c r="R554" s="1"/>
      <c r="S554" s="1"/>
      <c r="T554" s="1"/>
      <c r="U554" s="1"/>
      <c r="V554" s="1"/>
      <c r="W554" s="1"/>
      <c r="X554" s="1"/>
    </row>
    <row r="555">
      <c r="A555" s="1"/>
      <c r="B555" s="1"/>
      <c r="C555" s="2"/>
      <c r="D555" s="1"/>
      <c r="E555" s="1"/>
      <c r="F555" s="1"/>
      <c r="G555" s="1"/>
      <c r="H555" s="2"/>
      <c r="I555" s="2"/>
      <c r="J555" s="1"/>
      <c r="K555" s="1"/>
      <c r="L555" s="1"/>
      <c r="M555" s="1"/>
      <c r="N555" s="1"/>
      <c r="O555" s="1"/>
      <c r="P555" s="1"/>
      <c r="Q555" s="1"/>
      <c r="R555" s="1"/>
      <c r="S555" s="1"/>
      <c r="T555" s="1"/>
      <c r="U555" s="1"/>
      <c r="V555" s="1"/>
      <c r="W555" s="1"/>
      <c r="X555" s="1"/>
    </row>
    <row r="556">
      <c r="A556" s="1"/>
      <c r="B556" s="1"/>
      <c r="C556" s="2"/>
      <c r="D556" s="1"/>
      <c r="E556" s="1"/>
      <c r="F556" s="1"/>
      <c r="G556" s="1"/>
      <c r="H556" s="2"/>
      <c r="I556" s="2"/>
      <c r="J556" s="1"/>
      <c r="K556" s="1"/>
      <c r="L556" s="1"/>
      <c r="M556" s="1"/>
      <c r="N556" s="1"/>
      <c r="O556" s="1"/>
      <c r="P556" s="1"/>
      <c r="Q556" s="1"/>
      <c r="R556" s="1"/>
      <c r="S556" s="1"/>
      <c r="T556" s="1"/>
      <c r="U556" s="1"/>
      <c r="V556" s="1"/>
      <c r="W556" s="1"/>
      <c r="X556" s="1"/>
    </row>
    <row r="557">
      <c r="A557" s="1"/>
      <c r="B557" s="1"/>
      <c r="C557" s="2"/>
      <c r="D557" s="1"/>
      <c r="E557" s="1"/>
      <c r="F557" s="1"/>
      <c r="G557" s="1"/>
      <c r="H557" s="2"/>
      <c r="I557" s="2"/>
      <c r="J557" s="1"/>
      <c r="K557" s="1"/>
      <c r="L557" s="1"/>
      <c r="M557" s="1"/>
      <c r="N557" s="1"/>
      <c r="O557" s="1"/>
      <c r="P557" s="1"/>
      <c r="Q557" s="1"/>
      <c r="R557" s="1"/>
      <c r="S557" s="1"/>
      <c r="T557" s="1"/>
      <c r="U557" s="1"/>
      <c r="V557" s="1"/>
      <c r="W557" s="1"/>
      <c r="X557" s="1"/>
    </row>
    <row r="558">
      <c r="A558" s="1"/>
      <c r="B558" s="1"/>
      <c r="C558" s="2"/>
      <c r="D558" s="1"/>
      <c r="E558" s="1"/>
      <c r="F558" s="1"/>
      <c r="G558" s="1"/>
      <c r="H558" s="2"/>
      <c r="I558" s="2"/>
      <c r="J558" s="1"/>
      <c r="K558" s="1"/>
      <c r="L558" s="1"/>
      <c r="M558" s="1"/>
      <c r="N558" s="1"/>
      <c r="O558" s="1"/>
      <c r="P558" s="1"/>
      <c r="Q558" s="1"/>
      <c r="R558" s="1"/>
      <c r="S558" s="1"/>
      <c r="T558" s="1"/>
      <c r="U558" s="1"/>
      <c r="V558" s="1"/>
      <c r="W558" s="1"/>
      <c r="X558" s="1"/>
    </row>
    <row r="559">
      <c r="A559" s="1"/>
      <c r="B559" s="1"/>
      <c r="C559" s="2"/>
      <c r="D559" s="1"/>
      <c r="E559" s="1"/>
      <c r="F559" s="1"/>
      <c r="G559" s="1"/>
      <c r="H559" s="2"/>
      <c r="I559" s="2"/>
      <c r="J559" s="1"/>
      <c r="K559" s="1"/>
      <c r="L559" s="1"/>
      <c r="M559" s="1"/>
      <c r="N559" s="1"/>
      <c r="O559" s="1"/>
      <c r="P559" s="1"/>
      <c r="Q559" s="1"/>
      <c r="R559" s="1"/>
      <c r="S559" s="1"/>
      <c r="T559" s="1"/>
      <c r="U559" s="1"/>
      <c r="V559" s="1"/>
      <c r="W559" s="1"/>
      <c r="X559" s="1"/>
    </row>
    <row r="560">
      <c r="A560" s="1"/>
      <c r="B560" s="1"/>
      <c r="C560" s="2"/>
      <c r="D560" s="1"/>
      <c r="E560" s="1"/>
      <c r="F560" s="1"/>
      <c r="G560" s="1"/>
      <c r="H560" s="2"/>
      <c r="I560" s="2"/>
      <c r="J560" s="1"/>
      <c r="K560" s="1"/>
      <c r="L560" s="1"/>
      <c r="M560" s="1"/>
      <c r="N560" s="1"/>
      <c r="O560" s="1"/>
      <c r="P560" s="1"/>
      <c r="Q560" s="1"/>
      <c r="R560" s="1"/>
      <c r="S560" s="1"/>
      <c r="T560" s="1"/>
      <c r="U560" s="1"/>
      <c r="V560" s="1"/>
      <c r="W560" s="1"/>
      <c r="X560" s="1"/>
    </row>
    <row r="561">
      <c r="A561" s="1"/>
      <c r="B561" s="1"/>
      <c r="C561" s="2"/>
      <c r="D561" s="1"/>
      <c r="E561" s="1"/>
      <c r="F561" s="1"/>
      <c r="G561" s="1"/>
      <c r="H561" s="2"/>
      <c r="I561" s="2"/>
      <c r="J561" s="1"/>
      <c r="K561" s="1"/>
      <c r="L561" s="1"/>
      <c r="M561" s="1"/>
      <c r="N561" s="1"/>
      <c r="O561" s="1"/>
      <c r="P561" s="1"/>
      <c r="Q561" s="1"/>
      <c r="R561" s="1"/>
      <c r="S561" s="1"/>
      <c r="T561" s="1"/>
      <c r="U561" s="1"/>
      <c r="V561" s="1"/>
      <c r="W561" s="1"/>
      <c r="X561" s="1"/>
    </row>
    <row r="562">
      <c r="A562" s="1"/>
      <c r="B562" s="1"/>
      <c r="C562" s="2"/>
      <c r="D562" s="1"/>
      <c r="E562" s="1"/>
      <c r="F562" s="1"/>
      <c r="G562" s="1"/>
      <c r="H562" s="2"/>
      <c r="I562" s="2"/>
      <c r="J562" s="1"/>
      <c r="K562" s="1"/>
      <c r="L562" s="1"/>
      <c r="M562" s="1"/>
      <c r="N562" s="1"/>
      <c r="O562" s="1"/>
      <c r="P562" s="1"/>
      <c r="Q562" s="1"/>
      <c r="R562" s="1"/>
      <c r="S562" s="1"/>
      <c r="T562" s="1"/>
      <c r="U562" s="1"/>
      <c r="V562" s="1"/>
      <c r="W562" s="1"/>
      <c r="X562" s="1"/>
    </row>
    <row r="563">
      <c r="A563" s="1"/>
      <c r="B563" s="1"/>
      <c r="C563" s="2"/>
      <c r="D563" s="1"/>
      <c r="E563" s="1"/>
      <c r="F563" s="1"/>
      <c r="G563" s="1"/>
      <c r="H563" s="2"/>
      <c r="I563" s="2"/>
      <c r="J563" s="1"/>
      <c r="K563" s="1"/>
      <c r="L563" s="1"/>
      <c r="M563" s="1"/>
      <c r="N563" s="1"/>
      <c r="O563" s="1"/>
      <c r="P563" s="1"/>
      <c r="Q563" s="1"/>
      <c r="R563" s="1"/>
      <c r="S563" s="1"/>
      <c r="T563" s="1"/>
      <c r="U563" s="1"/>
      <c r="V563" s="1"/>
      <c r="W563" s="1"/>
      <c r="X563" s="1"/>
    </row>
    <row r="564">
      <c r="A564" s="1"/>
      <c r="B564" s="1"/>
      <c r="C564" s="2"/>
      <c r="D564" s="1"/>
      <c r="E564" s="1"/>
      <c r="F564" s="1"/>
      <c r="G564" s="1"/>
      <c r="H564" s="2"/>
      <c r="I564" s="2"/>
      <c r="J564" s="1"/>
      <c r="K564" s="1"/>
      <c r="L564" s="1"/>
      <c r="M564" s="1"/>
      <c r="N564" s="1"/>
      <c r="O564" s="1"/>
      <c r="P564" s="1"/>
      <c r="Q564" s="1"/>
      <c r="R564" s="1"/>
      <c r="S564" s="1"/>
      <c r="T564" s="1"/>
      <c r="U564" s="1"/>
      <c r="V564" s="1"/>
      <c r="W564" s="1"/>
      <c r="X564" s="1"/>
    </row>
    <row r="565">
      <c r="A565" s="1"/>
      <c r="B565" s="1"/>
      <c r="C565" s="2"/>
      <c r="D565" s="1"/>
      <c r="E565" s="1"/>
      <c r="F565" s="1"/>
      <c r="G565" s="1"/>
      <c r="H565" s="2"/>
      <c r="I565" s="2"/>
      <c r="J565" s="1"/>
      <c r="K565" s="1"/>
      <c r="L565" s="1"/>
      <c r="M565" s="1"/>
      <c r="N565" s="1"/>
      <c r="O565" s="1"/>
      <c r="P565" s="1"/>
      <c r="Q565" s="1"/>
      <c r="R565" s="1"/>
      <c r="S565" s="1"/>
      <c r="T565" s="1"/>
      <c r="U565" s="1"/>
      <c r="V565" s="1"/>
      <c r="W565" s="1"/>
      <c r="X565" s="1"/>
    </row>
    <row r="566">
      <c r="A566" s="1"/>
      <c r="B566" s="1"/>
      <c r="C566" s="2"/>
      <c r="D566" s="1"/>
      <c r="E566" s="1"/>
      <c r="F566" s="1"/>
      <c r="G566" s="1"/>
      <c r="H566" s="2"/>
      <c r="I566" s="2"/>
      <c r="J566" s="1"/>
      <c r="K566" s="1"/>
      <c r="L566" s="1"/>
      <c r="M566" s="1"/>
      <c r="N566" s="1"/>
      <c r="O566" s="1"/>
      <c r="P566" s="1"/>
      <c r="Q566" s="1"/>
      <c r="R566" s="1"/>
      <c r="S566" s="1"/>
      <c r="T566" s="1"/>
      <c r="U566" s="1"/>
      <c r="V566" s="1"/>
      <c r="W566" s="1"/>
      <c r="X566" s="1"/>
    </row>
    <row r="567">
      <c r="A567" s="1"/>
      <c r="B567" s="1"/>
      <c r="C567" s="2"/>
      <c r="D567" s="1"/>
      <c r="E567" s="1"/>
      <c r="F567" s="1"/>
      <c r="G567" s="1"/>
      <c r="H567" s="2"/>
      <c r="I567" s="2"/>
      <c r="J567" s="1"/>
      <c r="K567" s="1"/>
      <c r="L567" s="1"/>
      <c r="M567" s="1"/>
      <c r="N567" s="1"/>
      <c r="O567" s="1"/>
      <c r="P567" s="1"/>
      <c r="Q567" s="1"/>
      <c r="R567" s="1"/>
      <c r="S567" s="1"/>
      <c r="T567" s="1"/>
      <c r="U567" s="1"/>
      <c r="V567" s="1"/>
      <c r="W567" s="1"/>
      <c r="X567" s="1"/>
    </row>
    <row r="568">
      <c r="A568" s="1"/>
      <c r="B568" s="1"/>
      <c r="C568" s="2"/>
      <c r="D568" s="1"/>
      <c r="E568" s="1"/>
      <c r="F568" s="1"/>
      <c r="G568" s="1"/>
      <c r="H568" s="2"/>
      <c r="I568" s="2"/>
      <c r="J568" s="1"/>
      <c r="K568" s="1"/>
      <c r="L568" s="1"/>
      <c r="M568" s="1"/>
      <c r="N568" s="1"/>
      <c r="O568" s="1"/>
      <c r="P568" s="1"/>
      <c r="Q568" s="1"/>
      <c r="R568" s="1"/>
      <c r="S568" s="1"/>
      <c r="T568" s="1"/>
      <c r="U568" s="1"/>
      <c r="V568" s="1"/>
      <c r="W568" s="1"/>
      <c r="X568" s="1"/>
    </row>
    <row r="569">
      <c r="A569" s="1"/>
      <c r="B569" s="1"/>
      <c r="C569" s="2"/>
      <c r="D569" s="1"/>
      <c r="E569" s="1"/>
      <c r="F569" s="1"/>
      <c r="G569" s="1"/>
      <c r="H569" s="2"/>
      <c r="I569" s="2"/>
      <c r="J569" s="1"/>
      <c r="K569" s="1"/>
      <c r="L569" s="1"/>
      <c r="M569" s="1"/>
      <c r="N569" s="1"/>
      <c r="O569" s="1"/>
      <c r="P569" s="1"/>
      <c r="Q569" s="1"/>
      <c r="R569" s="1"/>
      <c r="S569" s="1"/>
      <c r="T569" s="1"/>
      <c r="U569" s="1"/>
      <c r="V569" s="1"/>
      <c r="W569" s="1"/>
      <c r="X569" s="1"/>
    </row>
    <row r="570">
      <c r="A570" s="1"/>
      <c r="B570" s="1"/>
      <c r="C570" s="2"/>
      <c r="D570" s="1"/>
      <c r="E570" s="1"/>
      <c r="F570" s="1"/>
      <c r="G570" s="1"/>
      <c r="H570" s="2"/>
      <c r="I570" s="2"/>
      <c r="J570" s="1"/>
      <c r="K570" s="1"/>
      <c r="L570" s="1"/>
      <c r="M570" s="1"/>
      <c r="N570" s="1"/>
      <c r="O570" s="1"/>
      <c r="P570" s="1"/>
      <c r="Q570" s="1"/>
      <c r="R570" s="1"/>
      <c r="S570" s="1"/>
      <c r="T570" s="1"/>
      <c r="U570" s="1"/>
      <c r="V570" s="1"/>
      <c r="W570" s="1"/>
      <c r="X570" s="1"/>
    </row>
    <row r="571">
      <c r="A571" s="1"/>
      <c r="B571" s="1"/>
      <c r="C571" s="2"/>
      <c r="D571" s="1"/>
      <c r="E571" s="1"/>
      <c r="F571" s="1"/>
      <c r="G571" s="1"/>
      <c r="H571" s="2"/>
      <c r="I571" s="2"/>
      <c r="J571" s="1"/>
      <c r="K571" s="1"/>
      <c r="L571" s="1"/>
      <c r="M571" s="1"/>
      <c r="N571" s="1"/>
      <c r="O571" s="1"/>
      <c r="P571" s="1"/>
      <c r="Q571" s="1"/>
      <c r="R571" s="1"/>
      <c r="S571" s="1"/>
      <c r="T571" s="1"/>
      <c r="U571" s="1"/>
      <c r="V571" s="1"/>
      <c r="W571" s="1"/>
      <c r="X571" s="1"/>
    </row>
    <row r="572">
      <c r="A572" s="1"/>
      <c r="B572" s="1"/>
      <c r="C572" s="2"/>
      <c r="D572" s="1"/>
      <c r="E572" s="1"/>
      <c r="F572" s="1"/>
      <c r="G572" s="1"/>
      <c r="H572" s="2"/>
      <c r="I572" s="2"/>
      <c r="J572" s="1"/>
      <c r="K572" s="1"/>
      <c r="L572" s="1"/>
      <c r="M572" s="1"/>
      <c r="N572" s="1"/>
      <c r="O572" s="1"/>
      <c r="P572" s="1"/>
      <c r="Q572" s="1"/>
      <c r="R572" s="1"/>
      <c r="S572" s="1"/>
      <c r="T572" s="1"/>
      <c r="U572" s="1"/>
      <c r="V572" s="1"/>
      <c r="W572" s="1"/>
      <c r="X572" s="1"/>
    </row>
    <row r="573">
      <c r="A573" s="1"/>
      <c r="B573" s="1"/>
      <c r="C573" s="2"/>
      <c r="D573" s="1"/>
      <c r="E573" s="1"/>
      <c r="F573" s="1"/>
      <c r="G573" s="1"/>
      <c r="H573" s="2"/>
      <c r="I573" s="2"/>
      <c r="J573" s="1"/>
      <c r="K573" s="1"/>
      <c r="L573" s="1"/>
      <c r="M573" s="1"/>
      <c r="N573" s="1"/>
      <c r="O573" s="1"/>
      <c r="P573" s="1"/>
      <c r="Q573" s="1"/>
      <c r="R573" s="1"/>
      <c r="S573" s="1"/>
      <c r="T573" s="1"/>
      <c r="U573" s="1"/>
      <c r="V573" s="1"/>
      <c r="W573" s="1"/>
      <c r="X573" s="1"/>
    </row>
    <row r="574">
      <c r="A574" s="1"/>
      <c r="B574" s="1"/>
      <c r="C574" s="2"/>
      <c r="D574" s="1"/>
      <c r="E574" s="1"/>
      <c r="F574" s="1"/>
      <c r="G574" s="1"/>
      <c r="H574" s="2"/>
      <c r="I574" s="2"/>
      <c r="J574" s="1"/>
      <c r="K574" s="1"/>
      <c r="L574" s="1"/>
      <c r="M574" s="1"/>
      <c r="N574" s="1"/>
      <c r="O574" s="1"/>
      <c r="P574" s="1"/>
      <c r="Q574" s="1"/>
      <c r="R574" s="1"/>
      <c r="S574" s="1"/>
      <c r="T574" s="1"/>
      <c r="U574" s="1"/>
      <c r="V574" s="1"/>
      <c r="W574" s="1"/>
      <c r="X574" s="1"/>
    </row>
    <row r="575">
      <c r="A575" s="1"/>
      <c r="B575" s="1"/>
      <c r="C575" s="2"/>
      <c r="D575" s="1"/>
      <c r="E575" s="1"/>
      <c r="F575" s="1"/>
      <c r="G575" s="1"/>
      <c r="H575" s="2"/>
      <c r="I575" s="2"/>
      <c r="J575" s="1"/>
      <c r="K575" s="1"/>
      <c r="L575" s="1"/>
      <c r="M575" s="1"/>
      <c r="N575" s="1"/>
      <c r="O575" s="1"/>
      <c r="P575" s="1"/>
      <c r="Q575" s="1"/>
      <c r="R575" s="1"/>
      <c r="S575" s="1"/>
      <c r="T575" s="1"/>
      <c r="U575" s="1"/>
      <c r="V575" s="1"/>
      <c r="W575" s="1"/>
      <c r="X575" s="1"/>
    </row>
    <row r="576">
      <c r="A576" s="1"/>
      <c r="B576" s="1"/>
      <c r="C576" s="2"/>
      <c r="D576" s="1"/>
      <c r="E576" s="1"/>
      <c r="F576" s="1"/>
      <c r="G576" s="1"/>
      <c r="H576" s="2"/>
      <c r="I576" s="2"/>
      <c r="J576" s="1"/>
      <c r="K576" s="1"/>
      <c r="L576" s="1"/>
      <c r="M576" s="1"/>
      <c r="N576" s="1"/>
      <c r="O576" s="1"/>
      <c r="P576" s="1"/>
      <c r="Q576" s="1"/>
      <c r="R576" s="1"/>
      <c r="S576" s="1"/>
      <c r="T576" s="1"/>
      <c r="U576" s="1"/>
      <c r="V576" s="1"/>
      <c r="W576" s="1"/>
      <c r="X576" s="1"/>
    </row>
    <row r="577">
      <c r="A577" s="1"/>
      <c r="B577" s="1"/>
      <c r="C577" s="2"/>
      <c r="D577" s="1"/>
      <c r="E577" s="1"/>
      <c r="F577" s="1"/>
      <c r="G577" s="1"/>
      <c r="H577" s="2"/>
      <c r="I577" s="2"/>
      <c r="J577" s="1"/>
      <c r="K577" s="1"/>
      <c r="L577" s="1"/>
      <c r="M577" s="1"/>
      <c r="N577" s="1"/>
      <c r="O577" s="1"/>
      <c r="P577" s="1"/>
      <c r="Q577" s="1"/>
      <c r="R577" s="1"/>
      <c r="S577" s="1"/>
      <c r="T577" s="1"/>
      <c r="U577" s="1"/>
      <c r="V577" s="1"/>
      <c r="W577" s="1"/>
      <c r="X577" s="1"/>
    </row>
    <row r="578">
      <c r="A578" s="1"/>
      <c r="B578" s="1"/>
      <c r="C578" s="2"/>
      <c r="D578" s="1"/>
      <c r="E578" s="1"/>
      <c r="F578" s="1"/>
      <c r="G578" s="1"/>
      <c r="H578" s="2"/>
      <c r="I578" s="2"/>
      <c r="J578" s="1"/>
      <c r="K578" s="1"/>
      <c r="L578" s="1"/>
      <c r="M578" s="1"/>
      <c r="N578" s="1"/>
      <c r="O578" s="1"/>
      <c r="P578" s="1"/>
      <c r="Q578" s="1"/>
      <c r="R578" s="1"/>
      <c r="S578" s="1"/>
      <c r="T578" s="1"/>
      <c r="U578" s="1"/>
      <c r="V578" s="1"/>
      <c r="W578" s="1"/>
      <c r="X578" s="1"/>
    </row>
    <row r="579">
      <c r="A579" s="1"/>
      <c r="B579" s="1"/>
      <c r="C579" s="2"/>
      <c r="D579" s="1"/>
      <c r="E579" s="1"/>
      <c r="F579" s="1"/>
      <c r="G579" s="1"/>
      <c r="H579" s="2"/>
      <c r="I579" s="2"/>
      <c r="J579" s="1"/>
      <c r="K579" s="1"/>
      <c r="L579" s="1"/>
      <c r="M579" s="1"/>
      <c r="N579" s="1"/>
      <c r="O579" s="1"/>
      <c r="P579" s="1"/>
      <c r="Q579" s="1"/>
      <c r="R579" s="1"/>
      <c r="S579" s="1"/>
      <c r="T579" s="1"/>
      <c r="U579" s="1"/>
      <c r="V579" s="1"/>
      <c r="W579" s="1"/>
      <c r="X579" s="1"/>
    </row>
    <row r="580">
      <c r="A580" s="1"/>
      <c r="B580" s="1"/>
      <c r="C580" s="2"/>
      <c r="D580" s="1"/>
      <c r="E580" s="1"/>
      <c r="F580" s="1"/>
      <c r="G580" s="1"/>
      <c r="H580" s="2"/>
      <c r="I580" s="2"/>
      <c r="J580" s="1"/>
      <c r="K580" s="1"/>
      <c r="L580" s="1"/>
      <c r="M580" s="1"/>
      <c r="N580" s="1"/>
      <c r="O580" s="1"/>
      <c r="P580" s="1"/>
      <c r="Q580" s="1"/>
      <c r="R580" s="1"/>
      <c r="S580" s="1"/>
      <c r="T580" s="1"/>
      <c r="U580" s="1"/>
      <c r="V580" s="1"/>
      <c r="W580" s="1"/>
      <c r="X580" s="1"/>
    </row>
    <row r="581">
      <c r="A581" s="1"/>
      <c r="B581" s="1"/>
      <c r="C581" s="2"/>
      <c r="D581" s="1"/>
      <c r="E581" s="1"/>
      <c r="F581" s="1"/>
      <c r="G581" s="1"/>
      <c r="H581" s="2"/>
      <c r="I581" s="2"/>
      <c r="J581" s="1"/>
      <c r="K581" s="1"/>
      <c r="L581" s="1"/>
      <c r="M581" s="1"/>
      <c r="N581" s="1"/>
      <c r="O581" s="1"/>
      <c r="P581" s="1"/>
      <c r="Q581" s="1"/>
      <c r="R581" s="1"/>
      <c r="S581" s="1"/>
      <c r="T581" s="1"/>
      <c r="U581" s="1"/>
      <c r="V581" s="1"/>
      <c r="W581" s="1"/>
      <c r="X581" s="1"/>
    </row>
    <row r="582">
      <c r="A582" s="1"/>
      <c r="B582" s="1"/>
      <c r="C582" s="2"/>
      <c r="D582" s="1"/>
      <c r="E582" s="1"/>
      <c r="F582" s="1"/>
      <c r="G582" s="1"/>
      <c r="H582" s="2"/>
      <c r="I582" s="2"/>
      <c r="J582" s="1"/>
      <c r="K582" s="1"/>
      <c r="L582" s="1"/>
      <c r="M582" s="1"/>
      <c r="N582" s="1"/>
      <c r="O582" s="1"/>
      <c r="P582" s="1"/>
      <c r="Q582" s="1"/>
      <c r="R582" s="1"/>
      <c r="S582" s="1"/>
      <c r="T582" s="1"/>
      <c r="U582" s="1"/>
      <c r="V582" s="1"/>
      <c r="W582" s="1"/>
      <c r="X582" s="1"/>
    </row>
    <row r="583">
      <c r="A583" s="1"/>
      <c r="B583" s="1"/>
      <c r="C583" s="2"/>
      <c r="D583" s="1"/>
      <c r="E583" s="1"/>
      <c r="F583" s="1"/>
      <c r="G583" s="1"/>
      <c r="H583" s="2"/>
      <c r="I583" s="2"/>
      <c r="J583" s="1"/>
      <c r="K583" s="1"/>
      <c r="L583" s="1"/>
      <c r="M583" s="1"/>
      <c r="N583" s="1"/>
      <c r="O583" s="1"/>
      <c r="P583" s="1"/>
      <c r="Q583" s="1"/>
      <c r="R583" s="1"/>
      <c r="S583" s="1"/>
      <c r="T583" s="1"/>
      <c r="U583" s="1"/>
      <c r="V583" s="1"/>
      <c r="W583" s="1"/>
      <c r="X583" s="1"/>
    </row>
    <row r="584">
      <c r="A584" s="1"/>
      <c r="B584" s="1"/>
      <c r="C584" s="2"/>
      <c r="D584" s="1"/>
      <c r="E584" s="1"/>
      <c r="F584" s="1"/>
      <c r="G584" s="1"/>
      <c r="H584" s="2"/>
      <c r="I584" s="2"/>
      <c r="J584" s="1"/>
      <c r="K584" s="1"/>
      <c r="L584" s="1"/>
      <c r="M584" s="1"/>
      <c r="N584" s="1"/>
      <c r="O584" s="1"/>
      <c r="P584" s="1"/>
      <c r="Q584" s="1"/>
      <c r="R584" s="1"/>
      <c r="S584" s="1"/>
      <c r="T584" s="1"/>
      <c r="U584" s="1"/>
      <c r="V584" s="1"/>
      <c r="W584" s="1"/>
      <c r="X584" s="1"/>
    </row>
    <row r="585">
      <c r="A585" s="1"/>
      <c r="B585" s="1"/>
      <c r="C585" s="2"/>
      <c r="D585" s="1"/>
      <c r="E585" s="1"/>
      <c r="F585" s="1"/>
      <c r="G585" s="1"/>
      <c r="H585" s="2"/>
      <c r="I585" s="2"/>
      <c r="J585" s="1"/>
      <c r="K585" s="1"/>
      <c r="L585" s="1"/>
      <c r="M585" s="1"/>
      <c r="N585" s="1"/>
      <c r="O585" s="1"/>
      <c r="P585" s="1"/>
      <c r="Q585" s="1"/>
      <c r="R585" s="1"/>
      <c r="S585" s="1"/>
      <c r="T585" s="1"/>
      <c r="U585" s="1"/>
      <c r="V585" s="1"/>
      <c r="W585" s="1"/>
      <c r="X585" s="1"/>
    </row>
    <row r="586">
      <c r="A586" s="1"/>
      <c r="B586" s="1"/>
      <c r="C586" s="2"/>
      <c r="D586" s="1"/>
      <c r="E586" s="1"/>
      <c r="F586" s="1"/>
      <c r="G586" s="1"/>
      <c r="H586" s="2"/>
      <c r="I586" s="2"/>
      <c r="J586" s="1"/>
      <c r="K586" s="1"/>
      <c r="L586" s="1"/>
      <c r="M586" s="1"/>
      <c r="N586" s="1"/>
      <c r="O586" s="1"/>
      <c r="P586" s="1"/>
      <c r="Q586" s="1"/>
      <c r="R586" s="1"/>
      <c r="S586" s="1"/>
      <c r="T586" s="1"/>
      <c r="U586" s="1"/>
      <c r="V586" s="1"/>
      <c r="W586" s="1"/>
      <c r="X586" s="1"/>
    </row>
    <row r="587">
      <c r="A587" s="1"/>
      <c r="B587" s="1"/>
      <c r="C587" s="2"/>
      <c r="D587" s="1"/>
      <c r="E587" s="1"/>
      <c r="F587" s="1"/>
      <c r="G587" s="1"/>
      <c r="H587" s="2"/>
      <c r="I587" s="2"/>
      <c r="J587" s="1"/>
      <c r="K587" s="1"/>
      <c r="L587" s="1"/>
      <c r="M587" s="1"/>
      <c r="N587" s="1"/>
      <c r="O587" s="1"/>
      <c r="P587" s="1"/>
      <c r="Q587" s="1"/>
      <c r="R587" s="1"/>
      <c r="S587" s="1"/>
      <c r="T587" s="1"/>
      <c r="U587" s="1"/>
      <c r="V587" s="1"/>
      <c r="W587" s="1"/>
      <c r="X587" s="1"/>
    </row>
    <row r="588">
      <c r="A588" s="1"/>
      <c r="B588" s="1"/>
      <c r="C588" s="2"/>
      <c r="D588" s="1"/>
      <c r="E588" s="1"/>
      <c r="F588" s="1"/>
      <c r="G588" s="1"/>
      <c r="H588" s="2"/>
      <c r="I588" s="2"/>
      <c r="J588" s="1"/>
      <c r="K588" s="1"/>
      <c r="L588" s="1"/>
      <c r="M588" s="1"/>
      <c r="N588" s="1"/>
      <c r="O588" s="1"/>
      <c r="P588" s="1"/>
      <c r="Q588" s="1"/>
      <c r="R588" s="1"/>
      <c r="S588" s="1"/>
      <c r="T588" s="1"/>
      <c r="U588" s="1"/>
      <c r="V588" s="1"/>
      <c r="W588" s="1"/>
      <c r="X588" s="1"/>
    </row>
    <row r="589">
      <c r="A589" s="1"/>
      <c r="B589" s="1"/>
      <c r="C589" s="2"/>
      <c r="D589" s="1"/>
      <c r="E589" s="1"/>
      <c r="F589" s="1"/>
      <c r="G589" s="1"/>
      <c r="H589" s="2"/>
      <c r="I589" s="2"/>
      <c r="J589" s="1"/>
      <c r="K589" s="1"/>
      <c r="L589" s="1"/>
      <c r="M589" s="1"/>
      <c r="N589" s="1"/>
      <c r="O589" s="1"/>
      <c r="P589" s="1"/>
      <c r="Q589" s="1"/>
      <c r="R589" s="1"/>
      <c r="S589" s="1"/>
      <c r="T589" s="1"/>
      <c r="U589" s="1"/>
      <c r="V589" s="1"/>
      <c r="W589" s="1"/>
      <c r="X589" s="1"/>
    </row>
    <row r="590">
      <c r="A590" s="1"/>
      <c r="B590" s="1"/>
      <c r="C590" s="2"/>
      <c r="D590" s="1"/>
      <c r="E590" s="1"/>
      <c r="F590" s="1"/>
      <c r="G590" s="1"/>
      <c r="H590" s="2"/>
      <c r="I590" s="2"/>
      <c r="J590" s="1"/>
      <c r="K590" s="1"/>
      <c r="L590" s="1"/>
      <c r="M590" s="1"/>
      <c r="N590" s="1"/>
      <c r="O590" s="1"/>
      <c r="P590" s="1"/>
      <c r="Q590" s="1"/>
      <c r="R590" s="1"/>
      <c r="S590" s="1"/>
      <c r="T590" s="1"/>
      <c r="U590" s="1"/>
      <c r="V590" s="1"/>
      <c r="W590" s="1"/>
      <c r="X590" s="1"/>
    </row>
    <row r="591">
      <c r="A591" s="1"/>
      <c r="B591" s="1"/>
      <c r="C591" s="2"/>
      <c r="D591" s="1"/>
      <c r="E591" s="1"/>
      <c r="F591" s="1"/>
      <c r="G591" s="1"/>
      <c r="H591" s="2"/>
      <c r="I591" s="2"/>
      <c r="J591" s="1"/>
      <c r="K591" s="1"/>
      <c r="L591" s="1"/>
      <c r="M591" s="1"/>
      <c r="N591" s="1"/>
      <c r="O591" s="1"/>
      <c r="P591" s="1"/>
      <c r="Q591" s="1"/>
      <c r="R591" s="1"/>
      <c r="S591" s="1"/>
      <c r="T591" s="1"/>
      <c r="U591" s="1"/>
      <c r="V591" s="1"/>
      <c r="W591" s="1"/>
      <c r="X591" s="1"/>
    </row>
    <row r="592">
      <c r="A592" s="1"/>
      <c r="B592" s="1"/>
      <c r="C592" s="2"/>
      <c r="D592" s="1"/>
      <c r="E592" s="1"/>
      <c r="F592" s="1"/>
      <c r="G592" s="1"/>
      <c r="H592" s="2"/>
      <c r="I592" s="2"/>
      <c r="J592" s="1"/>
      <c r="K592" s="1"/>
      <c r="L592" s="1"/>
      <c r="M592" s="1"/>
      <c r="N592" s="1"/>
      <c r="O592" s="1"/>
      <c r="P592" s="1"/>
      <c r="Q592" s="1"/>
      <c r="R592" s="1"/>
      <c r="S592" s="1"/>
      <c r="T592" s="1"/>
      <c r="U592" s="1"/>
      <c r="V592" s="1"/>
      <c r="W592" s="1"/>
      <c r="X592" s="1"/>
    </row>
    <row r="593">
      <c r="A593" s="1"/>
      <c r="B593" s="1"/>
      <c r="C593" s="2"/>
      <c r="D593" s="1"/>
      <c r="E593" s="1"/>
      <c r="F593" s="1"/>
      <c r="G593" s="1"/>
      <c r="H593" s="2"/>
      <c r="I593" s="2"/>
      <c r="J593" s="1"/>
      <c r="K593" s="1"/>
      <c r="L593" s="1"/>
      <c r="M593" s="1"/>
      <c r="N593" s="1"/>
      <c r="O593" s="1"/>
      <c r="P593" s="1"/>
      <c r="Q593" s="1"/>
      <c r="R593" s="1"/>
      <c r="S593" s="1"/>
      <c r="T593" s="1"/>
      <c r="U593" s="1"/>
      <c r="V593" s="1"/>
      <c r="W593" s="1"/>
      <c r="X593" s="1"/>
    </row>
    <row r="594">
      <c r="A594" s="1"/>
      <c r="B594" s="1"/>
      <c r="C594" s="2"/>
      <c r="D594" s="1"/>
      <c r="E594" s="1"/>
      <c r="F594" s="1"/>
      <c r="G594" s="1"/>
      <c r="H594" s="2"/>
      <c r="I594" s="2"/>
      <c r="J594" s="1"/>
      <c r="K594" s="1"/>
      <c r="L594" s="1"/>
      <c r="M594" s="1"/>
      <c r="N594" s="1"/>
      <c r="O594" s="1"/>
      <c r="P594" s="1"/>
      <c r="Q594" s="1"/>
      <c r="R594" s="1"/>
      <c r="S594" s="1"/>
      <c r="T594" s="1"/>
      <c r="U594" s="1"/>
      <c r="V594" s="1"/>
      <c r="W594" s="1"/>
      <c r="X594" s="1"/>
    </row>
    <row r="595">
      <c r="A595" s="1"/>
      <c r="B595" s="1"/>
      <c r="C595" s="2"/>
      <c r="D595" s="1"/>
      <c r="E595" s="1"/>
      <c r="F595" s="1"/>
      <c r="G595" s="1"/>
      <c r="H595" s="2"/>
      <c r="I595" s="2"/>
      <c r="J595" s="1"/>
      <c r="K595" s="1"/>
      <c r="L595" s="1"/>
      <c r="M595" s="1"/>
      <c r="N595" s="1"/>
      <c r="O595" s="1"/>
      <c r="P595" s="1"/>
      <c r="Q595" s="1"/>
      <c r="R595" s="1"/>
      <c r="S595" s="1"/>
      <c r="T595" s="1"/>
      <c r="U595" s="1"/>
      <c r="V595" s="1"/>
      <c r="W595" s="1"/>
      <c r="X595" s="1"/>
    </row>
    <row r="596">
      <c r="A596" s="1"/>
      <c r="B596" s="1"/>
      <c r="C596" s="2"/>
      <c r="D596" s="1"/>
      <c r="E596" s="1"/>
      <c r="F596" s="1"/>
      <c r="G596" s="1"/>
      <c r="H596" s="2"/>
      <c r="I596" s="2"/>
      <c r="J596" s="1"/>
      <c r="K596" s="1"/>
      <c r="L596" s="1"/>
      <c r="M596" s="1"/>
      <c r="N596" s="1"/>
      <c r="O596" s="1"/>
      <c r="P596" s="1"/>
      <c r="Q596" s="1"/>
      <c r="R596" s="1"/>
      <c r="S596" s="1"/>
      <c r="T596" s="1"/>
      <c r="U596" s="1"/>
      <c r="V596" s="1"/>
      <c r="W596" s="1"/>
      <c r="X596" s="1"/>
    </row>
    <row r="597">
      <c r="A597" s="1"/>
      <c r="B597" s="1"/>
      <c r="C597" s="2"/>
      <c r="D597" s="1"/>
      <c r="E597" s="1"/>
      <c r="F597" s="1"/>
      <c r="G597" s="1"/>
      <c r="H597" s="2"/>
      <c r="I597" s="2"/>
      <c r="J597" s="1"/>
      <c r="K597" s="1"/>
      <c r="L597" s="1"/>
      <c r="M597" s="1"/>
      <c r="N597" s="1"/>
      <c r="O597" s="1"/>
      <c r="P597" s="1"/>
      <c r="Q597" s="1"/>
      <c r="R597" s="1"/>
      <c r="S597" s="1"/>
      <c r="T597" s="1"/>
      <c r="U597" s="1"/>
      <c r="V597" s="1"/>
      <c r="W597" s="1"/>
      <c r="X597" s="1"/>
    </row>
    <row r="598">
      <c r="A598" s="1"/>
      <c r="B598" s="1"/>
      <c r="C598" s="2"/>
      <c r="D598" s="1"/>
      <c r="E598" s="1"/>
      <c r="F598" s="1"/>
      <c r="G598" s="1"/>
      <c r="H598" s="2"/>
      <c r="I598" s="2"/>
      <c r="J598" s="1"/>
      <c r="K598" s="1"/>
      <c r="L598" s="1"/>
      <c r="M598" s="1"/>
      <c r="N598" s="1"/>
      <c r="O598" s="1"/>
      <c r="P598" s="1"/>
      <c r="Q598" s="1"/>
      <c r="R598" s="1"/>
      <c r="S598" s="1"/>
      <c r="T598" s="1"/>
      <c r="U598" s="1"/>
      <c r="V598" s="1"/>
      <c r="W598" s="1"/>
      <c r="X598" s="1"/>
    </row>
    <row r="599">
      <c r="A599" s="1"/>
      <c r="B599" s="1"/>
      <c r="C599" s="2"/>
      <c r="D599" s="1"/>
      <c r="E599" s="1"/>
      <c r="F599" s="1"/>
      <c r="G599" s="1"/>
      <c r="H599" s="2"/>
      <c r="I599" s="2"/>
      <c r="J599" s="1"/>
      <c r="K599" s="1"/>
      <c r="L599" s="1"/>
      <c r="M599" s="1"/>
      <c r="N599" s="1"/>
      <c r="O599" s="1"/>
      <c r="P599" s="1"/>
      <c r="Q599" s="1"/>
      <c r="R599" s="1"/>
      <c r="S599" s="1"/>
      <c r="T599" s="1"/>
      <c r="U599" s="1"/>
      <c r="V599" s="1"/>
      <c r="W599" s="1"/>
      <c r="X599" s="1"/>
    </row>
    <row r="600">
      <c r="A600" s="1"/>
      <c r="B600" s="1"/>
      <c r="C600" s="2"/>
      <c r="D600" s="1"/>
      <c r="E600" s="1"/>
      <c r="F600" s="1"/>
      <c r="G600" s="1"/>
      <c r="H600" s="2"/>
      <c r="I600" s="2"/>
      <c r="J600" s="1"/>
      <c r="K600" s="1"/>
      <c r="L600" s="1"/>
      <c r="M600" s="1"/>
      <c r="N600" s="1"/>
      <c r="O600" s="1"/>
      <c r="P600" s="1"/>
      <c r="Q600" s="1"/>
      <c r="R600" s="1"/>
      <c r="S600" s="1"/>
      <c r="T600" s="1"/>
      <c r="U600" s="1"/>
      <c r="V600" s="1"/>
      <c r="W600" s="1"/>
      <c r="X600" s="1"/>
    </row>
    <row r="601">
      <c r="A601" s="1"/>
      <c r="B601" s="1"/>
      <c r="C601" s="2"/>
      <c r="D601" s="1"/>
      <c r="E601" s="1"/>
      <c r="F601" s="1"/>
      <c r="G601" s="1"/>
      <c r="H601" s="2"/>
      <c r="I601" s="2"/>
      <c r="J601" s="1"/>
      <c r="K601" s="1"/>
      <c r="L601" s="1"/>
      <c r="M601" s="1"/>
      <c r="N601" s="1"/>
      <c r="O601" s="1"/>
      <c r="P601" s="1"/>
      <c r="Q601" s="1"/>
      <c r="R601" s="1"/>
      <c r="S601" s="1"/>
      <c r="T601" s="1"/>
      <c r="U601" s="1"/>
      <c r="V601" s="1"/>
      <c r="W601" s="1"/>
      <c r="X601" s="1"/>
    </row>
    <row r="602">
      <c r="A602" s="1"/>
      <c r="B602" s="1"/>
      <c r="C602" s="2"/>
      <c r="D602" s="1"/>
      <c r="E602" s="1"/>
      <c r="F602" s="1"/>
      <c r="G602" s="1"/>
      <c r="H602" s="2"/>
      <c r="I602" s="2"/>
      <c r="J602" s="1"/>
      <c r="K602" s="1"/>
      <c r="L602" s="1"/>
      <c r="M602" s="1"/>
      <c r="N602" s="1"/>
      <c r="O602" s="1"/>
      <c r="P602" s="1"/>
      <c r="Q602" s="1"/>
      <c r="R602" s="1"/>
      <c r="S602" s="1"/>
      <c r="T602" s="1"/>
      <c r="U602" s="1"/>
      <c r="V602" s="1"/>
      <c r="W602" s="1"/>
      <c r="X602" s="1"/>
    </row>
    <row r="603">
      <c r="A603" s="1"/>
      <c r="B603" s="1"/>
      <c r="C603" s="2"/>
      <c r="D603" s="1"/>
      <c r="E603" s="1"/>
      <c r="F603" s="1"/>
      <c r="G603" s="1"/>
      <c r="H603" s="2"/>
      <c r="I603" s="2"/>
      <c r="J603" s="1"/>
      <c r="K603" s="1"/>
      <c r="L603" s="1"/>
      <c r="M603" s="1"/>
      <c r="N603" s="1"/>
      <c r="O603" s="1"/>
      <c r="P603" s="1"/>
      <c r="Q603" s="1"/>
      <c r="R603" s="1"/>
      <c r="S603" s="1"/>
      <c r="T603" s="1"/>
      <c r="U603" s="1"/>
      <c r="V603" s="1"/>
      <c r="W603" s="1"/>
      <c r="X603" s="1"/>
    </row>
    <row r="604">
      <c r="A604" s="1"/>
      <c r="B604" s="1"/>
      <c r="C604" s="2"/>
      <c r="D604" s="1"/>
      <c r="E604" s="1"/>
      <c r="F604" s="1"/>
      <c r="G604" s="1"/>
      <c r="H604" s="2"/>
      <c r="I604" s="2"/>
      <c r="J604" s="1"/>
      <c r="K604" s="1"/>
      <c r="L604" s="1"/>
      <c r="M604" s="1"/>
      <c r="N604" s="1"/>
      <c r="O604" s="1"/>
      <c r="P604" s="1"/>
      <c r="Q604" s="1"/>
      <c r="R604" s="1"/>
      <c r="S604" s="1"/>
      <c r="T604" s="1"/>
      <c r="U604" s="1"/>
      <c r="V604" s="1"/>
      <c r="W604" s="1"/>
      <c r="X604" s="1"/>
    </row>
    <row r="605">
      <c r="A605" s="1"/>
      <c r="B605" s="1"/>
      <c r="C605" s="2"/>
      <c r="D605" s="1"/>
      <c r="E605" s="1"/>
      <c r="F605" s="1"/>
      <c r="G605" s="1"/>
      <c r="H605" s="2"/>
      <c r="I605" s="2"/>
      <c r="J605" s="1"/>
      <c r="K605" s="1"/>
      <c r="L605" s="1"/>
      <c r="M605" s="1"/>
      <c r="N605" s="1"/>
      <c r="O605" s="1"/>
      <c r="P605" s="1"/>
      <c r="Q605" s="1"/>
      <c r="R605" s="1"/>
      <c r="S605" s="1"/>
      <c r="T605" s="1"/>
      <c r="U605" s="1"/>
      <c r="V605" s="1"/>
      <c r="W605" s="1"/>
      <c r="X605" s="1"/>
    </row>
    <row r="606">
      <c r="A606" s="1"/>
      <c r="B606" s="1"/>
      <c r="C606" s="2"/>
      <c r="D606" s="1"/>
      <c r="E606" s="1"/>
      <c r="F606" s="1"/>
      <c r="G606" s="1"/>
      <c r="H606" s="2"/>
      <c r="I606" s="2"/>
      <c r="J606" s="1"/>
      <c r="K606" s="1"/>
      <c r="L606" s="1"/>
      <c r="M606" s="1"/>
      <c r="N606" s="1"/>
      <c r="O606" s="1"/>
      <c r="P606" s="1"/>
      <c r="Q606" s="1"/>
      <c r="R606" s="1"/>
      <c r="S606" s="1"/>
      <c r="T606" s="1"/>
      <c r="U606" s="1"/>
      <c r="V606" s="1"/>
      <c r="W606" s="1"/>
      <c r="X606" s="1"/>
    </row>
    <row r="607">
      <c r="A607" s="1"/>
      <c r="B607" s="1"/>
      <c r="C607" s="2"/>
      <c r="D607" s="1"/>
      <c r="E607" s="1"/>
      <c r="F607" s="1"/>
      <c r="G607" s="1"/>
      <c r="H607" s="2"/>
      <c r="I607" s="2"/>
      <c r="J607" s="1"/>
      <c r="K607" s="1"/>
      <c r="L607" s="1"/>
      <c r="M607" s="1"/>
      <c r="N607" s="1"/>
      <c r="O607" s="1"/>
      <c r="P607" s="1"/>
      <c r="Q607" s="1"/>
      <c r="R607" s="1"/>
      <c r="S607" s="1"/>
      <c r="T607" s="1"/>
      <c r="U607" s="1"/>
      <c r="V607" s="1"/>
      <c r="W607" s="1"/>
      <c r="X607" s="1"/>
    </row>
    <row r="608">
      <c r="A608" s="1"/>
      <c r="B608" s="1"/>
      <c r="C608" s="2"/>
      <c r="D608" s="1"/>
      <c r="E608" s="1"/>
      <c r="F608" s="1"/>
      <c r="G608" s="1"/>
      <c r="H608" s="2"/>
      <c r="I608" s="2"/>
      <c r="J608" s="1"/>
      <c r="K608" s="1"/>
      <c r="L608" s="1"/>
      <c r="M608" s="1"/>
      <c r="N608" s="1"/>
      <c r="O608" s="1"/>
      <c r="P608" s="1"/>
      <c r="Q608" s="1"/>
      <c r="R608" s="1"/>
      <c r="S608" s="1"/>
      <c r="T608" s="1"/>
      <c r="U608" s="1"/>
      <c r="V608" s="1"/>
      <c r="W608" s="1"/>
      <c r="X608" s="1"/>
    </row>
    <row r="609">
      <c r="A609" s="1"/>
      <c r="B609" s="1"/>
      <c r="C609" s="2"/>
      <c r="D609" s="1"/>
      <c r="E609" s="1"/>
      <c r="F609" s="1"/>
      <c r="G609" s="1"/>
      <c r="H609" s="2"/>
      <c r="I609" s="2"/>
      <c r="J609" s="1"/>
      <c r="K609" s="1"/>
      <c r="L609" s="1"/>
      <c r="M609" s="1"/>
      <c r="N609" s="1"/>
      <c r="O609" s="1"/>
      <c r="P609" s="1"/>
      <c r="Q609" s="1"/>
      <c r="R609" s="1"/>
      <c r="S609" s="1"/>
      <c r="T609" s="1"/>
      <c r="U609" s="1"/>
      <c r="V609" s="1"/>
      <c r="W609" s="1"/>
      <c r="X609" s="1"/>
    </row>
    <row r="610">
      <c r="A610" s="1"/>
      <c r="B610" s="1"/>
      <c r="C610" s="2"/>
      <c r="D610" s="1"/>
      <c r="E610" s="1"/>
      <c r="F610" s="1"/>
      <c r="G610" s="1"/>
      <c r="H610" s="2"/>
      <c r="I610" s="2"/>
      <c r="J610" s="1"/>
      <c r="K610" s="1"/>
      <c r="L610" s="1"/>
      <c r="M610" s="1"/>
      <c r="N610" s="1"/>
      <c r="O610" s="1"/>
      <c r="P610" s="1"/>
      <c r="Q610" s="1"/>
      <c r="R610" s="1"/>
      <c r="S610" s="1"/>
      <c r="T610" s="1"/>
      <c r="U610" s="1"/>
      <c r="V610" s="1"/>
      <c r="W610" s="1"/>
      <c r="X610" s="1"/>
    </row>
    <row r="611">
      <c r="A611" s="1"/>
      <c r="B611" s="1"/>
      <c r="C611" s="2"/>
      <c r="D611" s="1"/>
      <c r="E611" s="1"/>
      <c r="F611" s="1"/>
      <c r="G611" s="1"/>
      <c r="H611" s="2"/>
      <c r="I611" s="2"/>
      <c r="J611" s="1"/>
      <c r="K611" s="1"/>
      <c r="L611" s="1"/>
      <c r="M611" s="1"/>
      <c r="N611" s="1"/>
      <c r="O611" s="1"/>
      <c r="P611" s="1"/>
      <c r="Q611" s="1"/>
      <c r="R611" s="1"/>
      <c r="S611" s="1"/>
      <c r="T611" s="1"/>
      <c r="U611" s="1"/>
      <c r="V611" s="1"/>
      <c r="W611" s="1"/>
      <c r="X611" s="1"/>
    </row>
    <row r="612">
      <c r="A612" s="1"/>
      <c r="B612" s="1"/>
      <c r="C612" s="2"/>
      <c r="D612" s="1"/>
      <c r="E612" s="1"/>
      <c r="F612" s="1"/>
      <c r="G612" s="1"/>
      <c r="H612" s="2"/>
      <c r="I612" s="2"/>
      <c r="J612" s="1"/>
      <c r="K612" s="1"/>
      <c r="L612" s="1"/>
      <c r="M612" s="1"/>
      <c r="N612" s="1"/>
      <c r="O612" s="1"/>
      <c r="P612" s="1"/>
      <c r="Q612" s="1"/>
      <c r="R612" s="1"/>
      <c r="S612" s="1"/>
      <c r="T612" s="1"/>
      <c r="U612" s="1"/>
      <c r="V612" s="1"/>
      <c r="W612" s="1"/>
      <c r="X612" s="1"/>
    </row>
    <row r="613">
      <c r="A613" s="1"/>
      <c r="B613" s="1"/>
      <c r="C613" s="2"/>
      <c r="D613" s="1"/>
      <c r="E613" s="1"/>
      <c r="F613" s="1"/>
      <c r="G613" s="1"/>
      <c r="H613" s="2"/>
      <c r="I613" s="2"/>
      <c r="J613" s="1"/>
      <c r="K613" s="1"/>
      <c r="L613" s="1"/>
      <c r="M613" s="1"/>
      <c r="N613" s="1"/>
      <c r="O613" s="1"/>
      <c r="P613" s="1"/>
      <c r="Q613" s="1"/>
      <c r="R613" s="1"/>
      <c r="S613" s="1"/>
      <c r="T613" s="1"/>
      <c r="U613" s="1"/>
      <c r="V613" s="1"/>
      <c r="W613" s="1"/>
      <c r="X613" s="1"/>
    </row>
    <row r="614">
      <c r="A614" s="1"/>
      <c r="B614" s="1"/>
      <c r="C614" s="2"/>
      <c r="D614" s="1"/>
      <c r="E614" s="1"/>
      <c r="F614" s="1"/>
      <c r="G614" s="1"/>
      <c r="H614" s="2"/>
      <c r="I614" s="2"/>
      <c r="J614" s="1"/>
      <c r="K614" s="1"/>
      <c r="L614" s="1"/>
      <c r="M614" s="1"/>
      <c r="N614" s="1"/>
      <c r="O614" s="1"/>
      <c r="P614" s="1"/>
      <c r="Q614" s="1"/>
      <c r="R614" s="1"/>
      <c r="S614" s="1"/>
      <c r="T614" s="1"/>
      <c r="U614" s="1"/>
      <c r="V614" s="1"/>
      <c r="W614" s="1"/>
      <c r="X614" s="1"/>
    </row>
    <row r="615">
      <c r="A615" s="1"/>
      <c r="B615" s="1"/>
      <c r="C615" s="2"/>
      <c r="D615" s="1"/>
      <c r="E615" s="1"/>
      <c r="F615" s="1"/>
      <c r="G615" s="1"/>
      <c r="H615" s="2"/>
      <c r="I615" s="2"/>
      <c r="J615" s="1"/>
      <c r="K615" s="1"/>
      <c r="L615" s="1"/>
      <c r="M615" s="1"/>
      <c r="N615" s="1"/>
      <c r="O615" s="1"/>
      <c r="P615" s="1"/>
      <c r="Q615" s="1"/>
      <c r="R615" s="1"/>
      <c r="S615" s="1"/>
      <c r="T615" s="1"/>
      <c r="U615" s="1"/>
      <c r="V615" s="1"/>
      <c r="W615" s="1"/>
      <c r="X615" s="1"/>
    </row>
    <row r="616">
      <c r="A616" s="1"/>
      <c r="B616" s="1"/>
      <c r="C616" s="2"/>
      <c r="D616" s="1"/>
      <c r="E616" s="1"/>
      <c r="F616" s="1"/>
      <c r="G616" s="1"/>
      <c r="H616" s="2"/>
      <c r="I616" s="2"/>
      <c r="J616" s="1"/>
      <c r="K616" s="1"/>
      <c r="L616" s="1"/>
      <c r="M616" s="1"/>
      <c r="N616" s="1"/>
      <c r="O616" s="1"/>
      <c r="P616" s="1"/>
      <c r="Q616" s="1"/>
      <c r="R616" s="1"/>
      <c r="S616" s="1"/>
      <c r="T616" s="1"/>
      <c r="U616" s="1"/>
      <c r="V616" s="1"/>
      <c r="W616" s="1"/>
      <c r="X616" s="1"/>
    </row>
    <row r="617">
      <c r="A617" s="1"/>
      <c r="B617" s="1"/>
      <c r="C617" s="2"/>
      <c r="D617" s="1"/>
      <c r="E617" s="1"/>
      <c r="F617" s="1"/>
      <c r="G617" s="1"/>
      <c r="H617" s="2"/>
      <c r="I617" s="2"/>
      <c r="J617" s="1"/>
      <c r="K617" s="1"/>
      <c r="L617" s="1"/>
      <c r="M617" s="1"/>
      <c r="N617" s="1"/>
      <c r="O617" s="1"/>
      <c r="P617" s="1"/>
      <c r="Q617" s="1"/>
      <c r="R617" s="1"/>
      <c r="S617" s="1"/>
      <c r="T617" s="1"/>
      <c r="U617" s="1"/>
      <c r="V617" s="1"/>
      <c r="W617" s="1"/>
      <c r="X617" s="1"/>
    </row>
    <row r="618">
      <c r="A618" s="1"/>
      <c r="B618" s="1"/>
      <c r="C618" s="2"/>
      <c r="D618" s="1"/>
      <c r="E618" s="1"/>
      <c r="F618" s="1"/>
      <c r="G618" s="1"/>
      <c r="H618" s="2"/>
      <c r="I618" s="2"/>
      <c r="J618" s="1"/>
      <c r="K618" s="1"/>
      <c r="L618" s="1"/>
      <c r="M618" s="1"/>
      <c r="N618" s="1"/>
      <c r="O618" s="1"/>
      <c r="P618" s="1"/>
      <c r="Q618" s="1"/>
      <c r="R618" s="1"/>
      <c r="S618" s="1"/>
      <c r="T618" s="1"/>
      <c r="U618" s="1"/>
      <c r="V618" s="1"/>
      <c r="W618" s="1"/>
      <c r="X618" s="1"/>
    </row>
    <row r="619">
      <c r="A619" s="1"/>
      <c r="B619" s="1"/>
      <c r="C619" s="2"/>
      <c r="D619" s="1"/>
      <c r="E619" s="1"/>
      <c r="F619" s="1"/>
      <c r="G619" s="1"/>
      <c r="H619" s="2"/>
      <c r="I619" s="2"/>
      <c r="J619" s="1"/>
      <c r="K619" s="1"/>
      <c r="L619" s="1"/>
      <c r="M619" s="1"/>
      <c r="N619" s="1"/>
      <c r="O619" s="1"/>
      <c r="P619" s="1"/>
      <c r="Q619" s="1"/>
      <c r="R619" s="1"/>
      <c r="S619" s="1"/>
      <c r="T619" s="1"/>
      <c r="U619" s="1"/>
      <c r="V619" s="1"/>
      <c r="W619" s="1"/>
      <c r="X619" s="1"/>
    </row>
    <row r="620">
      <c r="A620" s="1"/>
      <c r="B620" s="1"/>
      <c r="C620" s="2"/>
      <c r="D620" s="1"/>
      <c r="E620" s="1"/>
      <c r="F620" s="1"/>
      <c r="G620" s="1"/>
      <c r="H620" s="2"/>
      <c r="I620" s="2"/>
      <c r="J620" s="1"/>
      <c r="K620" s="1"/>
      <c r="L620" s="1"/>
      <c r="M620" s="1"/>
      <c r="N620" s="1"/>
      <c r="O620" s="1"/>
      <c r="P620" s="1"/>
      <c r="Q620" s="1"/>
      <c r="R620" s="1"/>
      <c r="S620" s="1"/>
      <c r="T620" s="1"/>
      <c r="U620" s="1"/>
      <c r="V620" s="1"/>
      <c r="W620" s="1"/>
      <c r="X620" s="1"/>
    </row>
    <row r="621">
      <c r="A621" s="1"/>
      <c r="B621" s="1"/>
      <c r="C621" s="2"/>
      <c r="D621" s="1"/>
      <c r="E621" s="1"/>
      <c r="F621" s="1"/>
      <c r="G621" s="1"/>
      <c r="H621" s="2"/>
      <c r="I621" s="2"/>
      <c r="J621" s="1"/>
      <c r="K621" s="1"/>
      <c r="L621" s="1"/>
      <c r="M621" s="1"/>
      <c r="N621" s="1"/>
      <c r="O621" s="1"/>
      <c r="P621" s="1"/>
      <c r="Q621" s="1"/>
      <c r="R621" s="1"/>
      <c r="S621" s="1"/>
      <c r="T621" s="1"/>
      <c r="U621" s="1"/>
      <c r="V621" s="1"/>
      <c r="W621" s="1"/>
      <c r="X621" s="1"/>
    </row>
    <row r="622">
      <c r="A622" s="1"/>
      <c r="B622" s="1"/>
      <c r="C622" s="2"/>
      <c r="D622" s="1"/>
      <c r="E622" s="1"/>
      <c r="F622" s="1"/>
      <c r="G622" s="1"/>
      <c r="H622" s="2"/>
      <c r="I622" s="2"/>
      <c r="J622" s="1"/>
      <c r="K622" s="1"/>
      <c r="L622" s="1"/>
      <c r="M622" s="1"/>
      <c r="N622" s="1"/>
      <c r="O622" s="1"/>
      <c r="P622" s="1"/>
      <c r="Q622" s="1"/>
      <c r="R622" s="1"/>
      <c r="S622" s="1"/>
      <c r="T622" s="1"/>
      <c r="U622" s="1"/>
      <c r="V622" s="1"/>
      <c r="W622" s="1"/>
      <c r="X622" s="1"/>
    </row>
    <row r="623">
      <c r="A623" s="1"/>
      <c r="B623" s="1"/>
      <c r="C623" s="2"/>
      <c r="D623" s="1"/>
      <c r="E623" s="1"/>
      <c r="F623" s="1"/>
      <c r="G623" s="1"/>
      <c r="H623" s="2"/>
      <c r="I623" s="2"/>
      <c r="J623" s="1"/>
      <c r="K623" s="1"/>
      <c r="L623" s="1"/>
      <c r="M623" s="1"/>
      <c r="N623" s="1"/>
      <c r="O623" s="1"/>
      <c r="P623" s="1"/>
      <c r="Q623" s="1"/>
      <c r="R623" s="1"/>
      <c r="S623" s="1"/>
      <c r="T623" s="1"/>
      <c r="U623" s="1"/>
      <c r="V623" s="1"/>
      <c r="W623" s="1"/>
      <c r="X623" s="1"/>
    </row>
    <row r="624">
      <c r="A624" s="1"/>
      <c r="B624" s="1"/>
      <c r="C624" s="2"/>
      <c r="D624" s="1"/>
      <c r="E624" s="1"/>
      <c r="F624" s="1"/>
      <c r="G624" s="1"/>
      <c r="H624" s="2"/>
      <c r="I624" s="2"/>
      <c r="J624" s="1"/>
      <c r="K624" s="1"/>
      <c r="L624" s="1"/>
      <c r="M624" s="1"/>
      <c r="N624" s="1"/>
      <c r="O624" s="1"/>
      <c r="P624" s="1"/>
      <c r="Q624" s="1"/>
      <c r="R624" s="1"/>
      <c r="S624" s="1"/>
      <c r="T624" s="1"/>
      <c r="U624" s="1"/>
      <c r="V624" s="1"/>
      <c r="W624" s="1"/>
      <c r="X624" s="1"/>
    </row>
    <row r="625">
      <c r="A625" s="1"/>
      <c r="B625" s="1"/>
      <c r="C625" s="2"/>
      <c r="D625" s="1"/>
      <c r="E625" s="1"/>
      <c r="F625" s="1"/>
      <c r="G625" s="1"/>
      <c r="H625" s="2"/>
      <c r="I625" s="2"/>
      <c r="J625" s="1"/>
      <c r="K625" s="1"/>
      <c r="L625" s="1"/>
      <c r="M625" s="1"/>
      <c r="N625" s="1"/>
      <c r="O625" s="1"/>
      <c r="P625" s="1"/>
      <c r="Q625" s="1"/>
      <c r="R625" s="1"/>
      <c r="S625" s="1"/>
      <c r="T625" s="1"/>
      <c r="U625" s="1"/>
      <c r="V625" s="1"/>
      <c r="W625" s="1"/>
      <c r="X625" s="1"/>
    </row>
    <row r="626">
      <c r="A626" s="1"/>
      <c r="B626" s="1"/>
      <c r="C626" s="2"/>
      <c r="D626" s="1"/>
      <c r="E626" s="1"/>
      <c r="F626" s="1"/>
      <c r="G626" s="1"/>
      <c r="H626" s="2"/>
      <c r="I626" s="2"/>
      <c r="J626" s="1"/>
      <c r="K626" s="1"/>
      <c r="L626" s="1"/>
      <c r="M626" s="1"/>
      <c r="N626" s="1"/>
      <c r="O626" s="1"/>
      <c r="P626" s="1"/>
      <c r="Q626" s="1"/>
      <c r="R626" s="1"/>
      <c r="S626" s="1"/>
      <c r="T626" s="1"/>
      <c r="U626" s="1"/>
      <c r="V626" s="1"/>
      <c r="W626" s="1"/>
      <c r="X626" s="1"/>
    </row>
    <row r="627">
      <c r="A627" s="1"/>
      <c r="B627" s="1"/>
      <c r="C627" s="2"/>
      <c r="D627" s="1"/>
      <c r="E627" s="1"/>
      <c r="F627" s="1"/>
      <c r="G627" s="1"/>
      <c r="H627" s="2"/>
      <c r="I627" s="2"/>
      <c r="J627" s="1"/>
      <c r="K627" s="1"/>
      <c r="L627" s="1"/>
      <c r="M627" s="1"/>
      <c r="N627" s="1"/>
      <c r="O627" s="1"/>
      <c r="P627" s="1"/>
      <c r="Q627" s="1"/>
      <c r="R627" s="1"/>
      <c r="S627" s="1"/>
      <c r="T627" s="1"/>
      <c r="U627" s="1"/>
      <c r="V627" s="1"/>
      <c r="W627" s="1"/>
      <c r="X627" s="1"/>
    </row>
    <row r="628">
      <c r="A628" s="1"/>
      <c r="B628" s="1"/>
      <c r="C628" s="2"/>
      <c r="D628" s="1"/>
      <c r="E628" s="1"/>
      <c r="F628" s="1"/>
      <c r="G628" s="1"/>
      <c r="H628" s="2"/>
      <c r="I628" s="2"/>
      <c r="J628" s="1"/>
      <c r="K628" s="1"/>
      <c r="L628" s="1"/>
      <c r="M628" s="1"/>
      <c r="N628" s="1"/>
      <c r="O628" s="1"/>
      <c r="P628" s="1"/>
      <c r="Q628" s="1"/>
      <c r="R628" s="1"/>
      <c r="S628" s="1"/>
      <c r="T628" s="1"/>
      <c r="U628" s="1"/>
      <c r="V628" s="1"/>
      <c r="W628" s="1"/>
      <c r="X628" s="1"/>
    </row>
    <row r="629">
      <c r="A629" s="1"/>
      <c r="B629" s="1"/>
      <c r="C629" s="2"/>
      <c r="D629" s="1"/>
      <c r="E629" s="1"/>
      <c r="F629" s="1"/>
      <c r="G629" s="1"/>
      <c r="H629" s="2"/>
      <c r="I629" s="2"/>
      <c r="J629" s="1"/>
      <c r="K629" s="1"/>
      <c r="L629" s="1"/>
      <c r="M629" s="1"/>
      <c r="N629" s="1"/>
      <c r="O629" s="1"/>
      <c r="P629" s="1"/>
      <c r="Q629" s="1"/>
      <c r="R629" s="1"/>
      <c r="S629" s="1"/>
      <c r="T629" s="1"/>
      <c r="U629" s="1"/>
      <c r="V629" s="1"/>
      <c r="W629" s="1"/>
      <c r="X629" s="1"/>
    </row>
    <row r="630">
      <c r="A630" s="1"/>
      <c r="B630" s="1"/>
      <c r="C630" s="2"/>
      <c r="D630" s="1"/>
      <c r="E630" s="1"/>
      <c r="F630" s="1"/>
      <c r="G630" s="1"/>
      <c r="H630" s="2"/>
      <c r="I630" s="2"/>
      <c r="J630" s="1"/>
      <c r="K630" s="1"/>
      <c r="L630" s="1"/>
      <c r="M630" s="1"/>
      <c r="N630" s="1"/>
      <c r="O630" s="1"/>
      <c r="P630" s="1"/>
      <c r="Q630" s="1"/>
      <c r="R630" s="1"/>
      <c r="S630" s="1"/>
      <c r="T630" s="1"/>
      <c r="U630" s="1"/>
      <c r="V630" s="1"/>
      <c r="W630" s="1"/>
      <c r="X630" s="1"/>
    </row>
    <row r="631">
      <c r="A631" s="1"/>
      <c r="B631" s="1"/>
      <c r="C631" s="2"/>
      <c r="D631" s="1"/>
      <c r="E631" s="1"/>
      <c r="F631" s="1"/>
      <c r="G631" s="1"/>
      <c r="H631" s="2"/>
      <c r="I631" s="2"/>
      <c r="J631" s="1"/>
      <c r="K631" s="1"/>
      <c r="L631" s="1"/>
      <c r="M631" s="1"/>
      <c r="N631" s="1"/>
      <c r="O631" s="1"/>
      <c r="P631" s="1"/>
      <c r="Q631" s="1"/>
      <c r="R631" s="1"/>
      <c r="S631" s="1"/>
      <c r="T631" s="1"/>
      <c r="U631" s="1"/>
      <c r="V631" s="1"/>
      <c r="W631" s="1"/>
      <c r="X631" s="1"/>
    </row>
    <row r="632">
      <c r="A632" s="1"/>
      <c r="B632" s="1"/>
      <c r="C632" s="2"/>
      <c r="D632" s="1"/>
      <c r="E632" s="1"/>
      <c r="F632" s="1"/>
      <c r="G632" s="1"/>
      <c r="H632" s="2"/>
      <c r="I632" s="2"/>
      <c r="J632" s="1"/>
      <c r="K632" s="1"/>
      <c r="L632" s="1"/>
      <c r="M632" s="1"/>
      <c r="N632" s="1"/>
      <c r="O632" s="1"/>
      <c r="P632" s="1"/>
      <c r="Q632" s="1"/>
      <c r="R632" s="1"/>
      <c r="S632" s="1"/>
      <c r="T632" s="1"/>
      <c r="U632" s="1"/>
      <c r="V632" s="1"/>
      <c r="W632" s="1"/>
      <c r="X632" s="1"/>
    </row>
    <row r="633">
      <c r="A633" s="1"/>
      <c r="B633" s="1"/>
      <c r="C633" s="2"/>
      <c r="D633" s="1"/>
      <c r="E633" s="1"/>
      <c r="F633" s="1"/>
      <c r="G633" s="1"/>
      <c r="H633" s="2"/>
      <c r="I633" s="2"/>
      <c r="J633" s="1"/>
      <c r="K633" s="1"/>
      <c r="L633" s="1"/>
      <c r="M633" s="1"/>
      <c r="N633" s="1"/>
      <c r="O633" s="1"/>
      <c r="P633" s="1"/>
      <c r="Q633" s="1"/>
      <c r="R633" s="1"/>
      <c r="S633" s="1"/>
      <c r="T633" s="1"/>
      <c r="U633" s="1"/>
      <c r="V633" s="1"/>
      <c r="W633" s="1"/>
      <c r="X633" s="1"/>
    </row>
    <row r="634">
      <c r="A634" s="1"/>
      <c r="B634" s="1"/>
      <c r="C634" s="2"/>
      <c r="D634" s="1"/>
      <c r="E634" s="1"/>
      <c r="F634" s="1"/>
      <c r="G634" s="1"/>
      <c r="H634" s="2"/>
      <c r="I634" s="2"/>
      <c r="J634" s="1"/>
      <c r="K634" s="1"/>
      <c r="L634" s="1"/>
      <c r="M634" s="1"/>
      <c r="N634" s="1"/>
      <c r="O634" s="1"/>
      <c r="P634" s="1"/>
      <c r="Q634" s="1"/>
      <c r="R634" s="1"/>
      <c r="S634" s="1"/>
      <c r="T634" s="1"/>
      <c r="U634" s="1"/>
      <c r="V634" s="1"/>
      <c r="W634" s="1"/>
      <c r="X634" s="1"/>
    </row>
    <row r="635">
      <c r="A635" s="1"/>
      <c r="B635" s="1"/>
      <c r="C635" s="2"/>
      <c r="D635" s="1"/>
      <c r="E635" s="1"/>
      <c r="F635" s="1"/>
      <c r="G635" s="1"/>
      <c r="H635" s="2"/>
      <c r="I635" s="2"/>
      <c r="J635" s="1"/>
      <c r="K635" s="1"/>
      <c r="L635" s="1"/>
      <c r="M635" s="1"/>
      <c r="N635" s="1"/>
      <c r="O635" s="1"/>
      <c r="P635" s="1"/>
      <c r="Q635" s="1"/>
      <c r="R635" s="1"/>
      <c r="S635" s="1"/>
      <c r="T635" s="1"/>
      <c r="U635" s="1"/>
      <c r="V635" s="1"/>
      <c r="W635" s="1"/>
      <c r="X635" s="1"/>
    </row>
    <row r="636">
      <c r="A636" s="1"/>
      <c r="B636" s="1"/>
      <c r="C636" s="2"/>
      <c r="D636" s="1"/>
      <c r="E636" s="1"/>
      <c r="F636" s="1"/>
      <c r="G636" s="1"/>
      <c r="H636" s="2"/>
      <c r="I636" s="2"/>
      <c r="J636" s="1"/>
      <c r="K636" s="1"/>
      <c r="L636" s="1"/>
      <c r="M636" s="1"/>
      <c r="N636" s="1"/>
      <c r="O636" s="1"/>
      <c r="P636" s="1"/>
      <c r="Q636" s="1"/>
      <c r="R636" s="1"/>
      <c r="S636" s="1"/>
      <c r="T636" s="1"/>
      <c r="U636" s="1"/>
      <c r="V636" s="1"/>
      <c r="W636" s="1"/>
      <c r="X636" s="1"/>
    </row>
    <row r="637">
      <c r="A637" s="1"/>
      <c r="B637" s="1"/>
      <c r="C637" s="2"/>
      <c r="D637" s="1"/>
      <c r="E637" s="1"/>
      <c r="F637" s="1"/>
      <c r="G637" s="1"/>
      <c r="H637" s="2"/>
      <c r="I637" s="2"/>
      <c r="J637" s="1"/>
      <c r="K637" s="1"/>
      <c r="L637" s="1"/>
      <c r="M637" s="1"/>
      <c r="N637" s="1"/>
      <c r="O637" s="1"/>
      <c r="P637" s="1"/>
      <c r="Q637" s="1"/>
      <c r="R637" s="1"/>
      <c r="S637" s="1"/>
      <c r="T637" s="1"/>
      <c r="U637" s="1"/>
      <c r="V637" s="1"/>
      <c r="W637" s="1"/>
      <c r="X637" s="1"/>
    </row>
    <row r="638">
      <c r="A638" s="1"/>
      <c r="B638" s="1"/>
      <c r="C638" s="2"/>
      <c r="D638" s="1"/>
      <c r="E638" s="1"/>
      <c r="F638" s="1"/>
      <c r="G638" s="1"/>
      <c r="H638" s="2"/>
      <c r="I638" s="2"/>
      <c r="J638" s="1"/>
      <c r="K638" s="1"/>
      <c r="L638" s="1"/>
      <c r="M638" s="1"/>
      <c r="N638" s="1"/>
      <c r="O638" s="1"/>
      <c r="P638" s="1"/>
      <c r="Q638" s="1"/>
      <c r="R638" s="1"/>
      <c r="S638" s="1"/>
      <c r="T638" s="1"/>
      <c r="U638" s="1"/>
      <c r="V638" s="1"/>
      <c r="W638" s="1"/>
      <c r="X638" s="1"/>
    </row>
    <row r="639">
      <c r="A639" s="1"/>
      <c r="B639" s="1"/>
      <c r="C639" s="2"/>
      <c r="D639" s="1"/>
      <c r="E639" s="1"/>
      <c r="F639" s="1"/>
      <c r="G639" s="1"/>
      <c r="H639" s="2"/>
      <c r="I639" s="2"/>
      <c r="J639" s="1"/>
      <c r="K639" s="1"/>
      <c r="L639" s="1"/>
      <c r="M639" s="1"/>
      <c r="N639" s="1"/>
      <c r="O639" s="1"/>
      <c r="P639" s="1"/>
      <c r="Q639" s="1"/>
      <c r="R639" s="1"/>
      <c r="S639" s="1"/>
      <c r="T639" s="1"/>
      <c r="U639" s="1"/>
      <c r="V639" s="1"/>
      <c r="W639" s="1"/>
      <c r="X639" s="1"/>
    </row>
    <row r="640">
      <c r="A640" s="1"/>
      <c r="B640" s="1"/>
      <c r="C640" s="2"/>
      <c r="D640" s="1"/>
      <c r="E640" s="1"/>
      <c r="F640" s="1"/>
      <c r="G640" s="1"/>
      <c r="H640" s="2"/>
      <c r="I640" s="2"/>
      <c r="J640" s="1"/>
      <c r="K640" s="1"/>
      <c r="L640" s="1"/>
      <c r="M640" s="1"/>
      <c r="N640" s="1"/>
      <c r="O640" s="1"/>
      <c r="P640" s="1"/>
      <c r="Q640" s="1"/>
      <c r="R640" s="1"/>
      <c r="S640" s="1"/>
      <c r="T640" s="1"/>
      <c r="U640" s="1"/>
      <c r="V640" s="1"/>
      <c r="W640" s="1"/>
      <c r="X640" s="1"/>
    </row>
    <row r="641">
      <c r="A641" s="1"/>
      <c r="B641" s="1"/>
      <c r="C641" s="2"/>
      <c r="D641" s="1"/>
      <c r="E641" s="1"/>
      <c r="F641" s="1"/>
      <c r="G641" s="1"/>
      <c r="H641" s="2"/>
      <c r="I641" s="2"/>
      <c r="J641" s="1"/>
      <c r="K641" s="1"/>
      <c r="L641" s="1"/>
      <c r="M641" s="1"/>
      <c r="N641" s="1"/>
      <c r="O641" s="1"/>
      <c r="P641" s="1"/>
      <c r="Q641" s="1"/>
      <c r="R641" s="1"/>
      <c r="S641" s="1"/>
      <c r="T641" s="1"/>
      <c r="U641" s="1"/>
      <c r="V641" s="1"/>
      <c r="W641" s="1"/>
      <c r="X641" s="1"/>
    </row>
    <row r="642">
      <c r="A642" s="1"/>
      <c r="B642" s="1"/>
      <c r="C642" s="2"/>
      <c r="D642" s="1"/>
      <c r="E642" s="1"/>
      <c r="F642" s="1"/>
      <c r="G642" s="1"/>
      <c r="H642" s="2"/>
      <c r="I642" s="2"/>
      <c r="J642" s="1"/>
      <c r="K642" s="1"/>
      <c r="L642" s="1"/>
      <c r="M642" s="1"/>
      <c r="N642" s="1"/>
      <c r="O642" s="1"/>
      <c r="P642" s="1"/>
      <c r="Q642" s="1"/>
      <c r="R642" s="1"/>
      <c r="S642" s="1"/>
      <c r="T642" s="1"/>
      <c r="U642" s="1"/>
      <c r="V642" s="1"/>
      <c r="W642" s="1"/>
      <c r="X642" s="1"/>
    </row>
    <row r="643">
      <c r="A643" s="1"/>
      <c r="B643" s="1"/>
      <c r="C643" s="2"/>
      <c r="D643" s="1"/>
      <c r="E643" s="1"/>
      <c r="F643" s="1"/>
      <c r="G643" s="1"/>
      <c r="H643" s="2"/>
      <c r="I643" s="2"/>
      <c r="J643" s="1"/>
      <c r="K643" s="1"/>
      <c r="L643" s="1"/>
      <c r="M643" s="1"/>
      <c r="N643" s="1"/>
      <c r="O643" s="1"/>
      <c r="P643" s="1"/>
      <c r="Q643" s="1"/>
      <c r="R643" s="1"/>
      <c r="S643" s="1"/>
      <c r="T643" s="1"/>
      <c r="U643" s="1"/>
      <c r="V643" s="1"/>
      <c r="W643" s="1"/>
      <c r="X643" s="1"/>
    </row>
    <row r="644">
      <c r="A644" s="1"/>
      <c r="B644" s="1"/>
      <c r="C644" s="2"/>
      <c r="D644" s="1"/>
      <c r="E644" s="1"/>
      <c r="F644" s="1"/>
      <c r="G644" s="1"/>
      <c r="H644" s="2"/>
      <c r="I644" s="2"/>
      <c r="J644" s="1"/>
      <c r="K644" s="1"/>
      <c r="L644" s="1"/>
      <c r="M644" s="1"/>
      <c r="N644" s="1"/>
      <c r="O644" s="1"/>
      <c r="P644" s="1"/>
      <c r="Q644" s="1"/>
      <c r="R644" s="1"/>
      <c r="S644" s="1"/>
      <c r="T644" s="1"/>
      <c r="U644" s="1"/>
      <c r="V644" s="1"/>
      <c r="W644" s="1"/>
      <c r="X644" s="1"/>
    </row>
    <row r="645">
      <c r="A645" s="1"/>
      <c r="B645" s="1"/>
      <c r="C645" s="2"/>
      <c r="D645" s="1"/>
      <c r="E645" s="1"/>
      <c r="F645" s="1"/>
      <c r="G645" s="1"/>
      <c r="H645" s="2"/>
      <c r="I645" s="2"/>
      <c r="J645" s="1"/>
      <c r="K645" s="1"/>
      <c r="L645" s="1"/>
      <c r="M645" s="1"/>
      <c r="N645" s="1"/>
      <c r="O645" s="1"/>
      <c r="P645" s="1"/>
      <c r="Q645" s="1"/>
      <c r="R645" s="1"/>
      <c r="S645" s="1"/>
      <c r="T645" s="1"/>
      <c r="U645" s="1"/>
      <c r="V645" s="1"/>
      <c r="W645" s="1"/>
      <c r="X645" s="1"/>
    </row>
    <row r="646">
      <c r="A646" s="1"/>
      <c r="B646" s="1"/>
      <c r="C646" s="2"/>
      <c r="D646" s="1"/>
      <c r="E646" s="1"/>
      <c r="F646" s="1"/>
      <c r="G646" s="1"/>
      <c r="H646" s="2"/>
      <c r="I646" s="2"/>
      <c r="J646" s="1"/>
      <c r="K646" s="1"/>
      <c r="L646" s="1"/>
      <c r="M646" s="1"/>
      <c r="N646" s="1"/>
      <c r="O646" s="1"/>
      <c r="P646" s="1"/>
      <c r="Q646" s="1"/>
      <c r="R646" s="1"/>
      <c r="S646" s="1"/>
      <c r="T646" s="1"/>
      <c r="U646" s="1"/>
      <c r="V646" s="1"/>
      <c r="W646" s="1"/>
      <c r="X646" s="1"/>
    </row>
    <row r="647">
      <c r="A647" s="1"/>
      <c r="B647" s="1"/>
      <c r="C647" s="2"/>
      <c r="D647" s="1"/>
      <c r="E647" s="1"/>
      <c r="F647" s="1"/>
      <c r="G647" s="1"/>
      <c r="H647" s="2"/>
      <c r="I647" s="2"/>
      <c r="J647" s="1"/>
      <c r="K647" s="1"/>
      <c r="L647" s="1"/>
      <c r="M647" s="1"/>
      <c r="N647" s="1"/>
      <c r="O647" s="1"/>
      <c r="P647" s="1"/>
      <c r="Q647" s="1"/>
      <c r="R647" s="1"/>
      <c r="S647" s="1"/>
      <c r="T647" s="1"/>
      <c r="U647" s="1"/>
      <c r="V647" s="1"/>
      <c r="W647" s="1"/>
      <c r="X647" s="1"/>
    </row>
    <row r="648">
      <c r="A648" s="1"/>
      <c r="B648" s="1"/>
      <c r="C648" s="2"/>
      <c r="D648" s="1"/>
      <c r="E648" s="1"/>
      <c r="F648" s="1"/>
      <c r="G648" s="1"/>
      <c r="H648" s="2"/>
      <c r="I648" s="2"/>
      <c r="J648" s="1"/>
      <c r="K648" s="1"/>
      <c r="L648" s="1"/>
      <c r="M648" s="1"/>
      <c r="N648" s="1"/>
      <c r="O648" s="1"/>
      <c r="P648" s="1"/>
      <c r="Q648" s="1"/>
      <c r="R648" s="1"/>
      <c r="S648" s="1"/>
      <c r="T648" s="1"/>
      <c r="U648" s="1"/>
      <c r="V648" s="1"/>
      <c r="W648" s="1"/>
      <c r="X648" s="1"/>
    </row>
    <row r="649">
      <c r="A649" s="1"/>
      <c r="B649" s="1"/>
      <c r="C649" s="2"/>
      <c r="D649" s="1"/>
      <c r="E649" s="1"/>
      <c r="F649" s="1"/>
      <c r="G649" s="1"/>
      <c r="H649" s="2"/>
      <c r="I649" s="2"/>
      <c r="J649" s="1"/>
      <c r="K649" s="1"/>
      <c r="L649" s="1"/>
      <c r="M649" s="1"/>
      <c r="N649" s="1"/>
      <c r="O649" s="1"/>
      <c r="P649" s="1"/>
      <c r="Q649" s="1"/>
      <c r="R649" s="1"/>
      <c r="S649" s="1"/>
      <c r="T649" s="1"/>
      <c r="U649" s="1"/>
      <c r="V649" s="1"/>
      <c r="W649" s="1"/>
      <c r="X649" s="1"/>
    </row>
    <row r="650">
      <c r="A650" s="1"/>
      <c r="B650" s="1"/>
      <c r="C650" s="2"/>
      <c r="D650" s="1"/>
      <c r="E650" s="1"/>
      <c r="F650" s="1"/>
      <c r="G650" s="1"/>
      <c r="H650" s="2"/>
      <c r="I650" s="2"/>
      <c r="J650" s="1"/>
      <c r="K650" s="1"/>
      <c r="L650" s="1"/>
      <c r="M650" s="1"/>
      <c r="N650" s="1"/>
      <c r="O650" s="1"/>
      <c r="P650" s="1"/>
      <c r="Q650" s="1"/>
      <c r="R650" s="1"/>
      <c r="S650" s="1"/>
      <c r="T650" s="1"/>
      <c r="U650" s="1"/>
      <c r="V650" s="1"/>
      <c r="W650" s="1"/>
      <c r="X650" s="1"/>
    </row>
    <row r="651">
      <c r="A651" s="1"/>
      <c r="B651" s="1"/>
      <c r="C651" s="2"/>
      <c r="D651" s="1"/>
      <c r="E651" s="1"/>
      <c r="F651" s="1"/>
      <c r="G651" s="1"/>
      <c r="H651" s="2"/>
      <c r="I651" s="2"/>
      <c r="J651" s="1"/>
      <c r="K651" s="1"/>
      <c r="L651" s="1"/>
      <c r="M651" s="1"/>
      <c r="N651" s="1"/>
      <c r="O651" s="1"/>
      <c r="P651" s="1"/>
      <c r="Q651" s="1"/>
      <c r="R651" s="1"/>
      <c r="S651" s="1"/>
      <c r="T651" s="1"/>
      <c r="U651" s="1"/>
      <c r="V651" s="1"/>
      <c r="W651" s="1"/>
      <c r="X651" s="1"/>
    </row>
    <row r="652">
      <c r="A652" s="1"/>
      <c r="B652" s="1"/>
      <c r="C652" s="2"/>
      <c r="D652" s="1"/>
      <c r="E652" s="1"/>
      <c r="F652" s="1"/>
      <c r="G652" s="1"/>
      <c r="H652" s="2"/>
      <c r="I652" s="2"/>
      <c r="J652" s="1"/>
      <c r="K652" s="1"/>
      <c r="L652" s="1"/>
      <c r="M652" s="1"/>
      <c r="N652" s="1"/>
      <c r="O652" s="1"/>
      <c r="P652" s="1"/>
      <c r="Q652" s="1"/>
      <c r="R652" s="1"/>
      <c r="S652" s="1"/>
      <c r="T652" s="1"/>
      <c r="U652" s="1"/>
      <c r="V652" s="1"/>
      <c r="W652" s="1"/>
      <c r="X652" s="1"/>
    </row>
    <row r="653">
      <c r="A653" s="1"/>
      <c r="B653" s="1"/>
      <c r="C653" s="2"/>
      <c r="D653" s="1"/>
      <c r="E653" s="1"/>
      <c r="F653" s="1"/>
      <c r="G653" s="1"/>
      <c r="H653" s="2"/>
      <c r="I653" s="2"/>
      <c r="J653" s="1"/>
      <c r="K653" s="1"/>
      <c r="L653" s="1"/>
      <c r="M653" s="1"/>
      <c r="N653" s="1"/>
      <c r="O653" s="1"/>
      <c r="P653" s="1"/>
      <c r="Q653" s="1"/>
      <c r="R653" s="1"/>
      <c r="S653" s="1"/>
      <c r="T653" s="1"/>
      <c r="U653" s="1"/>
      <c r="V653" s="1"/>
      <c r="W653" s="1"/>
      <c r="X653" s="1"/>
    </row>
    <row r="654">
      <c r="A654" s="1"/>
      <c r="B654" s="1"/>
      <c r="C654" s="2"/>
      <c r="D654" s="1"/>
      <c r="E654" s="1"/>
      <c r="F654" s="1"/>
      <c r="G654" s="1"/>
      <c r="H654" s="2"/>
      <c r="I654" s="2"/>
      <c r="J654" s="1"/>
      <c r="K654" s="1"/>
      <c r="L654" s="1"/>
      <c r="M654" s="1"/>
      <c r="N654" s="1"/>
      <c r="O654" s="1"/>
      <c r="P654" s="1"/>
      <c r="Q654" s="1"/>
      <c r="R654" s="1"/>
      <c r="S654" s="1"/>
      <c r="T654" s="1"/>
      <c r="U654" s="1"/>
      <c r="V654" s="1"/>
      <c r="W654" s="1"/>
      <c r="X654" s="1"/>
    </row>
    <row r="655">
      <c r="A655" s="1"/>
      <c r="B655" s="1"/>
      <c r="C655" s="2"/>
      <c r="D655" s="1"/>
      <c r="E655" s="1"/>
      <c r="F655" s="1"/>
      <c r="G655" s="1"/>
      <c r="H655" s="2"/>
      <c r="I655" s="2"/>
      <c r="J655" s="1"/>
      <c r="K655" s="1"/>
      <c r="L655" s="1"/>
      <c r="M655" s="1"/>
      <c r="N655" s="1"/>
      <c r="O655" s="1"/>
      <c r="P655" s="1"/>
      <c r="Q655" s="1"/>
      <c r="R655" s="1"/>
      <c r="S655" s="1"/>
      <c r="T655" s="1"/>
      <c r="U655" s="1"/>
      <c r="V655" s="1"/>
      <c r="W655" s="1"/>
      <c r="X655" s="1"/>
    </row>
    <row r="656">
      <c r="A656" s="1"/>
      <c r="B656" s="1"/>
      <c r="C656" s="2"/>
      <c r="D656" s="1"/>
      <c r="E656" s="1"/>
      <c r="F656" s="1"/>
      <c r="G656" s="1"/>
      <c r="H656" s="2"/>
      <c r="I656" s="2"/>
      <c r="J656" s="1"/>
      <c r="K656" s="1"/>
      <c r="L656" s="1"/>
      <c r="M656" s="1"/>
      <c r="N656" s="1"/>
      <c r="O656" s="1"/>
      <c r="P656" s="1"/>
      <c r="Q656" s="1"/>
      <c r="R656" s="1"/>
      <c r="S656" s="1"/>
      <c r="T656" s="1"/>
      <c r="U656" s="1"/>
      <c r="V656" s="1"/>
      <c r="W656" s="1"/>
      <c r="X656" s="1"/>
    </row>
    <row r="657">
      <c r="A657" s="1"/>
      <c r="B657" s="1"/>
      <c r="C657" s="2"/>
      <c r="D657" s="1"/>
      <c r="E657" s="1"/>
      <c r="F657" s="1"/>
      <c r="G657" s="1"/>
      <c r="H657" s="2"/>
      <c r="I657" s="2"/>
      <c r="J657" s="1"/>
      <c r="K657" s="1"/>
      <c r="L657" s="1"/>
      <c r="M657" s="1"/>
      <c r="N657" s="1"/>
      <c r="O657" s="1"/>
      <c r="P657" s="1"/>
      <c r="Q657" s="1"/>
      <c r="R657" s="1"/>
      <c r="S657" s="1"/>
      <c r="T657" s="1"/>
      <c r="U657" s="1"/>
      <c r="V657" s="1"/>
      <c r="W657" s="1"/>
      <c r="X657" s="1"/>
    </row>
    <row r="658">
      <c r="A658" s="1"/>
      <c r="B658" s="1"/>
      <c r="C658" s="2"/>
      <c r="D658" s="1"/>
      <c r="E658" s="1"/>
      <c r="F658" s="1"/>
      <c r="G658" s="1"/>
      <c r="H658" s="2"/>
      <c r="I658" s="2"/>
      <c r="J658" s="1"/>
      <c r="K658" s="1"/>
      <c r="L658" s="1"/>
      <c r="M658" s="1"/>
      <c r="N658" s="1"/>
      <c r="O658" s="1"/>
      <c r="P658" s="1"/>
      <c r="Q658" s="1"/>
      <c r="R658" s="1"/>
      <c r="S658" s="1"/>
      <c r="T658" s="1"/>
      <c r="U658" s="1"/>
      <c r="V658" s="1"/>
      <c r="W658" s="1"/>
      <c r="X658" s="1"/>
    </row>
    <row r="659">
      <c r="A659" s="1"/>
      <c r="B659" s="1"/>
      <c r="C659" s="2"/>
      <c r="D659" s="1"/>
      <c r="E659" s="1"/>
      <c r="F659" s="1"/>
      <c r="G659" s="1"/>
      <c r="H659" s="2"/>
      <c r="I659" s="2"/>
      <c r="J659" s="1"/>
      <c r="K659" s="1"/>
      <c r="L659" s="1"/>
      <c r="M659" s="1"/>
      <c r="N659" s="1"/>
      <c r="O659" s="1"/>
      <c r="P659" s="1"/>
      <c r="Q659" s="1"/>
      <c r="R659" s="1"/>
      <c r="S659" s="1"/>
      <c r="T659" s="1"/>
      <c r="U659" s="1"/>
      <c r="V659" s="1"/>
      <c r="W659" s="1"/>
      <c r="X659" s="1"/>
    </row>
    <row r="660">
      <c r="A660" s="1"/>
      <c r="B660" s="1"/>
      <c r="C660" s="2"/>
      <c r="D660" s="1"/>
      <c r="E660" s="1"/>
      <c r="F660" s="1"/>
      <c r="G660" s="1"/>
      <c r="H660" s="2"/>
      <c r="I660" s="2"/>
      <c r="J660" s="1"/>
      <c r="K660" s="1"/>
      <c r="L660" s="1"/>
      <c r="M660" s="1"/>
      <c r="N660" s="1"/>
      <c r="O660" s="1"/>
      <c r="P660" s="1"/>
      <c r="Q660" s="1"/>
      <c r="R660" s="1"/>
      <c r="S660" s="1"/>
      <c r="T660" s="1"/>
      <c r="U660" s="1"/>
      <c r="V660" s="1"/>
      <c r="W660" s="1"/>
      <c r="X660" s="1"/>
    </row>
    <row r="661">
      <c r="A661" s="1"/>
      <c r="B661" s="1"/>
      <c r="C661" s="2"/>
      <c r="D661" s="1"/>
      <c r="E661" s="1"/>
      <c r="F661" s="1"/>
      <c r="G661" s="1"/>
      <c r="H661" s="2"/>
      <c r="I661" s="2"/>
      <c r="J661" s="1"/>
      <c r="K661" s="1"/>
      <c r="L661" s="1"/>
      <c r="M661" s="1"/>
      <c r="N661" s="1"/>
      <c r="O661" s="1"/>
      <c r="P661" s="1"/>
      <c r="Q661" s="1"/>
      <c r="R661" s="1"/>
      <c r="S661" s="1"/>
      <c r="T661" s="1"/>
      <c r="U661" s="1"/>
      <c r="V661" s="1"/>
      <c r="W661" s="1"/>
      <c r="X661" s="1"/>
    </row>
    <row r="662">
      <c r="A662" s="1"/>
      <c r="B662" s="1"/>
      <c r="C662" s="2"/>
      <c r="D662" s="1"/>
      <c r="E662" s="1"/>
      <c r="F662" s="1"/>
      <c r="G662" s="1"/>
      <c r="H662" s="2"/>
      <c r="I662" s="2"/>
      <c r="J662" s="1"/>
      <c r="K662" s="1"/>
      <c r="L662" s="1"/>
      <c r="M662" s="1"/>
      <c r="N662" s="1"/>
      <c r="O662" s="1"/>
      <c r="P662" s="1"/>
      <c r="Q662" s="1"/>
      <c r="R662" s="1"/>
      <c r="S662" s="1"/>
      <c r="T662" s="1"/>
      <c r="U662" s="1"/>
      <c r="V662" s="1"/>
      <c r="W662" s="1"/>
      <c r="X662" s="1"/>
    </row>
    <row r="663">
      <c r="A663" s="1"/>
      <c r="B663" s="1"/>
      <c r="C663" s="2"/>
      <c r="D663" s="1"/>
      <c r="E663" s="1"/>
      <c r="F663" s="1"/>
      <c r="G663" s="1"/>
      <c r="H663" s="2"/>
      <c r="I663" s="2"/>
      <c r="J663" s="1"/>
      <c r="K663" s="1"/>
      <c r="L663" s="1"/>
      <c r="M663" s="1"/>
      <c r="N663" s="1"/>
      <c r="O663" s="1"/>
      <c r="P663" s="1"/>
      <c r="Q663" s="1"/>
      <c r="R663" s="1"/>
      <c r="S663" s="1"/>
      <c r="T663" s="1"/>
      <c r="U663" s="1"/>
      <c r="V663" s="1"/>
      <c r="W663" s="1"/>
      <c r="X663" s="1"/>
    </row>
    <row r="664">
      <c r="A664" s="1"/>
      <c r="B664" s="1"/>
      <c r="C664" s="2"/>
      <c r="D664" s="1"/>
      <c r="E664" s="1"/>
      <c r="F664" s="1"/>
      <c r="G664" s="1"/>
      <c r="H664" s="2"/>
      <c r="I664" s="2"/>
      <c r="J664" s="1"/>
      <c r="K664" s="1"/>
      <c r="L664" s="1"/>
      <c r="M664" s="1"/>
      <c r="N664" s="1"/>
      <c r="O664" s="1"/>
      <c r="P664" s="1"/>
      <c r="Q664" s="1"/>
      <c r="R664" s="1"/>
      <c r="S664" s="1"/>
      <c r="T664" s="1"/>
      <c r="U664" s="1"/>
      <c r="V664" s="1"/>
      <c r="W664" s="1"/>
      <c r="X664" s="1"/>
    </row>
    <row r="665">
      <c r="A665" s="1"/>
      <c r="B665" s="1"/>
      <c r="C665" s="2"/>
      <c r="D665" s="1"/>
      <c r="E665" s="1"/>
      <c r="F665" s="1"/>
      <c r="G665" s="1"/>
      <c r="H665" s="2"/>
      <c r="I665" s="2"/>
      <c r="J665" s="1"/>
      <c r="K665" s="1"/>
      <c r="L665" s="1"/>
      <c r="M665" s="1"/>
      <c r="N665" s="1"/>
      <c r="O665" s="1"/>
      <c r="P665" s="1"/>
      <c r="Q665" s="1"/>
      <c r="R665" s="1"/>
      <c r="S665" s="1"/>
      <c r="T665" s="1"/>
      <c r="U665" s="1"/>
      <c r="V665" s="1"/>
      <c r="W665" s="1"/>
      <c r="X665" s="1"/>
    </row>
    <row r="666">
      <c r="A666" s="1"/>
      <c r="B666" s="1"/>
      <c r="C666" s="2"/>
      <c r="D666" s="1"/>
      <c r="E666" s="1"/>
      <c r="F666" s="1"/>
      <c r="G666" s="1"/>
      <c r="H666" s="2"/>
      <c r="I666" s="2"/>
      <c r="J666" s="1"/>
      <c r="K666" s="1"/>
      <c r="L666" s="1"/>
      <c r="M666" s="1"/>
      <c r="N666" s="1"/>
      <c r="O666" s="1"/>
      <c r="P666" s="1"/>
      <c r="Q666" s="1"/>
      <c r="R666" s="1"/>
      <c r="S666" s="1"/>
      <c r="T666" s="1"/>
      <c r="U666" s="1"/>
      <c r="V666" s="1"/>
      <c r="W666" s="1"/>
      <c r="X666" s="1"/>
    </row>
    <row r="667">
      <c r="A667" s="1"/>
      <c r="B667" s="1"/>
      <c r="C667" s="2"/>
      <c r="D667" s="1"/>
      <c r="E667" s="1"/>
      <c r="F667" s="1"/>
      <c r="G667" s="1"/>
      <c r="H667" s="2"/>
      <c r="I667" s="2"/>
      <c r="J667" s="1"/>
      <c r="K667" s="1"/>
      <c r="L667" s="1"/>
      <c r="M667" s="1"/>
      <c r="N667" s="1"/>
      <c r="O667" s="1"/>
      <c r="P667" s="1"/>
      <c r="Q667" s="1"/>
      <c r="R667" s="1"/>
      <c r="S667" s="1"/>
      <c r="T667" s="1"/>
      <c r="U667" s="1"/>
      <c r="V667" s="1"/>
      <c r="W667" s="1"/>
      <c r="X667" s="1"/>
    </row>
    <row r="668">
      <c r="A668" s="1"/>
      <c r="B668" s="1"/>
      <c r="C668" s="2"/>
      <c r="D668" s="1"/>
      <c r="E668" s="1"/>
      <c r="F668" s="1"/>
      <c r="G668" s="1"/>
      <c r="H668" s="2"/>
      <c r="I668" s="2"/>
      <c r="J668" s="1"/>
      <c r="K668" s="1"/>
      <c r="L668" s="1"/>
      <c r="M668" s="1"/>
      <c r="N668" s="1"/>
      <c r="O668" s="1"/>
      <c r="P668" s="1"/>
      <c r="Q668" s="1"/>
      <c r="R668" s="1"/>
      <c r="S668" s="1"/>
      <c r="T668" s="1"/>
      <c r="U668" s="1"/>
      <c r="V668" s="1"/>
      <c r="W668" s="1"/>
      <c r="X668" s="1"/>
    </row>
    <row r="669">
      <c r="A669" s="1"/>
      <c r="B669" s="1"/>
      <c r="C669" s="2"/>
      <c r="D669" s="1"/>
      <c r="E669" s="1"/>
      <c r="F669" s="1"/>
      <c r="G669" s="1"/>
      <c r="H669" s="2"/>
      <c r="I669" s="2"/>
      <c r="J669" s="1"/>
      <c r="K669" s="1"/>
      <c r="L669" s="1"/>
      <c r="M669" s="1"/>
      <c r="N669" s="1"/>
      <c r="O669" s="1"/>
      <c r="P669" s="1"/>
      <c r="Q669" s="1"/>
      <c r="R669" s="1"/>
      <c r="S669" s="1"/>
      <c r="T669" s="1"/>
      <c r="U669" s="1"/>
      <c r="V669" s="1"/>
      <c r="W669" s="1"/>
      <c r="X669" s="1"/>
    </row>
    <row r="670">
      <c r="A670" s="1"/>
      <c r="B670" s="1"/>
      <c r="C670" s="2"/>
      <c r="D670" s="1"/>
      <c r="E670" s="1"/>
      <c r="F670" s="1"/>
      <c r="G670" s="1"/>
      <c r="H670" s="2"/>
      <c r="I670" s="2"/>
      <c r="J670" s="1"/>
      <c r="K670" s="1"/>
      <c r="L670" s="1"/>
      <c r="M670" s="1"/>
      <c r="N670" s="1"/>
      <c r="O670" s="1"/>
      <c r="P670" s="1"/>
      <c r="Q670" s="1"/>
      <c r="R670" s="1"/>
      <c r="S670" s="1"/>
      <c r="T670" s="1"/>
      <c r="U670" s="1"/>
      <c r="V670" s="1"/>
      <c r="W670" s="1"/>
      <c r="X670" s="1"/>
    </row>
    <row r="671">
      <c r="A671" s="1"/>
      <c r="B671" s="1"/>
      <c r="C671" s="2"/>
      <c r="D671" s="1"/>
      <c r="E671" s="1"/>
      <c r="F671" s="1"/>
      <c r="G671" s="1"/>
      <c r="H671" s="2"/>
      <c r="I671" s="2"/>
      <c r="J671" s="1"/>
      <c r="K671" s="1"/>
      <c r="L671" s="1"/>
      <c r="M671" s="1"/>
      <c r="N671" s="1"/>
      <c r="O671" s="1"/>
      <c r="P671" s="1"/>
      <c r="Q671" s="1"/>
      <c r="R671" s="1"/>
      <c r="S671" s="1"/>
      <c r="T671" s="1"/>
      <c r="U671" s="1"/>
      <c r="V671" s="1"/>
      <c r="W671" s="1"/>
      <c r="X671" s="1"/>
    </row>
    <row r="672">
      <c r="A672" s="1"/>
      <c r="B672" s="1"/>
      <c r="C672" s="2"/>
      <c r="D672" s="1"/>
      <c r="E672" s="1"/>
      <c r="F672" s="1"/>
      <c r="G672" s="1"/>
      <c r="H672" s="2"/>
      <c r="I672" s="2"/>
      <c r="J672" s="1"/>
      <c r="K672" s="1"/>
      <c r="L672" s="1"/>
      <c r="M672" s="1"/>
      <c r="N672" s="1"/>
      <c r="O672" s="1"/>
      <c r="P672" s="1"/>
      <c r="Q672" s="1"/>
      <c r="R672" s="1"/>
      <c r="S672" s="1"/>
      <c r="T672" s="1"/>
      <c r="U672" s="1"/>
      <c r="V672" s="1"/>
      <c r="W672" s="1"/>
      <c r="X672" s="1"/>
    </row>
    <row r="673">
      <c r="A673" s="1"/>
      <c r="B673" s="1"/>
      <c r="C673" s="2"/>
      <c r="D673" s="1"/>
      <c r="E673" s="1"/>
      <c r="F673" s="1"/>
      <c r="G673" s="1"/>
      <c r="H673" s="2"/>
      <c r="I673" s="2"/>
      <c r="J673" s="1"/>
      <c r="K673" s="1"/>
      <c r="L673" s="1"/>
      <c r="M673" s="1"/>
      <c r="N673" s="1"/>
      <c r="O673" s="1"/>
      <c r="P673" s="1"/>
      <c r="Q673" s="1"/>
      <c r="R673" s="1"/>
      <c r="S673" s="1"/>
      <c r="T673" s="1"/>
      <c r="U673" s="1"/>
      <c r="V673" s="1"/>
      <c r="W673" s="1"/>
      <c r="X673" s="1"/>
    </row>
    <row r="674">
      <c r="A674" s="1"/>
      <c r="B674" s="1"/>
      <c r="C674" s="2"/>
      <c r="D674" s="1"/>
      <c r="E674" s="1"/>
      <c r="F674" s="1"/>
      <c r="G674" s="1"/>
      <c r="H674" s="2"/>
      <c r="I674" s="2"/>
      <c r="J674" s="1"/>
      <c r="K674" s="1"/>
      <c r="L674" s="1"/>
      <c r="M674" s="1"/>
      <c r="N674" s="1"/>
      <c r="O674" s="1"/>
      <c r="P674" s="1"/>
      <c r="Q674" s="1"/>
      <c r="R674" s="1"/>
      <c r="S674" s="1"/>
      <c r="T674" s="1"/>
      <c r="U674" s="1"/>
      <c r="V674" s="1"/>
      <c r="W674" s="1"/>
      <c r="X674" s="1"/>
    </row>
    <row r="675">
      <c r="A675" s="1"/>
      <c r="B675" s="1"/>
      <c r="C675" s="2"/>
      <c r="D675" s="1"/>
      <c r="E675" s="1"/>
      <c r="F675" s="1"/>
      <c r="G675" s="1"/>
      <c r="H675" s="2"/>
      <c r="I675" s="2"/>
      <c r="J675" s="1"/>
      <c r="K675" s="1"/>
      <c r="L675" s="1"/>
      <c r="M675" s="1"/>
      <c r="N675" s="1"/>
      <c r="O675" s="1"/>
      <c r="P675" s="1"/>
      <c r="Q675" s="1"/>
      <c r="R675" s="1"/>
      <c r="S675" s="1"/>
      <c r="T675" s="1"/>
      <c r="U675" s="1"/>
      <c r="V675" s="1"/>
      <c r="W675" s="1"/>
      <c r="X675" s="1"/>
    </row>
    <row r="676">
      <c r="A676" s="1"/>
      <c r="B676" s="1"/>
      <c r="C676" s="2"/>
      <c r="D676" s="1"/>
      <c r="E676" s="1"/>
      <c r="F676" s="1"/>
      <c r="G676" s="1"/>
      <c r="H676" s="2"/>
      <c r="I676" s="2"/>
      <c r="J676" s="1"/>
      <c r="K676" s="1"/>
      <c r="L676" s="1"/>
      <c r="M676" s="1"/>
      <c r="N676" s="1"/>
      <c r="O676" s="1"/>
      <c r="P676" s="1"/>
      <c r="Q676" s="1"/>
      <c r="R676" s="1"/>
      <c r="S676" s="1"/>
      <c r="T676" s="1"/>
      <c r="U676" s="1"/>
      <c r="V676" s="1"/>
      <c r="W676" s="1"/>
      <c r="X676" s="1"/>
    </row>
    <row r="677">
      <c r="A677" s="1"/>
      <c r="B677" s="1"/>
      <c r="C677" s="2"/>
      <c r="D677" s="1"/>
      <c r="E677" s="1"/>
      <c r="F677" s="1"/>
      <c r="G677" s="1"/>
      <c r="H677" s="2"/>
      <c r="I677" s="2"/>
      <c r="J677" s="1"/>
      <c r="K677" s="1"/>
      <c r="L677" s="1"/>
      <c r="M677" s="1"/>
      <c r="N677" s="1"/>
      <c r="O677" s="1"/>
      <c r="P677" s="1"/>
      <c r="Q677" s="1"/>
      <c r="R677" s="1"/>
      <c r="S677" s="1"/>
      <c r="T677" s="1"/>
      <c r="U677" s="1"/>
      <c r="V677" s="1"/>
      <c r="W677" s="1"/>
      <c r="X677" s="1"/>
    </row>
    <row r="678">
      <c r="A678" s="1"/>
      <c r="B678" s="1"/>
      <c r="C678" s="2"/>
      <c r="D678" s="1"/>
      <c r="E678" s="1"/>
      <c r="F678" s="1"/>
      <c r="G678" s="1"/>
      <c r="H678" s="2"/>
      <c r="I678" s="2"/>
      <c r="J678" s="1"/>
      <c r="K678" s="1"/>
      <c r="L678" s="1"/>
      <c r="M678" s="1"/>
      <c r="N678" s="1"/>
      <c r="O678" s="1"/>
      <c r="P678" s="1"/>
      <c r="Q678" s="1"/>
      <c r="R678" s="1"/>
      <c r="S678" s="1"/>
      <c r="T678" s="1"/>
      <c r="U678" s="1"/>
      <c r="V678" s="1"/>
      <c r="W678" s="1"/>
      <c r="X678" s="1"/>
    </row>
    <row r="679">
      <c r="A679" s="1"/>
      <c r="B679" s="1"/>
      <c r="C679" s="2"/>
      <c r="D679" s="1"/>
      <c r="E679" s="1"/>
      <c r="F679" s="1"/>
      <c r="G679" s="1"/>
      <c r="H679" s="2"/>
      <c r="I679" s="2"/>
      <c r="J679" s="1"/>
      <c r="K679" s="1"/>
      <c r="L679" s="1"/>
      <c r="M679" s="1"/>
      <c r="N679" s="1"/>
      <c r="O679" s="1"/>
      <c r="P679" s="1"/>
      <c r="Q679" s="1"/>
      <c r="R679" s="1"/>
      <c r="S679" s="1"/>
      <c r="T679" s="1"/>
      <c r="U679" s="1"/>
      <c r="V679" s="1"/>
      <c r="W679" s="1"/>
      <c r="X679" s="1"/>
    </row>
    <row r="680">
      <c r="A680" s="1"/>
      <c r="B680" s="1"/>
      <c r="C680" s="2"/>
      <c r="D680" s="1"/>
      <c r="E680" s="1"/>
      <c r="F680" s="1"/>
      <c r="G680" s="1"/>
      <c r="H680" s="2"/>
      <c r="I680" s="2"/>
      <c r="J680" s="1"/>
      <c r="K680" s="1"/>
      <c r="L680" s="1"/>
      <c r="M680" s="1"/>
      <c r="N680" s="1"/>
      <c r="O680" s="1"/>
      <c r="P680" s="1"/>
      <c r="Q680" s="1"/>
      <c r="R680" s="1"/>
      <c r="S680" s="1"/>
      <c r="T680" s="1"/>
      <c r="U680" s="1"/>
      <c r="V680" s="1"/>
      <c r="W680" s="1"/>
      <c r="X680" s="1"/>
    </row>
    <row r="681">
      <c r="A681" s="1"/>
      <c r="B681" s="1"/>
      <c r="C681" s="2"/>
      <c r="D681" s="1"/>
      <c r="E681" s="1"/>
      <c r="F681" s="1"/>
      <c r="G681" s="1"/>
      <c r="H681" s="2"/>
      <c r="I681" s="2"/>
      <c r="J681" s="1"/>
      <c r="K681" s="1"/>
      <c r="L681" s="1"/>
      <c r="M681" s="1"/>
      <c r="N681" s="1"/>
      <c r="O681" s="1"/>
      <c r="P681" s="1"/>
      <c r="Q681" s="1"/>
      <c r="R681" s="1"/>
      <c r="S681" s="1"/>
      <c r="T681" s="1"/>
      <c r="U681" s="1"/>
      <c r="V681" s="1"/>
      <c r="W681" s="1"/>
      <c r="X681" s="1"/>
    </row>
    <row r="682">
      <c r="A682" s="1"/>
      <c r="B682" s="1"/>
      <c r="C682" s="2"/>
      <c r="D682" s="1"/>
      <c r="E682" s="1"/>
      <c r="F682" s="1"/>
      <c r="G682" s="1"/>
      <c r="H682" s="2"/>
      <c r="I682" s="2"/>
      <c r="J682" s="1"/>
      <c r="K682" s="1"/>
      <c r="L682" s="1"/>
      <c r="M682" s="1"/>
      <c r="N682" s="1"/>
      <c r="O682" s="1"/>
      <c r="P682" s="1"/>
      <c r="Q682" s="1"/>
      <c r="R682" s="1"/>
      <c r="S682" s="1"/>
      <c r="T682" s="1"/>
      <c r="U682" s="1"/>
      <c r="V682" s="1"/>
      <c r="W682" s="1"/>
      <c r="X682" s="1"/>
    </row>
    <row r="683">
      <c r="A683" s="1"/>
      <c r="B683" s="1"/>
      <c r="C683" s="2"/>
      <c r="D683" s="1"/>
      <c r="E683" s="1"/>
      <c r="F683" s="1"/>
      <c r="G683" s="1"/>
      <c r="H683" s="2"/>
      <c r="I683" s="2"/>
      <c r="J683" s="1"/>
      <c r="K683" s="1"/>
      <c r="L683" s="1"/>
      <c r="M683" s="1"/>
      <c r="N683" s="1"/>
      <c r="O683" s="1"/>
      <c r="P683" s="1"/>
      <c r="Q683" s="1"/>
      <c r="R683" s="1"/>
      <c r="S683" s="1"/>
      <c r="T683" s="1"/>
      <c r="U683" s="1"/>
      <c r="V683" s="1"/>
      <c r="W683" s="1"/>
      <c r="X683" s="1"/>
    </row>
    <row r="684">
      <c r="A684" s="1"/>
      <c r="B684" s="1"/>
      <c r="C684" s="2"/>
      <c r="D684" s="1"/>
      <c r="E684" s="1"/>
      <c r="F684" s="1"/>
      <c r="G684" s="1"/>
      <c r="H684" s="2"/>
      <c r="I684" s="2"/>
      <c r="J684" s="1"/>
      <c r="K684" s="1"/>
      <c r="L684" s="1"/>
      <c r="M684" s="1"/>
      <c r="N684" s="1"/>
      <c r="O684" s="1"/>
      <c r="P684" s="1"/>
      <c r="Q684" s="1"/>
      <c r="R684" s="1"/>
      <c r="S684" s="1"/>
      <c r="T684" s="1"/>
      <c r="U684" s="1"/>
      <c r="V684" s="1"/>
      <c r="W684" s="1"/>
      <c r="X684" s="1"/>
    </row>
    <row r="685">
      <c r="A685" s="1"/>
      <c r="B685" s="1"/>
      <c r="C685" s="2"/>
      <c r="D685" s="1"/>
      <c r="E685" s="1"/>
      <c r="F685" s="1"/>
      <c r="G685" s="1"/>
      <c r="H685" s="2"/>
      <c r="I685" s="2"/>
      <c r="J685" s="1"/>
      <c r="K685" s="1"/>
      <c r="L685" s="1"/>
      <c r="M685" s="1"/>
      <c r="N685" s="1"/>
      <c r="O685" s="1"/>
      <c r="P685" s="1"/>
      <c r="Q685" s="1"/>
      <c r="R685" s="1"/>
      <c r="S685" s="1"/>
      <c r="T685" s="1"/>
      <c r="U685" s="1"/>
      <c r="V685" s="1"/>
      <c r="W685" s="1"/>
      <c r="X685" s="1"/>
    </row>
    <row r="686">
      <c r="A686" s="1"/>
      <c r="B686" s="1"/>
      <c r="C686" s="2"/>
      <c r="D686" s="1"/>
      <c r="E686" s="1"/>
      <c r="F686" s="1"/>
      <c r="G686" s="1"/>
      <c r="H686" s="2"/>
      <c r="I686" s="2"/>
      <c r="J686" s="1"/>
      <c r="K686" s="1"/>
      <c r="L686" s="1"/>
      <c r="M686" s="1"/>
      <c r="N686" s="1"/>
      <c r="O686" s="1"/>
      <c r="P686" s="1"/>
      <c r="Q686" s="1"/>
      <c r="R686" s="1"/>
      <c r="S686" s="1"/>
      <c r="T686" s="1"/>
      <c r="U686" s="1"/>
      <c r="V686" s="1"/>
      <c r="W686" s="1"/>
      <c r="X686" s="1"/>
    </row>
    <row r="687">
      <c r="A687" s="1"/>
      <c r="B687" s="1"/>
      <c r="C687" s="2"/>
      <c r="D687" s="1"/>
      <c r="E687" s="1"/>
      <c r="F687" s="1"/>
      <c r="G687" s="1"/>
      <c r="H687" s="2"/>
      <c r="I687" s="2"/>
      <c r="J687" s="1"/>
      <c r="K687" s="1"/>
      <c r="L687" s="1"/>
      <c r="M687" s="1"/>
      <c r="N687" s="1"/>
      <c r="O687" s="1"/>
      <c r="P687" s="1"/>
      <c r="Q687" s="1"/>
      <c r="R687" s="1"/>
      <c r="S687" s="1"/>
      <c r="T687" s="1"/>
      <c r="U687" s="1"/>
      <c r="V687" s="1"/>
      <c r="W687" s="1"/>
      <c r="X687" s="1"/>
    </row>
    <row r="688">
      <c r="A688" s="1"/>
      <c r="B688" s="1"/>
      <c r="C688" s="2"/>
      <c r="D688" s="1"/>
      <c r="E688" s="1"/>
      <c r="F688" s="1"/>
      <c r="G688" s="1"/>
      <c r="H688" s="2"/>
      <c r="I688" s="2"/>
      <c r="J688" s="1"/>
      <c r="K688" s="1"/>
      <c r="L688" s="1"/>
      <c r="M688" s="1"/>
      <c r="N688" s="1"/>
      <c r="O688" s="1"/>
      <c r="P688" s="1"/>
      <c r="Q688" s="1"/>
      <c r="R688" s="1"/>
      <c r="S688" s="1"/>
      <c r="T688" s="1"/>
      <c r="U688" s="1"/>
      <c r="V688" s="1"/>
      <c r="W688" s="1"/>
      <c r="X688" s="1"/>
    </row>
    <row r="689">
      <c r="A689" s="1"/>
      <c r="B689" s="1"/>
      <c r="C689" s="2"/>
      <c r="D689" s="1"/>
      <c r="E689" s="1"/>
      <c r="F689" s="1"/>
      <c r="G689" s="1"/>
      <c r="H689" s="2"/>
      <c r="I689" s="2"/>
      <c r="J689" s="1"/>
      <c r="K689" s="1"/>
      <c r="L689" s="1"/>
      <c r="M689" s="1"/>
      <c r="N689" s="1"/>
      <c r="O689" s="1"/>
      <c r="P689" s="1"/>
      <c r="Q689" s="1"/>
      <c r="R689" s="1"/>
      <c r="S689" s="1"/>
      <c r="T689" s="1"/>
      <c r="U689" s="1"/>
      <c r="V689" s="1"/>
      <c r="W689" s="1"/>
      <c r="X689" s="1"/>
    </row>
    <row r="690">
      <c r="A690" s="1"/>
      <c r="B690" s="1"/>
      <c r="C690" s="2"/>
      <c r="D690" s="1"/>
      <c r="E690" s="1"/>
      <c r="F690" s="1"/>
      <c r="G690" s="1"/>
      <c r="H690" s="2"/>
      <c r="I690" s="2"/>
      <c r="J690" s="1"/>
      <c r="K690" s="1"/>
      <c r="L690" s="1"/>
      <c r="M690" s="1"/>
      <c r="N690" s="1"/>
      <c r="O690" s="1"/>
      <c r="P690" s="1"/>
      <c r="Q690" s="1"/>
      <c r="R690" s="1"/>
      <c r="S690" s="1"/>
      <c r="T690" s="1"/>
      <c r="U690" s="1"/>
      <c r="V690" s="1"/>
      <c r="W690" s="1"/>
      <c r="X690" s="1"/>
    </row>
    <row r="691">
      <c r="A691" s="1"/>
      <c r="B691" s="1"/>
      <c r="C691" s="2"/>
      <c r="D691" s="1"/>
      <c r="E691" s="1"/>
      <c r="F691" s="1"/>
      <c r="G691" s="1"/>
      <c r="H691" s="2"/>
      <c r="I691" s="2"/>
      <c r="J691" s="1"/>
      <c r="K691" s="1"/>
      <c r="L691" s="1"/>
      <c r="M691" s="1"/>
      <c r="N691" s="1"/>
      <c r="O691" s="1"/>
      <c r="P691" s="1"/>
      <c r="Q691" s="1"/>
      <c r="R691" s="1"/>
      <c r="S691" s="1"/>
      <c r="T691" s="1"/>
      <c r="U691" s="1"/>
      <c r="V691" s="1"/>
      <c r="W691" s="1"/>
      <c r="X691" s="1"/>
    </row>
    <row r="692">
      <c r="A692" s="1"/>
      <c r="B692" s="1"/>
      <c r="C692" s="2"/>
      <c r="D692" s="1"/>
      <c r="E692" s="1"/>
      <c r="F692" s="1"/>
      <c r="G692" s="1"/>
      <c r="H692" s="2"/>
      <c r="I692" s="2"/>
      <c r="J692" s="1"/>
      <c r="K692" s="1"/>
      <c r="L692" s="1"/>
      <c r="M692" s="1"/>
      <c r="N692" s="1"/>
      <c r="O692" s="1"/>
      <c r="P692" s="1"/>
      <c r="Q692" s="1"/>
      <c r="R692" s="1"/>
      <c r="S692" s="1"/>
      <c r="T692" s="1"/>
      <c r="U692" s="1"/>
      <c r="V692" s="1"/>
      <c r="W692" s="1"/>
      <c r="X692" s="1"/>
    </row>
    <row r="693">
      <c r="A693" s="1"/>
      <c r="B693" s="1"/>
      <c r="C693" s="2"/>
      <c r="D693" s="1"/>
      <c r="E693" s="1"/>
      <c r="F693" s="1"/>
      <c r="G693" s="1"/>
      <c r="H693" s="2"/>
      <c r="I693" s="2"/>
      <c r="J693" s="1"/>
      <c r="K693" s="1"/>
      <c r="L693" s="1"/>
      <c r="M693" s="1"/>
      <c r="N693" s="1"/>
      <c r="O693" s="1"/>
      <c r="P693" s="1"/>
      <c r="Q693" s="1"/>
      <c r="R693" s="1"/>
      <c r="S693" s="1"/>
      <c r="T693" s="1"/>
      <c r="U693" s="1"/>
      <c r="V693" s="1"/>
      <c r="W693" s="1"/>
      <c r="X693" s="1"/>
    </row>
    <row r="694">
      <c r="A694" s="1"/>
      <c r="B694" s="1"/>
      <c r="C694" s="2"/>
      <c r="D694" s="1"/>
      <c r="E694" s="1"/>
      <c r="F694" s="1"/>
      <c r="G694" s="1"/>
      <c r="H694" s="2"/>
      <c r="I694" s="2"/>
      <c r="J694" s="1"/>
      <c r="K694" s="1"/>
      <c r="L694" s="1"/>
      <c r="M694" s="1"/>
      <c r="N694" s="1"/>
      <c r="O694" s="1"/>
      <c r="P694" s="1"/>
      <c r="Q694" s="1"/>
      <c r="R694" s="1"/>
      <c r="S694" s="1"/>
      <c r="T694" s="1"/>
      <c r="U694" s="1"/>
      <c r="V694" s="1"/>
      <c r="W694" s="1"/>
      <c r="X694" s="1"/>
    </row>
    <row r="695">
      <c r="A695" s="1"/>
      <c r="B695" s="1"/>
      <c r="C695" s="2"/>
      <c r="D695" s="1"/>
      <c r="E695" s="1"/>
      <c r="F695" s="1"/>
      <c r="G695" s="1"/>
      <c r="H695" s="2"/>
      <c r="I695" s="2"/>
      <c r="J695" s="1"/>
      <c r="K695" s="1"/>
      <c r="L695" s="1"/>
      <c r="M695" s="1"/>
      <c r="N695" s="1"/>
      <c r="O695" s="1"/>
      <c r="P695" s="1"/>
      <c r="Q695" s="1"/>
      <c r="R695" s="1"/>
      <c r="S695" s="1"/>
      <c r="T695" s="1"/>
      <c r="U695" s="1"/>
      <c r="V695" s="1"/>
      <c r="W695" s="1"/>
      <c r="X695" s="1"/>
    </row>
    <row r="696">
      <c r="A696" s="1"/>
      <c r="B696" s="1"/>
      <c r="C696" s="2"/>
      <c r="D696" s="1"/>
      <c r="E696" s="1"/>
      <c r="F696" s="1"/>
      <c r="G696" s="1"/>
      <c r="H696" s="2"/>
      <c r="I696" s="2"/>
      <c r="J696" s="1"/>
      <c r="K696" s="1"/>
      <c r="L696" s="1"/>
      <c r="M696" s="1"/>
      <c r="N696" s="1"/>
      <c r="O696" s="1"/>
      <c r="P696" s="1"/>
      <c r="Q696" s="1"/>
      <c r="R696" s="1"/>
      <c r="S696" s="1"/>
      <c r="T696" s="1"/>
      <c r="U696" s="1"/>
      <c r="V696" s="1"/>
      <c r="W696" s="1"/>
      <c r="X696" s="1"/>
    </row>
    <row r="697">
      <c r="A697" s="1"/>
      <c r="B697" s="1"/>
      <c r="C697" s="2"/>
      <c r="D697" s="1"/>
      <c r="E697" s="1"/>
      <c r="F697" s="1"/>
      <c r="G697" s="1"/>
      <c r="H697" s="2"/>
      <c r="I697" s="2"/>
      <c r="J697" s="1"/>
      <c r="K697" s="1"/>
      <c r="L697" s="1"/>
      <c r="M697" s="1"/>
      <c r="N697" s="1"/>
      <c r="O697" s="1"/>
      <c r="P697" s="1"/>
      <c r="Q697" s="1"/>
      <c r="R697" s="1"/>
      <c r="S697" s="1"/>
      <c r="T697" s="1"/>
      <c r="U697" s="1"/>
      <c r="V697" s="1"/>
      <c r="W697" s="1"/>
      <c r="X697" s="1"/>
    </row>
    <row r="698">
      <c r="A698" s="1"/>
      <c r="B698" s="1"/>
      <c r="C698" s="2"/>
      <c r="D698" s="1"/>
      <c r="E698" s="1"/>
      <c r="F698" s="1"/>
      <c r="G698" s="1"/>
      <c r="H698" s="2"/>
      <c r="I698" s="2"/>
      <c r="J698" s="1"/>
      <c r="K698" s="1"/>
      <c r="L698" s="1"/>
      <c r="M698" s="1"/>
      <c r="N698" s="1"/>
      <c r="O698" s="1"/>
      <c r="P698" s="1"/>
      <c r="Q698" s="1"/>
      <c r="R698" s="1"/>
      <c r="S698" s="1"/>
      <c r="T698" s="1"/>
      <c r="U698" s="1"/>
      <c r="V698" s="1"/>
      <c r="W698" s="1"/>
      <c r="X698" s="1"/>
    </row>
    <row r="699">
      <c r="A699" s="1"/>
      <c r="B699" s="1"/>
      <c r="C699" s="2"/>
      <c r="D699" s="1"/>
      <c r="E699" s="1"/>
      <c r="F699" s="1"/>
      <c r="G699" s="1"/>
      <c r="H699" s="2"/>
      <c r="I699" s="2"/>
      <c r="J699" s="1"/>
      <c r="K699" s="1"/>
      <c r="L699" s="1"/>
      <c r="M699" s="1"/>
      <c r="N699" s="1"/>
      <c r="O699" s="1"/>
      <c r="P699" s="1"/>
      <c r="Q699" s="1"/>
      <c r="R699" s="1"/>
      <c r="S699" s="1"/>
      <c r="T699" s="1"/>
      <c r="U699" s="1"/>
      <c r="V699" s="1"/>
      <c r="W699" s="1"/>
      <c r="X699" s="1"/>
    </row>
    <row r="700">
      <c r="A700" s="1"/>
      <c r="B700" s="1"/>
      <c r="C700" s="2"/>
      <c r="D700" s="1"/>
      <c r="E700" s="1"/>
      <c r="F700" s="1"/>
      <c r="G700" s="1"/>
      <c r="H700" s="2"/>
      <c r="I700" s="2"/>
      <c r="J700" s="1"/>
      <c r="K700" s="1"/>
      <c r="L700" s="1"/>
      <c r="M700" s="1"/>
      <c r="N700" s="1"/>
      <c r="O700" s="1"/>
      <c r="P700" s="1"/>
      <c r="Q700" s="1"/>
      <c r="R700" s="1"/>
      <c r="S700" s="1"/>
      <c r="T700" s="1"/>
      <c r="U700" s="1"/>
      <c r="V700" s="1"/>
      <c r="W700" s="1"/>
      <c r="X700" s="1"/>
    </row>
    <row r="701">
      <c r="A701" s="1"/>
      <c r="B701" s="1"/>
      <c r="C701" s="2"/>
      <c r="D701" s="1"/>
      <c r="E701" s="1"/>
      <c r="F701" s="1"/>
      <c r="G701" s="1"/>
      <c r="H701" s="2"/>
      <c r="I701" s="2"/>
      <c r="J701" s="1"/>
      <c r="K701" s="1"/>
      <c r="L701" s="1"/>
      <c r="M701" s="1"/>
      <c r="N701" s="1"/>
      <c r="O701" s="1"/>
      <c r="P701" s="1"/>
      <c r="Q701" s="1"/>
      <c r="R701" s="1"/>
      <c r="S701" s="1"/>
      <c r="T701" s="1"/>
      <c r="U701" s="1"/>
      <c r="V701" s="1"/>
      <c r="W701" s="1"/>
      <c r="X701" s="1"/>
    </row>
    <row r="702">
      <c r="A702" s="1"/>
      <c r="B702" s="1"/>
      <c r="C702" s="2"/>
      <c r="D702" s="1"/>
      <c r="E702" s="1"/>
      <c r="F702" s="1"/>
      <c r="G702" s="1"/>
      <c r="H702" s="2"/>
      <c r="I702" s="2"/>
      <c r="J702" s="1"/>
      <c r="K702" s="1"/>
      <c r="L702" s="1"/>
      <c r="M702" s="1"/>
      <c r="N702" s="1"/>
      <c r="O702" s="1"/>
      <c r="P702" s="1"/>
      <c r="Q702" s="1"/>
      <c r="R702" s="1"/>
      <c r="S702" s="1"/>
      <c r="T702" s="1"/>
      <c r="U702" s="1"/>
      <c r="V702" s="1"/>
      <c r="W702" s="1"/>
      <c r="X702" s="1"/>
    </row>
    <row r="703">
      <c r="A703" s="1"/>
      <c r="B703" s="1"/>
      <c r="C703" s="2"/>
      <c r="D703" s="1"/>
      <c r="E703" s="1"/>
      <c r="F703" s="1"/>
      <c r="G703" s="1"/>
      <c r="H703" s="2"/>
      <c r="I703" s="2"/>
      <c r="J703" s="1"/>
      <c r="K703" s="1"/>
      <c r="L703" s="1"/>
      <c r="M703" s="1"/>
      <c r="N703" s="1"/>
      <c r="O703" s="1"/>
      <c r="P703" s="1"/>
      <c r="Q703" s="1"/>
      <c r="R703" s="1"/>
      <c r="S703" s="1"/>
      <c r="T703" s="1"/>
      <c r="U703" s="1"/>
      <c r="V703" s="1"/>
      <c r="W703" s="1"/>
      <c r="X703" s="1"/>
    </row>
    <row r="704">
      <c r="A704" s="1"/>
      <c r="B704" s="1"/>
      <c r="C704" s="2"/>
      <c r="D704" s="1"/>
      <c r="E704" s="1"/>
      <c r="F704" s="1"/>
      <c r="G704" s="1"/>
      <c r="H704" s="2"/>
      <c r="I704" s="2"/>
      <c r="J704" s="1"/>
      <c r="K704" s="1"/>
      <c r="L704" s="1"/>
      <c r="M704" s="1"/>
      <c r="N704" s="1"/>
      <c r="O704" s="1"/>
      <c r="P704" s="1"/>
      <c r="Q704" s="1"/>
      <c r="R704" s="1"/>
      <c r="S704" s="1"/>
      <c r="T704" s="1"/>
      <c r="U704" s="1"/>
      <c r="V704" s="1"/>
      <c r="W704" s="1"/>
      <c r="X704" s="1"/>
    </row>
    <row r="705">
      <c r="A705" s="1"/>
      <c r="B705" s="1"/>
      <c r="C705" s="2"/>
      <c r="D705" s="1"/>
      <c r="E705" s="1"/>
      <c r="F705" s="1"/>
      <c r="G705" s="1"/>
      <c r="H705" s="2"/>
      <c r="I705" s="2"/>
      <c r="J705" s="1"/>
      <c r="K705" s="1"/>
      <c r="L705" s="1"/>
      <c r="M705" s="1"/>
      <c r="N705" s="1"/>
      <c r="O705" s="1"/>
      <c r="P705" s="1"/>
      <c r="Q705" s="1"/>
      <c r="R705" s="1"/>
      <c r="S705" s="1"/>
      <c r="T705" s="1"/>
      <c r="U705" s="1"/>
      <c r="V705" s="1"/>
      <c r="W705" s="1"/>
      <c r="X705" s="1"/>
    </row>
    <row r="706">
      <c r="A706" s="1"/>
      <c r="B706" s="1"/>
      <c r="C706" s="2"/>
      <c r="D706" s="1"/>
      <c r="E706" s="1"/>
      <c r="F706" s="1"/>
      <c r="G706" s="1"/>
      <c r="H706" s="2"/>
      <c r="I706" s="2"/>
      <c r="J706" s="1"/>
      <c r="K706" s="1"/>
      <c r="L706" s="1"/>
      <c r="M706" s="1"/>
      <c r="N706" s="1"/>
      <c r="O706" s="1"/>
      <c r="P706" s="1"/>
      <c r="Q706" s="1"/>
      <c r="R706" s="1"/>
      <c r="S706" s="1"/>
      <c r="T706" s="1"/>
      <c r="U706" s="1"/>
      <c r="V706" s="1"/>
      <c r="W706" s="1"/>
      <c r="X706" s="1"/>
    </row>
    <row r="707">
      <c r="A707" s="1"/>
      <c r="B707" s="1"/>
      <c r="C707" s="2"/>
      <c r="D707" s="1"/>
      <c r="E707" s="1"/>
      <c r="F707" s="1"/>
      <c r="G707" s="1"/>
      <c r="H707" s="2"/>
      <c r="I707" s="2"/>
      <c r="J707" s="1"/>
      <c r="K707" s="1"/>
      <c r="L707" s="1"/>
      <c r="M707" s="1"/>
      <c r="N707" s="1"/>
      <c r="O707" s="1"/>
      <c r="P707" s="1"/>
      <c r="Q707" s="1"/>
      <c r="R707" s="1"/>
      <c r="S707" s="1"/>
      <c r="T707" s="1"/>
      <c r="U707" s="1"/>
      <c r="V707" s="1"/>
      <c r="W707" s="1"/>
      <c r="X707" s="1"/>
    </row>
    <row r="708">
      <c r="A708" s="1"/>
      <c r="B708" s="1"/>
      <c r="C708" s="2"/>
      <c r="D708" s="1"/>
      <c r="E708" s="1"/>
      <c r="F708" s="1"/>
      <c r="G708" s="1"/>
      <c r="H708" s="2"/>
      <c r="I708" s="2"/>
      <c r="J708" s="1"/>
      <c r="K708" s="1"/>
      <c r="L708" s="1"/>
      <c r="M708" s="1"/>
      <c r="N708" s="1"/>
      <c r="O708" s="1"/>
      <c r="P708" s="1"/>
      <c r="Q708" s="1"/>
      <c r="R708" s="1"/>
      <c r="S708" s="1"/>
      <c r="T708" s="1"/>
      <c r="U708" s="1"/>
      <c r="V708" s="1"/>
      <c r="W708" s="1"/>
      <c r="X708" s="1"/>
    </row>
    <row r="709">
      <c r="A709" s="1"/>
      <c r="B709" s="1"/>
      <c r="C709" s="2"/>
      <c r="D709" s="1"/>
      <c r="E709" s="1"/>
      <c r="F709" s="1"/>
      <c r="G709" s="1"/>
      <c r="H709" s="2"/>
      <c r="I709" s="2"/>
      <c r="J709" s="1"/>
      <c r="K709" s="1"/>
      <c r="L709" s="1"/>
      <c r="M709" s="1"/>
      <c r="N709" s="1"/>
      <c r="O709" s="1"/>
      <c r="P709" s="1"/>
      <c r="Q709" s="1"/>
      <c r="R709" s="1"/>
      <c r="S709" s="1"/>
      <c r="T709" s="1"/>
      <c r="U709" s="1"/>
      <c r="V709" s="1"/>
      <c r="W709" s="1"/>
      <c r="X709" s="1"/>
    </row>
    <row r="710">
      <c r="A710" s="1"/>
      <c r="B710" s="1"/>
      <c r="C710" s="2"/>
      <c r="D710" s="1"/>
      <c r="E710" s="1"/>
      <c r="F710" s="1"/>
      <c r="G710" s="1"/>
      <c r="H710" s="2"/>
      <c r="I710" s="2"/>
      <c r="J710" s="1"/>
      <c r="K710" s="1"/>
      <c r="L710" s="1"/>
      <c r="M710" s="1"/>
      <c r="N710" s="1"/>
      <c r="O710" s="1"/>
      <c r="P710" s="1"/>
      <c r="Q710" s="1"/>
      <c r="R710" s="1"/>
      <c r="S710" s="1"/>
      <c r="T710" s="1"/>
      <c r="U710" s="1"/>
      <c r="V710" s="1"/>
      <c r="W710" s="1"/>
      <c r="X710" s="1"/>
    </row>
    <row r="711">
      <c r="A711" s="1"/>
      <c r="B711" s="1"/>
      <c r="C711" s="2"/>
      <c r="D711" s="1"/>
      <c r="E711" s="1"/>
      <c r="F711" s="1"/>
      <c r="G711" s="1"/>
      <c r="H711" s="2"/>
      <c r="I711" s="2"/>
      <c r="J711" s="1"/>
      <c r="K711" s="1"/>
      <c r="L711" s="1"/>
      <c r="M711" s="1"/>
      <c r="N711" s="1"/>
      <c r="O711" s="1"/>
      <c r="P711" s="1"/>
      <c r="Q711" s="1"/>
      <c r="R711" s="1"/>
      <c r="S711" s="1"/>
      <c r="T711" s="1"/>
      <c r="U711" s="1"/>
      <c r="V711" s="1"/>
      <c r="W711" s="1"/>
      <c r="X711" s="1"/>
    </row>
    <row r="712">
      <c r="A712" s="1"/>
      <c r="B712" s="1"/>
      <c r="C712" s="2"/>
      <c r="D712" s="1"/>
      <c r="E712" s="1"/>
      <c r="F712" s="1"/>
      <c r="G712" s="1"/>
      <c r="H712" s="2"/>
      <c r="I712" s="2"/>
      <c r="J712" s="1"/>
      <c r="K712" s="1"/>
      <c r="L712" s="1"/>
      <c r="M712" s="1"/>
      <c r="N712" s="1"/>
      <c r="O712" s="1"/>
      <c r="P712" s="1"/>
      <c r="Q712" s="1"/>
      <c r="R712" s="1"/>
      <c r="S712" s="1"/>
      <c r="T712" s="1"/>
      <c r="U712" s="1"/>
      <c r="V712" s="1"/>
      <c r="W712" s="1"/>
      <c r="X712" s="1"/>
    </row>
    <row r="713">
      <c r="A713" s="1"/>
      <c r="B713" s="1"/>
      <c r="C713" s="2"/>
      <c r="D713" s="1"/>
      <c r="E713" s="1"/>
      <c r="F713" s="1"/>
      <c r="G713" s="1"/>
      <c r="H713" s="2"/>
      <c r="I713" s="2"/>
      <c r="J713" s="1"/>
      <c r="K713" s="1"/>
      <c r="L713" s="1"/>
      <c r="M713" s="1"/>
      <c r="N713" s="1"/>
      <c r="O713" s="1"/>
      <c r="P713" s="1"/>
      <c r="Q713" s="1"/>
      <c r="R713" s="1"/>
      <c r="S713" s="1"/>
      <c r="T713" s="1"/>
      <c r="U713" s="1"/>
      <c r="V713" s="1"/>
      <c r="W713" s="1"/>
      <c r="X713" s="1"/>
    </row>
    <row r="714">
      <c r="A714" s="1"/>
      <c r="B714" s="1"/>
      <c r="C714" s="2"/>
      <c r="D714" s="1"/>
      <c r="E714" s="1"/>
      <c r="F714" s="1"/>
      <c r="G714" s="1"/>
      <c r="H714" s="2"/>
      <c r="I714" s="2"/>
      <c r="J714" s="1"/>
      <c r="K714" s="1"/>
      <c r="L714" s="1"/>
      <c r="M714" s="1"/>
      <c r="N714" s="1"/>
      <c r="O714" s="1"/>
      <c r="P714" s="1"/>
      <c r="Q714" s="1"/>
      <c r="R714" s="1"/>
      <c r="S714" s="1"/>
      <c r="T714" s="1"/>
      <c r="U714" s="1"/>
      <c r="V714" s="1"/>
      <c r="W714" s="1"/>
      <c r="X714" s="1"/>
    </row>
    <row r="715">
      <c r="A715" s="1"/>
      <c r="B715" s="1"/>
      <c r="C715" s="2"/>
      <c r="D715" s="1"/>
      <c r="E715" s="1"/>
      <c r="F715" s="1"/>
      <c r="G715" s="1"/>
      <c r="H715" s="2"/>
      <c r="I715" s="2"/>
      <c r="J715" s="1"/>
      <c r="K715" s="1"/>
      <c r="L715" s="1"/>
      <c r="M715" s="1"/>
      <c r="N715" s="1"/>
      <c r="O715" s="1"/>
      <c r="P715" s="1"/>
      <c r="Q715" s="1"/>
      <c r="R715" s="1"/>
      <c r="S715" s="1"/>
      <c r="T715" s="1"/>
      <c r="U715" s="1"/>
      <c r="V715" s="1"/>
      <c r="W715" s="1"/>
      <c r="X715" s="1"/>
    </row>
    <row r="716">
      <c r="A716" s="1"/>
      <c r="B716" s="1"/>
      <c r="C716" s="2"/>
      <c r="D716" s="1"/>
      <c r="E716" s="1"/>
      <c r="F716" s="1"/>
      <c r="G716" s="1"/>
      <c r="H716" s="2"/>
      <c r="I716" s="2"/>
      <c r="J716" s="1"/>
      <c r="K716" s="1"/>
      <c r="L716" s="1"/>
      <c r="M716" s="1"/>
      <c r="N716" s="1"/>
      <c r="O716" s="1"/>
      <c r="P716" s="1"/>
      <c r="Q716" s="1"/>
      <c r="R716" s="1"/>
      <c r="S716" s="1"/>
      <c r="T716" s="1"/>
      <c r="U716" s="1"/>
      <c r="V716" s="1"/>
      <c r="W716" s="1"/>
      <c r="X716" s="1"/>
    </row>
    <row r="717">
      <c r="A717" s="1"/>
      <c r="B717" s="1"/>
      <c r="C717" s="2"/>
      <c r="D717" s="1"/>
      <c r="E717" s="1"/>
      <c r="F717" s="1"/>
      <c r="G717" s="1"/>
      <c r="H717" s="2"/>
      <c r="I717" s="2"/>
      <c r="J717" s="1"/>
      <c r="K717" s="1"/>
      <c r="L717" s="1"/>
      <c r="M717" s="1"/>
      <c r="N717" s="1"/>
      <c r="O717" s="1"/>
      <c r="P717" s="1"/>
      <c r="Q717" s="1"/>
      <c r="R717" s="1"/>
      <c r="S717" s="1"/>
      <c r="T717" s="1"/>
      <c r="U717" s="1"/>
      <c r="V717" s="1"/>
      <c r="W717" s="1"/>
      <c r="X717" s="1"/>
    </row>
    <row r="718">
      <c r="A718" s="1"/>
      <c r="B718" s="1"/>
      <c r="C718" s="2"/>
      <c r="D718" s="1"/>
      <c r="E718" s="1"/>
      <c r="F718" s="1"/>
      <c r="G718" s="1"/>
      <c r="H718" s="2"/>
      <c r="I718" s="2"/>
      <c r="J718" s="1"/>
      <c r="K718" s="1"/>
      <c r="L718" s="1"/>
      <c r="M718" s="1"/>
      <c r="N718" s="1"/>
      <c r="O718" s="1"/>
      <c r="P718" s="1"/>
      <c r="Q718" s="1"/>
      <c r="R718" s="1"/>
      <c r="S718" s="1"/>
      <c r="T718" s="1"/>
      <c r="U718" s="1"/>
      <c r="V718" s="1"/>
      <c r="W718" s="1"/>
      <c r="X718" s="1"/>
    </row>
    <row r="719">
      <c r="A719" s="1"/>
      <c r="B719" s="1"/>
      <c r="C719" s="2"/>
      <c r="D719" s="1"/>
      <c r="E719" s="1"/>
      <c r="F719" s="1"/>
      <c r="G719" s="1"/>
      <c r="H719" s="2"/>
      <c r="I719" s="2"/>
      <c r="J719" s="1"/>
      <c r="K719" s="1"/>
      <c r="L719" s="1"/>
      <c r="M719" s="1"/>
      <c r="N719" s="1"/>
      <c r="O719" s="1"/>
      <c r="P719" s="1"/>
      <c r="Q719" s="1"/>
      <c r="R719" s="1"/>
      <c r="S719" s="1"/>
      <c r="T719" s="1"/>
      <c r="U719" s="1"/>
      <c r="V719" s="1"/>
      <c r="W719" s="1"/>
      <c r="X719" s="1"/>
    </row>
    <row r="720">
      <c r="A720" s="1"/>
      <c r="B720" s="1"/>
      <c r="C720" s="2"/>
      <c r="D720" s="1"/>
      <c r="E720" s="1"/>
      <c r="F720" s="1"/>
      <c r="G720" s="1"/>
      <c r="H720" s="2"/>
      <c r="I720" s="2"/>
      <c r="J720" s="1"/>
      <c r="K720" s="1"/>
      <c r="L720" s="1"/>
      <c r="M720" s="1"/>
      <c r="N720" s="1"/>
      <c r="O720" s="1"/>
      <c r="P720" s="1"/>
      <c r="Q720" s="1"/>
      <c r="R720" s="1"/>
      <c r="S720" s="1"/>
      <c r="T720" s="1"/>
      <c r="U720" s="1"/>
      <c r="V720" s="1"/>
      <c r="W720" s="1"/>
      <c r="X720" s="1"/>
    </row>
    <row r="721">
      <c r="A721" s="1"/>
      <c r="B721" s="1"/>
      <c r="C721" s="2"/>
      <c r="D721" s="1"/>
      <c r="E721" s="1"/>
      <c r="F721" s="1"/>
      <c r="G721" s="1"/>
      <c r="H721" s="2"/>
      <c r="I721" s="2"/>
      <c r="J721" s="1"/>
      <c r="K721" s="1"/>
      <c r="L721" s="1"/>
      <c r="M721" s="1"/>
      <c r="N721" s="1"/>
      <c r="O721" s="1"/>
      <c r="P721" s="1"/>
      <c r="Q721" s="1"/>
      <c r="R721" s="1"/>
      <c r="S721" s="1"/>
      <c r="T721" s="1"/>
      <c r="U721" s="1"/>
      <c r="V721" s="1"/>
      <c r="W721" s="1"/>
      <c r="X721" s="1"/>
    </row>
    <row r="722">
      <c r="A722" s="1"/>
      <c r="B722" s="1"/>
      <c r="C722" s="2"/>
      <c r="D722" s="1"/>
      <c r="E722" s="1"/>
      <c r="F722" s="1"/>
      <c r="G722" s="1"/>
      <c r="H722" s="2"/>
      <c r="I722" s="2"/>
      <c r="J722" s="1"/>
      <c r="K722" s="1"/>
      <c r="L722" s="1"/>
      <c r="M722" s="1"/>
      <c r="N722" s="1"/>
      <c r="O722" s="1"/>
      <c r="P722" s="1"/>
      <c r="Q722" s="1"/>
      <c r="R722" s="1"/>
      <c r="S722" s="1"/>
      <c r="T722" s="1"/>
      <c r="U722" s="1"/>
      <c r="V722" s="1"/>
      <c r="W722" s="1"/>
      <c r="X722" s="1"/>
    </row>
    <row r="723">
      <c r="A723" s="1"/>
      <c r="B723" s="1"/>
      <c r="C723" s="2"/>
      <c r="D723" s="1"/>
      <c r="E723" s="1"/>
      <c r="F723" s="1"/>
      <c r="G723" s="1"/>
      <c r="H723" s="2"/>
      <c r="I723" s="2"/>
      <c r="J723" s="1"/>
      <c r="K723" s="1"/>
      <c r="L723" s="1"/>
      <c r="M723" s="1"/>
      <c r="N723" s="1"/>
      <c r="O723" s="1"/>
      <c r="P723" s="1"/>
      <c r="Q723" s="1"/>
      <c r="R723" s="1"/>
      <c r="S723" s="1"/>
      <c r="T723" s="1"/>
      <c r="U723" s="1"/>
      <c r="V723" s="1"/>
      <c r="W723" s="1"/>
      <c r="X723" s="1"/>
    </row>
    <row r="724">
      <c r="A724" s="1"/>
      <c r="B724" s="1"/>
      <c r="C724" s="2"/>
      <c r="D724" s="1"/>
      <c r="E724" s="1"/>
      <c r="F724" s="1"/>
      <c r="G724" s="1"/>
      <c r="H724" s="2"/>
      <c r="I724" s="2"/>
      <c r="J724" s="1"/>
      <c r="K724" s="1"/>
      <c r="L724" s="1"/>
      <c r="M724" s="1"/>
      <c r="N724" s="1"/>
      <c r="O724" s="1"/>
      <c r="P724" s="1"/>
      <c r="Q724" s="1"/>
      <c r="R724" s="1"/>
      <c r="S724" s="1"/>
      <c r="T724" s="1"/>
      <c r="U724" s="1"/>
      <c r="V724" s="1"/>
      <c r="W724" s="1"/>
      <c r="X724" s="1"/>
    </row>
    <row r="725">
      <c r="A725" s="1"/>
      <c r="B725" s="1"/>
      <c r="C725" s="2"/>
      <c r="D725" s="1"/>
      <c r="E725" s="1"/>
      <c r="F725" s="1"/>
      <c r="G725" s="1"/>
      <c r="H725" s="2"/>
      <c r="I725" s="2"/>
      <c r="J725" s="1"/>
      <c r="K725" s="1"/>
      <c r="L725" s="1"/>
      <c r="M725" s="1"/>
      <c r="N725" s="1"/>
      <c r="O725" s="1"/>
      <c r="P725" s="1"/>
      <c r="Q725" s="1"/>
      <c r="R725" s="1"/>
      <c r="S725" s="1"/>
      <c r="T725" s="1"/>
      <c r="U725" s="1"/>
      <c r="V725" s="1"/>
      <c r="W725" s="1"/>
      <c r="X725" s="1"/>
    </row>
    <row r="726">
      <c r="A726" s="1"/>
      <c r="B726" s="1"/>
      <c r="C726" s="2"/>
      <c r="D726" s="1"/>
      <c r="E726" s="1"/>
      <c r="F726" s="1"/>
      <c r="G726" s="1"/>
      <c r="H726" s="2"/>
      <c r="I726" s="2"/>
      <c r="J726" s="1"/>
      <c r="K726" s="1"/>
      <c r="L726" s="1"/>
      <c r="M726" s="1"/>
      <c r="N726" s="1"/>
      <c r="O726" s="1"/>
      <c r="P726" s="1"/>
      <c r="Q726" s="1"/>
      <c r="R726" s="1"/>
      <c r="S726" s="1"/>
      <c r="T726" s="1"/>
      <c r="U726" s="1"/>
      <c r="V726" s="1"/>
      <c r="W726" s="1"/>
      <c r="X726" s="1"/>
    </row>
    <row r="727">
      <c r="A727" s="1"/>
      <c r="B727" s="1"/>
      <c r="C727" s="2"/>
      <c r="D727" s="1"/>
      <c r="E727" s="1"/>
      <c r="F727" s="1"/>
      <c r="G727" s="1"/>
      <c r="H727" s="2"/>
      <c r="I727" s="2"/>
      <c r="J727" s="1"/>
      <c r="K727" s="1"/>
      <c r="L727" s="1"/>
      <c r="M727" s="1"/>
      <c r="N727" s="1"/>
      <c r="O727" s="1"/>
      <c r="P727" s="1"/>
      <c r="Q727" s="1"/>
      <c r="R727" s="1"/>
      <c r="S727" s="1"/>
      <c r="T727" s="1"/>
      <c r="U727" s="1"/>
      <c r="V727" s="1"/>
      <c r="W727" s="1"/>
      <c r="X727" s="1"/>
    </row>
    <row r="728">
      <c r="A728" s="1"/>
      <c r="B728" s="1"/>
      <c r="C728" s="2"/>
      <c r="D728" s="1"/>
      <c r="E728" s="1"/>
      <c r="F728" s="1"/>
      <c r="G728" s="1"/>
      <c r="H728" s="2"/>
      <c r="I728" s="2"/>
      <c r="J728" s="1"/>
      <c r="K728" s="1"/>
      <c r="L728" s="1"/>
      <c r="M728" s="1"/>
      <c r="N728" s="1"/>
      <c r="O728" s="1"/>
      <c r="P728" s="1"/>
      <c r="Q728" s="1"/>
      <c r="R728" s="1"/>
      <c r="S728" s="1"/>
      <c r="T728" s="1"/>
      <c r="U728" s="1"/>
      <c r="V728" s="1"/>
      <c r="W728" s="1"/>
      <c r="X728" s="1"/>
    </row>
    <row r="729">
      <c r="A729" s="1"/>
      <c r="B729" s="1"/>
      <c r="C729" s="2"/>
      <c r="D729" s="1"/>
      <c r="E729" s="1"/>
      <c r="F729" s="1"/>
      <c r="G729" s="1"/>
      <c r="H729" s="2"/>
      <c r="I729" s="2"/>
      <c r="J729" s="1"/>
      <c r="K729" s="1"/>
      <c r="L729" s="1"/>
      <c r="M729" s="1"/>
      <c r="N729" s="1"/>
      <c r="O729" s="1"/>
      <c r="P729" s="1"/>
      <c r="Q729" s="1"/>
      <c r="R729" s="1"/>
      <c r="S729" s="1"/>
      <c r="T729" s="1"/>
      <c r="U729" s="1"/>
      <c r="V729" s="1"/>
      <c r="W729" s="1"/>
      <c r="X729" s="1"/>
    </row>
    <row r="730">
      <c r="A730" s="1"/>
      <c r="B730" s="1"/>
      <c r="C730" s="2"/>
      <c r="D730" s="1"/>
      <c r="E730" s="1"/>
      <c r="F730" s="1"/>
      <c r="G730" s="1"/>
      <c r="H730" s="2"/>
      <c r="I730" s="2"/>
      <c r="J730" s="1"/>
      <c r="K730" s="1"/>
      <c r="L730" s="1"/>
      <c r="M730" s="1"/>
      <c r="N730" s="1"/>
      <c r="O730" s="1"/>
      <c r="P730" s="1"/>
      <c r="Q730" s="1"/>
      <c r="R730" s="1"/>
      <c r="S730" s="1"/>
      <c r="T730" s="1"/>
      <c r="U730" s="1"/>
      <c r="V730" s="1"/>
      <c r="W730" s="1"/>
      <c r="X730" s="1"/>
    </row>
    <row r="731">
      <c r="A731" s="1"/>
      <c r="B731" s="1"/>
      <c r="C731" s="2"/>
      <c r="D731" s="1"/>
      <c r="E731" s="1"/>
      <c r="F731" s="1"/>
      <c r="G731" s="1"/>
      <c r="H731" s="2"/>
      <c r="I731" s="2"/>
      <c r="J731" s="1"/>
      <c r="K731" s="1"/>
      <c r="L731" s="1"/>
      <c r="M731" s="1"/>
      <c r="N731" s="1"/>
      <c r="O731" s="1"/>
      <c r="P731" s="1"/>
      <c r="Q731" s="1"/>
      <c r="R731" s="1"/>
      <c r="S731" s="1"/>
      <c r="T731" s="1"/>
      <c r="U731" s="1"/>
      <c r="V731" s="1"/>
      <c r="W731" s="1"/>
      <c r="X731" s="1"/>
    </row>
    <row r="732">
      <c r="A732" s="1"/>
      <c r="B732" s="1"/>
      <c r="C732" s="2"/>
      <c r="D732" s="1"/>
      <c r="E732" s="1"/>
      <c r="F732" s="1"/>
      <c r="G732" s="1"/>
      <c r="H732" s="2"/>
      <c r="I732" s="2"/>
      <c r="J732" s="1"/>
      <c r="K732" s="1"/>
      <c r="L732" s="1"/>
      <c r="M732" s="1"/>
      <c r="N732" s="1"/>
      <c r="O732" s="1"/>
      <c r="P732" s="1"/>
      <c r="Q732" s="1"/>
      <c r="R732" s="1"/>
      <c r="S732" s="1"/>
      <c r="T732" s="1"/>
      <c r="U732" s="1"/>
      <c r="V732" s="1"/>
      <c r="W732" s="1"/>
      <c r="X732" s="1"/>
    </row>
    <row r="733">
      <c r="A733" s="1"/>
      <c r="B733" s="1"/>
      <c r="C733" s="2"/>
      <c r="D733" s="1"/>
      <c r="E733" s="1"/>
      <c r="F733" s="1"/>
      <c r="G733" s="1"/>
      <c r="H733" s="2"/>
      <c r="I733" s="2"/>
      <c r="J733" s="1"/>
      <c r="K733" s="1"/>
      <c r="L733" s="1"/>
      <c r="M733" s="1"/>
      <c r="N733" s="1"/>
      <c r="O733" s="1"/>
      <c r="P733" s="1"/>
      <c r="Q733" s="1"/>
      <c r="R733" s="1"/>
      <c r="S733" s="1"/>
      <c r="T733" s="1"/>
      <c r="U733" s="1"/>
      <c r="V733" s="1"/>
      <c r="W733" s="1"/>
      <c r="X733" s="1"/>
    </row>
    <row r="734">
      <c r="A734" s="1"/>
      <c r="B734" s="1"/>
      <c r="C734" s="2"/>
      <c r="D734" s="1"/>
      <c r="E734" s="1"/>
      <c r="F734" s="1"/>
      <c r="G734" s="1"/>
      <c r="H734" s="2"/>
      <c r="I734" s="2"/>
      <c r="J734" s="1"/>
      <c r="K734" s="1"/>
      <c r="L734" s="1"/>
      <c r="M734" s="1"/>
      <c r="N734" s="1"/>
      <c r="O734" s="1"/>
      <c r="P734" s="1"/>
      <c r="Q734" s="1"/>
      <c r="R734" s="1"/>
      <c r="S734" s="1"/>
      <c r="T734" s="1"/>
      <c r="U734" s="1"/>
      <c r="V734" s="1"/>
      <c r="W734" s="1"/>
      <c r="X734" s="1"/>
    </row>
    <row r="735">
      <c r="A735" s="1"/>
      <c r="B735" s="1"/>
      <c r="C735" s="2"/>
      <c r="D735" s="1"/>
      <c r="E735" s="1"/>
      <c r="F735" s="1"/>
      <c r="G735" s="1"/>
      <c r="H735" s="2"/>
      <c r="I735" s="2"/>
      <c r="J735" s="1"/>
      <c r="K735" s="1"/>
      <c r="L735" s="1"/>
      <c r="M735" s="1"/>
      <c r="N735" s="1"/>
      <c r="O735" s="1"/>
      <c r="P735" s="1"/>
      <c r="Q735" s="1"/>
      <c r="R735" s="1"/>
      <c r="S735" s="1"/>
      <c r="T735" s="1"/>
      <c r="U735" s="1"/>
      <c r="V735" s="1"/>
      <c r="W735" s="1"/>
      <c r="X735" s="1"/>
    </row>
    <row r="736">
      <c r="A736" s="1"/>
      <c r="B736" s="1"/>
      <c r="C736" s="2"/>
      <c r="D736" s="1"/>
      <c r="E736" s="1"/>
      <c r="F736" s="1"/>
      <c r="G736" s="1"/>
      <c r="H736" s="2"/>
      <c r="I736" s="2"/>
      <c r="J736" s="1"/>
      <c r="K736" s="1"/>
      <c r="L736" s="1"/>
      <c r="M736" s="1"/>
      <c r="N736" s="1"/>
      <c r="O736" s="1"/>
      <c r="P736" s="1"/>
      <c r="Q736" s="1"/>
      <c r="R736" s="1"/>
      <c r="S736" s="1"/>
      <c r="T736" s="1"/>
      <c r="U736" s="1"/>
      <c r="V736" s="1"/>
      <c r="W736" s="1"/>
      <c r="X736" s="1"/>
    </row>
    <row r="737">
      <c r="A737" s="1"/>
      <c r="B737" s="1"/>
      <c r="C737" s="2"/>
      <c r="D737" s="1"/>
      <c r="E737" s="1"/>
      <c r="F737" s="1"/>
      <c r="G737" s="1"/>
      <c r="H737" s="2"/>
      <c r="I737" s="2"/>
      <c r="J737" s="1"/>
      <c r="K737" s="1"/>
      <c r="L737" s="1"/>
      <c r="M737" s="1"/>
      <c r="N737" s="1"/>
      <c r="O737" s="1"/>
      <c r="P737" s="1"/>
      <c r="Q737" s="1"/>
      <c r="R737" s="1"/>
      <c r="S737" s="1"/>
      <c r="T737" s="1"/>
      <c r="U737" s="1"/>
      <c r="V737" s="1"/>
      <c r="W737" s="1"/>
      <c r="X737" s="1"/>
    </row>
    <row r="738">
      <c r="A738" s="1"/>
      <c r="B738" s="1"/>
      <c r="C738" s="2"/>
      <c r="D738" s="1"/>
      <c r="E738" s="1"/>
      <c r="F738" s="1"/>
      <c r="G738" s="1"/>
      <c r="H738" s="2"/>
      <c r="I738" s="2"/>
      <c r="J738" s="1"/>
      <c r="K738" s="1"/>
      <c r="L738" s="1"/>
      <c r="M738" s="1"/>
      <c r="N738" s="1"/>
      <c r="O738" s="1"/>
      <c r="P738" s="1"/>
      <c r="Q738" s="1"/>
      <c r="R738" s="1"/>
      <c r="S738" s="1"/>
      <c r="T738" s="1"/>
      <c r="U738" s="1"/>
      <c r="V738" s="1"/>
      <c r="W738" s="1"/>
      <c r="X738" s="1"/>
    </row>
    <row r="739">
      <c r="A739" s="1"/>
      <c r="B739" s="1"/>
      <c r="C739" s="2"/>
      <c r="D739" s="1"/>
      <c r="E739" s="1"/>
      <c r="F739" s="1"/>
      <c r="G739" s="1"/>
      <c r="H739" s="2"/>
      <c r="I739" s="2"/>
      <c r="J739" s="1"/>
      <c r="K739" s="1"/>
      <c r="L739" s="1"/>
      <c r="M739" s="1"/>
      <c r="N739" s="1"/>
      <c r="O739" s="1"/>
      <c r="P739" s="1"/>
      <c r="Q739" s="1"/>
      <c r="R739" s="1"/>
      <c r="S739" s="1"/>
      <c r="T739" s="1"/>
      <c r="U739" s="1"/>
      <c r="V739" s="1"/>
      <c r="W739" s="1"/>
      <c r="X739" s="1"/>
    </row>
    <row r="740">
      <c r="A740" s="1"/>
      <c r="B740" s="1"/>
      <c r="C740" s="2"/>
      <c r="D740" s="1"/>
      <c r="E740" s="1"/>
      <c r="F740" s="1"/>
      <c r="G740" s="1"/>
      <c r="H740" s="2"/>
      <c r="I740" s="2"/>
      <c r="J740" s="1"/>
      <c r="K740" s="1"/>
      <c r="L740" s="1"/>
      <c r="M740" s="1"/>
      <c r="N740" s="1"/>
      <c r="O740" s="1"/>
      <c r="P740" s="1"/>
      <c r="Q740" s="1"/>
      <c r="R740" s="1"/>
      <c r="S740" s="1"/>
      <c r="T740" s="1"/>
      <c r="U740" s="1"/>
      <c r="V740" s="1"/>
      <c r="W740" s="1"/>
      <c r="X740" s="1"/>
    </row>
    <row r="741">
      <c r="A741" s="1"/>
      <c r="B741" s="1"/>
      <c r="C741" s="2"/>
      <c r="D741" s="1"/>
      <c r="E741" s="1"/>
      <c r="F741" s="1"/>
      <c r="G741" s="1"/>
      <c r="H741" s="2"/>
      <c r="I741" s="2"/>
      <c r="J741" s="1"/>
      <c r="K741" s="1"/>
      <c r="L741" s="1"/>
      <c r="M741" s="1"/>
      <c r="N741" s="1"/>
      <c r="O741" s="1"/>
      <c r="P741" s="1"/>
      <c r="Q741" s="1"/>
      <c r="R741" s="1"/>
      <c r="S741" s="1"/>
      <c r="T741" s="1"/>
      <c r="U741" s="1"/>
      <c r="V741" s="1"/>
      <c r="W741" s="1"/>
      <c r="X741" s="1"/>
    </row>
    <row r="742">
      <c r="A742" s="1"/>
      <c r="B742" s="1"/>
      <c r="C742" s="2"/>
      <c r="D742" s="1"/>
      <c r="E742" s="1"/>
      <c r="F742" s="1"/>
      <c r="G742" s="1"/>
      <c r="H742" s="2"/>
      <c r="I742" s="2"/>
      <c r="J742" s="1"/>
      <c r="K742" s="1"/>
      <c r="L742" s="1"/>
      <c r="M742" s="1"/>
      <c r="N742" s="1"/>
      <c r="O742" s="1"/>
      <c r="P742" s="1"/>
      <c r="Q742" s="1"/>
      <c r="R742" s="1"/>
      <c r="S742" s="1"/>
      <c r="T742" s="1"/>
      <c r="U742" s="1"/>
      <c r="V742" s="1"/>
      <c r="W742" s="1"/>
      <c r="X742" s="1"/>
    </row>
    <row r="743">
      <c r="A743" s="1"/>
      <c r="B743" s="1"/>
      <c r="C743" s="2"/>
      <c r="D743" s="1"/>
      <c r="E743" s="1"/>
      <c r="F743" s="1"/>
      <c r="G743" s="1"/>
      <c r="H743" s="2"/>
      <c r="I743" s="2"/>
      <c r="J743" s="1"/>
      <c r="K743" s="1"/>
      <c r="L743" s="1"/>
      <c r="M743" s="1"/>
      <c r="N743" s="1"/>
      <c r="O743" s="1"/>
      <c r="P743" s="1"/>
      <c r="Q743" s="1"/>
      <c r="R743" s="1"/>
      <c r="S743" s="1"/>
      <c r="T743" s="1"/>
      <c r="U743" s="1"/>
      <c r="V743" s="1"/>
      <c r="W743" s="1"/>
      <c r="X743" s="1"/>
    </row>
    <row r="744">
      <c r="A744" s="1"/>
      <c r="B744" s="1"/>
      <c r="C744" s="2"/>
      <c r="D744" s="1"/>
      <c r="E744" s="1"/>
      <c r="F744" s="1"/>
      <c r="G744" s="1"/>
      <c r="H744" s="2"/>
      <c r="I744" s="2"/>
      <c r="J744" s="1"/>
      <c r="K744" s="1"/>
      <c r="L744" s="1"/>
      <c r="M744" s="1"/>
      <c r="N744" s="1"/>
      <c r="O744" s="1"/>
      <c r="P744" s="1"/>
      <c r="Q744" s="1"/>
      <c r="R744" s="1"/>
      <c r="S744" s="1"/>
      <c r="T744" s="1"/>
      <c r="U744" s="1"/>
      <c r="V744" s="1"/>
      <c r="W744" s="1"/>
      <c r="X744" s="1"/>
    </row>
    <row r="745">
      <c r="A745" s="1"/>
      <c r="B745" s="1"/>
      <c r="C745" s="2"/>
      <c r="D745" s="1"/>
      <c r="E745" s="1"/>
      <c r="F745" s="1"/>
      <c r="G745" s="1"/>
      <c r="H745" s="2"/>
      <c r="I745" s="2"/>
      <c r="J745" s="1"/>
      <c r="K745" s="1"/>
      <c r="L745" s="1"/>
      <c r="M745" s="1"/>
      <c r="N745" s="1"/>
      <c r="O745" s="1"/>
      <c r="P745" s="1"/>
      <c r="Q745" s="1"/>
      <c r="R745" s="1"/>
      <c r="S745" s="1"/>
      <c r="T745" s="1"/>
      <c r="U745" s="1"/>
      <c r="V745" s="1"/>
      <c r="W745" s="1"/>
      <c r="X745" s="1"/>
    </row>
    <row r="746">
      <c r="A746" s="1"/>
      <c r="B746" s="1"/>
      <c r="C746" s="2"/>
      <c r="D746" s="1"/>
      <c r="E746" s="1"/>
      <c r="F746" s="1"/>
      <c r="G746" s="1"/>
      <c r="H746" s="2"/>
      <c r="I746" s="2"/>
      <c r="J746" s="1"/>
      <c r="K746" s="1"/>
      <c r="L746" s="1"/>
      <c r="M746" s="1"/>
      <c r="N746" s="1"/>
      <c r="O746" s="1"/>
      <c r="P746" s="1"/>
      <c r="Q746" s="1"/>
      <c r="R746" s="1"/>
      <c r="S746" s="1"/>
      <c r="T746" s="1"/>
      <c r="U746" s="1"/>
      <c r="V746" s="1"/>
      <c r="W746" s="1"/>
      <c r="X746" s="1"/>
    </row>
    <row r="747">
      <c r="A747" s="1"/>
      <c r="B747" s="1"/>
      <c r="C747" s="2"/>
      <c r="D747" s="1"/>
      <c r="E747" s="1"/>
      <c r="F747" s="1"/>
      <c r="G747" s="1"/>
      <c r="H747" s="2"/>
      <c r="I747" s="2"/>
      <c r="J747" s="1"/>
      <c r="K747" s="1"/>
      <c r="L747" s="1"/>
      <c r="M747" s="1"/>
      <c r="N747" s="1"/>
      <c r="O747" s="1"/>
      <c r="P747" s="1"/>
      <c r="Q747" s="1"/>
      <c r="R747" s="1"/>
      <c r="S747" s="1"/>
      <c r="T747" s="1"/>
      <c r="U747" s="1"/>
      <c r="V747" s="1"/>
      <c r="W747" s="1"/>
      <c r="X747" s="1"/>
    </row>
    <row r="748">
      <c r="A748" s="1"/>
      <c r="B748" s="1"/>
      <c r="C748" s="2"/>
      <c r="D748" s="1"/>
      <c r="E748" s="1"/>
      <c r="F748" s="1"/>
      <c r="G748" s="1"/>
      <c r="H748" s="2"/>
      <c r="I748" s="2"/>
      <c r="J748" s="1"/>
      <c r="K748" s="1"/>
      <c r="L748" s="1"/>
      <c r="M748" s="1"/>
      <c r="N748" s="1"/>
      <c r="O748" s="1"/>
      <c r="P748" s="1"/>
      <c r="Q748" s="1"/>
      <c r="R748" s="1"/>
      <c r="S748" s="1"/>
      <c r="T748" s="1"/>
      <c r="U748" s="1"/>
      <c r="V748" s="1"/>
      <c r="W748" s="1"/>
      <c r="X748" s="1"/>
    </row>
    <row r="749">
      <c r="A749" s="1"/>
      <c r="B749" s="1"/>
      <c r="C749" s="2"/>
      <c r="D749" s="1"/>
      <c r="E749" s="1"/>
      <c r="F749" s="1"/>
      <c r="G749" s="1"/>
      <c r="H749" s="2"/>
      <c r="I749" s="2"/>
      <c r="J749" s="1"/>
      <c r="K749" s="1"/>
      <c r="L749" s="1"/>
      <c r="M749" s="1"/>
      <c r="N749" s="1"/>
      <c r="O749" s="1"/>
      <c r="P749" s="1"/>
      <c r="Q749" s="1"/>
      <c r="R749" s="1"/>
      <c r="S749" s="1"/>
      <c r="T749" s="1"/>
      <c r="U749" s="1"/>
      <c r="V749" s="1"/>
      <c r="W749" s="1"/>
      <c r="X749" s="1"/>
    </row>
    <row r="750">
      <c r="A750" s="1"/>
      <c r="B750" s="1"/>
      <c r="C750" s="2"/>
      <c r="D750" s="1"/>
      <c r="E750" s="1"/>
      <c r="F750" s="1"/>
      <c r="G750" s="1"/>
      <c r="H750" s="2"/>
      <c r="I750" s="2"/>
      <c r="J750" s="1"/>
      <c r="K750" s="1"/>
      <c r="L750" s="1"/>
      <c r="M750" s="1"/>
      <c r="N750" s="1"/>
      <c r="O750" s="1"/>
      <c r="P750" s="1"/>
      <c r="Q750" s="1"/>
      <c r="R750" s="1"/>
      <c r="S750" s="1"/>
      <c r="T750" s="1"/>
      <c r="U750" s="1"/>
      <c r="V750" s="1"/>
      <c r="W750" s="1"/>
      <c r="X750" s="1"/>
    </row>
    <row r="751">
      <c r="A751" s="1"/>
      <c r="B751" s="1"/>
      <c r="C751" s="2"/>
      <c r="D751" s="1"/>
      <c r="E751" s="1"/>
      <c r="F751" s="1"/>
      <c r="G751" s="1"/>
      <c r="H751" s="2"/>
      <c r="I751" s="2"/>
      <c r="J751" s="1"/>
      <c r="K751" s="1"/>
      <c r="L751" s="1"/>
      <c r="M751" s="1"/>
      <c r="N751" s="1"/>
      <c r="O751" s="1"/>
      <c r="P751" s="1"/>
      <c r="Q751" s="1"/>
      <c r="R751" s="1"/>
      <c r="S751" s="1"/>
      <c r="T751" s="1"/>
      <c r="U751" s="1"/>
      <c r="V751" s="1"/>
      <c r="W751" s="1"/>
      <c r="X751" s="1"/>
    </row>
    <row r="752">
      <c r="A752" s="1"/>
      <c r="B752" s="1"/>
      <c r="C752" s="2"/>
      <c r="D752" s="1"/>
      <c r="E752" s="1"/>
      <c r="F752" s="1"/>
      <c r="G752" s="1"/>
      <c r="H752" s="2"/>
      <c r="I752" s="2"/>
      <c r="J752" s="1"/>
      <c r="K752" s="1"/>
      <c r="L752" s="1"/>
      <c r="M752" s="1"/>
      <c r="N752" s="1"/>
      <c r="O752" s="1"/>
      <c r="P752" s="1"/>
      <c r="Q752" s="1"/>
      <c r="R752" s="1"/>
      <c r="S752" s="1"/>
      <c r="T752" s="1"/>
      <c r="U752" s="1"/>
      <c r="V752" s="1"/>
      <c r="W752" s="1"/>
      <c r="X752" s="1"/>
    </row>
    <row r="753">
      <c r="A753" s="1"/>
      <c r="B753" s="1"/>
      <c r="C753" s="2"/>
      <c r="D753" s="1"/>
      <c r="E753" s="1"/>
      <c r="F753" s="1"/>
      <c r="G753" s="1"/>
      <c r="H753" s="2"/>
      <c r="I753" s="2"/>
      <c r="J753" s="1"/>
      <c r="K753" s="1"/>
      <c r="L753" s="1"/>
      <c r="M753" s="1"/>
      <c r="N753" s="1"/>
      <c r="O753" s="1"/>
      <c r="P753" s="1"/>
      <c r="Q753" s="1"/>
      <c r="R753" s="1"/>
      <c r="S753" s="1"/>
      <c r="T753" s="1"/>
      <c r="U753" s="1"/>
      <c r="V753" s="1"/>
      <c r="W753" s="1"/>
      <c r="X753" s="1"/>
    </row>
    <row r="754">
      <c r="A754" s="1"/>
      <c r="B754" s="1"/>
      <c r="C754" s="2"/>
      <c r="D754" s="1"/>
      <c r="E754" s="1"/>
      <c r="F754" s="1"/>
      <c r="G754" s="1"/>
      <c r="H754" s="2"/>
      <c r="I754" s="2"/>
      <c r="J754" s="1"/>
      <c r="K754" s="1"/>
      <c r="L754" s="1"/>
      <c r="M754" s="1"/>
      <c r="N754" s="1"/>
      <c r="O754" s="1"/>
      <c r="P754" s="1"/>
      <c r="Q754" s="1"/>
      <c r="R754" s="1"/>
      <c r="S754" s="1"/>
      <c r="T754" s="1"/>
      <c r="U754" s="1"/>
      <c r="V754" s="1"/>
      <c r="W754" s="1"/>
      <c r="X754" s="1"/>
    </row>
    <row r="755">
      <c r="A755" s="1"/>
      <c r="B755" s="1"/>
      <c r="C755" s="2"/>
      <c r="D755" s="1"/>
      <c r="E755" s="1"/>
      <c r="F755" s="1"/>
      <c r="G755" s="1"/>
      <c r="H755" s="2"/>
      <c r="I755" s="2"/>
      <c r="J755" s="1"/>
      <c r="K755" s="1"/>
      <c r="L755" s="1"/>
      <c r="M755" s="1"/>
      <c r="N755" s="1"/>
      <c r="O755" s="1"/>
      <c r="P755" s="1"/>
      <c r="Q755" s="1"/>
      <c r="R755" s="1"/>
      <c r="S755" s="1"/>
      <c r="T755" s="1"/>
      <c r="U755" s="1"/>
      <c r="V755" s="1"/>
      <c r="W755" s="1"/>
      <c r="X755" s="1"/>
    </row>
    <row r="756">
      <c r="A756" s="1"/>
      <c r="B756" s="1"/>
      <c r="C756" s="2"/>
      <c r="D756" s="1"/>
      <c r="E756" s="1"/>
      <c r="F756" s="1"/>
      <c r="G756" s="1"/>
      <c r="H756" s="2"/>
      <c r="I756" s="2"/>
      <c r="J756" s="1"/>
      <c r="K756" s="1"/>
      <c r="L756" s="1"/>
      <c r="M756" s="1"/>
      <c r="N756" s="1"/>
      <c r="O756" s="1"/>
      <c r="P756" s="1"/>
      <c r="Q756" s="1"/>
      <c r="R756" s="1"/>
      <c r="S756" s="1"/>
      <c r="T756" s="1"/>
      <c r="U756" s="1"/>
      <c r="V756" s="1"/>
      <c r="W756" s="1"/>
      <c r="X756" s="1"/>
    </row>
    <row r="757">
      <c r="A757" s="1"/>
      <c r="B757" s="1"/>
      <c r="C757" s="2"/>
      <c r="D757" s="1"/>
      <c r="E757" s="1"/>
      <c r="F757" s="1"/>
      <c r="G757" s="1"/>
      <c r="H757" s="2"/>
      <c r="I757" s="2"/>
      <c r="J757" s="1"/>
      <c r="K757" s="1"/>
      <c r="L757" s="1"/>
      <c r="M757" s="1"/>
      <c r="N757" s="1"/>
      <c r="O757" s="1"/>
      <c r="P757" s="1"/>
      <c r="Q757" s="1"/>
      <c r="R757" s="1"/>
      <c r="S757" s="1"/>
      <c r="T757" s="1"/>
      <c r="U757" s="1"/>
      <c r="V757" s="1"/>
      <c r="W757" s="1"/>
      <c r="X757" s="1"/>
    </row>
    <row r="758">
      <c r="A758" s="1"/>
      <c r="B758" s="1"/>
      <c r="C758" s="2"/>
      <c r="D758" s="1"/>
      <c r="E758" s="1"/>
      <c r="F758" s="1"/>
      <c r="G758" s="1"/>
      <c r="H758" s="2"/>
      <c r="I758" s="2"/>
      <c r="J758" s="1"/>
      <c r="K758" s="1"/>
      <c r="L758" s="1"/>
      <c r="M758" s="1"/>
      <c r="N758" s="1"/>
      <c r="O758" s="1"/>
      <c r="P758" s="1"/>
      <c r="Q758" s="1"/>
      <c r="R758" s="1"/>
      <c r="S758" s="1"/>
      <c r="T758" s="1"/>
      <c r="U758" s="1"/>
      <c r="V758" s="1"/>
      <c r="W758" s="1"/>
      <c r="X758" s="1"/>
    </row>
    <row r="759">
      <c r="A759" s="1"/>
      <c r="B759" s="1"/>
      <c r="C759" s="2"/>
      <c r="D759" s="1"/>
      <c r="E759" s="1"/>
      <c r="F759" s="1"/>
      <c r="G759" s="1"/>
      <c r="H759" s="2"/>
      <c r="I759" s="2"/>
      <c r="J759" s="1"/>
      <c r="K759" s="1"/>
      <c r="L759" s="1"/>
      <c r="M759" s="1"/>
      <c r="N759" s="1"/>
      <c r="O759" s="1"/>
      <c r="P759" s="1"/>
      <c r="Q759" s="1"/>
      <c r="R759" s="1"/>
      <c r="S759" s="1"/>
      <c r="T759" s="1"/>
      <c r="U759" s="1"/>
      <c r="V759" s="1"/>
      <c r="W759" s="1"/>
      <c r="X759" s="1"/>
    </row>
    <row r="760">
      <c r="A760" s="1"/>
      <c r="B760" s="1"/>
      <c r="C760" s="2"/>
      <c r="D760" s="1"/>
      <c r="E760" s="1"/>
      <c r="F760" s="1"/>
      <c r="G760" s="1"/>
      <c r="H760" s="2"/>
      <c r="I760" s="2"/>
      <c r="J760" s="1"/>
      <c r="K760" s="1"/>
      <c r="L760" s="1"/>
      <c r="M760" s="1"/>
      <c r="N760" s="1"/>
      <c r="O760" s="1"/>
      <c r="P760" s="1"/>
      <c r="Q760" s="1"/>
      <c r="R760" s="1"/>
      <c r="S760" s="1"/>
      <c r="T760" s="1"/>
      <c r="U760" s="1"/>
      <c r="V760" s="1"/>
      <c r="W760" s="1"/>
      <c r="X760" s="1"/>
    </row>
    <row r="761">
      <c r="A761" s="1"/>
      <c r="B761" s="1"/>
      <c r="C761" s="2"/>
      <c r="D761" s="1"/>
      <c r="E761" s="1"/>
      <c r="F761" s="1"/>
      <c r="G761" s="1"/>
      <c r="H761" s="2"/>
      <c r="I761" s="2"/>
      <c r="J761" s="1"/>
      <c r="K761" s="1"/>
      <c r="L761" s="1"/>
      <c r="M761" s="1"/>
      <c r="N761" s="1"/>
      <c r="O761" s="1"/>
      <c r="P761" s="1"/>
      <c r="Q761" s="1"/>
      <c r="R761" s="1"/>
      <c r="S761" s="1"/>
      <c r="T761" s="1"/>
      <c r="U761" s="1"/>
      <c r="V761" s="1"/>
      <c r="W761" s="1"/>
      <c r="X761" s="1"/>
    </row>
    <row r="762">
      <c r="A762" s="1"/>
      <c r="B762" s="1"/>
      <c r="C762" s="2"/>
      <c r="D762" s="1"/>
      <c r="E762" s="1"/>
      <c r="F762" s="1"/>
      <c r="G762" s="1"/>
      <c r="H762" s="2"/>
      <c r="I762" s="2"/>
      <c r="J762" s="1"/>
      <c r="K762" s="1"/>
      <c r="L762" s="1"/>
      <c r="M762" s="1"/>
      <c r="N762" s="1"/>
      <c r="O762" s="1"/>
      <c r="P762" s="1"/>
      <c r="Q762" s="1"/>
      <c r="R762" s="1"/>
      <c r="S762" s="1"/>
      <c r="T762" s="1"/>
      <c r="U762" s="1"/>
      <c r="V762" s="1"/>
      <c r="W762" s="1"/>
      <c r="X762" s="1"/>
    </row>
    <row r="763">
      <c r="A763" s="1"/>
      <c r="B763" s="1"/>
      <c r="C763" s="2"/>
      <c r="D763" s="1"/>
      <c r="E763" s="1"/>
      <c r="F763" s="1"/>
      <c r="G763" s="1"/>
      <c r="H763" s="2"/>
      <c r="I763" s="2"/>
      <c r="J763" s="1"/>
      <c r="K763" s="1"/>
      <c r="L763" s="1"/>
      <c r="M763" s="1"/>
      <c r="N763" s="1"/>
      <c r="O763" s="1"/>
      <c r="P763" s="1"/>
      <c r="Q763" s="1"/>
      <c r="R763" s="1"/>
      <c r="S763" s="1"/>
      <c r="T763" s="1"/>
      <c r="U763" s="1"/>
      <c r="V763" s="1"/>
      <c r="W763" s="1"/>
      <c r="X763" s="1"/>
    </row>
    <row r="764">
      <c r="A764" s="1"/>
      <c r="B764" s="1"/>
      <c r="C764" s="2"/>
      <c r="D764" s="1"/>
      <c r="E764" s="1"/>
      <c r="F764" s="1"/>
      <c r="G764" s="1"/>
      <c r="H764" s="2"/>
      <c r="I764" s="2"/>
      <c r="J764" s="1"/>
      <c r="K764" s="1"/>
      <c r="L764" s="1"/>
      <c r="M764" s="1"/>
      <c r="N764" s="1"/>
      <c r="O764" s="1"/>
      <c r="P764" s="1"/>
      <c r="Q764" s="1"/>
      <c r="R764" s="1"/>
      <c r="S764" s="1"/>
      <c r="T764" s="1"/>
      <c r="U764" s="1"/>
      <c r="V764" s="1"/>
      <c r="W764" s="1"/>
      <c r="X764" s="1"/>
    </row>
    <row r="765">
      <c r="A765" s="1"/>
      <c r="B765" s="1"/>
      <c r="C765" s="2"/>
      <c r="D765" s="1"/>
      <c r="E765" s="1"/>
      <c r="F765" s="1"/>
      <c r="G765" s="1"/>
      <c r="H765" s="2"/>
      <c r="I765" s="2"/>
      <c r="J765" s="1"/>
      <c r="K765" s="1"/>
      <c r="L765" s="1"/>
      <c r="M765" s="1"/>
      <c r="N765" s="1"/>
      <c r="O765" s="1"/>
      <c r="P765" s="1"/>
      <c r="Q765" s="1"/>
      <c r="R765" s="1"/>
      <c r="S765" s="1"/>
      <c r="T765" s="1"/>
      <c r="U765" s="1"/>
      <c r="V765" s="1"/>
      <c r="W765" s="1"/>
      <c r="X765" s="1"/>
    </row>
    <row r="766">
      <c r="A766" s="1"/>
      <c r="B766" s="1"/>
      <c r="C766" s="2"/>
      <c r="D766" s="1"/>
      <c r="E766" s="1"/>
      <c r="F766" s="1"/>
      <c r="G766" s="1"/>
      <c r="H766" s="2"/>
      <c r="I766" s="2"/>
      <c r="J766" s="1"/>
      <c r="K766" s="1"/>
      <c r="L766" s="1"/>
      <c r="M766" s="1"/>
      <c r="N766" s="1"/>
      <c r="O766" s="1"/>
      <c r="P766" s="1"/>
      <c r="Q766" s="1"/>
      <c r="R766" s="1"/>
      <c r="S766" s="1"/>
      <c r="T766" s="1"/>
      <c r="U766" s="1"/>
      <c r="V766" s="1"/>
      <c r="W766" s="1"/>
      <c r="X766" s="1"/>
    </row>
    <row r="767">
      <c r="A767" s="1"/>
      <c r="B767" s="1"/>
      <c r="C767" s="2"/>
      <c r="D767" s="1"/>
      <c r="E767" s="1"/>
      <c r="F767" s="1"/>
      <c r="G767" s="1"/>
      <c r="H767" s="2"/>
      <c r="I767" s="2"/>
      <c r="J767" s="1"/>
      <c r="K767" s="1"/>
      <c r="L767" s="1"/>
      <c r="M767" s="1"/>
      <c r="N767" s="1"/>
      <c r="O767" s="1"/>
      <c r="P767" s="1"/>
      <c r="Q767" s="1"/>
      <c r="R767" s="1"/>
      <c r="S767" s="1"/>
      <c r="T767" s="1"/>
      <c r="U767" s="1"/>
      <c r="V767" s="1"/>
      <c r="W767" s="1"/>
      <c r="X767" s="1"/>
    </row>
    <row r="768">
      <c r="A768" s="1"/>
      <c r="B768" s="1"/>
      <c r="C768" s="2"/>
      <c r="D768" s="1"/>
      <c r="E768" s="1"/>
      <c r="F768" s="1"/>
      <c r="G768" s="1"/>
      <c r="H768" s="2"/>
      <c r="I768" s="2"/>
      <c r="J768" s="1"/>
      <c r="K768" s="1"/>
      <c r="L768" s="1"/>
      <c r="M768" s="1"/>
      <c r="N768" s="1"/>
      <c r="O768" s="1"/>
      <c r="P768" s="1"/>
      <c r="Q768" s="1"/>
      <c r="R768" s="1"/>
      <c r="S768" s="1"/>
      <c r="T768" s="1"/>
      <c r="U768" s="1"/>
      <c r="V768" s="1"/>
      <c r="W768" s="1"/>
      <c r="X768" s="1"/>
    </row>
    <row r="769">
      <c r="A769" s="1"/>
      <c r="B769" s="1"/>
      <c r="C769" s="2"/>
      <c r="D769" s="1"/>
      <c r="E769" s="1"/>
      <c r="F769" s="1"/>
      <c r="G769" s="1"/>
      <c r="H769" s="2"/>
      <c r="I769" s="2"/>
      <c r="J769" s="1"/>
      <c r="K769" s="1"/>
      <c r="L769" s="1"/>
      <c r="M769" s="1"/>
      <c r="N769" s="1"/>
      <c r="O769" s="1"/>
      <c r="P769" s="1"/>
      <c r="Q769" s="1"/>
      <c r="R769" s="1"/>
      <c r="S769" s="1"/>
      <c r="T769" s="1"/>
      <c r="U769" s="1"/>
      <c r="V769" s="1"/>
      <c r="W769" s="1"/>
      <c r="X769" s="1"/>
    </row>
    <row r="770">
      <c r="A770" s="1"/>
      <c r="B770" s="1"/>
      <c r="C770" s="2"/>
      <c r="D770" s="1"/>
      <c r="E770" s="1"/>
      <c r="F770" s="1"/>
      <c r="G770" s="1"/>
      <c r="H770" s="2"/>
      <c r="I770" s="2"/>
      <c r="J770" s="1"/>
      <c r="K770" s="1"/>
      <c r="L770" s="1"/>
      <c r="M770" s="1"/>
      <c r="N770" s="1"/>
      <c r="O770" s="1"/>
      <c r="P770" s="1"/>
      <c r="Q770" s="1"/>
      <c r="R770" s="1"/>
      <c r="S770" s="1"/>
      <c r="T770" s="1"/>
      <c r="U770" s="1"/>
      <c r="V770" s="1"/>
      <c r="W770" s="1"/>
      <c r="X770" s="1"/>
    </row>
    <row r="771">
      <c r="A771" s="1"/>
      <c r="B771" s="1"/>
      <c r="C771" s="2"/>
      <c r="D771" s="1"/>
      <c r="E771" s="1"/>
      <c r="F771" s="1"/>
      <c r="G771" s="1"/>
      <c r="H771" s="2"/>
      <c r="I771" s="2"/>
      <c r="J771" s="1"/>
      <c r="K771" s="1"/>
      <c r="L771" s="1"/>
      <c r="M771" s="1"/>
      <c r="N771" s="1"/>
      <c r="O771" s="1"/>
      <c r="P771" s="1"/>
      <c r="Q771" s="1"/>
      <c r="R771" s="1"/>
      <c r="S771" s="1"/>
      <c r="T771" s="1"/>
      <c r="U771" s="1"/>
      <c r="V771" s="1"/>
      <c r="W771" s="1"/>
      <c r="X771" s="1"/>
    </row>
    <row r="772">
      <c r="A772" s="1"/>
      <c r="B772" s="1"/>
      <c r="C772" s="2"/>
      <c r="D772" s="1"/>
      <c r="E772" s="1"/>
      <c r="F772" s="1"/>
      <c r="G772" s="1"/>
      <c r="H772" s="2"/>
      <c r="I772" s="2"/>
      <c r="J772" s="1"/>
      <c r="K772" s="1"/>
      <c r="L772" s="1"/>
      <c r="M772" s="1"/>
      <c r="N772" s="1"/>
      <c r="O772" s="1"/>
      <c r="P772" s="1"/>
      <c r="Q772" s="1"/>
      <c r="R772" s="1"/>
      <c r="S772" s="1"/>
      <c r="T772" s="1"/>
      <c r="U772" s="1"/>
      <c r="V772" s="1"/>
      <c r="W772" s="1"/>
      <c r="X772" s="1"/>
    </row>
    <row r="773">
      <c r="A773" s="1"/>
      <c r="B773" s="1"/>
      <c r="C773" s="2"/>
      <c r="D773" s="1"/>
      <c r="E773" s="1"/>
      <c r="F773" s="1"/>
      <c r="G773" s="1"/>
      <c r="H773" s="2"/>
      <c r="I773" s="2"/>
      <c r="J773" s="1"/>
      <c r="K773" s="1"/>
      <c r="L773" s="1"/>
      <c r="M773" s="1"/>
      <c r="N773" s="1"/>
      <c r="O773" s="1"/>
      <c r="P773" s="1"/>
      <c r="Q773" s="1"/>
      <c r="R773" s="1"/>
      <c r="S773" s="1"/>
      <c r="T773" s="1"/>
      <c r="U773" s="1"/>
      <c r="V773" s="1"/>
      <c r="W773" s="1"/>
      <c r="X773" s="1"/>
    </row>
    <row r="774">
      <c r="A774" s="1"/>
      <c r="B774" s="1"/>
      <c r="C774" s="2"/>
      <c r="D774" s="1"/>
      <c r="E774" s="1"/>
      <c r="F774" s="1"/>
      <c r="G774" s="1"/>
      <c r="H774" s="2"/>
      <c r="I774" s="2"/>
      <c r="J774" s="1"/>
      <c r="K774" s="1"/>
      <c r="L774" s="1"/>
      <c r="M774" s="1"/>
      <c r="N774" s="1"/>
      <c r="O774" s="1"/>
      <c r="P774" s="1"/>
      <c r="Q774" s="1"/>
      <c r="R774" s="1"/>
      <c r="S774" s="1"/>
      <c r="T774" s="1"/>
      <c r="U774" s="1"/>
      <c r="V774" s="1"/>
      <c r="W774" s="1"/>
      <c r="X774" s="1"/>
    </row>
    <row r="775">
      <c r="A775" s="1"/>
      <c r="B775" s="1"/>
      <c r="C775" s="2"/>
      <c r="D775" s="1"/>
      <c r="E775" s="1"/>
      <c r="F775" s="1"/>
      <c r="G775" s="1"/>
      <c r="H775" s="2"/>
      <c r="I775" s="2"/>
      <c r="J775" s="1"/>
      <c r="K775" s="1"/>
      <c r="L775" s="1"/>
      <c r="M775" s="1"/>
      <c r="N775" s="1"/>
      <c r="O775" s="1"/>
      <c r="P775" s="1"/>
      <c r="Q775" s="1"/>
      <c r="R775" s="1"/>
      <c r="S775" s="1"/>
      <c r="T775" s="1"/>
      <c r="U775" s="1"/>
      <c r="V775" s="1"/>
      <c r="W775" s="1"/>
      <c r="X775" s="1"/>
    </row>
    <row r="776">
      <c r="A776" s="1"/>
      <c r="B776" s="1"/>
      <c r="C776" s="2"/>
      <c r="D776" s="1"/>
      <c r="E776" s="1"/>
      <c r="F776" s="1"/>
      <c r="G776" s="1"/>
      <c r="H776" s="2"/>
      <c r="I776" s="2"/>
      <c r="J776" s="1"/>
      <c r="K776" s="1"/>
      <c r="L776" s="1"/>
      <c r="M776" s="1"/>
      <c r="N776" s="1"/>
      <c r="O776" s="1"/>
      <c r="P776" s="1"/>
      <c r="Q776" s="1"/>
      <c r="R776" s="1"/>
      <c r="S776" s="1"/>
      <c r="T776" s="1"/>
      <c r="U776" s="1"/>
      <c r="V776" s="1"/>
      <c r="W776" s="1"/>
      <c r="X776" s="1"/>
    </row>
    <row r="777">
      <c r="A777" s="1"/>
      <c r="B777" s="1"/>
      <c r="C777" s="2"/>
      <c r="D777" s="1"/>
      <c r="E777" s="1"/>
      <c r="F777" s="1"/>
      <c r="G777" s="1"/>
      <c r="H777" s="2"/>
      <c r="I777" s="2"/>
      <c r="J777" s="1"/>
      <c r="K777" s="1"/>
      <c r="L777" s="1"/>
      <c r="M777" s="1"/>
      <c r="N777" s="1"/>
      <c r="O777" s="1"/>
      <c r="P777" s="1"/>
      <c r="Q777" s="1"/>
      <c r="R777" s="1"/>
      <c r="S777" s="1"/>
      <c r="T777" s="1"/>
      <c r="U777" s="1"/>
      <c r="V777" s="1"/>
      <c r="W777" s="1"/>
      <c r="X777" s="1"/>
    </row>
    <row r="778">
      <c r="A778" s="1"/>
      <c r="B778" s="1"/>
      <c r="C778" s="2"/>
      <c r="D778" s="1"/>
      <c r="E778" s="1"/>
      <c r="F778" s="1"/>
      <c r="G778" s="1"/>
      <c r="H778" s="2"/>
      <c r="I778" s="2"/>
      <c r="J778" s="1"/>
      <c r="K778" s="1"/>
      <c r="L778" s="1"/>
      <c r="M778" s="1"/>
      <c r="N778" s="1"/>
      <c r="O778" s="1"/>
      <c r="P778" s="1"/>
      <c r="Q778" s="1"/>
      <c r="R778" s="1"/>
      <c r="S778" s="1"/>
      <c r="T778" s="1"/>
      <c r="U778" s="1"/>
      <c r="V778" s="1"/>
      <c r="W778" s="1"/>
      <c r="X778" s="1"/>
    </row>
    <row r="779">
      <c r="A779" s="1"/>
      <c r="B779" s="1"/>
      <c r="C779" s="2"/>
      <c r="D779" s="1"/>
      <c r="E779" s="1"/>
      <c r="F779" s="1"/>
      <c r="G779" s="1"/>
      <c r="H779" s="2"/>
      <c r="I779" s="2"/>
      <c r="J779" s="1"/>
      <c r="K779" s="1"/>
      <c r="L779" s="1"/>
      <c r="M779" s="1"/>
      <c r="N779" s="1"/>
      <c r="O779" s="1"/>
      <c r="P779" s="1"/>
      <c r="Q779" s="1"/>
      <c r="R779" s="1"/>
      <c r="S779" s="1"/>
      <c r="T779" s="1"/>
      <c r="U779" s="1"/>
      <c r="V779" s="1"/>
      <c r="W779" s="1"/>
      <c r="X779" s="1"/>
    </row>
    <row r="780">
      <c r="A780" s="1"/>
      <c r="B780" s="1"/>
      <c r="C780" s="2"/>
      <c r="D780" s="1"/>
      <c r="E780" s="1"/>
      <c r="F780" s="1"/>
      <c r="G780" s="1"/>
      <c r="H780" s="2"/>
      <c r="I780" s="2"/>
      <c r="J780" s="1"/>
      <c r="K780" s="1"/>
      <c r="L780" s="1"/>
      <c r="M780" s="1"/>
      <c r="N780" s="1"/>
      <c r="O780" s="1"/>
      <c r="P780" s="1"/>
      <c r="Q780" s="1"/>
      <c r="R780" s="1"/>
      <c r="S780" s="1"/>
      <c r="T780" s="1"/>
      <c r="U780" s="1"/>
      <c r="V780" s="1"/>
      <c r="W780" s="1"/>
      <c r="X780" s="1"/>
    </row>
    <row r="781">
      <c r="A781" s="1"/>
      <c r="B781" s="1"/>
      <c r="C781" s="2"/>
      <c r="D781" s="1"/>
      <c r="E781" s="1"/>
      <c r="F781" s="1"/>
      <c r="G781" s="1"/>
      <c r="H781" s="2"/>
      <c r="I781" s="2"/>
      <c r="J781" s="1"/>
      <c r="K781" s="1"/>
      <c r="L781" s="1"/>
      <c r="M781" s="1"/>
      <c r="N781" s="1"/>
      <c r="O781" s="1"/>
      <c r="P781" s="1"/>
      <c r="Q781" s="1"/>
      <c r="R781" s="1"/>
      <c r="S781" s="1"/>
      <c r="T781" s="1"/>
      <c r="U781" s="1"/>
      <c r="V781" s="1"/>
      <c r="W781" s="1"/>
      <c r="X781" s="1"/>
    </row>
    <row r="782">
      <c r="A782" s="1"/>
      <c r="B782" s="1"/>
      <c r="C782" s="2"/>
      <c r="D782" s="1"/>
      <c r="E782" s="1"/>
      <c r="F782" s="1"/>
      <c r="G782" s="1"/>
      <c r="H782" s="2"/>
      <c r="I782" s="2"/>
      <c r="J782" s="1"/>
      <c r="K782" s="1"/>
      <c r="L782" s="1"/>
      <c r="M782" s="1"/>
      <c r="N782" s="1"/>
      <c r="O782" s="1"/>
      <c r="P782" s="1"/>
      <c r="Q782" s="1"/>
      <c r="R782" s="1"/>
      <c r="S782" s="1"/>
      <c r="T782" s="1"/>
      <c r="U782" s="1"/>
      <c r="V782" s="1"/>
      <c r="W782" s="1"/>
      <c r="X782" s="1"/>
    </row>
    <row r="783">
      <c r="A783" s="1"/>
      <c r="B783" s="1"/>
      <c r="C783" s="2"/>
      <c r="D783" s="1"/>
      <c r="E783" s="1"/>
      <c r="F783" s="1"/>
      <c r="G783" s="1"/>
      <c r="H783" s="2"/>
      <c r="I783" s="2"/>
      <c r="J783" s="1"/>
      <c r="K783" s="1"/>
      <c r="L783" s="1"/>
      <c r="M783" s="1"/>
      <c r="N783" s="1"/>
      <c r="O783" s="1"/>
      <c r="P783" s="1"/>
      <c r="Q783" s="1"/>
      <c r="R783" s="1"/>
      <c r="S783" s="1"/>
      <c r="T783" s="1"/>
      <c r="U783" s="1"/>
      <c r="V783" s="1"/>
      <c r="W783" s="1"/>
      <c r="X783" s="1"/>
    </row>
    <row r="784">
      <c r="A784" s="1"/>
      <c r="B784" s="1"/>
      <c r="C784" s="2"/>
      <c r="D784" s="1"/>
      <c r="E784" s="1"/>
      <c r="F784" s="1"/>
      <c r="G784" s="1"/>
      <c r="H784" s="2"/>
      <c r="I784" s="2"/>
      <c r="J784" s="1"/>
      <c r="K784" s="1"/>
      <c r="L784" s="1"/>
      <c r="M784" s="1"/>
      <c r="N784" s="1"/>
      <c r="O784" s="1"/>
      <c r="P784" s="1"/>
      <c r="Q784" s="1"/>
      <c r="R784" s="1"/>
      <c r="S784" s="1"/>
      <c r="T784" s="1"/>
      <c r="U784" s="1"/>
      <c r="V784" s="1"/>
      <c r="W784" s="1"/>
      <c r="X784" s="1"/>
    </row>
    <row r="785">
      <c r="A785" s="1"/>
      <c r="B785" s="1"/>
      <c r="C785" s="2"/>
      <c r="D785" s="1"/>
      <c r="E785" s="1"/>
      <c r="F785" s="1"/>
      <c r="G785" s="1"/>
      <c r="H785" s="2"/>
      <c r="I785" s="2"/>
      <c r="J785" s="1"/>
      <c r="K785" s="1"/>
      <c r="L785" s="1"/>
      <c r="M785" s="1"/>
      <c r="N785" s="1"/>
      <c r="O785" s="1"/>
      <c r="P785" s="1"/>
      <c r="Q785" s="1"/>
      <c r="R785" s="1"/>
      <c r="S785" s="1"/>
      <c r="T785" s="1"/>
      <c r="U785" s="1"/>
      <c r="V785" s="1"/>
      <c r="W785" s="1"/>
      <c r="X785" s="1"/>
    </row>
    <row r="786">
      <c r="A786" s="1"/>
      <c r="B786" s="1"/>
      <c r="C786" s="2"/>
      <c r="D786" s="1"/>
      <c r="E786" s="1"/>
      <c r="F786" s="1"/>
      <c r="G786" s="1"/>
      <c r="H786" s="2"/>
      <c r="I786" s="2"/>
      <c r="J786" s="1"/>
      <c r="K786" s="1"/>
      <c r="L786" s="1"/>
      <c r="M786" s="1"/>
      <c r="N786" s="1"/>
      <c r="O786" s="1"/>
      <c r="P786" s="1"/>
      <c r="Q786" s="1"/>
      <c r="R786" s="1"/>
      <c r="S786" s="1"/>
      <c r="T786" s="1"/>
      <c r="U786" s="1"/>
      <c r="V786" s="1"/>
      <c r="W786" s="1"/>
      <c r="X786" s="1"/>
    </row>
    <row r="787">
      <c r="A787" s="1"/>
      <c r="B787" s="1"/>
      <c r="C787" s="2"/>
      <c r="D787" s="1"/>
      <c r="E787" s="1"/>
      <c r="F787" s="1"/>
      <c r="G787" s="1"/>
      <c r="H787" s="2"/>
      <c r="I787" s="2"/>
      <c r="J787" s="1"/>
      <c r="K787" s="1"/>
      <c r="L787" s="1"/>
      <c r="M787" s="1"/>
      <c r="N787" s="1"/>
      <c r="O787" s="1"/>
      <c r="P787" s="1"/>
      <c r="Q787" s="1"/>
      <c r="R787" s="1"/>
      <c r="S787" s="1"/>
      <c r="T787" s="1"/>
      <c r="U787" s="1"/>
      <c r="V787" s="1"/>
      <c r="W787" s="1"/>
      <c r="X787" s="1"/>
    </row>
    <row r="788">
      <c r="A788" s="1"/>
      <c r="B788" s="1"/>
      <c r="C788" s="2"/>
      <c r="D788" s="1"/>
      <c r="E788" s="1"/>
      <c r="F788" s="1"/>
      <c r="G788" s="1"/>
      <c r="H788" s="2"/>
      <c r="I788" s="2"/>
      <c r="J788" s="1"/>
      <c r="K788" s="1"/>
      <c r="L788" s="1"/>
      <c r="M788" s="1"/>
      <c r="N788" s="1"/>
      <c r="O788" s="1"/>
      <c r="P788" s="1"/>
      <c r="Q788" s="1"/>
      <c r="R788" s="1"/>
      <c r="S788" s="1"/>
      <c r="T788" s="1"/>
      <c r="U788" s="1"/>
      <c r="V788" s="1"/>
      <c r="W788" s="1"/>
      <c r="X788" s="1"/>
    </row>
    <row r="789">
      <c r="A789" s="1"/>
      <c r="B789" s="1"/>
      <c r="C789" s="2"/>
      <c r="D789" s="1"/>
      <c r="E789" s="1"/>
      <c r="F789" s="1"/>
      <c r="G789" s="1"/>
      <c r="H789" s="2"/>
      <c r="I789" s="2"/>
      <c r="J789" s="1"/>
      <c r="K789" s="1"/>
      <c r="L789" s="1"/>
      <c r="M789" s="1"/>
      <c r="N789" s="1"/>
      <c r="O789" s="1"/>
      <c r="P789" s="1"/>
      <c r="Q789" s="1"/>
      <c r="R789" s="1"/>
      <c r="S789" s="1"/>
      <c r="T789" s="1"/>
      <c r="U789" s="1"/>
      <c r="V789" s="1"/>
      <c r="W789" s="1"/>
      <c r="X789" s="1"/>
    </row>
    <row r="790">
      <c r="A790" s="1"/>
      <c r="B790" s="1"/>
      <c r="C790" s="2"/>
      <c r="D790" s="1"/>
      <c r="E790" s="1"/>
      <c r="F790" s="1"/>
      <c r="G790" s="1"/>
      <c r="H790" s="2"/>
      <c r="I790" s="2"/>
      <c r="J790" s="1"/>
      <c r="K790" s="1"/>
      <c r="L790" s="1"/>
      <c r="M790" s="1"/>
      <c r="N790" s="1"/>
      <c r="O790" s="1"/>
      <c r="P790" s="1"/>
      <c r="Q790" s="1"/>
      <c r="R790" s="1"/>
      <c r="S790" s="1"/>
      <c r="T790" s="1"/>
      <c r="U790" s="1"/>
      <c r="V790" s="1"/>
      <c r="W790" s="1"/>
      <c r="X790" s="1"/>
    </row>
    <row r="791">
      <c r="A791" s="1"/>
      <c r="B791" s="1"/>
      <c r="C791" s="2"/>
      <c r="D791" s="1"/>
      <c r="E791" s="1"/>
      <c r="F791" s="1"/>
      <c r="G791" s="1"/>
      <c r="H791" s="2"/>
      <c r="I791" s="2"/>
      <c r="J791" s="1"/>
      <c r="K791" s="1"/>
      <c r="L791" s="1"/>
      <c r="M791" s="1"/>
      <c r="N791" s="1"/>
      <c r="O791" s="1"/>
      <c r="P791" s="1"/>
      <c r="Q791" s="1"/>
      <c r="R791" s="1"/>
      <c r="S791" s="1"/>
      <c r="T791" s="1"/>
      <c r="U791" s="1"/>
      <c r="V791" s="1"/>
      <c r="W791" s="1"/>
      <c r="X791" s="1"/>
    </row>
    <row r="792">
      <c r="A792" s="1"/>
      <c r="B792" s="1"/>
      <c r="C792" s="2"/>
      <c r="D792" s="1"/>
      <c r="E792" s="1"/>
      <c r="F792" s="1"/>
      <c r="G792" s="1"/>
      <c r="H792" s="2"/>
      <c r="I792" s="2"/>
      <c r="J792" s="1"/>
      <c r="K792" s="1"/>
      <c r="L792" s="1"/>
      <c r="M792" s="1"/>
      <c r="N792" s="1"/>
      <c r="O792" s="1"/>
      <c r="P792" s="1"/>
      <c r="Q792" s="1"/>
      <c r="R792" s="1"/>
      <c r="S792" s="1"/>
      <c r="T792" s="1"/>
      <c r="U792" s="1"/>
      <c r="V792" s="1"/>
      <c r="W792" s="1"/>
      <c r="X792" s="1"/>
    </row>
    <row r="793">
      <c r="A793" s="1"/>
      <c r="B793" s="1"/>
      <c r="C793" s="2"/>
      <c r="D793" s="1"/>
      <c r="E793" s="1"/>
      <c r="F793" s="1"/>
      <c r="G793" s="1"/>
      <c r="H793" s="2"/>
      <c r="I793" s="2"/>
      <c r="J793" s="1"/>
      <c r="K793" s="1"/>
      <c r="L793" s="1"/>
      <c r="M793" s="1"/>
      <c r="N793" s="1"/>
      <c r="O793" s="1"/>
      <c r="P793" s="1"/>
      <c r="Q793" s="1"/>
      <c r="R793" s="1"/>
      <c r="S793" s="1"/>
      <c r="T793" s="1"/>
      <c r="U793" s="1"/>
      <c r="V793" s="1"/>
      <c r="W793" s="1"/>
      <c r="X793" s="1"/>
    </row>
    <row r="794">
      <c r="A794" s="1"/>
      <c r="B794" s="1"/>
      <c r="C794" s="2"/>
      <c r="D794" s="1"/>
      <c r="E794" s="1"/>
      <c r="F794" s="1"/>
      <c r="G794" s="1"/>
      <c r="H794" s="2"/>
      <c r="I794" s="2"/>
      <c r="J794" s="1"/>
      <c r="K794" s="1"/>
      <c r="L794" s="1"/>
      <c r="M794" s="1"/>
      <c r="N794" s="1"/>
      <c r="O794" s="1"/>
      <c r="P794" s="1"/>
      <c r="Q794" s="1"/>
      <c r="R794" s="1"/>
      <c r="S794" s="1"/>
      <c r="T794" s="1"/>
      <c r="U794" s="1"/>
      <c r="V794" s="1"/>
      <c r="W794" s="1"/>
      <c r="X794" s="1"/>
    </row>
    <row r="795">
      <c r="A795" s="1"/>
      <c r="B795" s="1"/>
      <c r="C795" s="2"/>
      <c r="D795" s="1"/>
      <c r="E795" s="1"/>
      <c r="F795" s="1"/>
      <c r="G795" s="1"/>
      <c r="H795" s="2"/>
      <c r="I795" s="2"/>
      <c r="J795" s="1"/>
      <c r="K795" s="1"/>
      <c r="L795" s="1"/>
      <c r="M795" s="1"/>
      <c r="N795" s="1"/>
      <c r="O795" s="1"/>
      <c r="P795" s="1"/>
      <c r="Q795" s="1"/>
      <c r="R795" s="1"/>
      <c r="S795" s="1"/>
      <c r="T795" s="1"/>
      <c r="U795" s="1"/>
      <c r="V795" s="1"/>
      <c r="W795" s="1"/>
      <c r="X795" s="1"/>
    </row>
    <row r="796">
      <c r="A796" s="1"/>
      <c r="B796" s="1"/>
      <c r="C796" s="2"/>
      <c r="D796" s="1"/>
      <c r="E796" s="1"/>
      <c r="F796" s="1"/>
      <c r="G796" s="1"/>
      <c r="H796" s="2"/>
      <c r="I796" s="2"/>
      <c r="J796" s="1"/>
      <c r="K796" s="1"/>
      <c r="L796" s="1"/>
      <c r="M796" s="1"/>
      <c r="N796" s="1"/>
      <c r="O796" s="1"/>
      <c r="P796" s="1"/>
      <c r="Q796" s="1"/>
      <c r="R796" s="1"/>
      <c r="S796" s="1"/>
      <c r="T796" s="1"/>
      <c r="U796" s="1"/>
      <c r="V796" s="1"/>
      <c r="W796" s="1"/>
      <c r="X796" s="1"/>
    </row>
    <row r="797">
      <c r="A797" s="1"/>
      <c r="B797" s="1"/>
      <c r="C797" s="2"/>
      <c r="D797" s="1"/>
      <c r="E797" s="1"/>
      <c r="F797" s="1"/>
      <c r="G797" s="1"/>
      <c r="H797" s="2"/>
      <c r="I797" s="2"/>
      <c r="J797" s="1"/>
      <c r="K797" s="1"/>
      <c r="L797" s="1"/>
      <c r="M797" s="1"/>
      <c r="N797" s="1"/>
      <c r="O797" s="1"/>
      <c r="P797" s="1"/>
      <c r="Q797" s="1"/>
      <c r="R797" s="1"/>
      <c r="S797" s="1"/>
      <c r="T797" s="1"/>
      <c r="U797" s="1"/>
      <c r="V797" s="1"/>
      <c r="W797" s="1"/>
      <c r="X797" s="1"/>
    </row>
    <row r="798">
      <c r="A798" s="1"/>
      <c r="B798" s="1"/>
      <c r="C798" s="2"/>
      <c r="D798" s="1"/>
      <c r="E798" s="1"/>
      <c r="F798" s="1"/>
      <c r="G798" s="1"/>
      <c r="H798" s="2"/>
      <c r="I798" s="2"/>
      <c r="J798" s="1"/>
      <c r="K798" s="1"/>
      <c r="L798" s="1"/>
      <c r="M798" s="1"/>
      <c r="N798" s="1"/>
      <c r="O798" s="1"/>
      <c r="P798" s="1"/>
      <c r="Q798" s="1"/>
      <c r="R798" s="1"/>
      <c r="S798" s="1"/>
      <c r="T798" s="1"/>
      <c r="U798" s="1"/>
      <c r="V798" s="1"/>
      <c r="W798" s="1"/>
      <c r="X798" s="1"/>
    </row>
    <row r="799">
      <c r="A799" s="1"/>
      <c r="B799" s="1"/>
      <c r="C799" s="2"/>
      <c r="D799" s="1"/>
      <c r="E799" s="1"/>
      <c r="F799" s="1"/>
      <c r="G799" s="1"/>
      <c r="H799" s="2"/>
      <c r="I799" s="2"/>
      <c r="J799" s="1"/>
      <c r="K799" s="1"/>
      <c r="L799" s="1"/>
      <c r="M799" s="1"/>
      <c r="N799" s="1"/>
      <c r="O799" s="1"/>
      <c r="P799" s="1"/>
      <c r="Q799" s="1"/>
      <c r="R799" s="1"/>
      <c r="S799" s="1"/>
      <c r="T799" s="1"/>
      <c r="U799" s="1"/>
      <c r="V799" s="1"/>
      <c r="W799" s="1"/>
      <c r="X799" s="1"/>
    </row>
    <row r="800">
      <c r="A800" s="1"/>
      <c r="B800" s="1"/>
      <c r="C800" s="2"/>
      <c r="D800" s="1"/>
      <c r="E800" s="1"/>
      <c r="F800" s="1"/>
      <c r="G800" s="1"/>
      <c r="H800" s="2"/>
      <c r="I800" s="2"/>
      <c r="J800" s="1"/>
      <c r="K800" s="1"/>
      <c r="L800" s="1"/>
      <c r="M800" s="1"/>
      <c r="N800" s="1"/>
      <c r="O800" s="1"/>
      <c r="P800" s="1"/>
      <c r="Q800" s="1"/>
      <c r="R800" s="1"/>
      <c r="S800" s="1"/>
      <c r="T800" s="1"/>
      <c r="U800" s="1"/>
      <c r="V800" s="1"/>
      <c r="W800" s="1"/>
      <c r="X800" s="1"/>
    </row>
    <row r="801">
      <c r="A801" s="1"/>
      <c r="B801" s="1"/>
      <c r="C801" s="2"/>
      <c r="D801" s="1"/>
      <c r="E801" s="1"/>
      <c r="F801" s="1"/>
      <c r="G801" s="1"/>
      <c r="H801" s="2"/>
      <c r="I801" s="2"/>
      <c r="J801" s="1"/>
      <c r="K801" s="1"/>
      <c r="L801" s="1"/>
      <c r="M801" s="1"/>
      <c r="N801" s="1"/>
      <c r="O801" s="1"/>
      <c r="P801" s="1"/>
      <c r="Q801" s="1"/>
      <c r="R801" s="1"/>
      <c r="S801" s="1"/>
      <c r="T801" s="1"/>
      <c r="U801" s="1"/>
      <c r="V801" s="1"/>
      <c r="W801" s="1"/>
      <c r="X801" s="1"/>
    </row>
    <row r="802">
      <c r="A802" s="1"/>
      <c r="B802" s="1"/>
      <c r="C802" s="2"/>
      <c r="D802" s="1"/>
      <c r="E802" s="1"/>
      <c r="F802" s="1"/>
      <c r="G802" s="1"/>
      <c r="H802" s="2"/>
      <c r="I802" s="2"/>
      <c r="J802" s="1"/>
      <c r="K802" s="1"/>
      <c r="L802" s="1"/>
      <c r="M802" s="1"/>
      <c r="N802" s="1"/>
      <c r="O802" s="1"/>
      <c r="P802" s="1"/>
      <c r="Q802" s="1"/>
      <c r="R802" s="1"/>
      <c r="S802" s="1"/>
      <c r="T802" s="1"/>
      <c r="U802" s="1"/>
      <c r="V802" s="1"/>
      <c r="W802" s="1"/>
      <c r="X802" s="1"/>
    </row>
    <row r="803">
      <c r="A803" s="1"/>
      <c r="B803" s="1"/>
      <c r="C803" s="2"/>
      <c r="D803" s="1"/>
      <c r="E803" s="1"/>
      <c r="F803" s="1"/>
      <c r="G803" s="1"/>
      <c r="H803" s="2"/>
      <c r="I803" s="2"/>
      <c r="J803" s="1"/>
      <c r="K803" s="1"/>
      <c r="L803" s="1"/>
      <c r="M803" s="1"/>
      <c r="N803" s="1"/>
      <c r="O803" s="1"/>
      <c r="P803" s="1"/>
      <c r="Q803" s="1"/>
      <c r="R803" s="1"/>
      <c r="S803" s="1"/>
      <c r="T803" s="1"/>
      <c r="U803" s="1"/>
      <c r="V803" s="1"/>
      <c r="W803" s="1"/>
      <c r="X803" s="1"/>
    </row>
    <row r="804">
      <c r="A804" s="1"/>
      <c r="B804" s="1"/>
      <c r="C804" s="2"/>
      <c r="D804" s="1"/>
      <c r="E804" s="1"/>
      <c r="F804" s="1"/>
      <c r="G804" s="1"/>
      <c r="H804" s="2"/>
      <c r="I804" s="2"/>
      <c r="J804" s="1"/>
      <c r="K804" s="1"/>
      <c r="L804" s="1"/>
      <c r="M804" s="1"/>
      <c r="N804" s="1"/>
      <c r="O804" s="1"/>
      <c r="P804" s="1"/>
      <c r="Q804" s="1"/>
      <c r="R804" s="1"/>
      <c r="S804" s="1"/>
      <c r="T804" s="1"/>
      <c r="U804" s="1"/>
      <c r="V804" s="1"/>
      <c r="W804" s="1"/>
      <c r="X804" s="1"/>
    </row>
    <row r="805">
      <c r="A805" s="1"/>
      <c r="B805" s="1"/>
      <c r="C805" s="2"/>
      <c r="D805" s="1"/>
      <c r="E805" s="1"/>
      <c r="F805" s="1"/>
      <c r="G805" s="1"/>
      <c r="H805" s="2"/>
      <c r="I805" s="2"/>
      <c r="J805" s="1"/>
      <c r="K805" s="1"/>
      <c r="L805" s="1"/>
      <c r="M805" s="1"/>
      <c r="N805" s="1"/>
      <c r="O805" s="1"/>
      <c r="P805" s="1"/>
      <c r="Q805" s="1"/>
      <c r="R805" s="1"/>
      <c r="S805" s="1"/>
      <c r="T805" s="1"/>
      <c r="U805" s="1"/>
      <c r="V805" s="1"/>
      <c r="W805" s="1"/>
      <c r="X805" s="1"/>
    </row>
    <row r="806">
      <c r="A806" s="1"/>
      <c r="B806" s="1"/>
      <c r="C806" s="2"/>
      <c r="D806" s="1"/>
      <c r="E806" s="1"/>
      <c r="F806" s="1"/>
      <c r="G806" s="1"/>
      <c r="H806" s="2"/>
      <c r="I806" s="2"/>
      <c r="J806" s="1"/>
      <c r="K806" s="1"/>
      <c r="L806" s="1"/>
      <c r="M806" s="1"/>
      <c r="N806" s="1"/>
      <c r="O806" s="1"/>
      <c r="P806" s="1"/>
      <c r="Q806" s="1"/>
      <c r="R806" s="1"/>
      <c r="S806" s="1"/>
      <c r="T806" s="1"/>
      <c r="U806" s="1"/>
      <c r="V806" s="1"/>
      <c r="W806" s="1"/>
      <c r="X806" s="1"/>
    </row>
    <row r="807">
      <c r="A807" s="1"/>
      <c r="B807" s="1"/>
      <c r="C807" s="2"/>
      <c r="D807" s="1"/>
      <c r="E807" s="1"/>
      <c r="F807" s="1"/>
      <c r="G807" s="1"/>
      <c r="H807" s="2"/>
      <c r="I807" s="2"/>
      <c r="J807" s="1"/>
      <c r="K807" s="1"/>
      <c r="L807" s="1"/>
      <c r="M807" s="1"/>
      <c r="N807" s="1"/>
      <c r="O807" s="1"/>
      <c r="P807" s="1"/>
      <c r="Q807" s="1"/>
      <c r="R807" s="1"/>
      <c r="S807" s="1"/>
      <c r="T807" s="1"/>
      <c r="U807" s="1"/>
      <c r="V807" s="1"/>
      <c r="W807" s="1"/>
      <c r="X807" s="1"/>
    </row>
    <row r="808">
      <c r="A808" s="1"/>
      <c r="B808" s="1"/>
      <c r="C808" s="2"/>
      <c r="D808" s="1"/>
      <c r="E808" s="1"/>
      <c r="F808" s="1"/>
      <c r="G808" s="1"/>
      <c r="H808" s="2"/>
      <c r="I808" s="2"/>
      <c r="J808" s="1"/>
      <c r="K808" s="1"/>
      <c r="L808" s="1"/>
      <c r="M808" s="1"/>
      <c r="N808" s="1"/>
      <c r="O808" s="1"/>
      <c r="P808" s="1"/>
      <c r="Q808" s="1"/>
      <c r="R808" s="1"/>
      <c r="S808" s="1"/>
      <c r="T808" s="1"/>
      <c r="U808" s="1"/>
      <c r="V808" s="1"/>
      <c r="W808" s="1"/>
      <c r="X808" s="1"/>
    </row>
    <row r="809">
      <c r="A809" s="1"/>
      <c r="B809" s="1"/>
      <c r="C809" s="2"/>
      <c r="D809" s="1"/>
      <c r="E809" s="1"/>
      <c r="F809" s="1"/>
      <c r="G809" s="1"/>
      <c r="H809" s="2"/>
      <c r="I809" s="2"/>
      <c r="J809" s="1"/>
      <c r="K809" s="1"/>
      <c r="L809" s="1"/>
      <c r="M809" s="1"/>
      <c r="N809" s="1"/>
      <c r="O809" s="1"/>
      <c r="P809" s="1"/>
      <c r="Q809" s="1"/>
      <c r="R809" s="1"/>
      <c r="S809" s="1"/>
      <c r="T809" s="1"/>
      <c r="U809" s="1"/>
      <c r="V809" s="1"/>
      <c r="W809" s="1"/>
      <c r="X809" s="1"/>
    </row>
    <row r="810">
      <c r="A810" s="1"/>
      <c r="B810" s="1"/>
      <c r="C810" s="2"/>
      <c r="D810" s="1"/>
      <c r="E810" s="1"/>
      <c r="F810" s="1"/>
      <c r="G810" s="1"/>
      <c r="H810" s="2"/>
      <c r="I810" s="2"/>
      <c r="J810" s="1"/>
      <c r="K810" s="1"/>
      <c r="L810" s="1"/>
      <c r="M810" s="1"/>
      <c r="N810" s="1"/>
      <c r="O810" s="1"/>
      <c r="P810" s="1"/>
      <c r="Q810" s="1"/>
      <c r="R810" s="1"/>
      <c r="S810" s="1"/>
      <c r="T810" s="1"/>
      <c r="U810" s="1"/>
      <c r="V810" s="1"/>
      <c r="W810" s="1"/>
      <c r="X810" s="1"/>
    </row>
    <row r="811">
      <c r="A811" s="1"/>
      <c r="B811" s="1"/>
      <c r="C811" s="2"/>
      <c r="D811" s="1"/>
      <c r="E811" s="1"/>
      <c r="F811" s="1"/>
      <c r="G811" s="1"/>
      <c r="H811" s="2"/>
      <c r="I811" s="2"/>
      <c r="J811" s="1"/>
      <c r="K811" s="1"/>
      <c r="L811" s="1"/>
      <c r="M811" s="1"/>
      <c r="N811" s="1"/>
      <c r="O811" s="1"/>
      <c r="P811" s="1"/>
      <c r="Q811" s="1"/>
      <c r="R811" s="1"/>
      <c r="S811" s="1"/>
      <c r="T811" s="1"/>
      <c r="U811" s="1"/>
      <c r="V811" s="1"/>
      <c r="W811" s="1"/>
      <c r="X811" s="1"/>
    </row>
    <row r="812">
      <c r="A812" s="1"/>
      <c r="B812" s="1"/>
      <c r="C812" s="2"/>
      <c r="D812" s="1"/>
      <c r="E812" s="1"/>
      <c r="F812" s="1"/>
      <c r="G812" s="1"/>
      <c r="H812" s="2"/>
      <c r="I812" s="2"/>
      <c r="J812" s="1"/>
      <c r="K812" s="1"/>
      <c r="L812" s="1"/>
      <c r="M812" s="1"/>
      <c r="N812" s="1"/>
      <c r="O812" s="1"/>
      <c r="P812" s="1"/>
      <c r="Q812" s="1"/>
      <c r="R812" s="1"/>
      <c r="S812" s="1"/>
      <c r="T812" s="1"/>
      <c r="U812" s="1"/>
      <c r="V812" s="1"/>
      <c r="W812" s="1"/>
      <c r="X812" s="1"/>
    </row>
    <row r="813">
      <c r="A813" s="1"/>
      <c r="B813" s="1"/>
      <c r="C813" s="2"/>
      <c r="D813" s="1"/>
      <c r="E813" s="1"/>
      <c r="F813" s="1"/>
      <c r="G813" s="1"/>
      <c r="H813" s="2"/>
      <c r="I813" s="2"/>
      <c r="J813" s="1"/>
      <c r="K813" s="1"/>
      <c r="L813" s="1"/>
      <c r="M813" s="1"/>
      <c r="N813" s="1"/>
      <c r="O813" s="1"/>
      <c r="P813" s="1"/>
      <c r="Q813" s="1"/>
      <c r="R813" s="1"/>
      <c r="S813" s="1"/>
      <c r="T813" s="1"/>
      <c r="U813" s="1"/>
      <c r="V813" s="1"/>
      <c r="W813" s="1"/>
      <c r="X813" s="1"/>
    </row>
    <row r="814">
      <c r="A814" s="1"/>
      <c r="B814" s="1"/>
      <c r="C814" s="2"/>
      <c r="D814" s="1"/>
      <c r="E814" s="1"/>
      <c r="F814" s="1"/>
      <c r="G814" s="1"/>
      <c r="H814" s="2"/>
      <c r="I814" s="2"/>
      <c r="J814" s="1"/>
      <c r="K814" s="1"/>
      <c r="L814" s="1"/>
      <c r="M814" s="1"/>
      <c r="N814" s="1"/>
      <c r="O814" s="1"/>
      <c r="P814" s="1"/>
      <c r="Q814" s="1"/>
      <c r="R814" s="1"/>
      <c r="S814" s="1"/>
      <c r="T814" s="1"/>
      <c r="U814" s="1"/>
      <c r="V814" s="1"/>
      <c r="W814" s="1"/>
      <c r="X814" s="1"/>
    </row>
    <row r="815">
      <c r="A815" s="1"/>
      <c r="B815" s="1"/>
      <c r="C815" s="2"/>
      <c r="D815" s="1"/>
      <c r="E815" s="1"/>
      <c r="F815" s="1"/>
      <c r="G815" s="1"/>
      <c r="H815" s="2"/>
      <c r="I815" s="2"/>
      <c r="J815" s="1"/>
      <c r="K815" s="1"/>
      <c r="L815" s="1"/>
      <c r="M815" s="1"/>
      <c r="N815" s="1"/>
      <c r="O815" s="1"/>
      <c r="P815" s="1"/>
      <c r="Q815" s="1"/>
      <c r="R815" s="1"/>
      <c r="S815" s="1"/>
      <c r="T815" s="1"/>
      <c r="U815" s="1"/>
      <c r="V815" s="1"/>
      <c r="W815" s="1"/>
      <c r="X815" s="1"/>
    </row>
    <row r="816">
      <c r="A816" s="1"/>
      <c r="B816" s="1"/>
      <c r="C816" s="2"/>
      <c r="D816" s="1"/>
      <c r="E816" s="1"/>
      <c r="F816" s="1"/>
      <c r="G816" s="1"/>
      <c r="H816" s="2"/>
      <c r="I816" s="2"/>
      <c r="J816" s="1"/>
      <c r="K816" s="1"/>
      <c r="L816" s="1"/>
      <c r="M816" s="1"/>
      <c r="N816" s="1"/>
      <c r="O816" s="1"/>
      <c r="P816" s="1"/>
      <c r="Q816" s="1"/>
      <c r="R816" s="1"/>
      <c r="S816" s="1"/>
      <c r="T816" s="1"/>
      <c r="U816" s="1"/>
      <c r="V816" s="1"/>
      <c r="W816" s="1"/>
      <c r="X816" s="1"/>
    </row>
    <row r="817">
      <c r="A817" s="1"/>
      <c r="B817" s="1"/>
      <c r="C817" s="2"/>
      <c r="D817" s="1"/>
      <c r="E817" s="1"/>
      <c r="F817" s="1"/>
      <c r="G817" s="1"/>
      <c r="H817" s="2"/>
      <c r="I817" s="2"/>
      <c r="J817" s="1"/>
      <c r="K817" s="1"/>
      <c r="L817" s="1"/>
      <c r="M817" s="1"/>
      <c r="N817" s="1"/>
      <c r="O817" s="1"/>
      <c r="P817" s="1"/>
      <c r="Q817" s="1"/>
      <c r="R817" s="1"/>
      <c r="S817" s="1"/>
      <c r="T817" s="1"/>
      <c r="U817" s="1"/>
      <c r="V817" s="1"/>
      <c r="W817" s="1"/>
      <c r="X817" s="1"/>
    </row>
    <row r="818">
      <c r="A818" s="1"/>
      <c r="B818" s="1"/>
      <c r="C818" s="2"/>
      <c r="D818" s="1"/>
      <c r="E818" s="1"/>
      <c r="F818" s="1"/>
      <c r="G818" s="1"/>
      <c r="H818" s="2"/>
      <c r="I818" s="2"/>
      <c r="J818" s="1"/>
      <c r="K818" s="1"/>
      <c r="L818" s="1"/>
      <c r="M818" s="1"/>
      <c r="N818" s="1"/>
      <c r="O818" s="1"/>
      <c r="P818" s="1"/>
      <c r="Q818" s="1"/>
      <c r="R818" s="1"/>
      <c r="S818" s="1"/>
      <c r="T818" s="1"/>
      <c r="U818" s="1"/>
      <c r="V818" s="1"/>
      <c r="W818" s="1"/>
      <c r="X818" s="1"/>
    </row>
    <row r="819">
      <c r="A819" s="1"/>
      <c r="B819" s="1"/>
      <c r="C819" s="2"/>
      <c r="D819" s="1"/>
      <c r="E819" s="1"/>
      <c r="F819" s="1"/>
      <c r="G819" s="1"/>
      <c r="H819" s="2"/>
      <c r="I819" s="2"/>
      <c r="J819" s="1"/>
      <c r="K819" s="1"/>
      <c r="L819" s="1"/>
      <c r="M819" s="1"/>
      <c r="N819" s="1"/>
      <c r="O819" s="1"/>
      <c r="P819" s="1"/>
      <c r="Q819" s="1"/>
      <c r="R819" s="1"/>
      <c r="S819" s="1"/>
      <c r="T819" s="1"/>
      <c r="U819" s="1"/>
      <c r="V819" s="1"/>
      <c r="W819" s="1"/>
      <c r="X819" s="1"/>
    </row>
    <row r="820">
      <c r="A820" s="1"/>
      <c r="B820" s="1"/>
      <c r="C820" s="2"/>
      <c r="D820" s="1"/>
      <c r="E820" s="1"/>
      <c r="F820" s="1"/>
      <c r="G820" s="1"/>
      <c r="H820" s="2"/>
      <c r="I820" s="2"/>
      <c r="J820" s="1"/>
      <c r="K820" s="1"/>
      <c r="L820" s="1"/>
      <c r="M820" s="1"/>
      <c r="N820" s="1"/>
      <c r="O820" s="1"/>
      <c r="P820" s="1"/>
      <c r="Q820" s="1"/>
      <c r="R820" s="1"/>
      <c r="S820" s="1"/>
      <c r="T820" s="1"/>
      <c r="U820" s="1"/>
      <c r="V820" s="1"/>
      <c r="W820" s="1"/>
      <c r="X820" s="1"/>
    </row>
    <row r="821">
      <c r="A821" s="1"/>
      <c r="B821" s="1"/>
      <c r="C821" s="2"/>
      <c r="D821" s="1"/>
      <c r="E821" s="1"/>
      <c r="F821" s="1"/>
      <c r="G821" s="1"/>
      <c r="H821" s="2"/>
      <c r="I821" s="2"/>
      <c r="J821" s="1"/>
      <c r="K821" s="1"/>
      <c r="L821" s="1"/>
      <c r="M821" s="1"/>
      <c r="N821" s="1"/>
      <c r="O821" s="1"/>
      <c r="P821" s="1"/>
      <c r="Q821" s="1"/>
      <c r="R821" s="1"/>
      <c r="S821" s="1"/>
      <c r="T821" s="1"/>
      <c r="U821" s="1"/>
      <c r="V821" s="1"/>
      <c r="W821" s="1"/>
      <c r="X821" s="1"/>
    </row>
    <row r="822">
      <c r="A822" s="1"/>
      <c r="B822" s="1"/>
      <c r="C822" s="2"/>
      <c r="D822" s="1"/>
      <c r="E822" s="1"/>
      <c r="F822" s="1"/>
      <c r="G822" s="1"/>
      <c r="H822" s="2"/>
      <c r="I822" s="2"/>
      <c r="J822" s="1"/>
      <c r="K822" s="1"/>
      <c r="L822" s="1"/>
      <c r="M822" s="1"/>
      <c r="N822" s="1"/>
      <c r="O822" s="1"/>
      <c r="P822" s="1"/>
      <c r="Q822" s="1"/>
      <c r="R822" s="1"/>
      <c r="S822" s="1"/>
      <c r="T822" s="1"/>
      <c r="U822" s="1"/>
      <c r="V822" s="1"/>
      <c r="W822" s="1"/>
      <c r="X822" s="1"/>
    </row>
    <row r="823">
      <c r="A823" s="1"/>
      <c r="B823" s="1"/>
      <c r="C823" s="2"/>
      <c r="D823" s="1"/>
      <c r="E823" s="1"/>
      <c r="F823" s="1"/>
      <c r="G823" s="1"/>
      <c r="H823" s="2"/>
      <c r="I823" s="2"/>
      <c r="J823" s="1"/>
      <c r="K823" s="1"/>
      <c r="L823" s="1"/>
      <c r="M823" s="1"/>
      <c r="N823" s="1"/>
      <c r="O823" s="1"/>
      <c r="P823" s="1"/>
      <c r="Q823" s="1"/>
      <c r="R823" s="1"/>
      <c r="S823" s="1"/>
      <c r="T823" s="1"/>
      <c r="U823" s="1"/>
      <c r="V823" s="1"/>
      <c r="W823" s="1"/>
      <c r="X823" s="1"/>
    </row>
    <row r="824">
      <c r="A824" s="1"/>
      <c r="B824" s="1"/>
      <c r="C824" s="2"/>
      <c r="D824" s="1"/>
      <c r="E824" s="1"/>
      <c r="F824" s="1"/>
      <c r="G824" s="1"/>
      <c r="H824" s="2"/>
      <c r="I824" s="2"/>
      <c r="J824" s="1"/>
      <c r="K824" s="1"/>
      <c r="L824" s="1"/>
      <c r="M824" s="1"/>
      <c r="N824" s="1"/>
      <c r="O824" s="1"/>
      <c r="P824" s="1"/>
      <c r="Q824" s="1"/>
      <c r="R824" s="1"/>
      <c r="S824" s="1"/>
      <c r="T824" s="1"/>
      <c r="U824" s="1"/>
      <c r="V824" s="1"/>
      <c r="W824" s="1"/>
      <c r="X824" s="1"/>
    </row>
    <row r="825">
      <c r="A825" s="1"/>
      <c r="B825" s="1"/>
      <c r="C825" s="2"/>
      <c r="D825" s="1"/>
      <c r="E825" s="1"/>
      <c r="F825" s="1"/>
      <c r="G825" s="1"/>
      <c r="H825" s="2"/>
      <c r="I825" s="2"/>
      <c r="J825" s="1"/>
      <c r="K825" s="1"/>
      <c r="L825" s="1"/>
      <c r="M825" s="1"/>
      <c r="N825" s="1"/>
      <c r="O825" s="1"/>
      <c r="P825" s="1"/>
      <c r="Q825" s="1"/>
      <c r="R825" s="1"/>
      <c r="S825" s="1"/>
      <c r="T825" s="1"/>
      <c r="U825" s="1"/>
      <c r="V825" s="1"/>
      <c r="W825" s="1"/>
      <c r="X825" s="1"/>
    </row>
    <row r="826">
      <c r="A826" s="1"/>
      <c r="B826" s="1"/>
      <c r="C826" s="2"/>
      <c r="D826" s="1"/>
      <c r="E826" s="1"/>
      <c r="F826" s="1"/>
      <c r="G826" s="1"/>
      <c r="H826" s="2"/>
      <c r="I826" s="2"/>
      <c r="J826" s="1"/>
      <c r="K826" s="1"/>
      <c r="L826" s="1"/>
      <c r="M826" s="1"/>
      <c r="N826" s="1"/>
      <c r="O826" s="1"/>
      <c r="P826" s="1"/>
      <c r="Q826" s="1"/>
      <c r="R826" s="1"/>
      <c r="S826" s="1"/>
      <c r="T826" s="1"/>
      <c r="U826" s="1"/>
      <c r="V826" s="1"/>
      <c r="W826" s="1"/>
      <c r="X826" s="1"/>
    </row>
    <row r="827">
      <c r="A827" s="1"/>
      <c r="B827" s="1"/>
      <c r="C827" s="2"/>
      <c r="D827" s="1"/>
      <c r="E827" s="1"/>
      <c r="F827" s="1"/>
      <c r="G827" s="1"/>
      <c r="H827" s="2"/>
      <c r="I827" s="2"/>
      <c r="J827" s="1"/>
      <c r="K827" s="1"/>
      <c r="L827" s="1"/>
      <c r="M827" s="1"/>
      <c r="N827" s="1"/>
      <c r="O827" s="1"/>
      <c r="P827" s="1"/>
      <c r="Q827" s="1"/>
      <c r="R827" s="1"/>
      <c r="S827" s="1"/>
      <c r="T827" s="1"/>
      <c r="U827" s="1"/>
      <c r="V827" s="1"/>
      <c r="W827" s="1"/>
      <c r="X827" s="1"/>
    </row>
    <row r="828">
      <c r="A828" s="1"/>
      <c r="B828" s="1"/>
      <c r="C828" s="2"/>
      <c r="D828" s="1"/>
      <c r="E828" s="1"/>
      <c r="F828" s="1"/>
      <c r="G828" s="1"/>
      <c r="H828" s="2"/>
      <c r="I828" s="2"/>
      <c r="J828" s="1"/>
      <c r="K828" s="1"/>
      <c r="L828" s="1"/>
      <c r="M828" s="1"/>
      <c r="N828" s="1"/>
      <c r="O828" s="1"/>
      <c r="P828" s="1"/>
      <c r="Q828" s="1"/>
      <c r="R828" s="1"/>
      <c r="S828" s="1"/>
      <c r="T828" s="1"/>
      <c r="U828" s="1"/>
      <c r="V828" s="1"/>
      <c r="W828" s="1"/>
      <c r="X828" s="1"/>
    </row>
    <row r="829">
      <c r="A829" s="1"/>
      <c r="B829" s="1"/>
      <c r="C829" s="2"/>
      <c r="D829" s="1"/>
      <c r="E829" s="1"/>
      <c r="F829" s="1"/>
      <c r="G829" s="1"/>
      <c r="H829" s="2"/>
      <c r="I829" s="2"/>
      <c r="J829" s="1"/>
      <c r="K829" s="1"/>
      <c r="L829" s="1"/>
      <c r="M829" s="1"/>
      <c r="N829" s="1"/>
      <c r="O829" s="1"/>
      <c r="P829" s="1"/>
      <c r="Q829" s="1"/>
      <c r="R829" s="1"/>
      <c r="S829" s="1"/>
      <c r="T829" s="1"/>
      <c r="U829" s="1"/>
      <c r="V829" s="1"/>
      <c r="W829" s="1"/>
      <c r="X829" s="1"/>
    </row>
    <row r="830">
      <c r="A830" s="1"/>
      <c r="B830" s="1"/>
      <c r="C830" s="2"/>
      <c r="D830" s="1"/>
      <c r="E830" s="1"/>
      <c r="F830" s="1"/>
      <c r="G830" s="1"/>
      <c r="H830" s="2"/>
      <c r="I830" s="2"/>
      <c r="J830" s="1"/>
      <c r="K830" s="1"/>
      <c r="L830" s="1"/>
      <c r="M830" s="1"/>
      <c r="N830" s="1"/>
      <c r="O830" s="1"/>
      <c r="P830" s="1"/>
      <c r="Q830" s="1"/>
      <c r="R830" s="1"/>
      <c r="S830" s="1"/>
      <c r="T830" s="1"/>
      <c r="U830" s="1"/>
      <c r="V830" s="1"/>
      <c r="W830" s="1"/>
      <c r="X830" s="1"/>
    </row>
    <row r="831">
      <c r="A831" s="1"/>
      <c r="B831" s="1"/>
      <c r="C831" s="2"/>
      <c r="D831" s="1"/>
      <c r="E831" s="1"/>
      <c r="F831" s="1"/>
      <c r="G831" s="1"/>
      <c r="H831" s="2"/>
      <c r="I831" s="2"/>
      <c r="J831" s="1"/>
      <c r="K831" s="1"/>
      <c r="L831" s="1"/>
      <c r="M831" s="1"/>
      <c r="N831" s="1"/>
      <c r="O831" s="1"/>
      <c r="P831" s="1"/>
      <c r="Q831" s="1"/>
      <c r="R831" s="1"/>
      <c r="S831" s="1"/>
      <c r="T831" s="1"/>
      <c r="U831" s="1"/>
      <c r="V831" s="1"/>
      <c r="W831" s="1"/>
      <c r="X831" s="1"/>
    </row>
    <row r="832">
      <c r="A832" s="1"/>
      <c r="B832" s="1"/>
      <c r="C832" s="2"/>
      <c r="D832" s="1"/>
      <c r="E832" s="1"/>
      <c r="F832" s="1"/>
      <c r="G832" s="1"/>
      <c r="H832" s="2"/>
      <c r="I832" s="2"/>
      <c r="J832" s="1"/>
      <c r="K832" s="1"/>
      <c r="L832" s="1"/>
      <c r="M832" s="1"/>
      <c r="N832" s="1"/>
      <c r="O832" s="1"/>
      <c r="P832" s="1"/>
      <c r="Q832" s="1"/>
      <c r="R832" s="1"/>
      <c r="S832" s="1"/>
      <c r="T832" s="1"/>
      <c r="U832" s="1"/>
      <c r="V832" s="1"/>
      <c r="W832" s="1"/>
      <c r="X832" s="1"/>
    </row>
    <row r="833">
      <c r="A833" s="1"/>
      <c r="B833" s="1"/>
      <c r="C833" s="2"/>
      <c r="D833" s="1"/>
      <c r="E833" s="1"/>
      <c r="F833" s="1"/>
      <c r="G833" s="1"/>
      <c r="H833" s="2"/>
      <c r="I833" s="2"/>
      <c r="J833" s="1"/>
      <c r="K833" s="1"/>
      <c r="L833" s="1"/>
      <c r="M833" s="1"/>
      <c r="N833" s="1"/>
      <c r="O833" s="1"/>
      <c r="P833" s="1"/>
      <c r="Q833" s="1"/>
      <c r="R833" s="1"/>
      <c r="S833" s="1"/>
      <c r="T833" s="1"/>
      <c r="U833" s="1"/>
      <c r="V833" s="1"/>
      <c r="W833" s="1"/>
      <c r="X833" s="1"/>
    </row>
    <row r="834">
      <c r="A834" s="1"/>
      <c r="B834" s="1"/>
      <c r="C834" s="2"/>
      <c r="D834" s="1"/>
      <c r="E834" s="1"/>
      <c r="F834" s="1"/>
      <c r="G834" s="1"/>
      <c r="H834" s="2"/>
      <c r="I834" s="2"/>
      <c r="J834" s="1"/>
      <c r="K834" s="1"/>
      <c r="L834" s="1"/>
      <c r="M834" s="1"/>
      <c r="N834" s="1"/>
      <c r="O834" s="1"/>
      <c r="P834" s="1"/>
      <c r="Q834" s="1"/>
      <c r="R834" s="1"/>
      <c r="S834" s="1"/>
      <c r="T834" s="1"/>
      <c r="U834" s="1"/>
      <c r="V834" s="1"/>
      <c r="W834" s="1"/>
      <c r="X834" s="1"/>
    </row>
    <row r="835">
      <c r="A835" s="1"/>
      <c r="B835" s="1"/>
      <c r="C835" s="2"/>
      <c r="D835" s="1"/>
      <c r="E835" s="1"/>
      <c r="F835" s="1"/>
      <c r="G835" s="1"/>
      <c r="H835" s="2"/>
      <c r="I835" s="2"/>
      <c r="J835" s="1"/>
      <c r="K835" s="1"/>
      <c r="L835" s="1"/>
      <c r="M835" s="1"/>
      <c r="N835" s="1"/>
      <c r="O835" s="1"/>
      <c r="P835" s="1"/>
      <c r="Q835" s="1"/>
      <c r="R835" s="1"/>
      <c r="S835" s="1"/>
      <c r="T835" s="1"/>
      <c r="U835" s="1"/>
      <c r="V835" s="1"/>
      <c r="W835" s="1"/>
      <c r="X835" s="1"/>
    </row>
    <row r="836">
      <c r="A836" s="1"/>
      <c r="B836" s="1"/>
      <c r="C836" s="2"/>
      <c r="D836" s="1"/>
      <c r="E836" s="1"/>
      <c r="F836" s="1"/>
      <c r="G836" s="1"/>
      <c r="H836" s="2"/>
      <c r="I836" s="2"/>
      <c r="J836" s="1"/>
      <c r="K836" s="1"/>
      <c r="L836" s="1"/>
      <c r="M836" s="1"/>
      <c r="N836" s="1"/>
      <c r="O836" s="1"/>
      <c r="P836" s="1"/>
      <c r="Q836" s="1"/>
      <c r="R836" s="1"/>
      <c r="S836" s="1"/>
      <c r="T836" s="1"/>
      <c r="U836" s="1"/>
      <c r="V836" s="1"/>
      <c r="W836" s="1"/>
      <c r="X836" s="1"/>
    </row>
    <row r="837">
      <c r="A837" s="1"/>
      <c r="B837" s="1"/>
      <c r="C837" s="2"/>
      <c r="D837" s="1"/>
      <c r="E837" s="1"/>
      <c r="F837" s="1"/>
      <c r="G837" s="1"/>
      <c r="H837" s="2"/>
      <c r="I837" s="2"/>
      <c r="J837" s="1"/>
      <c r="K837" s="1"/>
      <c r="L837" s="1"/>
      <c r="M837" s="1"/>
      <c r="N837" s="1"/>
      <c r="O837" s="1"/>
      <c r="P837" s="1"/>
      <c r="Q837" s="1"/>
      <c r="R837" s="1"/>
      <c r="S837" s="1"/>
      <c r="T837" s="1"/>
      <c r="U837" s="1"/>
      <c r="V837" s="1"/>
      <c r="W837" s="1"/>
      <c r="X837" s="1"/>
    </row>
    <row r="838">
      <c r="A838" s="1"/>
      <c r="B838" s="1"/>
      <c r="C838" s="2"/>
      <c r="D838" s="1"/>
      <c r="E838" s="1"/>
      <c r="F838" s="1"/>
      <c r="G838" s="1"/>
      <c r="H838" s="2"/>
      <c r="I838" s="2"/>
      <c r="J838" s="1"/>
      <c r="K838" s="1"/>
      <c r="L838" s="1"/>
      <c r="M838" s="1"/>
      <c r="N838" s="1"/>
      <c r="O838" s="1"/>
      <c r="P838" s="1"/>
      <c r="Q838" s="1"/>
      <c r="R838" s="1"/>
      <c r="S838" s="1"/>
      <c r="T838" s="1"/>
      <c r="U838" s="1"/>
      <c r="V838" s="1"/>
      <c r="W838" s="1"/>
      <c r="X838" s="1"/>
    </row>
    <row r="839">
      <c r="A839" s="1"/>
      <c r="B839" s="1"/>
      <c r="C839" s="2"/>
      <c r="D839" s="1"/>
      <c r="E839" s="1"/>
      <c r="F839" s="1"/>
      <c r="G839" s="1"/>
      <c r="H839" s="2"/>
      <c r="I839" s="2"/>
      <c r="J839" s="1"/>
      <c r="K839" s="1"/>
      <c r="L839" s="1"/>
      <c r="M839" s="1"/>
      <c r="N839" s="1"/>
      <c r="O839" s="1"/>
      <c r="P839" s="1"/>
      <c r="Q839" s="1"/>
      <c r="R839" s="1"/>
      <c r="S839" s="1"/>
      <c r="T839" s="1"/>
      <c r="U839" s="1"/>
      <c r="V839" s="1"/>
      <c r="W839" s="1"/>
      <c r="X839" s="1"/>
    </row>
    <row r="840">
      <c r="A840" s="1"/>
      <c r="B840" s="1"/>
      <c r="C840" s="2"/>
      <c r="D840" s="1"/>
      <c r="E840" s="1"/>
      <c r="F840" s="1"/>
      <c r="G840" s="1"/>
      <c r="H840" s="2"/>
      <c r="I840" s="2"/>
      <c r="J840" s="1"/>
      <c r="K840" s="1"/>
      <c r="L840" s="1"/>
      <c r="M840" s="1"/>
      <c r="N840" s="1"/>
      <c r="O840" s="1"/>
      <c r="P840" s="1"/>
      <c r="Q840" s="1"/>
      <c r="R840" s="1"/>
      <c r="S840" s="1"/>
      <c r="T840" s="1"/>
      <c r="U840" s="1"/>
      <c r="V840" s="1"/>
      <c r="W840" s="1"/>
      <c r="X840" s="1"/>
    </row>
    <row r="841">
      <c r="A841" s="1"/>
      <c r="B841" s="1"/>
      <c r="C841" s="2"/>
      <c r="D841" s="1"/>
      <c r="E841" s="1"/>
      <c r="F841" s="1"/>
      <c r="G841" s="1"/>
      <c r="H841" s="2"/>
      <c r="I841" s="2"/>
      <c r="J841" s="1"/>
      <c r="K841" s="1"/>
      <c r="L841" s="1"/>
      <c r="M841" s="1"/>
      <c r="N841" s="1"/>
      <c r="O841" s="1"/>
      <c r="P841" s="1"/>
      <c r="Q841" s="1"/>
      <c r="R841" s="1"/>
      <c r="S841" s="1"/>
      <c r="T841" s="1"/>
      <c r="U841" s="1"/>
      <c r="V841" s="1"/>
      <c r="W841" s="1"/>
      <c r="X841" s="1"/>
    </row>
    <row r="842">
      <c r="A842" s="1"/>
      <c r="B842" s="1"/>
      <c r="C842" s="2"/>
      <c r="D842" s="1"/>
      <c r="E842" s="1"/>
      <c r="F842" s="1"/>
      <c r="G842" s="1"/>
      <c r="H842" s="2"/>
      <c r="I842" s="2"/>
      <c r="J842" s="1"/>
      <c r="K842" s="1"/>
      <c r="L842" s="1"/>
      <c r="M842" s="1"/>
      <c r="N842" s="1"/>
      <c r="O842" s="1"/>
      <c r="P842" s="1"/>
      <c r="Q842" s="1"/>
      <c r="R842" s="1"/>
      <c r="S842" s="1"/>
      <c r="T842" s="1"/>
      <c r="U842" s="1"/>
      <c r="V842" s="1"/>
      <c r="W842" s="1"/>
      <c r="X842" s="1"/>
    </row>
    <row r="843">
      <c r="A843" s="1"/>
      <c r="B843" s="1"/>
      <c r="C843" s="2"/>
      <c r="D843" s="1"/>
      <c r="E843" s="1"/>
      <c r="F843" s="1"/>
      <c r="G843" s="1"/>
      <c r="H843" s="2"/>
      <c r="I843" s="2"/>
      <c r="J843" s="1"/>
      <c r="K843" s="1"/>
      <c r="L843" s="1"/>
      <c r="M843" s="1"/>
      <c r="N843" s="1"/>
      <c r="O843" s="1"/>
      <c r="P843" s="1"/>
      <c r="Q843" s="1"/>
      <c r="R843" s="1"/>
      <c r="S843" s="1"/>
      <c r="T843" s="1"/>
      <c r="U843" s="1"/>
      <c r="V843" s="1"/>
      <c r="W843" s="1"/>
      <c r="X843" s="1"/>
    </row>
    <row r="844">
      <c r="A844" s="1"/>
      <c r="B844" s="1"/>
      <c r="C844" s="2"/>
      <c r="D844" s="1"/>
      <c r="E844" s="1"/>
      <c r="F844" s="1"/>
      <c r="G844" s="1"/>
      <c r="H844" s="2"/>
      <c r="I844" s="2"/>
      <c r="J844" s="1"/>
      <c r="K844" s="1"/>
      <c r="L844" s="1"/>
      <c r="M844" s="1"/>
      <c r="N844" s="1"/>
      <c r="O844" s="1"/>
      <c r="P844" s="1"/>
      <c r="Q844" s="1"/>
      <c r="R844" s="1"/>
      <c r="S844" s="1"/>
      <c r="T844" s="1"/>
      <c r="U844" s="1"/>
      <c r="V844" s="1"/>
      <c r="W844" s="1"/>
      <c r="X844" s="1"/>
    </row>
    <row r="845">
      <c r="A845" s="1"/>
      <c r="B845" s="1"/>
      <c r="C845" s="2"/>
      <c r="D845" s="1"/>
      <c r="E845" s="1"/>
      <c r="F845" s="1"/>
      <c r="G845" s="1"/>
      <c r="H845" s="2"/>
      <c r="I845" s="2"/>
      <c r="J845" s="1"/>
      <c r="K845" s="1"/>
      <c r="L845" s="1"/>
      <c r="M845" s="1"/>
      <c r="N845" s="1"/>
      <c r="O845" s="1"/>
      <c r="P845" s="1"/>
      <c r="Q845" s="1"/>
      <c r="R845" s="1"/>
      <c r="S845" s="1"/>
      <c r="T845" s="1"/>
      <c r="U845" s="1"/>
      <c r="V845" s="1"/>
      <c r="W845" s="1"/>
      <c r="X845" s="1"/>
    </row>
    <row r="846">
      <c r="A846" s="1"/>
      <c r="B846" s="1"/>
      <c r="C846" s="2"/>
      <c r="D846" s="1"/>
      <c r="E846" s="1"/>
      <c r="F846" s="1"/>
      <c r="G846" s="1"/>
      <c r="H846" s="2"/>
      <c r="I846" s="2"/>
      <c r="J846" s="1"/>
      <c r="K846" s="1"/>
      <c r="L846" s="1"/>
      <c r="M846" s="1"/>
      <c r="N846" s="1"/>
      <c r="O846" s="1"/>
      <c r="P846" s="1"/>
      <c r="Q846" s="1"/>
      <c r="R846" s="1"/>
      <c r="S846" s="1"/>
      <c r="T846" s="1"/>
      <c r="U846" s="1"/>
      <c r="V846" s="1"/>
      <c r="W846" s="1"/>
      <c r="X846" s="1"/>
    </row>
    <row r="847">
      <c r="A847" s="1"/>
      <c r="B847" s="1"/>
      <c r="C847" s="2"/>
      <c r="D847" s="1"/>
      <c r="E847" s="1"/>
      <c r="F847" s="1"/>
      <c r="G847" s="1"/>
      <c r="H847" s="2"/>
      <c r="I847" s="2"/>
      <c r="J847" s="1"/>
      <c r="K847" s="1"/>
      <c r="L847" s="1"/>
      <c r="M847" s="1"/>
      <c r="N847" s="1"/>
      <c r="O847" s="1"/>
      <c r="P847" s="1"/>
      <c r="Q847" s="1"/>
      <c r="R847" s="1"/>
      <c r="S847" s="1"/>
      <c r="T847" s="1"/>
      <c r="U847" s="1"/>
      <c r="V847" s="1"/>
      <c r="W847" s="1"/>
      <c r="X847" s="1"/>
    </row>
    <row r="848">
      <c r="A848" s="1"/>
      <c r="B848" s="1"/>
      <c r="C848" s="2"/>
      <c r="D848" s="1"/>
      <c r="E848" s="1"/>
      <c r="F848" s="1"/>
      <c r="G848" s="1"/>
      <c r="H848" s="2"/>
      <c r="I848" s="2"/>
      <c r="J848" s="1"/>
      <c r="K848" s="1"/>
      <c r="L848" s="1"/>
      <c r="M848" s="1"/>
      <c r="N848" s="1"/>
      <c r="O848" s="1"/>
      <c r="P848" s="1"/>
      <c r="Q848" s="1"/>
      <c r="R848" s="1"/>
      <c r="S848" s="1"/>
      <c r="T848" s="1"/>
      <c r="U848" s="1"/>
      <c r="V848" s="1"/>
      <c r="W848" s="1"/>
      <c r="X848" s="1"/>
    </row>
    <row r="849">
      <c r="A849" s="1"/>
      <c r="B849" s="1"/>
      <c r="C849" s="2"/>
      <c r="D849" s="1"/>
      <c r="E849" s="1"/>
      <c r="F849" s="1"/>
      <c r="G849" s="1"/>
      <c r="H849" s="2"/>
      <c r="I849" s="2"/>
      <c r="J849" s="1"/>
      <c r="K849" s="1"/>
      <c r="L849" s="1"/>
      <c r="M849" s="1"/>
      <c r="N849" s="1"/>
      <c r="O849" s="1"/>
      <c r="P849" s="1"/>
      <c r="Q849" s="1"/>
      <c r="R849" s="1"/>
      <c r="S849" s="1"/>
      <c r="T849" s="1"/>
      <c r="U849" s="1"/>
      <c r="V849" s="1"/>
      <c r="W849" s="1"/>
      <c r="X849" s="1"/>
    </row>
    <row r="850">
      <c r="A850" s="1"/>
      <c r="B850" s="1"/>
      <c r="C850" s="2"/>
      <c r="D850" s="1"/>
      <c r="E850" s="1"/>
      <c r="F850" s="1"/>
      <c r="G850" s="1"/>
      <c r="H850" s="2"/>
      <c r="I850" s="2"/>
      <c r="J850" s="1"/>
      <c r="K850" s="1"/>
      <c r="L850" s="1"/>
      <c r="M850" s="1"/>
      <c r="N850" s="1"/>
      <c r="O850" s="1"/>
      <c r="P850" s="1"/>
      <c r="Q850" s="1"/>
      <c r="R850" s="1"/>
      <c r="S850" s="1"/>
      <c r="T850" s="1"/>
      <c r="U850" s="1"/>
      <c r="V850" s="1"/>
      <c r="W850" s="1"/>
      <c r="X850" s="1"/>
    </row>
    <row r="851">
      <c r="A851" s="1"/>
      <c r="B851" s="1"/>
      <c r="C851" s="2"/>
      <c r="D851" s="1"/>
      <c r="E851" s="1"/>
      <c r="F851" s="1"/>
      <c r="G851" s="1"/>
      <c r="H851" s="2"/>
      <c r="I851" s="2"/>
      <c r="J851" s="1"/>
      <c r="K851" s="1"/>
      <c r="L851" s="1"/>
      <c r="M851" s="1"/>
      <c r="N851" s="1"/>
      <c r="O851" s="1"/>
      <c r="P851" s="1"/>
      <c r="Q851" s="1"/>
      <c r="R851" s="1"/>
      <c r="S851" s="1"/>
      <c r="T851" s="1"/>
      <c r="U851" s="1"/>
      <c r="V851" s="1"/>
      <c r="W851" s="1"/>
      <c r="X851" s="1"/>
    </row>
    <row r="852">
      <c r="A852" s="1"/>
      <c r="B852" s="1"/>
      <c r="C852" s="2"/>
      <c r="D852" s="1"/>
      <c r="E852" s="1"/>
      <c r="F852" s="1"/>
      <c r="G852" s="1"/>
      <c r="H852" s="2"/>
      <c r="I852" s="2"/>
      <c r="J852" s="1"/>
      <c r="K852" s="1"/>
      <c r="L852" s="1"/>
      <c r="M852" s="1"/>
      <c r="N852" s="1"/>
      <c r="O852" s="1"/>
      <c r="P852" s="1"/>
      <c r="Q852" s="1"/>
      <c r="R852" s="1"/>
      <c r="S852" s="1"/>
      <c r="T852" s="1"/>
      <c r="U852" s="1"/>
      <c r="V852" s="1"/>
      <c r="W852" s="1"/>
      <c r="X852" s="1"/>
    </row>
    <row r="853">
      <c r="A853" s="1"/>
      <c r="B853" s="1"/>
      <c r="C853" s="2"/>
      <c r="D853" s="1"/>
      <c r="E853" s="1"/>
      <c r="F853" s="1"/>
      <c r="G853" s="1"/>
      <c r="H853" s="2"/>
      <c r="I853" s="2"/>
      <c r="J853" s="1"/>
      <c r="K853" s="1"/>
      <c r="L853" s="1"/>
      <c r="M853" s="1"/>
      <c r="N853" s="1"/>
      <c r="O853" s="1"/>
      <c r="P853" s="1"/>
      <c r="Q853" s="1"/>
      <c r="R853" s="1"/>
      <c r="S853" s="1"/>
      <c r="T853" s="1"/>
      <c r="U853" s="1"/>
      <c r="V853" s="1"/>
      <c r="W853" s="1"/>
      <c r="X853" s="1"/>
    </row>
    <row r="854">
      <c r="A854" s="1"/>
      <c r="B854" s="1"/>
      <c r="C854" s="2"/>
      <c r="D854" s="1"/>
      <c r="E854" s="1"/>
      <c r="F854" s="1"/>
      <c r="G854" s="1"/>
      <c r="H854" s="2"/>
      <c r="I854" s="2"/>
      <c r="J854" s="1"/>
      <c r="K854" s="1"/>
      <c r="L854" s="1"/>
      <c r="M854" s="1"/>
      <c r="N854" s="1"/>
      <c r="O854" s="1"/>
      <c r="P854" s="1"/>
      <c r="Q854" s="1"/>
      <c r="R854" s="1"/>
      <c r="S854" s="1"/>
      <c r="T854" s="1"/>
      <c r="U854" s="1"/>
      <c r="V854" s="1"/>
      <c r="W854" s="1"/>
      <c r="X854" s="1"/>
    </row>
    <row r="855">
      <c r="A855" s="1"/>
      <c r="B855" s="1"/>
      <c r="C855" s="2"/>
      <c r="D855" s="1"/>
      <c r="E855" s="1"/>
      <c r="F855" s="1"/>
      <c r="G855" s="1"/>
      <c r="H855" s="2"/>
      <c r="I855" s="2"/>
      <c r="J855" s="1"/>
      <c r="K855" s="1"/>
      <c r="L855" s="1"/>
      <c r="M855" s="1"/>
      <c r="N855" s="1"/>
      <c r="O855" s="1"/>
      <c r="P855" s="1"/>
      <c r="Q855" s="1"/>
      <c r="R855" s="1"/>
      <c r="S855" s="1"/>
      <c r="T855" s="1"/>
      <c r="U855" s="1"/>
      <c r="V855" s="1"/>
      <c r="W855" s="1"/>
      <c r="X855" s="1"/>
    </row>
    <row r="856">
      <c r="A856" s="1"/>
      <c r="B856" s="1"/>
      <c r="C856" s="2"/>
      <c r="D856" s="1"/>
      <c r="E856" s="1"/>
      <c r="F856" s="1"/>
      <c r="G856" s="1"/>
      <c r="H856" s="2"/>
      <c r="I856" s="2"/>
      <c r="J856" s="1"/>
      <c r="K856" s="1"/>
      <c r="L856" s="1"/>
      <c r="M856" s="1"/>
      <c r="N856" s="1"/>
      <c r="O856" s="1"/>
      <c r="P856" s="1"/>
      <c r="Q856" s="1"/>
      <c r="R856" s="1"/>
      <c r="S856" s="1"/>
      <c r="T856" s="1"/>
      <c r="U856" s="1"/>
      <c r="V856" s="1"/>
      <c r="W856" s="1"/>
      <c r="X856" s="1"/>
    </row>
    <row r="857">
      <c r="A857" s="1"/>
      <c r="B857" s="1"/>
      <c r="C857" s="2"/>
      <c r="D857" s="1"/>
      <c r="E857" s="1"/>
      <c r="F857" s="1"/>
      <c r="G857" s="1"/>
      <c r="H857" s="2"/>
      <c r="I857" s="2"/>
      <c r="J857" s="1"/>
      <c r="K857" s="1"/>
      <c r="L857" s="1"/>
      <c r="M857" s="1"/>
      <c r="N857" s="1"/>
      <c r="O857" s="1"/>
      <c r="P857" s="1"/>
      <c r="Q857" s="1"/>
      <c r="R857" s="1"/>
      <c r="S857" s="1"/>
      <c r="T857" s="1"/>
      <c r="U857" s="1"/>
      <c r="V857" s="1"/>
      <c r="W857" s="1"/>
      <c r="X857" s="1"/>
    </row>
    <row r="858">
      <c r="A858" s="1"/>
      <c r="B858" s="1"/>
      <c r="C858" s="2"/>
      <c r="D858" s="1"/>
      <c r="E858" s="1"/>
      <c r="F858" s="1"/>
      <c r="G858" s="1"/>
      <c r="H858" s="2"/>
      <c r="I858" s="2"/>
      <c r="J858" s="1"/>
      <c r="K858" s="1"/>
      <c r="L858" s="1"/>
      <c r="M858" s="1"/>
      <c r="N858" s="1"/>
      <c r="O858" s="1"/>
      <c r="P858" s="1"/>
      <c r="Q858" s="1"/>
      <c r="R858" s="1"/>
      <c r="S858" s="1"/>
      <c r="T858" s="1"/>
      <c r="U858" s="1"/>
      <c r="V858" s="1"/>
      <c r="W858" s="1"/>
      <c r="X858" s="1"/>
    </row>
    <row r="859">
      <c r="A859" s="1"/>
      <c r="B859" s="1"/>
      <c r="C859" s="2"/>
      <c r="D859" s="1"/>
      <c r="E859" s="1"/>
      <c r="F859" s="1"/>
      <c r="G859" s="1"/>
      <c r="H859" s="2"/>
      <c r="I859" s="2"/>
      <c r="J859" s="1"/>
      <c r="K859" s="1"/>
      <c r="L859" s="1"/>
      <c r="M859" s="1"/>
      <c r="N859" s="1"/>
      <c r="O859" s="1"/>
      <c r="P859" s="1"/>
      <c r="Q859" s="1"/>
      <c r="R859" s="1"/>
      <c r="S859" s="1"/>
      <c r="T859" s="1"/>
      <c r="U859" s="1"/>
      <c r="V859" s="1"/>
      <c r="W859" s="1"/>
      <c r="X859" s="1"/>
    </row>
    <row r="860">
      <c r="A860" s="1"/>
      <c r="B860" s="1"/>
      <c r="C860" s="2"/>
      <c r="D860" s="1"/>
      <c r="E860" s="1"/>
      <c r="F860" s="1"/>
      <c r="G860" s="1"/>
      <c r="H860" s="2"/>
      <c r="I860" s="2"/>
      <c r="J860" s="1"/>
      <c r="K860" s="1"/>
      <c r="L860" s="1"/>
      <c r="M860" s="1"/>
      <c r="N860" s="1"/>
      <c r="O860" s="1"/>
      <c r="P860" s="1"/>
      <c r="Q860" s="1"/>
      <c r="R860" s="1"/>
      <c r="S860" s="1"/>
      <c r="T860" s="1"/>
      <c r="U860" s="1"/>
      <c r="V860" s="1"/>
      <c r="W860" s="1"/>
      <c r="X860" s="1"/>
    </row>
    <row r="861">
      <c r="A861" s="1"/>
      <c r="B861" s="1"/>
      <c r="C861" s="2"/>
      <c r="D861" s="1"/>
      <c r="E861" s="1"/>
      <c r="F861" s="1"/>
      <c r="G861" s="1"/>
      <c r="H861" s="2"/>
      <c r="I861" s="2"/>
      <c r="J861" s="1"/>
      <c r="K861" s="1"/>
      <c r="L861" s="1"/>
      <c r="M861" s="1"/>
      <c r="N861" s="1"/>
      <c r="O861" s="1"/>
      <c r="P861" s="1"/>
      <c r="Q861" s="1"/>
      <c r="R861" s="1"/>
      <c r="S861" s="1"/>
      <c r="T861" s="1"/>
      <c r="U861" s="1"/>
      <c r="V861" s="1"/>
      <c r="W861" s="1"/>
      <c r="X861" s="1"/>
    </row>
    <row r="862">
      <c r="A862" s="1"/>
      <c r="B862" s="1"/>
      <c r="C862" s="2"/>
      <c r="D862" s="1"/>
      <c r="E862" s="1"/>
      <c r="F862" s="1"/>
      <c r="G862" s="1"/>
      <c r="H862" s="2"/>
      <c r="I862" s="2"/>
      <c r="J862" s="1"/>
      <c r="K862" s="1"/>
      <c r="L862" s="1"/>
      <c r="M862" s="1"/>
      <c r="N862" s="1"/>
      <c r="O862" s="1"/>
      <c r="P862" s="1"/>
      <c r="Q862" s="1"/>
      <c r="R862" s="1"/>
      <c r="S862" s="1"/>
      <c r="T862" s="1"/>
      <c r="U862" s="1"/>
      <c r="V862" s="1"/>
      <c r="W862" s="1"/>
      <c r="X862" s="1"/>
    </row>
    <row r="863">
      <c r="A863" s="1"/>
      <c r="B863" s="1"/>
      <c r="C863" s="2"/>
      <c r="D863" s="1"/>
      <c r="E863" s="1"/>
      <c r="F863" s="1"/>
      <c r="G863" s="1"/>
      <c r="H863" s="2"/>
      <c r="I863" s="2"/>
      <c r="J863" s="1"/>
      <c r="K863" s="1"/>
      <c r="L863" s="1"/>
      <c r="M863" s="1"/>
      <c r="N863" s="1"/>
      <c r="O863" s="1"/>
      <c r="P863" s="1"/>
      <c r="Q863" s="1"/>
      <c r="R863" s="1"/>
      <c r="S863" s="1"/>
      <c r="T863" s="1"/>
      <c r="U863" s="1"/>
      <c r="V863" s="1"/>
      <c r="W863" s="1"/>
      <c r="X863" s="1"/>
    </row>
    <row r="864">
      <c r="A864" s="1"/>
      <c r="B864" s="1"/>
      <c r="C864" s="2"/>
      <c r="D864" s="1"/>
      <c r="E864" s="1"/>
      <c r="F864" s="1"/>
      <c r="G864" s="1"/>
      <c r="H864" s="2"/>
      <c r="I864" s="2"/>
      <c r="J864" s="1"/>
      <c r="K864" s="1"/>
      <c r="L864" s="1"/>
      <c r="M864" s="1"/>
      <c r="N864" s="1"/>
      <c r="O864" s="1"/>
      <c r="P864" s="1"/>
      <c r="Q864" s="1"/>
      <c r="R864" s="1"/>
      <c r="S864" s="1"/>
      <c r="T864" s="1"/>
      <c r="U864" s="1"/>
      <c r="V864" s="1"/>
      <c r="W864" s="1"/>
      <c r="X864" s="1"/>
    </row>
    <row r="865">
      <c r="A865" s="1"/>
      <c r="B865" s="1"/>
      <c r="C865" s="2"/>
      <c r="D865" s="1"/>
      <c r="E865" s="1"/>
      <c r="F865" s="1"/>
      <c r="G865" s="1"/>
      <c r="H865" s="2"/>
      <c r="I865" s="2"/>
      <c r="J865" s="1"/>
      <c r="K865" s="1"/>
      <c r="L865" s="1"/>
      <c r="M865" s="1"/>
      <c r="N865" s="1"/>
      <c r="O865" s="1"/>
      <c r="P865" s="1"/>
      <c r="Q865" s="1"/>
      <c r="R865" s="1"/>
      <c r="S865" s="1"/>
      <c r="T865" s="1"/>
      <c r="U865" s="1"/>
      <c r="V865" s="1"/>
      <c r="W865" s="1"/>
      <c r="X865" s="1"/>
    </row>
    <row r="866">
      <c r="A866" s="1"/>
      <c r="B866" s="1"/>
      <c r="C866" s="2"/>
      <c r="D866" s="1"/>
      <c r="E866" s="1"/>
      <c r="F866" s="1"/>
      <c r="G866" s="1"/>
      <c r="H866" s="2"/>
      <c r="I866" s="2"/>
      <c r="J866" s="1"/>
      <c r="K866" s="1"/>
      <c r="L866" s="1"/>
      <c r="M866" s="1"/>
      <c r="N866" s="1"/>
      <c r="O866" s="1"/>
      <c r="P866" s="1"/>
      <c r="Q866" s="1"/>
      <c r="R866" s="1"/>
      <c r="S866" s="1"/>
      <c r="T866" s="1"/>
      <c r="U866" s="1"/>
      <c r="V866" s="1"/>
      <c r="W866" s="1"/>
      <c r="X866" s="1"/>
    </row>
    <row r="867">
      <c r="A867" s="1"/>
      <c r="B867" s="1"/>
      <c r="C867" s="2"/>
      <c r="D867" s="1"/>
      <c r="E867" s="1"/>
      <c r="F867" s="1"/>
      <c r="G867" s="1"/>
      <c r="H867" s="2"/>
      <c r="I867" s="2"/>
      <c r="J867" s="1"/>
      <c r="K867" s="1"/>
      <c r="L867" s="1"/>
      <c r="M867" s="1"/>
      <c r="N867" s="1"/>
      <c r="O867" s="1"/>
      <c r="P867" s="1"/>
      <c r="Q867" s="1"/>
      <c r="R867" s="1"/>
      <c r="S867" s="1"/>
      <c r="T867" s="1"/>
      <c r="U867" s="1"/>
      <c r="V867" s="1"/>
      <c r="W867" s="1"/>
      <c r="X867" s="1"/>
    </row>
    <row r="868">
      <c r="A868" s="1"/>
      <c r="B868" s="1"/>
      <c r="C868" s="2"/>
      <c r="D868" s="1"/>
      <c r="E868" s="1"/>
      <c r="F868" s="1"/>
      <c r="G868" s="1"/>
      <c r="H868" s="2"/>
      <c r="I868" s="2"/>
      <c r="J868" s="1"/>
      <c r="K868" s="1"/>
      <c r="L868" s="1"/>
      <c r="M868" s="1"/>
      <c r="N868" s="1"/>
      <c r="O868" s="1"/>
      <c r="P868" s="1"/>
      <c r="Q868" s="1"/>
      <c r="R868" s="1"/>
      <c r="S868" s="1"/>
      <c r="T868" s="1"/>
      <c r="U868" s="1"/>
      <c r="V868" s="1"/>
      <c r="W868" s="1"/>
      <c r="X868" s="1"/>
    </row>
    <row r="869">
      <c r="A869" s="1"/>
      <c r="B869" s="1"/>
      <c r="C869" s="2"/>
      <c r="D869" s="1"/>
      <c r="E869" s="1"/>
      <c r="F869" s="1"/>
      <c r="G869" s="1"/>
      <c r="H869" s="2"/>
      <c r="I869" s="2"/>
      <c r="J869" s="1"/>
      <c r="K869" s="1"/>
      <c r="L869" s="1"/>
      <c r="M869" s="1"/>
      <c r="N869" s="1"/>
      <c r="O869" s="1"/>
      <c r="P869" s="1"/>
      <c r="Q869" s="1"/>
      <c r="R869" s="1"/>
      <c r="S869" s="1"/>
      <c r="T869" s="1"/>
      <c r="U869" s="1"/>
      <c r="V869" s="1"/>
      <c r="W869" s="1"/>
      <c r="X869" s="1"/>
    </row>
    <row r="870">
      <c r="A870" s="1"/>
      <c r="B870" s="1"/>
      <c r="C870" s="2"/>
      <c r="D870" s="1"/>
      <c r="E870" s="1"/>
      <c r="F870" s="1"/>
      <c r="G870" s="1"/>
      <c r="H870" s="2"/>
      <c r="I870" s="2"/>
      <c r="J870" s="1"/>
      <c r="K870" s="1"/>
      <c r="L870" s="1"/>
      <c r="M870" s="1"/>
      <c r="N870" s="1"/>
      <c r="O870" s="1"/>
      <c r="P870" s="1"/>
      <c r="Q870" s="1"/>
      <c r="R870" s="1"/>
      <c r="S870" s="1"/>
      <c r="T870" s="1"/>
      <c r="U870" s="1"/>
      <c r="V870" s="1"/>
      <c r="W870" s="1"/>
      <c r="X870" s="1"/>
    </row>
    <row r="871">
      <c r="A871" s="1"/>
      <c r="B871" s="1"/>
      <c r="C871" s="2"/>
      <c r="D871" s="1"/>
      <c r="E871" s="1"/>
      <c r="F871" s="1"/>
      <c r="G871" s="1"/>
      <c r="H871" s="2"/>
      <c r="I871" s="2"/>
      <c r="J871" s="1"/>
      <c r="K871" s="1"/>
      <c r="L871" s="1"/>
      <c r="M871" s="1"/>
      <c r="N871" s="1"/>
      <c r="O871" s="1"/>
      <c r="P871" s="1"/>
      <c r="Q871" s="1"/>
      <c r="R871" s="1"/>
      <c r="S871" s="1"/>
      <c r="T871" s="1"/>
      <c r="U871" s="1"/>
      <c r="V871" s="1"/>
      <c r="W871" s="1"/>
      <c r="X871" s="1"/>
    </row>
    <row r="872">
      <c r="A872" s="1"/>
      <c r="B872" s="1"/>
      <c r="C872" s="2"/>
      <c r="D872" s="1"/>
      <c r="E872" s="1"/>
      <c r="F872" s="1"/>
      <c r="G872" s="1"/>
      <c r="H872" s="2"/>
      <c r="I872" s="2"/>
      <c r="J872" s="1"/>
      <c r="K872" s="1"/>
      <c r="L872" s="1"/>
      <c r="M872" s="1"/>
      <c r="N872" s="1"/>
      <c r="O872" s="1"/>
      <c r="P872" s="1"/>
      <c r="Q872" s="1"/>
      <c r="R872" s="1"/>
      <c r="S872" s="1"/>
      <c r="T872" s="1"/>
      <c r="U872" s="1"/>
      <c r="V872" s="1"/>
      <c r="W872" s="1"/>
      <c r="X872" s="1"/>
    </row>
    <row r="873">
      <c r="A873" s="1"/>
      <c r="B873" s="1"/>
      <c r="C873" s="2"/>
      <c r="D873" s="1"/>
      <c r="E873" s="1"/>
      <c r="F873" s="1"/>
      <c r="G873" s="1"/>
      <c r="H873" s="2"/>
      <c r="I873" s="2"/>
      <c r="J873" s="1"/>
      <c r="K873" s="1"/>
      <c r="L873" s="1"/>
      <c r="M873" s="1"/>
      <c r="N873" s="1"/>
      <c r="O873" s="1"/>
      <c r="P873" s="1"/>
      <c r="Q873" s="1"/>
      <c r="R873" s="1"/>
      <c r="S873" s="1"/>
      <c r="T873" s="1"/>
      <c r="U873" s="1"/>
      <c r="V873" s="1"/>
      <c r="W873" s="1"/>
      <c r="X873" s="1"/>
    </row>
    <row r="874">
      <c r="A874" s="1"/>
      <c r="B874" s="1"/>
      <c r="C874" s="2"/>
      <c r="D874" s="1"/>
      <c r="E874" s="1"/>
      <c r="F874" s="1"/>
      <c r="G874" s="1"/>
      <c r="H874" s="2"/>
      <c r="I874" s="2"/>
      <c r="J874" s="1"/>
      <c r="K874" s="1"/>
      <c r="L874" s="1"/>
      <c r="M874" s="1"/>
      <c r="N874" s="1"/>
      <c r="O874" s="1"/>
      <c r="P874" s="1"/>
      <c r="Q874" s="1"/>
      <c r="R874" s="1"/>
      <c r="S874" s="1"/>
      <c r="T874" s="1"/>
      <c r="U874" s="1"/>
      <c r="V874" s="1"/>
      <c r="W874" s="1"/>
      <c r="X874" s="1"/>
    </row>
    <row r="875">
      <c r="A875" s="1"/>
      <c r="B875" s="1"/>
      <c r="C875" s="2"/>
      <c r="D875" s="1"/>
      <c r="E875" s="1"/>
      <c r="F875" s="1"/>
      <c r="G875" s="1"/>
      <c r="H875" s="2"/>
      <c r="I875" s="2"/>
      <c r="J875" s="1"/>
      <c r="K875" s="1"/>
      <c r="L875" s="1"/>
      <c r="M875" s="1"/>
      <c r="N875" s="1"/>
      <c r="O875" s="1"/>
      <c r="P875" s="1"/>
      <c r="Q875" s="1"/>
      <c r="R875" s="1"/>
      <c r="S875" s="1"/>
      <c r="T875" s="1"/>
      <c r="U875" s="1"/>
      <c r="V875" s="1"/>
      <c r="W875" s="1"/>
      <c r="X875" s="1"/>
    </row>
    <row r="876">
      <c r="A876" s="1"/>
      <c r="B876" s="1"/>
      <c r="C876" s="2"/>
      <c r="D876" s="1"/>
      <c r="E876" s="1"/>
      <c r="F876" s="1"/>
      <c r="G876" s="1"/>
      <c r="H876" s="2"/>
      <c r="I876" s="2"/>
      <c r="J876" s="1"/>
      <c r="K876" s="1"/>
      <c r="L876" s="1"/>
      <c r="M876" s="1"/>
      <c r="N876" s="1"/>
      <c r="O876" s="1"/>
      <c r="P876" s="1"/>
      <c r="Q876" s="1"/>
      <c r="R876" s="1"/>
      <c r="S876" s="1"/>
      <c r="T876" s="1"/>
      <c r="U876" s="1"/>
      <c r="V876" s="1"/>
      <c r="W876" s="1"/>
      <c r="X876" s="1"/>
    </row>
    <row r="877">
      <c r="A877" s="1"/>
      <c r="B877" s="1"/>
      <c r="C877" s="2"/>
      <c r="D877" s="1"/>
      <c r="E877" s="1"/>
      <c r="F877" s="1"/>
      <c r="G877" s="1"/>
      <c r="H877" s="2"/>
      <c r="I877" s="2"/>
      <c r="J877" s="1"/>
      <c r="K877" s="1"/>
      <c r="L877" s="1"/>
      <c r="M877" s="1"/>
      <c r="N877" s="1"/>
      <c r="O877" s="1"/>
      <c r="P877" s="1"/>
      <c r="Q877" s="1"/>
      <c r="R877" s="1"/>
      <c r="S877" s="1"/>
      <c r="T877" s="1"/>
      <c r="U877" s="1"/>
      <c r="V877" s="1"/>
      <c r="W877" s="1"/>
      <c r="X877" s="1"/>
    </row>
    <row r="878">
      <c r="A878" s="1"/>
      <c r="B878" s="1"/>
      <c r="C878" s="2"/>
      <c r="D878" s="1"/>
      <c r="E878" s="1"/>
      <c r="F878" s="1"/>
      <c r="G878" s="1"/>
      <c r="H878" s="2"/>
      <c r="I878" s="2"/>
      <c r="J878" s="1"/>
      <c r="K878" s="1"/>
      <c r="L878" s="1"/>
      <c r="M878" s="1"/>
      <c r="N878" s="1"/>
      <c r="O878" s="1"/>
      <c r="P878" s="1"/>
      <c r="Q878" s="1"/>
      <c r="R878" s="1"/>
      <c r="S878" s="1"/>
      <c r="T878" s="1"/>
      <c r="U878" s="1"/>
      <c r="V878" s="1"/>
      <c r="W878" s="1"/>
      <c r="X878" s="1"/>
    </row>
    <row r="879">
      <c r="A879" s="1"/>
      <c r="B879" s="1"/>
      <c r="C879" s="2"/>
      <c r="D879" s="1"/>
      <c r="E879" s="1"/>
      <c r="F879" s="1"/>
      <c r="G879" s="1"/>
      <c r="H879" s="2"/>
      <c r="I879" s="2"/>
      <c r="J879" s="1"/>
      <c r="K879" s="1"/>
      <c r="L879" s="1"/>
      <c r="M879" s="1"/>
      <c r="N879" s="1"/>
      <c r="O879" s="1"/>
      <c r="P879" s="1"/>
      <c r="Q879" s="1"/>
      <c r="R879" s="1"/>
      <c r="S879" s="1"/>
      <c r="T879" s="1"/>
      <c r="U879" s="1"/>
      <c r="V879" s="1"/>
      <c r="W879" s="1"/>
      <c r="X879" s="1"/>
    </row>
    <row r="880">
      <c r="A880" s="1"/>
      <c r="B880" s="1"/>
      <c r="C880" s="2"/>
      <c r="D880" s="1"/>
      <c r="E880" s="1"/>
      <c r="F880" s="1"/>
      <c r="G880" s="1"/>
      <c r="H880" s="2"/>
      <c r="I880" s="2"/>
      <c r="J880" s="1"/>
      <c r="K880" s="1"/>
      <c r="L880" s="1"/>
      <c r="M880" s="1"/>
      <c r="N880" s="1"/>
      <c r="O880" s="1"/>
      <c r="P880" s="1"/>
      <c r="Q880" s="1"/>
      <c r="R880" s="1"/>
      <c r="S880" s="1"/>
      <c r="T880" s="1"/>
      <c r="U880" s="1"/>
      <c r="V880" s="1"/>
      <c r="W880" s="1"/>
      <c r="X880" s="1"/>
    </row>
    <row r="881">
      <c r="A881" s="1"/>
      <c r="B881" s="1"/>
      <c r="C881" s="2"/>
      <c r="D881" s="1"/>
      <c r="E881" s="1"/>
      <c r="F881" s="1"/>
      <c r="G881" s="1"/>
      <c r="H881" s="2"/>
      <c r="I881" s="2"/>
      <c r="J881" s="1"/>
      <c r="K881" s="1"/>
      <c r="L881" s="1"/>
      <c r="M881" s="1"/>
      <c r="N881" s="1"/>
      <c r="O881" s="1"/>
      <c r="P881" s="1"/>
      <c r="Q881" s="1"/>
      <c r="R881" s="1"/>
      <c r="S881" s="1"/>
      <c r="T881" s="1"/>
      <c r="U881" s="1"/>
      <c r="V881" s="1"/>
      <c r="W881" s="1"/>
      <c r="X881" s="1"/>
    </row>
    <row r="882">
      <c r="A882" s="1"/>
      <c r="B882" s="1"/>
      <c r="C882" s="2"/>
      <c r="D882" s="1"/>
      <c r="E882" s="1"/>
      <c r="F882" s="1"/>
      <c r="G882" s="1"/>
      <c r="H882" s="2"/>
      <c r="I882" s="2"/>
      <c r="J882" s="1"/>
      <c r="K882" s="1"/>
      <c r="L882" s="1"/>
      <c r="M882" s="1"/>
      <c r="N882" s="1"/>
      <c r="O882" s="1"/>
      <c r="P882" s="1"/>
      <c r="Q882" s="1"/>
      <c r="R882" s="1"/>
      <c r="S882" s="1"/>
      <c r="T882" s="1"/>
      <c r="U882" s="1"/>
      <c r="V882" s="1"/>
      <c r="W882" s="1"/>
      <c r="X882" s="1"/>
    </row>
    <row r="883">
      <c r="A883" s="1"/>
      <c r="B883" s="1"/>
      <c r="C883" s="2"/>
      <c r="D883" s="1"/>
      <c r="E883" s="1"/>
      <c r="F883" s="1"/>
      <c r="G883" s="1"/>
      <c r="H883" s="2"/>
      <c r="I883" s="2"/>
      <c r="J883" s="1"/>
      <c r="K883" s="1"/>
      <c r="L883" s="1"/>
      <c r="M883" s="1"/>
      <c r="N883" s="1"/>
      <c r="O883" s="1"/>
      <c r="P883" s="1"/>
      <c r="Q883" s="1"/>
      <c r="R883" s="1"/>
      <c r="S883" s="1"/>
      <c r="T883" s="1"/>
      <c r="U883" s="1"/>
      <c r="V883" s="1"/>
      <c r="W883" s="1"/>
      <c r="X883" s="1"/>
    </row>
    <row r="884">
      <c r="A884" s="1"/>
      <c r="B884" s="1"/>
      <c r="C884" s="2"/>
      <c r="D884" s="1"/>
      <c r="E884" s="1"/>
      <c r="F884" s="1"/>
      <c r="G884" s="1"/>
      <c r="H884" s="2"/>
      <c r="I884" s="2"/>
      <c r="J884" s="1"/>
      <c r="K884" s="1"/>
      <c r="L884" s="1"/>
      <c r="M884" s="1"/>
      <c r="N884" s="1"/>
      <c r="O884" s="1"/>
      <c r="P884" s="1"/>
      <c r="Q884" s="1"/>
      <c r="R884" s="1"/>
      <c r="S884" s="1"/>
      <c r="T884" s="1"/>
      <c r="U884" s="1"/>
      <c r="V884" s="1"/>
      <c r="W884" s="1"/>
      <c r="X884" s="1"/>
    </row>
    <row r="885">
      <c r="A885" s="1"/>
      <c r="B885" s="1"/>
      <c r="C885" s="2"/>
      <c r="D885" s="1"/>
      <c r="E885" s="1"/>
      <c r="F885" s="1"/>
      <c r="G885" s="1"/>
      <c r="H885" s="2"/>
      <c r="I885" s="2"/>
      <c r="J885" s="1"/>
      <c r="K885" s="1"/>
      <c r="L885" s="1"/>
      <c r="M885" s="1"/>
      <c r="N885" s="1"/>
      <c r="O885" s="1"/>
      <c r="P885" s="1"/>
      <c r="Q885" s="1"/>
      <c r="R885" s="1"/>
      <c r="S885" s="1"/>
      <c r="T885" s="1"/>
      <c r="U885" s="1"/>
      <c r="V885" s="1"/>
      <c r="W885" s="1"/>
      <c r="X885" s="1"/>
    </row>
    <row r="886">
      <c r="A886" s="1"/>
      <c r="B886" s="1"/>
      <c r="C886" s="2"/>
      <c r="D886" s="1"/>
      <c r="E886" s="1"/>
      <c r="F886" s="1"/>
      <c r="G886" s="1"/>
      <c r="H886" s="2"/>
      <c r="I886" s="2"/>
      <c r="J886" s="1"/>
      <c r="K886" s="1"/>
      <c r="L886" s="1"/>
      <c r="M886" s="1"/>
      <c r="N886" s="1"/>
      <c r="O886" s="1"/>
      <c r="P886" s="1"/>
      <c r="Q886" s="1"/>
      <c r="R886" s="1"/>
      <c r="S886" s="1"/>
      <c r="T886" s="1"/>
      <c r="U886" s="1"/>
      <c r="V886" s="1"/>
      <c r="W886" s="1"/>
      <c r="X886" s="1"/>
    </row>
    <row r="887">
      <c r="A887" s="1"/>
      <c r="B887" s="1"/>
      <c r="C887" s="2"/>
      <c r="D887" s="1"/>
      <c r="E887" s="1"/>
      <c r="F887" s="1"/>
      <c r="G887" s="1"/>
      <c r="H887" s="2"/>
      <c r="I887" s="2"/>
      <c r="J887" s="1"/>
      <c r="K887" s="1"/>
      <c r="L887" s="1"/>
      <c r="M887" s="1"/>
      <c r="N887" s="1"/>
      <c r="O887" s="1"/>
      <c r="P887" s="1"/>
      <c r="Q887" s="1"/>
      <c r="R887" s="1"/>
      <c r="S887" s="1"/>
      <c r="T887" s="1"/>
      <c r="U887" s="1"/>
      <c r="V887" s="1"/>
      <c r="W887" s="1"/>
      <c r="X887" s="1"/>
    </row>
    <row r="888">
      <c r="A888" s="1"/>
      <c r="B888" s="1"/>
      <c r="C888" s="2"/>
      <c r="D888" s="1"/>
      <c r="E888" s="1"/>
      <c r="F888" s="1"/>
      <c r="G888" s="1"/>
      <c r="H888" s="2"/>
      <c r="I888" s="2"/>
      <c r="J888" s="1"/>
      <c r="K888" s="1"/>
      <c r="L888" s="1"/>
      <c r="M888" s="1"/>
      <c r="N888" s="1"/>
      <c r="O888" s="1"/>
      <c r="P888" s="1"/>
      <c r="Q888" s="1"/>
      <c r="R888" s="1"/>
      <c r="S888" s="1"/>
      <c r="T888" s="1"/>
      <c r="U888" s="1"/>
      <c r="V888" s="1"/>
      <c r="W888" s="1"/>
      <c r="X888" s="1"/>
    </row>
    <row r="889">
      <c r="A889" s="1"/>
      <c r="B889" s="1"/>
      <c r="C889" s="2"/>
      <c r="D889" s="1"/>
      <c r="E889" s="1"/>
      <c r="F889" s="1"/>
      <c r="G889" s="1"/>
      <c r="H889" s="2"/>
      <c r="I889" s="2"/>
      <c r="J889" s="1"/>
      <c r="K889" s="1"/>
      <c r="L889" s="1"/>
      <c r="M889" s="1"/>
      <c r="N889" s="1"/>
      <c r="O889" s="1"/>
      <c r="P889" s="1"/>
      <c r="Q889" s="1"/>
      <c r="R889" s="1"/>
      <c r="S889" s="1"/>
      <c r="T889" s="1"/>
      <c r="U889" s="1"/>
      <c r="V889" s="1"/>
      <c r="W889" s="1"/>
      <c r="X889" s="1"/>
    </row>
    <row r="890">
      <c r="A890" s="1"/>
      <c r="B890" s="1"/>
      <c r="C890" s="2"/>
      <c r="D890" s="1"/>
      <c r="E890" s="1"/>
      <c r="F890" s="1"/>
      <c r="G890" s="1"/>
      <c r="H890" s="2"/>
      <c r="I890" s="2"/>
      <c r="J890" s="1"/>
      <c r="K890" s="1"/>
      <c r="L890" s="1"/>
      <c r="M890" s="1"/>
      <c r="N890" s="1"/>
      <c r="O890" s="1"/>
      <c r="P890" s="1"/>
      <c r="Q890" s="1"/>
      <c r="R890" s="1"/>
      <c r="S890" s="1"/>
      <c r="T890" s="1"/>
      <c r="U890" s="1"/>
      <c r="V890" s="1"/>
      <c r="W890" s="1"/>
      <c r="X890" s="1"/>
    </row>
    <row r="891">
      <c r="A891" s="1"/>
      <c r="B891" s="1"/>
      <c r="C891" s="2"/>
      <c r="D891" s="1"/>
      <c r="E891" s="1"/>
      <c r="F891" s="1"/>
      <c r="G891" s="1"/>
      <c r="H891" s="2"/>
      <c r="I891" s="2"/>
      <c r="J891" s="1"/>
      <c r="K891" s="1"/>
      <c r="L891" s="1"/>
      <c r="M891" s="1"/>
      <c r="N891" s="1"/>
      <c r="O891" s="1"/>
      <c r="P891" s="1"/>
      <c r="Q891" s="1"/>
      <c r="R891" s="1"/>
      <c r="S891" s="1"/>
      <c r="T891" s="1"/>
      <c r="U891" s="1"/>
      <c r="V891" s="1"/>
      <c r="W891" s="1"/>
      <c r="X891" s="1"/>
    </row>
    <row r="892">
      <c r="A892" s="1"/>
      <c r="B892" s="1"/>
      <c r="C892" s="2"/>
      <c r="D892" s="1"/>
      <c r="E892" s="1"/>
      <c r="F892" s="1"/>
      <c r="G892" s="1"/>
      <c r="H892" s="2"/>
      <c r="I892" s="2"/>
      <c r="J892" s="1"/>
      <c r="K892" s="1"/>
      <c r="L892" s="1"/>
      <c r="M892" s="1"/>
      <c r="N892" s="1"/>
      <c r="O892" s="1"/>
      <c r="P892" s="1"/>
      <c r="Q892" s="1"/>
      <c r="R892" s="1"/>
      <c r="S892" s="1"/>
      <c r="T892" s="1"/>
      <c r="U892" s="1"/>
      <c r="V892" s="1"/>
      <c r="W892" s="1"/>
      <c r="X892" s="1"/>
    </row>
    <row r="893">
      <c r="A893" s="1"/>
      <c r="B893" s="1"/>
      <c r="C893" s="2"/>
      <c r="D893" s="1"/>
      <c r="E893" s="1"/>
      <c r="F893" s="1"/>
      <c r="G893" s="1"/>
      <c r="H893" s="2"/>
      <c r="I893" s="2"/>
      <c r="J893" s="1"/>
      <c r="K893" s="1"/>
      <c r="L893" s="1"/>
      <c r="M893" s="1"/>
      <c r="N893" s="1"/>
      <c r="O893" s="1"/>
      <c r="P893" s="1"/>
      <c r="Q893" s="1"/>
      <c r="R893" s="1"/>
      <c r="S893" s="1"/>
      <c r="T893" s="1"/>
      <c r="U893" s="1"/>
      <c r="V893" s="1"/>
      <c r="W893" s="1"/>
      <c r="X893" s="1"/>
    </row>
    <row r="894">
      <c r="A894" s="1"/>
      <c r="B894" s="1"/>
      <c r="C894" s="2"/>
      <c r="D894" s="1"/>
      <c r="E894" s="1"/>
      <c r="F894" s="1"/>
      <c r="G894" s="1"/>
      <c r="H894" s="2"/>
      <c r="I894" s="2"/>
      <c r="J894" s="1"/>
      <c r="K894" s="1"/>
      <c r="L894" s="1"/>
      <c r="M894" s="1"/>
      <c r="N894" s="1"/>
      <c r="O894" s="1"/>
      <c r="P894" s="1"/>
      <c r="Q894" s="1"/>
      <c r="R894" s="1"/>
      <c r="S894" s="1"/>
      <c r="T894" s="1"/>
      <c r="U894" s="1"/>
      <c r="V894" s="1"/>
      <c r="W894" s="1"/>
      <c r="X894" s="1"/>
    </row>
    <row r="895">
      <c r="A895" s="1"/>
      <c r="B895" s="1"/>
      <c r="C895" s="2"/>
      <c r="D895" s="1"/>
      <c r="E895" s="1"/>
      <c r="F895" s="1"/>
      <c r="G895" s="1"/>
      <c r="H895" s="2"/>
      <c r="I895" s="2"/>
      <c r="J895" s="1"/>
      <c r="K895" s="1"/>
      <c r="L895" s="1"/>
      <c r="M895" s="1"/>
      <c r="N895" s="1"/>
      <c r="O895" s="1"/>
      <c r="P895" s="1"/>
      <c r="Q895" s="1"/>
      <c r="R895" s="1"/>
      <c r="S895" s="1"/>
      <c r="T895" s="1"/>
      <c r="U895" s="1"/>
      <c r="V895" s="1"/>
      <c r="W895" s="1"/>
      <c r="X895" s="1"/>
    </row>
    <row r="896">
      <c r="A896" s="1"/>
      <c r="B896" s="1"/>
      <c r="C896" s="2"/>
      <c r="D896" s="1"/>
      <c r="E896" s="1"/>
      <c r="F896" s="1"/>
      <c r="G896" s="1"/>
      <c r="H896" s="2"/>
      <c r="I896" s="2"/>
      <c r="J896" s="1"/>
      <c r="K896" s="1"/>
      <c r="L896" s="1"/>
      <c r="M896" s="1"/>
      <c r="N896" s="1"/>
      <c r="O896" s="1"/>
      <c r="P896" s="1"/>
      <c r="Q896" s="1"/>
      <c r="R896" s="1"/>
      <c r="S896" s="1"/>
      <c r="T896" s="1"/>
      <c r="U896" s="1"/>
      <c r="V896" s="1"/>
      <c r="W896" s="1"/>
      <c r="X896" s="1"/>
    </row>
    <row r="897">
      <c r="A897" s="1"/>
      <c r="B897" s="1"/>
      <c r="C897" s="2"/>
      <c r="D897" s="1"/>
      <c r="E897" s="1"/>
      <c r="F897" s="1"/>
      <c r="G897" s="1"/>
      <c r="H897" s="2"/>
      <c r="I897" s="2"/>
      <c r="J897" s="1"/>
      <c r="K897" s="1"/>
      <c r="L897" s="1"/>
      <c r="M897" s="1"/>
      <c r="N897" s="1"/>
      <c r="O897" s="1"/>
      <c r="P897" s="1"/>
      <c r="Q897" s="1"/>
      <c r="R897" s="1"/>
      <c r="S897" s="1"/>
      <c r="T897" s="1"/>
      <c r="U897" s="1"/>
      <c r="V897" s="1"/>
      <c r="W897" s="1"/>
      <c r="X897" s="1"/>
    </row>
    <row r="898">
      <c r="A898" s="1"/>
      <c r="B898" s="1"/>
      <c r="C898" s="2"/>
      <c r="D898" s="1"/>
      <c r="E898" s="1"/>
      <c r="F898" s="1"/>
      <c r="G898" s="1"/>
      <c r="H898" s="2"/>
      <c r="I898" s="2"/>
      <c r="J898" s="1"/>
      <c r="K898" s="1"/>
      <c r="L898" s="1"/>
      <c r="M898" s="1"/>
      <c r="N898" s="1"/>
      <c r="O898" s="1"/>
      <c r="P898" s="1"/>
      <c r="Q898" s="1"/>
      <c r="R898" s="1"/>
      <c r="S898" s="1"/>
      <c r="T898" s="1"/>
      <c r="U898" s="1"/>
      <c r="V898" s="1"/>
      <c r="W898" s="1"/>
      <c r="X898" s="1"/>
    </row>
    <row r="899">
      <c r="A899" s="1"/>
      <c r="B899" s="1"/>
      <c r="C899" s="2"/>
      <c r="D899" s="1"/>
      <c r="E899" s="1"/>
      <c r="F899" s="1"/>
      <c r="G899" s="1"/>
      <c r="H899" s="2"/>
      <c r="I899" s="2"/>
      <c r="J899" s="1"/>
      <c r="K899" s="1"/>
      <c r="L899" s="1"/>
      <c r="M899" s="1"/>
      <c r="N899" s="1"/>
      <c r="O899" s="1"/>
      <c r="P899" s="1"/>
      <c r="Q899" s="1"/>
      <c r="R899" s="1"/>
      <c r="S899" s="1"/>
      <c r="T899" s="1"/>
      <c r="U899" s="1"/>
      <c r="V899" s="1"/>
      <c r="W899" s="1"/>
      <c r="X899" s="1"/>
    </row>
    <row r="900">
      <c r="A900" s="1"/>
      <c r="B900" s="1"/>
      <c r="C900" s="2"/>
      <c r="D900" s="1"/>
      <c r="E900" s="1"/>
      <c r="F900" s="1"/>
      <c r="G900" s="1"/>
      <c r="H900" s="2"/>
      <c r="I900" s="2"/>
      <c r="J900" s="1"/>
      <c r="K900" s="1"/>
      <c r="L900" s="1"/>
      <c r="M900" s="1"/>
      <c r="N900" s="1"/>
      <c r="O900" s="1"/>
      <c r="P900" s="1"/>
      <c r="Q900" s="1"/>
      <c r="R900" s="1"/>
      <c r="S900" s="1"/>
      <c r="T900" s="1"/>
      <c r="U900" s="1"/>
      <c r="V900" s="1"/>
      <c r="W900" s="1"/>
      <c r="X900" s="1"/>
    </row>
    <row r="901">
      <c r="A901" s="1"/>
      <c r="B901" s="1"/>
      <c r="C901" s="2"/>
      <c r="D901" s="1"/>
      <c r="E901" s="1"/>
      <c r="F901" s="1"/>
      <c r="G901" s="1"/>
      <c r="H901" s="2"/>
      <c r="I901" s="2"/>
      <c r="J901" s="1"/>
      <c r="K901" s="1"/>
      <c r="L901" s="1"/>
      <c r="M901" s="1"/>
      <c r="N901" s="1"/>
      <c r="O901" s="1"/>
      <c r="P901" s="1"/>
      <c r="Q901" s="1"/>
      <c r="R901" s="1"/>
      <c r="S901" s="1"/>
      <c r="T901" s="1"/>
      <c r="U901" s="1"/>
      <c r="V901" s="1"/>
      <c r="W901" s="1"/>
      <c r="X901" s="1"/>
    </row>
    <row r="902">
      <c r="A902" s="1"/>
      <c r="B902" s="1"/>
      <c r="C902" s="2"/>
      <c r="D902" s="1"/>
      <c r="E902" s="1"/>
      <c r="F902" s="1"/>
      <c r="G902" s="1"/>
      <c r="H902" s="2"/>
      <c r="I902" s="2"/>
      <c r="J902" s="1"/>
      <c r="K902" s="1"/>
      <c r="L902" s="1"/>
      <c r="M902" s="1"/>
      <c r="N902" s="1"/>
      <c r="O902" s="1"/>
      <c r="P902" s="1"/>
      <c r="Q902" s="1"/>
      <c r="R902" s="1"/>
      <c r="S902" s="1"/>
      <c r="T902" s="1"/>
      <c r="U902" s="1"/>
      <c r="V902" s="1"/>
      <c r="W902" s="1"/>
      <c r="X902" s="1"/>
    </row>
    <row r="903">
      <c r="A903" s="1"/>
      <c r="B903" s="1"/>
      <c r="C903" s="2"/>
      <c r="D903" s="1"/>
      <c r="E903" s="1"/>
      <c r="F903" s="1"/>
      <c r="G903" s="1"/>
      <c r="H903" s="2"/>
      <c r="I903" s="2"/>
      <c r="J903" s="1"/>
      <c r="K903" s="1"/>
      <c r="L903" s="1"/>
      <c r="M903" s="1"/>
      <c r="N903" s="1"/>
      <c r="O903" s="1"/>
      <c r="P903" s="1"/>
      <c r="Q903" s="1"/>
      <c r="R903" s="1"/>
      <c r="S903" s="1"/>
      <c r="T903" s="1"/>
      <c r="U903" s="1"/>
      <c r="V903" s="1"/>
      <c r="W903" s="1"/>
      <c r="X903" s="1"/>
    </row>
    <row r="904">
      <c r="A904" s="1"/>
      <c r="B904" s="1"/>
      <c r="C904" s="2"/>
      <c r="D904" s="1"/>
      <c r="E904" s="1"/>
      <c r="F904" s="1"/>
      <c r="G904" s="1"/>
      <c r="H904" s="2"/>
      <c r="I904" s="2"/>
      <c r="J904" s="1"/>
      <c r="K904" s="1"/>
      <c r="L904" s="1"/>
      <c r="M904" s="1"/>
      <c r="N904" s="1"/>
      <c r="O904" s="1"/>
      <c r="P904" s="1"/>
      <c r="Q904" s="1"/>
      <c r="R904" s="1"/>
      <c r="S904" s="1"/>
      <c r="T904" s="1"/>
      <c r="U904" s="1"/>
      <c r="V904" s="1"/>
      <c r="W904" s="1"/>
      <c r="X904" s="1"/>
    </row>
    <row r="905">
      <c r="A905" s="1"/>
      <c r="B905" s="1"/>
      <c r="C905" s="2"/>
      <c r="D905" s="1"/>
      <c r="E905" s="1"/>
      <c r="F905" s="1"/>
      <c r="G905" s="1"/>
      <c r="H905" s="2"/>
      <c r="I905" s="2"/>
      <c r="J905" s="1"/>
      <c r="K905" s="1"/>
      <c r="L905" s="1"/>
      <c r="M905" s="1"/>
      <c r="N905" s="1"/>
      <c r="O905" s="1"/>
      <c r="P905" s="1"/>
      <c r="Q905" s="1"/>
      <c r="R905" s="1"/>
      <c r="S905" s="1"/>
      <c r="T905" s="1"/>
      <c r="U905" s="1"/>
      <c r="V905" s="1"/>
      <c r="W905" s="1"/>
      <c r="X905" s="1"/>
    </row>
    <row r="906">
      <c r="A906" s="1"/>
      <c r="B906" s="1"/>
      <c r="C906" s="2"/>
      <c r="D906" s="1"/>
      <c r="E906" s="1"/>
      <c r="F906" s="1"/>
      <c r="G906" s="1"/>
      <c r="H906" s="2"/>
      <c r="I906" s="2"/>
      <c r="J906" s="1"/>
      <c r="K906" s="1"/>
      <c r="L906" s="1"/>
      <c r="M906" s="1"/>
      <c r="N906" s="1"/>
      <c r="O906" s="1"/>
      <c r="P906" s="1"/>
      <c r="Q906" s="1"/>
      <c r="R906" s="1"/>
      <c r="S906" s="1"/>
      <c r="T906" s="1"/>
      <c r="U906" s="1"/>
      <c r="V906" s="1"/>
      <c r="W906" s="1"/>
      <c r="X906" s="1"/>
    </row>
    <row r="907">
      <c r="A907" s="1"/>
      <c r="B907" s="1"/>
      <c r="C907" s="2"/>
      <c r="D907" s="1"/>
      <c r="E907" s="1"/>
      <c r="F907" s="1"/>
      <c r="G907" s="1"/>
      <c r="H907" s="2"/>
      <c r="I907" s="2"/>
      <c r="J907" s="1"/>
      <c r="K907" s="1"/>
      <c r="L907" s="1"/>
      <c r="M907" s="1"/>
      <c r="N907" s="1"/>
      <c r="O907" s="1"/>
      <c r="P907" s="1"/>
      <c r="Q907" s="1"/>
      <c r="R907" s="1"/>
      <c r="S907" s="1"/>
      <c r="T907" s="1"/>
      <c r="U907" s="1"/>
      <c r="V907" s="1"/>
      <c r="W907" s="1"/>
      <c r="X907" s="1"/>
    </row>
    <row r="908">
      <c r="A908" s="1"/>
      <c r="B908" s="1"/>
      <c r="C908" s="2"/>
      <c r="D908" s="1"/>
      <c r="E908" s="1"/>
      <c r="F908" s="1"/>
      <c r="G908" s="1"/>
      <c r="H908" s="2"/>
      <c r="I908" s="2"/>
      <c r="J908" s="1"/>
      <c r="K908" s="1"/>
      <c r="L908" s="1"/>
      <c r="M908" s="1"/>
      <c r="N908" s="1"/>
      <c r="O908" s="1"/>
      <c r="P908" s="1"/>
      <c r="Q908" s="1"/>
      <c r="R908" s="1"/>
      <c r="S908" s="1"/>
      <c r="T908" s="1"/>
      <c r="U908" s="1"/>
      <c r="V908" s="1"/>
      <c r="W908" s="1"/>
      <c r="X908" s="1"/>
    </row>
    <row r="909">
      <c r="A909" s="1"/>
      <c r="B909" s="1"/>
      <c r="C909" s="2"/>
      <c r="D909" s="1"/>
      <c r="E909" s="1"/>
      <c r="F909" s="1"/>
      <c r="G909" s="1"/>
      <c r="H909" s="2"/>
      <c r="I909" s="2"/>
      <c r="J909" s="1"/>
      <c r="K909" s="1"/>
      <c r="L909" s="1"/>
      <c r="M909" s="1"/>
      <c r="N909" s="1"/>
      <c r="O909" s="1"/>
      <c r="P909" s="1"/>
      <c r="Q909" s="1"/>
      <c r="R909" s="1"/>
      <c r="S909" s="1"/>
      <c r="T909" s="1"/>
      <c r="U909" s="1"/>
      <c r="V909" s="1"/>
      <c r="W909" s="1"/>
      <c r="X909" s="1"/>
    </row>
    <row r="910">
      <c r="A910" s="1"/>
      <c r="B910" s="1"/>
      <c r="C910" s="2"/>
      <c r="D910" s="1"/>
      <c r="E910" s="1"/>
      <c r="F910" s="1"/>
      <c r="G910" s="1"/>
      <c r="H910" s="2"/>
      <c r="I910" s="2"/>
      <c r="J910" s="1"/>
      <c r="K910" s="1"/>
      <c r="L910" s="1"/>
      <c r="M910" s="1"/>
      <c r="N910" s="1"/>
      <c r="O910" s="1"/>
      <c r="P910" s="1"/>
      <c r="Q910" s="1"/>
      <c r="R910" s="1"/>
      <c r="S910" s="1"/>
      <c r="T910" s="1"/>
      <c r="U910" s="1"/>
      <c r="V910" s="1"/>
      <c r="W910" s="1"/>
      <c r="X910" s="1"/>
    </row>
    <row r="911">
      <c r="A911" s="1"/>
      <c r="B911" s="1"/>
      <c r="C911" s="2"/>
      <c r="D911" s="1"/>
      <c r="E911" s="1"/>
      <c r="F911" s="1"/>
      <c r="G911" s="1"/>
      <c r="H911" s="2"/>
      <c r="I911" s="2"/>
      <c r="J911" s="1"/>
      <c r="K911" s="1"/>
      <c r="L911" s="1"/>
      <c r="M911" s="1"/>
      <c r="N911" s="1"/>
      <c r="O911" s="1"/>
      <c r="P911" s="1"/>
      <c r="Q911" s="1"/>
      <c r="R911" s="1"/>
      <c r="S911" s="1"/>
      <c r="T911" s="1"/>
      <c r="U911" s="1"/>
      <c r="V911" s="1"/>
      <c r="W911" s="1"/>
      <c r="X911" s="1"/>
    </row>
    <row r="912">
      <c r="A912" s="1"/>
      <c r="B912" s="1"/>
      <c r="C912" s="2"/>
      <c r="D912" s="1"/>
      <c r="E912" s="1"/>
      <c r="F912" s="1"/>
      <c r="G912" s="1"/>
      <c r="H912" s="2"/>
      <c r="I912" s="2"/>
      <c r="J912" s="1"/>
      <c r="K912" s="1"/>
      <c r="L912" s="1"/>
      <c r="M912" s="1"/>
      <c r="N912" s="1"/>
      <c r="O912" s="1"/>
      <c r="P912" s="1"/>
      <c r="Q912" s="1"/>
      <c r="R912" s="1"/>
      <c r="S912" s="1"/>
      <c r="T912" s="1"/>
      <c r="U912" s="1"/>
      <c r="V912" s="1"/>
      <c r="W912" s="1"/>
      <c r="X912" s="1"/>
    </row>
    <row r="913">
      <c r="A913" s="1"/>
      <c r="B913" s="1"/>
      <c r="C913" s="2"/>
      <c r="D913" s="1"/>
      <c r="E913" s="1"/>
      <c r="F913" s="1"/>
      <c r="G913" s="1"/>
      <c r="H913" s="2"/>
      <c r="I913" s="2"/>
      <c r="J913" s="1"/>
      <c r="K913" s="1"/>
      <c r="L913" s="1"/>
      <c r="M913" s="1"/>
      <c r="N913" s="1"/>
      <c r="O913" s="1"/>
      <c r="P913" s="1"/>
      <c r="Q913" s="1"/>
      <c r="R913" s="1"/>
      <c r="S913" s="1"/>
      <c r="T913" s="1"/>
      <c r="U913" s="1"/>
      <c r="V913" s="1"/>
      <c r="W913" s="1"/>
      <c r="X913" s="1"/>
    </row>
    <row r="914">
      <c r="A914" s="1"/>
      <c r="B914" s="1"/>
      <c r="C914" s="2"/>
      <c r="D914" s="1"/>
      <c r="E914" s="1"/>
      <c r="F914" s="1"/>
      <c r="G914" s="1"/>
      <c r="H914" s="2"/>
      <c r="I914" s="2"/>
      <c r="J914" s="1"/>
      <c r="K914" s="1"/>
      <c r="L914" s="1"/>
      <c r="M914" s="1"/>
      <c r="N914" s="1"/>
      <c r="O914" s="1"/>
      <c r="P914" s="1"/>
      <c r="Q914" s="1"/>
      <c r="R914" s="1"/>
      <c r="S914" s="1"/>
      <c r="T914" s="1"/>
      <c r="U914" s="1"/>
      <c r="V914" s="1"/>
      <c r="W914" s="1"/>
      <c r="X914" s="1"/>
    </row>
    <row r="915">
      <c r="A915" s="1"/>
      <c r="B915" s="1"/>
      <c r="C915" s="2"/>
      <c r="D915" s="1"/>
      <c r="E915" s="1"/>
      <c r="F915" s="1"/>
      <c r="G915" s="1"/>
      <c r="H915" s="2"/>
      <c r="I915" s="2"/>
      <c r="J915" s="1"/>
      <c r="K915" s="1"/>
      <c r="L915" s="1"/>
      <c r="M915" s="1"/>
      <c r="N915" s="1"/>
      <c r="O915" s="1"/>
      <c r="P915" s="1"/>
      <c r="Q915" s="1"/>
      <c r="R915" s="1"/>
      <c r="S915" s="1"/>
      <c r="T915" s="1"/>
      <c r="U915" s="1"/>
      <c r="V915" s="1"/>
      <c r="W915" s="1"/>
      <c r="X915" s="1"/>
    </row>
    <row r="916">
      <c r="A916" s="1"/>
      <c r="B916" s="1"/>
      <c r="C916" s="2"/>
      <c r="D916" s="1"/>
      <c r="E916" s="1"/>
      <c r="F916" s="1"/>
      <c r="G916" s="1"/>
      <c r="H916" s="2"/>
      <c r="I916" s="2"/>
      <c r="J916" s="1"/>
      <c r="K916" s="1"/>
      <c r="L916" s="1"/>
      <c r="M916" s="1"/>
      <c r="N916" s="1"/>
      <c r="O916" s="1"/>
      <c r="P916" s="1"/>
      <c r="Q916" s="1"/>
      <c r="R916" s="1"/>
      <c r="S916" s="1"/>
      <c r="T916" s="1"/>
      <c r="U916" s="1"/>
      <c r="V916" s="1"/>
      <c r="W916" s="1"/>
      <c r="X916" s="1"/>
    </row>
    <row r="917">
      <c r="A917" s="1"/>
      <c r="B917" s="1"/>
      <c r="C917" s="2"/>
      <c r="D917" s="1"/>
      <c r="E917" s="1"/>
      <c r="F917" s="1"/>
      <c r="G917" s="1"/>
      <c r="H917" s="2"/>
      <c r="I917" s="2"/>
      <c r="J917" s="1"/>
      <c r="K917" s="1"/>
      <c r="L917" s="1"/>
      <c r="M917" s="1"/>
      <c r="N917" s="1"/>
      <c r="O917" s="1"/>
      <c r="P917" s="1"/>
      <c r="Q917" s="1"/>
      <c r="R917" s="1"/>
      <c r="S917" s="1"/>
      <c r="T917" s="1"/>
      <c r="U917" s="1"/>
      <c r="V917" s="1"/>
      <c r="W917" s="1"/>
      <c r="X917" s="1"/>
    </row>
    <row r="918">
      <c r="A918" s="1"/>
      <c r="B918" s="1"/>
      <c r="C918" s="2"/>
      <c r="D918" s="1"/>
      <c r="E918" s="1"/>
      <c r="F918" s="1"/>
      <c r="G918" s="1"/>
      <c r="H918" s="2"/>
      <c r="I918" s="2"/>
      <c r="J918" s="1"/>
      <c r="K918" s="1"/>
      <c r="L918" s="1"/>
      <c r="M918" s="1"/>
      <c r="N918" s="1"/>
      <c r="O918" s="1"/>
      <c r="P918" s="1"/>
      <c r="Q918" s="1"/>
      <c r="R918" s="1"/>
      <c r="S918" s="1"/>
      <c r="T918" s="1"/>
      <c r="U918" s="1"/>
      <c r="V918" s="1"/>
      <c r="W918" s="1"/>
      <c r="X918" s="1"/>
    </row>
    <row r="919">
      <c r="A919" s="1"/>
      <c r="B919" s="1"/>
      <c r="C919" s="2"/>
      <c r="D919" s="1"/>
      <c r="E919" s="1"/>
      <c r="F919" s="1"/>
      <c r="G919" s="1"/>
      <c r="H919" s="2"/>
      <c r="I919" s="2"/>
      <c r="J919" s="1"/>
      <c r="K919" s="1"/>
      <c r="L919" s="1"/>
      <c r="M919" s="1"/>
      <c r="N919" s="1"/>
      <c r="O919" s="1"/>
      <c r="P919" s="1"/>
      <c r="Q919" s="1"/>
      <c r="R919" s="1"/>
      <c r="S919" s="1"/>
      <c r="T919" s="1"/>
      <c r="U919" s="1"/>
      <c r="V919" s="1"/>
      <c r="W919" s="1"/>
      <c r="X919" s="1"/>
    </row>
    <row r="920">
      <c r="A920" s="1"/>
      <c r="B920" s="1"/>
      <c r="C920" s="2"/>
      <c r="D920" s="1"/>
      <c r="E920" s="1"/>
      <c r="F920" s="1"/>
      <c r="G920" s="1"/>
      <c r="H920" s="2"/>
      <c r="I920" s="2"/>
      <c r="J920" s="1"/>
      <c r="K920" s="1"/>
      <c r="L920" s="1"/>
      <c r="M920" s="1"/>
      <c r="N920" s="1"/>
      <c r="O920" s="1"/>
      <c r="P920" s="1"/>
      <c r="Q920" s="1"/>
      <c r="R920" s="1"/>
      <c r="S920" s="1"/>
      <c r="T920" s="1"/>
      <c r="U920" s="1"/>
      <c r="V920" s="1"/>
      <c r="W920" s="1"/>
      <c r="X920" s="1"/>
    </row>
    <row r="921">
      <c r="A921" s="1"/>
      <c r="B921" s="1"/>
      <c r="C921" s="2"/>
      <c r="D921" s="1"/>
      <c r="E921" s="1"/>
      <c r="F921" s="1"/>
      <c r="G921" s="1"/>
      <c r="H921" s="2"/>
      <c r="I921" s="2"/>
      <c r="J921" s="1"/>
      <c r="K921" s="1"/>
      <c r="L921" s="1"/>
      <c r="M921" s="1"/>
      <c r="N921" s="1"/>
      <c r="O921" s="1"/>
      <c r="P921" s="1"/>
      <c r="Q921" s="1"/>
      <c r="R921" s="1"/>
      <c r="S921" s="1"/>
      <c r="T921" s="1"/>
      <c r="U921" s="1"/>
      <c r="V921" s="1"/>
      <c r="W921" s="1"/>
      <c r="X921" s="1"/>
    </row>
    <row r="922">
      <c r="A922" s="1"/>
      <c r="B922" s="1"/>
      <c r="C922" s="2"/>
      <c r="D922" s="1"/>
      <c r="E922" s="1"/>
      <c r="F922" s="1"/>
      <c r="G922" s="1"/>
      <c r="H922" s="2"/>
      <c r="I922" s="2"/>
      <c r="J922" s="1"/>
      <c r="K922" s="1"/>
      <c r="L922" s="1"/>
      <c r="M922" s="1"/>
      <c r="N922" s="1"/>
      <c r="O922" s="1"/>
      <c r="P922" s="1"/>
      <c r="Q922" s="1"/>
      <c r="R922" s="1"/>
      <c r="S922" s="1"/>
      <c r="T922" s="1"/>
      <c r="U922" s="1"/>
      <c r="V922" s="1"/>
      <c r="W922" s="1"/>
      <c r="X922" s="1"/>
    </row>
    <row r="923">
      <c r="A923" s="1"/>
      <c r="B923" s="1"/>
      <c r="C923" s="2"/>
      <c r="D923" s="1"/>
      <c r="E923" s="1"/>
      <c r="F923" s="1"/>
      <c r="G923" s="1"/>
      <c r="H923" s="2"/>
      <c r="I923" s="2"/>
      <c r="J923" s="1"/>
      <c r="K923" s="1"/>
      <c r="L923" s="1"/>
      <c r="M923" s="1"/>
      <c r="N923" s="1"/>
      <c r="O923" s="1"/>
      <c r="P923" s="1"/>
      <c r="Q923" s="1"/>
      <c r="R923" s="1"/>
      <c r="S923" s="1"/>
      <c r="T923" s="1"/>
      <c r="U923" s="1"/>
      <c r="V923" s="1"/>
      <c r="W923" s="1"/>
      <c r="X923" s="1"/>
    </row>
    <row r="924">
      <c r="A924" s="1"/>
      <c r="B924" s="1"/>
      <c r="C924" s="2"/>
      <c r="D924" s="1"/>
      <c r="E924" s="1"/>
      <c r="F924" s="1"/>
      <c r="G924" s="1"/>
      <c r="H924" s="2"/>
      <c r="I924" s="2"/>
      <c r="J924" s="1"/>
      <c r="K924" s="1"/>
      <c r="L924" s="1"/>
      <c r="M924" s="1"/>
      <c r="N924" s="1"/>
      <c r="O924" s="1"/>
      <c r="P924" s="1"/>
      <c r="Q924" s="1"/>
      <c r="R924" s="1"/>
      <c r="S924" s="1"/>
      <c r="T924" s="1"/>
      <c r="U924" s="1"/>
      <c r="V924" s="1"/>
      <c r="W924" s="1"/>
      <c r="X924" s="1"/>
    </row>
    <row r="925">
      <c r="A925" s="1"/>
      <c r="B925" s="1"/>
      <c r="C925" s="2"/>
      <c r="D925" s="1"/>
      <c r="E925" s="1"/>
      <c r="F925" s="1"/>
      <c r="G925" s="1"/>
      <c r="H925" s="2"/>
      <c r="I925" s="2"/>
      <c r="J925" s="1"/>
      <c r="K925" s="1"/>
      <c r="L925" s="1"/>
      <c r="M925" s="1"/>
      <c r="N925" s="1"/>
      <c r="O925" s="1"/>
      <c r="P925" s="1"/>
      <c r="Q925" s="1"/>
      <c r="R925" s="1"/>
      <c r="S925" s="1"/>
      <c r="T925" s="1"/>
      <c r="U925" s="1"/>
      <c r="V925" s="1"/>
      <c r="W925" s="1"/>
      <c r="X925" s="1"/>
    </row>
    <row r="926">
      <c r="A926" s="1"/>
      <c r="B926" s="1"/>
      <c r="C926" s="2"/>
      <c r="D926" s="1"/>
      <c r="E926" s="1"/>
      <c r="F926" s="1"/>
      <c r="G926" s="1"/>
      <c r="H926" s="2"/>
      <c r="I926" s="2"/>
      <c r="J926" s="1"/>
      <c r="K926" s="1"/>
      <c r="L926" s="1"/>
      <c r="M926" s="1"/>
      <c r="N926" s="1"/>
      <c r="O926" s="1"/>
      <c r="P926" s="1"/>
      <c r="Q926" s="1"/>
      <c r="R926" s="1"/>
      <c r="S926" s="1"/>
      <c r="T926" s="1"/>
      <c r="U926" s="1"/>
      <c r="V926" s="1"/>
      <c r="W926" s="1"/>
      <c r="X926" s="1"/>
    </row>
    <row r="927">
      <c r="A927" s="1"/>
      <c r="B927" s="1"/>
      <c r="C927" s="2"/>
      <c r="D927" s="1"/>
      <c r="E927" s="1"/>
      <c r="F927" s="1"/>
      <c r="G927" s="1"/>
      <c r="H927" s="2"/>
      <c r="I927" s="2"/>
      <c r="J927" s="1"/>
      <c r="K927" s="1"/>
      <c r="L927" s="1"/>
      <c r="M927" s="1"/>
      <c r="N927" s="1"/>
      <c r="O927" s="1"/>
      <c r="P927" s="1"/>
      <c r="Q927" s="1"/>
      <c r="R927" s="1"/>
      <c r="S927" s="1"/>
      <c r="T927" s="1"/>
      <c r="U927" s="1"/>
      <c r="V927" s="1"/>
      <c r="W927" s="1"/>
      <c r="X927" s="1"/>
    </row>
    <row r="928">
      <c r="A928" s="1"/>
      <c r="B928" s="1"/>
      <c r="C928" s="2"/>
      <c r="D928" s="1"/>
      <c r="E928" s="1"/>
      <c r="F928" s="1"/>
      <c r="G928" s="1"/>
      <c r="H928" s="2"/>
      <c r="I928" s="2"/>
      <c r="J928" s="1"/>
      <c r="K928" s="1"/>
      <c r="L928" s="1"/>
      <c r="M928" s="1"/>
      <c r="N928" s="1"/>
      <c r="O928" s="1"/>
      <c r="P928" s="1"/>
      <c r="Q928" s="1"/>
      <c r="R928" s="1"/>
      <c r="S928" s="1"/>
      <c r="T928" s="1"/>
      <c r="U928" s="1"/>
      <c r="V928" s="1"/>
      <c r="W928" s="1"/>
      <c r="X928" s="1"/>
    </row>
    <row r="929">
      <c r="A929" s="1"/>
      <c r="B929" s="1"/>
      <c r="C929" s="2"/>
      <c r="D929" s="1"/>
      <c r="E929" s="1"/>
      <c r="F929" s="1"/>
      <c r="G929" s="1"/>
      <c r="H929" s="2"/>
      <c r="I929" s="2"/>
      <c r="J929" s="1"/>
      <c r="K929" s="1"/>
      <c r="L929" s="1"/>
      <c r="M929" s="1"/>
      <c r="N929" s="1"/>
      <c r="O929" s="1"/>
      <c r="P929" s="1"/>
      <c r="Q929" s="1"/>
      <c r="R929" s="1"/>
      <c r="S929" s="1"/>
      <c r="T929" s="1"/>
      <c r="U929" s="1"/>
      <c r="V929" s="1"/>
      <c r="W929" s="1"/>
      <c r="X929" s="1"/>
    </row>
    <row r="930">
      <c r="A930" s="1"/>
      <c r="B930" s="1"/>
      <c r="C930" s="2"/>
      <c r="D930" s="1"/>
      <c r="E930" s="1"/>
      <c r="F930" s="1"/>
      <c r="G930" s="1"/>
      <c r="H930" s="2"/>
      <c r="I930" s="2"/>
      <c r="J930" s="1"/>
      <c r="K930" s="1"/>
      <c r="L930" s="1"/>
      <c r="M930" s="1"/>
      <c r="N930" s="1"/>
      <c r="O930" s="1"/>
      <c r="P930" s="1"/>
      <c r="Q930" s="1"/>
      <c r="R930" s="1"/>
      <c r="S930" s="1"/>
      <c r="T930" s="1"/>
      <c r="U930" s="1"/>
      <c r="V930" s="1"/>
      <c r="W930" s="1"/>
      <c r="X930" s="1"/>
    </row>
    <row r="931">
      <c r="A931" s="1"/>
      <c r="B931" s="1"/>
      <c r="C931" s="2"/>
      <c r="D931" s="1"/>
      <c r="E931" s="1"/>
      <c r="F931" s="1"/>
      <c r="G931" s="1"/>
      <c r="H931" s="2"/>
      <c r="I931" s="2"/>
      <c r="J931" s="1"/>
      <c r="K931" s="1"/>
      <c r="L931" s="1"/>
      <c r="M931" s="1"/>
      <c r="N931" s="1"/>
      <c r="O931" s="1"/>
      <c r="P931" s="1"/>
      <c r="Q931" s="1"/>
      <c r="R931" s="1"/>
      <c r="S931" s="1"/>
      <c r="T931" s="1"/>
      <c r="U931" s="1"/>
      <c r="V931" s="1"/>
      <c r="W931" s="1"/>
      <c r="X931" s="1"/>
    </row>
    <row r="932">
      <c r="A932" s="1"/>
      <c r="B932" s="1"/>
      <c r="C932" s="2"/>
      <c r="D932" s="1"/>
      <c r="E932" s="1"/>
      <c r="F932" s="1"/>
      <c r="G932" s="1"/>
      <c r="H932" s="2"/>
      <c r="I932" s="2"/>
      <c r="J932" s="1"/>
      <c r="K932" s="1"/>
      <c r="L932" s="1"/>
      <c r="M932" s="1"/>
      <c r="N932" s="1"/>
      <c r="O932" s="1"/>
      <c r="P932" s="1"/>
      <c r="Q932" s="1"/>
      <c r="R932" s="1"/>
      <c r="S932" s="1"/>
      <c r="T932" s="1"/>
      <c r="U932" s="1"/>
      <c r="V932" s="1"/>
      <c r="W932" s="1"/>
      <c r="X932" s="1"/>
    </row>
    <row r="933">
      <c r="A933" s="1"/>
      <c r="B933" s="1"/>
      <c r="C933" s="2"/>
      <c r="D933" s="1"/>
      <c r="E933" s="1"/>
      <c r="F933" s="1"/>
      <c r="G933" s="1"/>
      <c r="H933" s="2"/>
      <c r="I933" s="2"/>
      <c r="J933" s="1"/>
      <c r="K933" s="1"/>
      <c r="L933" s="1"/>
      <c r="M933" s="1"/>
      <c r="N933" s="1"/>
      <c r="O933" s="1"/>
      <c r="P933" s="1"/>
      <c r="Q933" s="1"/>
      <c r="R933" s="1"/>
      <c r="S933" s="1"/>
      <c r="T933" s="1"/>
      <c r="U933" s="1"/>
      <c r="V933" s="1"/>
      <c r="W933" s="1"/>
      <c r="X933" s="1"/>
    </row>
    <row r="934">
      <c r="A934" s="1"/>
      <c r="B934" s="1"/>
      <c r="C934" s="2"/>
      <c r="D934" s="1"/>
      <c r="E934" s="1"/>
      <c r="F934" s="1"/>
      <c r="G934" s="1"/>
      <c r="H934" s="2"/>
      <c r="I934" s="2"/>
      <c r="J934" s="1"/>
      <c r="K934" s="1"/>
      <c r="L934" s="1"/>
      <c r="M934" s="1"/>
      <c r="N934" s="1"/>
      <c r="O934" s="1"/>
      <c r="P934" s="1"/>
      <c r="Q934" s="1"/>
      <c r="R934" s="1"/>
      <c r="S934" s="1"/>
      <c r="T934" s="1"/>
      <c r="U934" s="1"/>
      <c r="V934" s="1"/>
      <c r="W934" s="1"/>
      <c r="X934" s="1"/>
    </row>
    <row r="935">
      <c r="A935" s="1"/>
      <c r="B935" s="1"/>
      <c r="C935" s="2"/>
      <c r="D935" s="1"/>
      <c r="E935" s="1"/>
      <c r="F935" s="1"/>
      <c r="G935" s="1"/>
      <c r="H935" s="2"/>
      <c r="I935" s="2"/>
      <c r="J935" s="1"/>
      <c r="K935" s="1"/>
      <c r="L935" s="1"/>
      <c r="M935" s="1"/>
      <c r="N935" s="1"/>
      <c r="O935" s="1"/>
      <c r="P935" s="1"/>
      <c r="Q935" s="1"/>
      <c r="R935" s="1"/>
      <c r="S935" s="1"/>
      <c r="T935" s="1"/>
      <c r="U935" s="1"/>
      <c r="V935" s="1"/>
      <c r="W935" s="1"/>
      <c r="X935" s="1"/>
    </row>
    <row r="936">
      <c r="A936" s="1"/>
      <c r="B936" s="1"/>
      <c r="C936" s="2"/>
      <c r="D936" s="1"/>
      <c r="E936" s="1"/>
      <c r="F936" s="1"/>
      <c r="G936" s="1"/>
      <c r="H936" s="2"/>
      <c r="I936" s="2"/>
      <c r="J936" s="1"/>
      <c r="K936" s="1"/>
      <c r="L936" s="1"/>
      <c r="M936" s="1"/>
      <c r="N936" s="1"/>
      <c r="O936" s="1"/>
      <c r="P936" s="1"/>
      <c r="Q936" s="1"/>
      <c r="R936" s="1"/>
      <c r="S936" s="1"/>
      <c r="T936" s="1"/>
      <c r="U936" s="1"/>
      <c r="V936" s="1"/>
      <c r="W936" s="1"/>
      <c r="X936" s="1"/>
    </row>
    <row r="937">
      <c r="A937" s="1"/>
      <c r="B937" s="1"/>
      <c r="C937" s="2"/>
      <c r="D937" s="1"/>
      <c r="E937" s="1"/>
      <c r="F937" s="1"/>
      <c r="G937" s="1"/>
      <c r="H937" s="2"/>
      <c r="I937" s="2"/>
      <c r="J937" s="1"/>
      <c r="K937" s="1"/>
      <c r="L937" s="1"/>
      <c r="M937" s="1"/>
      <c r="N937" s="1"/>
      <c r="O937" s="1"/>
      <c r="P937" s="1"/>
      <c r="Q937" s="1"/>
      <c r="R937" s="1"/>
      <c r="S937" s="1"/>
      <c r="T937" s="1"/>
      <c r="U937" s="1"/>
      <c r="V937" s="1"/>
      <c r="W937" s="1"/>
      <c r="X937" s="1"/>
    </row>
    <row r="938">
      <c r="A938" s="1"/>
      <c r="B938" s="1"/>
      <c r="C938" s="2"/>
      <c r="D938" s="1"/>
      <c r="E938" s="1"/>
      <c r="F938" s="1"/>
      <c r="G938" s="1"/>
      <c r="H938" s="2"/>
      <c r="I938" s="2"/>
      <c r="J938" s="1"/>
      <c r="K938" s="1"/>
      <c r="L938" s="1"/>
      <c r="M938" s="1"/>
      <c r="N938" s="1"/>
      <c r="O938" s="1"/>
      <c r="P938" s="1"/>
      <c r="Q938" s="1"/>
      <c r="R938" s="1"/>
      <c r="S938" s="1"/>
      <c r="T938" s="1"/>
      <c r="U938" s="1"/>
      <c r="V938" s="1"/>
      <c r="W938" s="1"/>
      <c r="X938" s="1"/>
    </row>
    <row r="939">
      <c r="A939" s="1"/>
      <c r="B939" s="1"/>
      <c r="C939" s="2"/>
      <c r="D939" s="1"/>
      <c r="E939" s="1"/>
      <c r="F939" s="1"/>
      <c r="G939" s="1"/>
      <c r="H939" s="2"/>
      <c r="I939" s="2"/>
      <c r="J939" s="1"/>
      <c r="K939" s="1"/>
      <c r="L939" s="1"/>
      <c r="M939" s="1"/>
      <c r="N939" s="1"/>
      <c r="O939" s="1"/>
      <c r="P939" s="1"/>
      <c r="Q939" s="1"/>
      <c r="R939" s="1"/>
      <c r="S939" s="1"/>
      <c r="T939" s="1"/>
      <c r="U939" s="1"/>
      <c r="V939" s="1"/>
      <c r="W939" s="1"/>
      <c r="X939" s="1"/>
    </row>
    <row r="940">
      <c r="A940" s="1"/>
      <c r="B940" s="1"/>
      <c r="C940" s="2"/>
      <c r="D940" s="1"/>
      <c r="E940" s="1"/>
      <c r="F940" s="1"/>
      <c r="G940" s="1"/>
      <c r="H940" s="2"/>
      <c r="I940" s="2"/>
      <c r="J940" s="1"/>
      <c r="K940" s="1"/>
      <c r="L940" s="1"/>
      <c r="M940" s="1"/>
      <c r="N940" s="1"/>
      <c r="O940" s="1"/>
      <c r="P940" s="1"/>
      <c r="Q940" s="1"/>
      <c r="R940" s="1"/>
      <c r="S940" s="1"/>
      <c r="T940" s="1"/>
      <c r="U940" s="1"/>
      <c r="V940" s="1"/>
      <c r="W940" s="1"/>
      <c r="X940" s="1"/>
    </row>
    <row r="941">
      <c r="A941" s="1"/>
      <c r="B941" s="1"/>
      <c r="C941" s="2"/>
      <c r="D941" s="1"/>
      <c r="E941" s="1"/>
      <c r="F941" s="1"/>
      <c r="G941" s="1"/>
      <c r="H941" s="2"/>
      <c r="I941" s="2"/>
      <c r="J941" s="1"/>
      <c r="K941" s="1"/>
      <c r="L941" s="1"/>
      <c r="M941" s="1"/>
      <c r="N941" s="1"/>
      <c r="O941" s="1"/>
      <c r="P941" s="1"/>
      <c r="Q941" s="1"/>
      <c r="R941" s="1"/>
      <c r="S941" s="1"/>
      <c r="T941" s="1"/>
      <c r="U941" s="1"/>
      <c r="V941" s="1"/>
      <c r="W941" s="1"/>
      <c r="X941" s="1"/>
    </row>
    <row r="942">
      <c r="A942" s="1"/>
      <c r="B942" s="1"/>
      <c r="C942" s="2"/>
      <c r="D942" s="1"/>
      <c r="E942" s="1"/>
      <c r="F942" s="1"/>
      <c r="G942" s="1"/>
      <c r="H942" s="2"/>
      <c r="I942" s="2"/>
      <c r="J942" s="1"/>
      <c r="K942" s="1"/>
      <c r="L942" s="1"/>
      <c r="M942" s="1"/>
      <c r="N942" s="1"/>
      <c r="O942" s="1"/>
      <c r="P942" s="1"/>
      <c r="Q942" s="1"/>
      <c r="R942" s="1"/>
      <c r="S942" s="1"/>
      <c r="T942" s="1"/>
      <c r="U942" s="1"/>
      <c r="V942" s="1"/>
      <c r="W942" s="1"/>
      <c r="X942" s="1"/>
    </row>
    <row r="943">
      <c r="A943" s="1"/>
      <c r="B943" s="1"/>
      <c r="C943" s="2"/>
      <c r="D943" s="1"/>
      <c r="E943" s="1"/>
      <c r="F943" s="1"/>
      <c r="G943" s="1"/>
      <c r="H943" s="2"/>
      <c r="I943" s="2"/>
      <c r="J943" s="1"/>
      <c r="K943" s="1"/>
      <c r="L943" s="1"/>
      <c r="M943" s="1"/>
      <c r="N943" s="1"/>
      <c r="O943" s="1"/>
      <c r="P943" s="1"/>
      <c r="Q943" s="1"/>
      <c r="R943" s="1"/>
      <c r="S943" s="1"/>
      <c r="T943" s="1"/>
      <c r="U943" s="1"/>
      <c r="V943" s="1"/>
      <c r="W943" s="1"/>
      <c r="X943" s="1"/>
    </row>
    <row r="944">
      <c r="A944" s="1"/>
      <c r="B944" s="1"/>
      <c r="C944" s="2"/>
      <c r="D944" s="1"/>
      <c r="E944" s="1"/>
      <c r="F944" s="1"/>
      <c r="G944" s="1"/>
      <c r="H944" s="2"/>
      <c r="I944" s="2"/>
      <c r="J944" s="1"/>
      <c r="K944" s="1"/>
      <c r="L944" s="1"/>
      <c r="M944" s="1"/>
      <c r="N944" s="1"/>
      <c r="O944" s="1"/>
      <c r="P944" s="1"/>
      <c r="Q944" s="1"/>
      <c r="R944" s="1"/>
      <c r="S944" s="1"/>
      <c r="T944" s="1"/>
      <c r="U944" s="1"/>
      <c r="V944" s="1"/>
      <c r="W944" s="1"/>
      <c r="X944" s="1"/>
    </row>
    <row r="945">
      <c r="A945" s="1"/>
      <c r="B945" s="1"/>
      <c r="C945" s="2"/>
      <c r="D945" s="1"/>
      <c r="E945" s="1"/>
      <c r="F945" s="1"/>
      <c r="G945" s="1"/>
      <c r="H945" s="2"/>
      <c r="I945" s="2"/>
      <c r="J945" s="1"/>
      <c r="K945" s="1"/>
      <c r="L945" s="1"/>
      <c r="M945" s="1"/>
      <c r="N945" s="1"/>
      <c r="O945" s="1"/>
      <c r="P945" s="1"/>
      <c r="Q945" s="1"/>
      <c r="R945" s="1"/>
      <c r="S945" s="1"/>
      <c r="T945" s="1"/>
      <c r="U945" s="1"/>
      <c r="V945" s="1"/>
      <c r="W945" s="1"/>
      <c r="X945" s="1"/>
    </row>
    <row r="946">
      <c r="A946" s="1"/>
      <c r="B946" s="1"/>
      <c r="C946" s="2"/>
      <c r="D946" s="1"/>
      <c r="E946" s="1"/>
      <c r="F946" s="1"/>
      <c r="G946" s="1"/>
      <c r="H946" s="2"/>
      <c r="I946" s="2"/>
      <c r="J946" s="1"/>
      <c r="K946" s="1"/>
      <c r="L946" s="1"/>
      <c r="M946" s="1"/>
      <c r="N946" s="1"/>
      <c r="O946" s="1"/>
      <c r="P946" s="1"/>
      <c r="Q946" s="1"/>
      <c r="R946" s="1"/>
      <c r="S946" s="1"/>
      <c r="T946" s="1"/>
      <c r="U946" s="1"/>
      <c r="V946" s="1"/>
      <c r="W946" s="1"/>
      <c r="X946" s="1"/>
    </row>
    <row r="947">
      <c r="A947" s="1"/>
      <c r="B947" s="1"/>
      <c r="C947" s="2"/>
      <c r="D947" s="1"/>
      <c r="E947" s="1"/>
      <c r="F947" s="1"/>
      <c r="G947" s="1"/>
      <c r="H947" s="2"/>
      <c r="I947" s="2"/>
      <c r="J947" s="1"/>
      <c r="K947" s="1"/>
      <c r="L947" s="1"/>
      <c r="M947" s="1"/>
      <c r="N947" s="1"/>
      <c r="O947" s="1"/>
      <c r="P947" s="1"/>
      <c r="Q947" s="1"/>
      <c r="R947" s="1"/>
      <c r="S947" s="1"/>
      <c r="T947" s="1"/>
      <c r="U947" s="1"/>
      <c r="V947" s="1"/>
      <c r="W947" s="1"/>
      <c r="X947" s="1"/>
    </row>
    <row r="948">
      <c r="A948" s="1"/>
      <c r="B948" s="1"/>
      <c r="C948" s="2"/>
      <c r="D948" s="1"/>
      <c r="E948" s="1"/>
      <c r="F948" s="1"/>
      <c r="G948" s="1"/>
      <c r="H948" s="2"/>
      <c r="I948" s="2"/>
      <c r="J948" s="1"/>
      <c r="K948" s="1"/>
      <c r="L948" s="1"/>
      <c r="M948" s="1"/>
      <c r="N948" s="1"/>
      <c r="O948" s="1"/>
      <c r="P948" s="1"/>
      <c r="Q948" s="1"/>
      <c r="R948" s="1"/>
      <c r="S948" s="1"/>
      <c r="T948" s="1"/>
      <c r="U948" s="1"/>
      <c r="V948" s="1"/>
      <c r="W948" s="1"/>
      <c r="X948" s="1"/>
    </row>
    <row r="949">
      <c r="A949" s="1"/>
      <c r="B949" s="1"/>
      <c r="C949" s="2"/>
      <c r="D949" s="1"/>
      <c r="E949" s="1"/>
      <c r="F949" s="1"/>
      <c r="G949" s="1"/>
      <c r="H949" s="2"/>
      <c r="I949" s="2"/>
      <c r="J949" s="1"/>
      <c r="K949" s="1"/>
      <c r="L949" s="1"/>
      <c r="M949" s="1"/>
      <c r="N949" s="1"/>
      <c r="O949" s="1"/>
      <c r="P949" s="1"/>
      <c r="Q949" s="1"/>
      <c r="R949" s="1"/>
      <c r="S949" s="1"/>
      <c r="T949" s="1"/>
      <c r="U949" s="1"/>
      <c r="V949" s="1"/>
      <c r="W949" s="1"/>
      <c r="X949" s="1"/>
    </row>
    <row r="950">
      <c r="A950" s="1"/>
      <c r="B950" s="1"/>
      <c r="C950" s="2"/>
      <c r="D950" s="1"/>
      <c r="E950" s="1"/>
      <c r="F950" s="1"/>
      <c r="G950" s="1"/>
      <c r="H950" s="2"/>
      <c r="I950" s="2"/>
      <c r="J950" s="1"/>
      <c r="K950" s="1"/>
      <c r="L950" s="1"/>
      <c r="M950" s="1"/>
      <c r="N950" s="1"/>
      <c r="O950" s="1"/>
      <c r="P950" s="1"/>
      <c r="Q950" s="1"/>
      <c r="R950" s="1"/>
      <c r="S950" s="1"/>
      <c r="T950" s="1"/>
      <c r="U950" s="1"/>
      <c r="V950" s="1"/>
      <c r="W950" s="1"/>
      <c r="X950" s="1"/>
    </row>
    <row r="951">
      <c r="A951" s="1"/>
      <c r="B951" s="1"/>
      <c r="C951" s="2"/>
      <c r="D951" s="1"/>
      <c r="E951" s="1"/>
      <c r="F951" s="1"/>
      <c r="G951" s="1"/>
      <c r="H951" s="2"/>
      <c r="I951" s="2"/>
      <c r="J951" s="1"/>
      <c r="K951" s="1"/>
      <c r="L951" s="1"/>
      <c r="M951" s="1"/>
      <c r="N951" s="1"/>
      <c r="O951" s="1"/>
      <c r="P951" s="1"/>
      <c r="Q951" s="1"/>
      <c r="R951" s="1"/>
      <c r="S951" s="1"/>
      <c r="T951" s="1"/>
      <c r="U951" s="1"/>
      <c r="V951" s="1"/>
      <c r="W951" s="1"/>
      <c r="X951" s="1"/>
    </row>
    <row r="952">
      <c r="A952" s="1"/>
      <c r="B952" s="1"/>
      <c r="C952" s="2"/>
      <c r="D952" s="1"/>
      <c r="E952" s="1"/>
      <c r="F952" s="1"/>
      <c r="G952" s="1"/>
      <c r="H952" s="2"/>
      <c r="I952" s="2"/>
      <c r="J952" s="1"/>
      <c r="K952" s="1"/>
      <c r="L952" s="1"/>
      <c r="M952" s="1"/>
      <c r="N952" s="1"/>
      <c r="O952" s="1"/>
      <c r="P952" s="1"/>
      <c r="Q952" s="1"/>
      <c r="R952" s="1"/>
      <c r="S952" s="1"/>
      <c r="T952" s="1"/>
      <c r="U952" s="1"/>
      <c r="V952" s="1"/>
      <c r="W952" s="1"/>
      <c r="X952" s="1"/>
    </row>
    <row r="953">
      <c r="A953" s="1"/>
      <c r="B953" s="1"/>
      <c r="C953" s="2"/>
      <c r="D953" s="1"/>
      <c r="E953" s="1"/>
      <c r="F953" s="1"/>
      <c r="G953" s="1"/>
      <c r="H953" s="2"/>
      <c r="I953" s="2"/>
      <c r="J953" s="1"/>
      <c r="K953" s="1"/>
      <c r="L953" s="1"/>
      <c r="M953" s="1"/>
      <c r="N953" s="1"/>
      <c r="O953" s="1"/>
      <c r="P953" s="1"/>
      <c r="Q953" s="1"/>
      <c r="R953" s="1"/>
      <c r="S953" s="1"/>
      <c r="T953" s="1"/>
      <c r="U953" s="1"/>
      <c r="V953" s="1"/>
      <c r="W953" s="1"/>
      <c r="X953" s="1"/>
    </row>
    <row r="954">
      <c r="A954" s="1"/>
      <c r="B954" s="1"/>
      <c r="C954" s="2"/>
      <c r="D954" s="1"/>
      <c r="E954" s="1"/>
      <c r="F954" s="1"/>
      <c r="G954" s="1"/>
      <c r="H954" s="2"/>
      <c r="I954" s="2"/>
      <c r="J954" s="1"/>
      <c r="K954" s="1"/>
      <c r="L954" s="1"/>
      <c r="M954" s="1"/>
      <c r="N954" s="1"/>
      <c r="O954" s="1"/>
      <c r="P954" s="1"/>
      <c r="Q954" s="1"/>
      <c r="R954" s="1"/>
      <c r="S954" s="1"/>
      <c r="T954" s="1"/>
      <c r="U954" s="1"/>
      <c r="V954" s="1"/>
      <c r="W954" s="1"/>
      <c r="X954" s="1"/>
    </row>
    <row r="955">
      <c r="A955" s="1"/>
      <c r="B955" s="1"/>
      <c r="C955" s="2"/>
      <c r="D955" s="1"/>
      <c r="E955" s="1"/>
      <c r="F955" s="1"/>
      <c r="G955" s="1"/>
      <c r="H955" s="2"/>
      <c r="I955" s="2"/>
      <c r="J955" s="1"/>
      <c r="K955" s="1"/>
      <c r="L955" s="1"/>
      <c r="M955" s="1"/>
      <c r="N955" s="1"/>
      <c r="O955" s="1"/>
      <c r="P955" s="1"/>
      <c r="Q955" s="1"/>
      <c r="R955" s="1"/>
      <c r="S955" s="1"/>
      <c r="T955" s="1"/>
      <c r="U955" s="1"/>
      <c r="V955" s="1"/>
      <c r="W955" s="1"/>
      <c r="X955" s="1"/>
    </row>
    <row r="956">
      <c r="A956" s="1"/>
      <c r="B956" s="1"/>
      <c r="C956" s="2"/>
      <c r="D956" s="1"/>
      <c r="E956" s="1"/>
      <c r="F956" s="1"/>
      <c r="G956" s="1"/>
      <c r="H956" s="2"/>
      <c r="I956" s="2"/>
      <c r="J956" s="1"/>
      <c r="K956" s="1"/>
      <c r="L956" s="1"/>
      <c r="M956" s="1"/>
      <c r="N956" s="1"/>
      <c r="O956" s="1"/>
      <c r="P956" s="1"/>
      <c r="Q956" s="1"/>
      <c r="R956" s="1"/>
      <c r="S956" s="1"/>
      <c r="T956" s="1"/>
      <c r="U956" s="1"/>
      <c r="V956" s="1"/>
      <c r="W956" s="1"/>
      <c r="X956" s="1"/>
    </row>
    <row r="957">
      <c r="A957" s="1"/>
      <c r="B957" s="1"/>
      <c r="C957" s="2"/>
      <c r="D957" s="1"/>
      <c r="E957" s="1"/>
      <c r="F957" s="1"/>
      <c r="G957" s="1"/>
      <c r="H957" s="2"/>
      <c r="I957" s="2"/>
      <c r="J957" s="1"/>
      <c r="K957" s="1"/>
      <c r="L957" s="1"/>
      <c r="M957" s="1"/>
      <c r="N957" s="1"/>
      <c r="O957" s="1"/>
      <c r="P957" s="1"/>
      <c r="Q957" s="1"/>
      <c r="R957" s="1"/>
      <c r="S957" s="1"/>
      <c r="T957" s="1"/>
      <c r="U957" s="1"/>
      <c r="V957" s="1"/>
      <c r="W957" s="1"/>
      <c r="X957" s="1"/>
    </row>
    <row r="958">
      <c r="A958" s="1"/>
      <c r="B958" s="1"/>
      <c r="C958" s="2"/>
      <c r="D958" s="1"/>
      <c r="E958" s="1"/>
      <c r="F958" s="1"/>
      <c r="G958" s="1"/>
      <c r="H958" s="2"/>
      <c r="I958" s="2"/>
      <c r="J958" s="1"/>
      <c r="K958" s="1"/>
      <c r="L958" s="1"/>
      <c r="M958" s="1"/>
      <c r="N958" s="1"/>
      <c r="O958" s="1"/>
      <c r="P958" s="1"/>
      <c r="Q958" s="1"/>
      <c r="R958" s="1"/>
      <c r="S958" s="1"/>
      <c r="T958" s="1"/>
      <c r="U958" s="1"/>
      <c r="V958" s="1"/>
      <c r="W958" s="1"/>
      <c r="X958" s="1"/>
    </row>
    <row r="959">
      <c r="A959" s="1"/>
      <c r="B959" s="1"/>
      <c r="C959" s="2"/>
      <c r="D959" s="1"/>
      <c r="E959" s="1"/>
      <c r="F959" s="1"/>
      <c r="G959" s="1"/>
      <c r="H959" s="2"/>
      <c r="I959" s="2"/>
      <c r="J959" s="1"/>
      <c r="K959" s="1"/>
      <c r="L959" s="1"/>
      <c r="M959" s="1"/>
      <c r="N959" s="1"/>
      <c r="O959" s="1"/>
      <c r="P959" s="1"/>
      <c r="Q959" s="1"/>
      <c r="R959" s="1"/>
      <c r="S959" s="1"/>
      <c r="T959" s="1"/>
      <c r="U959" s="1"/>
      <c r="V959" s="1"/>
      <c r="W959" s="1"/>
      <c r="X959" s="1"/>
    </row>
    <row r="960">
      <c r="A960" s="1"/>
      <c r="B960" s="1"/>
      <c r="C960" s="2"/>
      <c r="D960" s="1"/>
      <c r="E960" s="1"/>
      <c r="F960" s="1"/>
      <c r="G960" s="1"/>
      <c r="H960" s="2"/>
      <c r="I960" s="2"/>
      <c r="J960" s="1"/>
      <c r="K960" s="1"/>
      <c r="L960" s="1"/>
      <c r="M960" s="1"/>
      <c r="N960" s="1"/>
      <c r="O960" s="1"/>
      <c r="P960" s="1"/>
      <c r="Q960" s="1"/>
      <c r="R960" s="1"/>
      <c r="S960" s="1"/>
      <c r="T960" s="1"/>
      <c r="U960" s="1"/>
      <c r="V960" s="1"/>
      <c r="W960" s="1"/>
      <c r="X960" s="1"/>
    </row>
    <row r="961">
      <c r="A961" s="1"/>
      <c r="B961" s="1"/>
      <c r="C961" s="2"/>
      <c r="D961" s="1"/>
      <c r="E961" s="1"/>
      <c r="F961" s="1"/>
      <c r="G961" s="1"/>
      <c r="H961" s="2"/>
      <c r="I961" s="2"/>
      <c r="J961" s="1"/>
      <c r="K961" s="1"/>
      <c r="L961" s="1"/>
      <c r="M961" s="1"/>
      <c r="N961" s="1"/>
      <c r="O961" s="1"/>
      <c r="P961" s="1"/>
      <c r="Q961" s="1"/>
      <c r="R961" s="1"/>
      <c r="S961" s="1"/>
      <c r="T961" s="1"/>
      <c r="U961" s="1"/>
      <c r="V961" s="1"/>
      <c r="W961" s="1"/>
      <c r="X961" s="1"/>
    </row>
    <row r="962">
      <c r="A962" s="1"/>
      <c r="B962" s="1"/>
      <c r="C962" s="2"/>
      <c r="D962" s="1"/>
      <c r="E962" s="1"/>
      <c r="F962" s="1"/>
      <c r="G962" s="1"/>
      <c r="H962" s="2"/>
      <c r="I962" s="2"/>
      <c r="J962" s="1"/>
      <c r="K962" s="1"/>
      <c r="L962" s="1"/>
      <c r="M962" s="1"/>
      <c r="N962" s="1"/>
      <c r="O962" s="1"/>
      <c r="P962" s="1"/>
      <c r="Q962" s="1"/>
      <c r="R962" s="1"/>
      <c r="S962" s="1"/>
      <c r="T962" s="1"/>
      <c r="U962" s="1"/>
      <c r="V962" s="1"/>
      <c r="W962" s="1"/>
      <c r="X962" s="1"/>
    </row>
    <row r="963">
      <c r="A963" s="1"/>
      <c r="B963" s="1"/>
      <c r="C963" s="2"/>
      <c r="D963" s="1"/>
      <c r="E963" s="1"/>
      <c r="F963" s="1"/>
      <c r="G963" s="1"/>
      <c r="H963" s="2"/>
      <c r="I963" s="2"/>
      <c r="J963" s="1"/>
      <c r="K963" s="1"/>
      <c r="L963" s="1"/>
      <c r="M963" s="1"/>
      <c r="N963" s="1"/>
      <c r="O963" s="1"/>
      <c r="P963" s="1"/>
      <c r="Q963" s="1"/>
      <c r="R963" s="1"/>
      <c r="S963" s="1"/>
      <c r="T963" s="1"/>
      <c r="U963" s="1"/>
      <c r="V963" s="1"/>
      <c r="W963" s="1"/>
      <c r="X963" s="1"/>
    </row>
    <row r="964">
      <c r="A964" s="1"/>
      <c r="B964" s="1"/>
      <c r="C964" s="2"/>
      <c r="D964" s="1"/>
      <c r="E964" s="1"/>
      <c r="F964" s="1"/>
      <c r="G964" s="1"/>
      <c r="H964" s="2"/>
      <c r="I964" s="2"/>
      <c r="J964" s="1"/>
      <c r="K964" s="1"/>
      <c r="L964" s="1"/>
      <c r="M964" s="1"/>
      <c r="N964" s="1"/>
      <c r="O964" s="1"/>
      <c r="P964" s="1"/>
      <c r="Q964" s="1"/>
      <c r="R964" s="1"/>
      <c r="S964" s="1"/>
      <c r="T964" s="1"/>
      <c r="U964" s="1"/>
      <c r="V964" s="1"/>
      <c r="W964" s="1"/>
      <c r="X964" s="1"/>
    </row>
    <row r="965">
      <c r="A965" s="1"/>
      <c r="B965" s="1"/>
      <c r="C965" s="2"/>
      <c r="D965" s="1"/>
      <c r="E965" s="1"/>
      <c r="F965" s="1"/>
      <c r="G965" s="1"/>
      <c r="H965" s="2"/>
      <c r="I965" s="2"/>
      <c r="J965" s="1"/>
      <c r="K965" s="1"/>
      <c r="L965" s="1"/>
      <c r="M965" s="1"/>
      <c r="N965" s="1"/>
      <c r="O965" s="1"/>
      <c r="P965" s="1"/>
      <c r="Q965" s="1"/>
      <c r="R965" s="1"/>
      <c r="S965" s="1"/>
      <c r="T965" s="1"/>
      <c r="U965" s="1"/>
      <c r="V965" s="1"/>
      <c r="W965" s="1"/>
      <c r="X965" s="1"/>
    </row>
    <row r="966">
      <c r="A966" s="1"/>
      <c r="B966" s="1"/>
      <c r="C966" s="2"/>
      <c r="D966" s="1"/>
      <c r="E966" s="1"/>
      <c r="F966" s="1"/>
      <c r="G966" s="1"/>
      <c r="H966" s="2"/>
      <c r="I966" s="2"/>
      <c r="J966" s="1"/>
      <c r="K966" s="1"/>
      <c r="L966" s="1"/>
      <c r="M966" s="1"/>
      <c r="N966" s="1"/>
      <c r="O966" s="1"/>
      <c r="P966" s="1"/>
      <c r="Q966" s="1"/>
      <c r="R966" s="1"/>
      <c r="S966" s="1"/>
      <c r="T966" s="1"/>
      <c r="U966" s="1"/>
      <c r="V966" s="1"/>
      <c r="W966" s="1"/>
      <c r="X966" s="1"/>
    </row>
    <row r="967">
      <c r="A967" s="1"/>
      <c r="B967" s="1"/>
      <c r="C967" s="2"/>
      <c r="D967" s="1"/>
      <c r="E967" s="1"/>
      <c r="F967" s="1"/>
      <c r="G967" s="1"/>
      <c r="H967" s="2"/>
      <c r="I967" s="2"/>
      <c r="J967" s="1"/>
      <c r="K967" s="1"/>
      <c r="L967" s="1"/>
      <c r="M967" s="1"/>
      <c r="N967" s="1"/>
      <c r="O967" s="1"/>
      <c r="P967" s="1"/>
      <c r="Q967" s="1"/>
      <c r="R967" s="1"/>
      <c r="S967" s="1"/>
      <c r="T967" s="1"/>
      <c r="U967" s="1"/>
      <c r="V967" s="1"/>
      <c r="W967" s="1"/>
      <c r="X967" s="1"/>
    </row>
    <row r="968">
      <c r="A968" s="1"/>
      <c r="B968" s="1"/>
      <c r="C968" s="2"/>
      <c r="D968" s="1"/>
      <c r="E968" s="1"/>
      <c r="F968" s="1"/>
      <c r="G968" s="1"/>
      <c r="H968" s="2"/>
      <c r="I968" s="2"/>
      <c r="J968" s="1"/>
      <c r="K968" s="1"/>
      <c r="L968" s="1"/>
      <c r="M968" s="1"/>
      <c r="N968" s="1"/>
      <c r="O968" s="1"/>
      <c r="P968" s="1"/>
      <c r="Q968" s="1"/>
      <c r="R968" s="1"/>
      <c r="S968" s="1"/>
      <c r="T968" s="1"/>
      <c r="U968" s="1"/>
      <c r="V968" s="1"/>
      <c r="W968" s="1"/>
      <c r="X968" s="1"/>
    </row>
    <row r="969">
      <c r="A969" s="1"/>
      <c r="B969" s="1"/>
      <c r="C969" s="2"/>
      <c r="D969" s="1"/>
      <c r="E969" s="1"/>
      <c r="F969" s="1"/>
      <c r="G969" s="1"/>
      <c r="H969" s="2"/>
      <c r="I969" s="2"/>
      <c r="J969" s="1"/>
      <c r="K969" s="1"/>
      <c r="L969" s="1"/>
      <c r="M969" s="1"/>
      <c r="N969" s="1"/>
      <c r="O969" s="1"/>
      <c r="P969" s="1"/>
      <c r="Q969" s="1"/>
      <c r="R969" s="1"/>
      <c r="S969" s="1"/>
      <c r="T969" s="1"/>
      <c r="U969" s="1"/>
      <c r="V969" s="1"/>
      <c r="W969" s="1"/>
      <c r="X969" s="1"/>
    </row>
    <row r="970">
      <c r="A970" s="1"/>
      <c r="B970" s="1"/>
      <c r="C970" s="2"/>
      <c r="D970" s="1"/>
      <c r="E970" s="1"/>
      <c r="F970" s="1"/>
      <c r="G970" s="1"/>
      <c r="H970" s="2"/>
      <c r="I970" s="2"/>
      <c r="J970" s="1"/>
      <c r="K970" s="1"/>
      <c r="L970" s="1"/>
      <c r="M970" s="1"/>
      <c r="N970" s="1"/>
      <c r="O970" s="1"/>
      <c r="P970" s="1"/>
      <c r="Q970" s="1"/>
      <c r="R970" s="1"/>
      <c r="S970" s="1"/>
      <c r="T970" s="1"/>
      <c r="U970" s="1"/>
      <c r="V970" s="1"/>
      <c r="W970" s="1"/>
      <c r="X970" s="1"/>
    </row>
    <row r="971">
      <c r="A971" s="1"/>
      <c r="B971" s="1"/>
      <c r="C971" s="2"/>
      <c r="D971" s="1"/>
      <c r="E971" s="1"/>
      <c r="F971" s="1"/>
      <c r="G971" s="1"/>
      <c r="H971" s="2"/>
      <c r="I971" s="2"/>
      <c r="J971" s="1"/>
      <c r="K971" s="1"/>
      <c r="L971" s="1"/>
      <c r="M971" s="1"/>
      <c r="N971" s="1"/>
      <c r="O971" s="1"/>
      <c r="P971" s="1"/>
      <c r="Q971" s="1"/>
      <c r="R971" s="1"/>
      <c r="S971" s="1"/>
      <c r="T971" s="1"/>
      <c r="U971" s="1"/>
      <c r="V971" s="1"/>
      <c r="W971" s="1"/>
      <c r="X971" s="1"/>
    </row>
    <row r="972">
      <c r="A972" s="1"/>
      <c r="B972" s="1"/>
      <c r="C972" s="2"/>
      <c r="D972" s="1"/>
      <c r="E972" s="1"/>
      <c r="F972" s="1"/>
      <c r="G972" s="1"/>
      <c r="H972" s="2"/>
      <c r="I972" s="2"/>
      <c r="J972" s="1"/>
      <c r="K972" s="1"/>
      <c r="L972" s="1"/>
      <c r="M972" s="1"/>
      <c r="N972" s="1"/>
      <c r="O972" s="1"/>
      <c r="P972" s="1"/>
      <c r="Q972" s="1"/>
      <c r="R972" s="1"/>
      <c r="S972" s="1"/>
      <c r="T972" s="1"/>
      <c r="U972" s="1"/>
      <c r="V972" s="1"/>
      <c r="W972" s="1"/>
      <c r="X972" s="1"/>
    </row>
    <row r="973">
      <c r="A973" s="1"/>
      <c r="B973" s="1"/>
      <c r="C973" s="2"/>
      <c r="D973" s="1"/>
      <c r="E973" s="1"/>
      <c r="F973" s="1"/>
      <c r="G973" s="1"/>
      <c r="H973" s="2"/>
      <c r="I973" s="2"/>
      <c r="J973" s="1"/>
      <c r="K973" s="1"/>
      <c r="L973" s="1"/>
      <c r="M973" s="1"/>
      <c r="N973" s="1"/>
      <c r="O973" s="1"/>
      <c r="P973" s="1"/>
      <c r="Q973" s="1"/>
      <c r="R973" s="1"/>
      <c r="S973" s="1"/>
      <c r="T973" s="1"/>
      <c r="U973" s="1"/>
      <c r="V973" s="1"/>
      <c r="W973" s="1"/>
      <c r="X973" s="1"/>
    </row>
    <row r="974">
      <c r="A974" s="1"/>
      <c r="B974" s="1"/>
      <c r="C974" s="2"/>
      <c r="D974" s="1"/>
      <c r="E974" s="1"/>
      <c r="F974" s="1"/>
      <c r="G974" s="1"/>
      <c r="H974" s="2"/>
      <c r="I974" s="2"/>
      <c r="J974" s="1"/>
      <c r="K974" s="1"/>
      <c r="L974" s="1"/>
      <c r="M974" s="1"/>
      <c r="N974" s="1"/>
      <c r="O974" s="1"/>
      <c r="P974" s="1"/>
      <c r="Q974" s="1"/>
      <c r="R974" s="1"/>
      <c r="S974" s="1"/>
      <c r="T974" s="1"/>
      <c r="U974" s="1"/>
      <c r="V974" s="1"/>
      <c r="W974" s="1"/>
      <c r="X974" s="1"/>
    </row>
    <row r="975">
      <c r="A975" s="1"/>
      <c r="B975" s="1"/>
      <c r="C975" s="2"/>
      <c r="D975" s="1"/>
      <c r="E975" s="1"/>
      <c r="F975" s="1"/>
      <c r="G975" s="1"/>
      <c r="H975" s="2"/>
      <c r="I975" s="2"/>
      <c r="J975" s="1"/>
      <c r="K975" s="1"/>
      <c r="L975" s="1"/>
      <c r="M975" s="1"/>
      <c r="N975" s="1"/>
      <c r="O975" s="1"/>
      <c r="P975" s="1"/>
      <c r="Q975" s="1"/>
      <c r="R975" s="1"/>
      <c r="S975" s="1"/>
      <c r="T975" s="1"/>
      <c r="U975" s="1"/>
      <c r="V975" s="1"/>
      <c r="W975" s="1"/>
      <c r="X975" s="1"/>
    </row>
    <row r="976">
      <c r="A976" s="1"/>
      <c r="B976" s="1"/>
      <c r="C976" s="2"/>
      <c r="D976" s="1"/>
      <c r="E976" s="1"/>
      <c r="F976" s="1"/>
      <c r="G976" s="1"/>
      <c r="H976" s="2"/>
      <c r="I976" s="2"/>
      <c r="J976" s="1"/>
      <c r="K976" s="1"/>
      <c r="L976" s="1"/>
      <c r="M976" s="1"/>
      <c r="N976" s="1"/>
      <c r="O976" s="1"/>
      <c r="P976" s="1"/>
      <c r="Q976" s="1"/>
      <c r="R976" s="1"/>
      <c r="S976" s="1"/>
      <c r="T976" s="1"/>
      <c r="U976" s="1"/>
      <c r="V976" s="1"/>
      <c r="W976" s="1"/>
      <c r="X976" s="1"/>
    </row>
    <row r="977">
      <c r="A977" s="1"/>
      <c r="B977" s="1"/>
      <c r="C977" s="2"/>
      <c r="D977" s="1"/>
      <c r="E977" s="1"/>
      <c r="F977" s="1"/>
      <c r="G977" s="1"/>
      <c r="H977" s="2"/>
      <c r="I977" s="2"/>
      <c r="J977" s="1"/>
      <c r="K977" s="1"/>
      <c r="L977" s="1"/>
      <c r="M977" s="1"/>
      <c r="N977" s="1"/>
      <c r="O977" s="1"/>
      <c r="P977" s="1"/>
      <c r="Q977" s="1"/>
      <c r="R977" s="1"/>
      <c r="S977" s="1"/>
      <c r="T977" s="1"/>
      <c r="U977" s="1"/>
      <c r="V977" s="1"/>
      <c r="W977" s="1"/>
      <c r="X977" s="1"/>
    </row>
    <row r="978">
      <c r="A978" s="1"/>
      <c r="B978" s="1"/>
      <c r="C978" s="2"/>
      <c r="D978" s="1"/>
      <c r="E978" s="1"/>
      <c r="F978" s="1"/>
      <c r="G978" s="1"/>
      <c r="H978" s="2"/>
      <c r="I978" s="2"/>
      <c r="J978" s="1"/>
      <c r="K978" s="1"/>
      <c r="L978" s="1"/>
      <c r="M978" s="1"/>
      <c r="N978" s="1"/>
      <c r="O978" s="1"/>
      <c r="P978" s="1"/>
      <c r="Q978" s="1"/>
      <c r="R978" s="1"/>
      <c r="S978" s="1"/>
      <c r="T978" s="1"/>
      <c r="U978" s="1"/>
      <c r="V978" s="1"/>
      <c r="W978" s="1"/>
      <c r="X978" s="1"/>
    </row>
    <row r="979">
      <c r="A979" s="1"/>
      <c r="B979" s="1"/>
      <c r="C979" s="2"/>
      <c r="D979" s="1"/>
      <c r="E979" s="1"/>
      <c r="F979" s="1"/>
      <c r="G979" s="1"/>
      <c r="H979" s="2"/>
      <c r="I979" s="2"/>
      <c r="J979" s="1"/>
      <c r="K979" s="1"/>
      <c r="L979" s="1"/>
      <c r="M979" s="1"/>
      <c r="N979" s="1"/>
      <c r="O979" s="1"/>
      <c r="P979" s="1"/>
      <c r="Q979" s="1"/>
      <c r="R979" s="1"/>
      <c r="S979" s="1"/>
      <c r="T979" s="1"/>
      <c r="U979" s="1"/>
      <c r="V979" s="1"/>
      <c r="W979" s="1"/>
      <c r="X979" s="1"/>
    </row>
    <row r="980">
      <c r="A980" s="1"/>
      <c r="B980" s="1"/>
      <c r="C980" s="2"/>
      <c r="D980" s="1"/>
      <c r="E980" s="1"/>
      <c r="F980" s="1"/>
      <c r="G980" s="1"/>
      <c r="H980" s="2"/>
      <c r="I980" s="2"/>
      <c r="J980" s="1"/>
      <c r="K980" s="1"/>
      <c r="L980" s="1"/>
      <c r="M980" s="1"/>
      <c r="N980" s="1"/>
      <c r="O980" s="1"/>
      <c r="P980" s="1"/>
      <c r="Q980" s="1"/>
      <c r="R980" s="1"/>
      <c r="S980" s="1"/>
      <c r="T980" s="1"/>
      <c r="U980" s="1"/>
      <c r="V980" s="1"/>
      <c r="W980" s="1"/>
      <c r="X980" s="1"/>
    </row>
    <row r="981">
      <c r="A981" s="1"/>
      <c r="B981" s="1"/>
      <c r="C981" s="2"/>
      <c r="D981" s="1"/>
      <c r="E981" s="1"/>
      <c r="F981" s="1"/>
      <c r="G981" s="1"/>
      <c r="H981" s="2"/>
      <c r="I981" s="2"/>
      <c r="J981" s="1"/>
      <c r="K981" s="1"/>
      <c r="L981" s="1"/>
      <c r="M981" s="1"/>
      <c r="N981" s="1"/>
      <c r="O981" s="1"/>
      <c r="P981" s="1"/>
      <c r="Q981" s="1"/>
      <c r="R981" s="1"/>
      <c r="S981" s="1"/>
      <c r="T981" s="1"/>
      <c r="U981" s="1"/>
      <c r="V981" s="1"/>
      <c r="W981" s="1"/>
      <c r="X981" s="1"/>
    </row>
    <row r="982">
      <c r="A982" s="1"/>
      <c r="B982" s="1"/>
      <c r="C982" s="2"/>
      <c r="D982" s="1"/>
      <c r="E982" s="1"/>
      <c r="F982" s="1"/>
      <c r="G982" s="1"/>
      <c r="H982" s="2"/>
      <c r="I982" s="2"/>
      <c r="J982" s="1"/>
      <c r="K982" s="1"/>
      <c r="L982" s="1"/>
      <c r="M982" s="1"/>
      <c r="N982" s="1"/>
      <c r="O982" s="1"/>
      <c r="P982" s="1"/>
      <c r="Q982" s="1"/>
      <c r="R982" s="1"/>
      <c r="S982" s="1"/>
      <c r="T982" s="1"/>
      <c r="U982" s="1"/>
      <c r="V982" s="1"/>
      <c r="W982" s="1"/>
      <c r="X982" s="1"/>
    </row>
    <row r="983">
      <c r="A983" s="1"/>
      <c r="B983" s="1"/>
      <c r="C983" s="2"/>
      <c r="D983" s="1"/>
      <c r="E983" s="1"/>
      <c r="F983" s="1"/>
      <c r="G983" s="1"/>
      <c r="H983" s="2"/>
      <c r="I983" s="2"/>
      <c r="J983" s="1"/>
      <c r="K983" s="1"/>
      <c r="L983" s="1"/>
      <c r="M983" s="1"/>
      <c r="N983" s="1"/>
      <c r="O983" s="1"/>
      <c r="P983" s="1"/>
      <c r="Q983" s="1"/>
      <c r="R983" s="1"/>
      <c r="S983" s="1"/>
      <c r="T983" s="1"/>
      <c r="U983" s="1"/>
      <c r="V983" s="1"/>
      <c r="W983" s="1"/>
      <c r="X983" s="1"/>
    </row>
    <row r="984">
      <c r="A984" s="1"/>
      <c r="B984" s="1"/>
      <c r="C984" s="2"/>
      <c r="D984" s="1"/>
      <c r="E984" s="1"/>
      <c r="F984" s="1"/>
      <c r="G984" s="1"/>
      <c r="H984" s="2"/>
      <c r="I984" s="2"/>
      <c r="J984" s="1"/>
      <c r="K984" s="1"/>
      <c r="L984" s="1"/>
      <c r="M984" s="1"/>
      <c r="N984" s="1"/>
      <c r="O984" s="1"/>
      <c r="P984" s="1"/>
      <c r="Q984" s="1"/>
      <c r="R984" s="1"/>
      <c r="S984" s="1"/>
      <c r="T984" s="1"/>
      <c r="U984" s="1"/>
      <c r="V984" s="1"/>
      <c r="W984" s="1"/>
      <c r="X984" s="1"/>
    </row>
    <row r="985">
      <c r="A985" s="1"/>
      <c r="B985" s="1"/>
      <c r="C985" s="2"/>
      <c r="D985" s="1"/>
      <c r="E985" s="1"/>
      <c r="F985" s="1"/>
      <c r="G985" s="1"/>
      <c r="H985" s="2"/>
      <c r="I985" s="2"/>
      <c r="J985" s="1"/>
      <c r="K985" s="1"/>
      <c r="L985" s="1"/>
      <c r="M985" s="1"/>
      <c r="N985" s="1"/>
      <c r="O985" s="1"/>
      <c r="P985" s="1"/>
      <c r="Q985" s="1"/>
      <c r="R985" s="1"/>
      <c r="S985" s="1"/>
      <c r="T985" s="1"/>
      <c r="U985" s="1"/>
      <c r="V985" s="1"/>
      <c r="W985" s="1"/>
      <c r="X985" s="1"/>
    </row>
    <row r="986">
      <c r="A986" s="1"/>
      <c r="B986" s="1"/>
      <c r="C986" s="2"/>
      <c r="D986" s="1"/>
      <c r="E986" s="1"/>
      <c r="F986" s="1"/>
      <c r="G986" s="1"/>
      <c r="H986" s="2"/>
      <c r="I986" s="2"/>
      <c r="J986" s="1"/>
      <c r="K986" s="1"/>
      <c r="L986" s="1"/>
      <c r="M986" s="1"/>
      <c r="N986" s="1"/>
      <c r="O986" s="1"/>
      <c r="P986" s="1"/>
      <c r="Q986" s="1"/>
      <c r="R986" s="1"/>
      <c r="S986" s="1"/>
      <c r="T986" s="1"/>
      <c r="U986" s="1"/>
      <c r="V986" s="1"/>
      <c r="W986" s="1"/>
      <c r="X986" s="1"/>
    </row>
    <row r="987">
      <c r="A987" s="1"/>
      <c r="B987" s="1"/>
      <c r="C987" s="2"/>
      <c r="D987" s="1"/>
      <c r="E987" s="1"/>
      <c r="F987" s="1"/>
      <c r="G987" s="1"/>
      <c r="H987" s="2"/>
      <c r="I987" s="2"/>
      <c r="J987" s="1"/>
      <c r="K987" s="1"/>
      <c r="L987" s="1"/>
      <c r="M987" s="1"/>
      <c r="N987" s="1"/>
      <c r="O987" s="1"/>
      <c r="P987" s="1"/>
      <c r="Q987" s="1"/>
      <c r="R987" s="1"/>
      <c r="S987" s="1"/>
      <c r="T987" s="1"/>
      <c r="U987" s="1"/>
      <c r="V987" s="1"/>
      <c r="W987" s="1"/>
      <c r="X987" s="1"/>
    </row>
    <row r="988">
      <c r="A988" s="1"/>
      <c r="B988" s="1"/>
      <c r="C988" s="2"/>
      <c r="D988" s="1"/>
      <c r="E988" s="1"/>
      <c r="F988" s="1"/>
      <c r="G988" s="1"/>
      <c r="H988" s="2"/>
      <c r="I988" s="2"/>
      <c r="J988" s="1"/>
      <c r="K988" s="1"/>
      <c r="L988" s="1"/>
      <c r="M988" s="1"/>
      <c r="N988" s="1"/>
      <c r="O988" s="1"/>
      <c r="P988" s="1"/>
      <c r="Q988" s="1"/>
      <c r="R988" s="1"/>
      <c r="S988" s="1"/>
      <c r="T988" s="1"/>
      <c r="U988" s="1"/>
      <c r="V988" s="1"/>
      <c r="W988" s="1"/>
      <c r="X988" s="1"/>
    </row>
    <row r="989">
      <c r="A989" s="1"/>
      <c r="B989" s="1"/>
      <c r="C989" s="2"/>
      <c r="D989" s="1"/>
      <c r="E989" s="1"/>
      <c r="F989" s="1"/>
      <c r="G989" s="1"/>
      <c r="H989" s="2"/>
      <c r="I989" s="2"/>
      <c r="J989" s="1"/>
      <c r="K989" s="1"/>
      <c r="L989" s="1"/>
      <c r="M989" s="1"/>
      <c r="N989" s="1"/>
      <c r="O989" s="1"/>
      <c r="P989" s="1"/>
      <c r="Q989" s="1"/>
      <c r="R989" s="1"/>
      <c r="S989" s="1"/>
      <c r="T989" s="1"/>
      <c r="U989" s="1"/>
      <c r="V989" s="1"/>
      <c r="W989" s="1"/>
      <c r="X989" s="1"/>
    </row>
    <row r="990">
      <c r="A990" s="1"/>
      <c r="B990" s="1"/>
      <c r="C990" s="2"/>
      <c r="D990" s="1"/>
      <c r="E990" s="1"/>
      <c r="F990" s="1"/>
      <c r="G990" s="1"/>
      <c r="H990" s="2"/>
      <c r="I990" s="2"/>
      <c r="J990" s="1"/>
      <c r="K990" s="1"/>
      <c r="L990" s="1"/>
      <c r="M990" s="1"/>
      <c r="N990" s="1"/>
      <c r="O990" s="1"/>
      <c r="P990" s="1"/>
      <c r="Q990" s="1"/>
      <c r="R990" s="1"/>
      <c r="S990" s="1"/>
      <c r="T990" s="1"/>
      <c r="U990" s="1"/>
      <c r="V990" s="1"/>
      <c r="W990" s="1"/>
      <c r="X990" s="1"/>
    </row>
    <row r="991">
      <c r="A991" s="1"/>
      <c r="B991" s="1"/>
      <c r="C991" s="2"/>
      <c r="D991" s="1"/>
      <c r="E991" s="1"/>
      <c r="F991" s="1"/>
      <c r="G991" s="1"/>
      <c r="H991" s="2"/>
      <c r="I991" s="2"/>
      <c r="J991" s="1"/>
      <c r="K991" s="1"/>
      <c r="L991" s="1"/>
      <c r="M991" s="1"/>
      <c r="N991" s="1"/>
      <c r="O991" s="1"/>
      <c r="P991" s="1"/>
      <c r="Q991" s="1"/>
      <c r="R991" s="1"/>
      <c r="S991" s="1"/>
      <c r="T991" s="1"/>
      <c r="U991" s="1"/>
      <c r="V991" s="1"/>
      <c r="W991" s="1"/>
      <c r="X991" s="1"/>
    </row>
    <row r="992">
      <c r="A992" s="1"/>
      <c r="B992" s="1"/>
      <c r="C992" s="2"/>
      <c r="D992" s="1"/>
      <c r="E992" s="1"/>
      <c r="F992" s="1"/>
      <c r="G992" s="1"/>
      <c r="H992" s="2"/>
      <c r="I992" s="2"/>
      <c r="J992" s="1"/>
      <c r="K992" s="1"/>
      <c r="L992" s="1"/>
      <c r="M992" s="1"/>
      <c r="N992" s="1"/>
      <c r="O992" s="1"/>
      <c r="P992" s="1"/>
      <c r="Q992" s="1"/>
      <c r="R992" s="1"/>
      <c r="S992" s="1"/>
      <c r="T992" s="1"/>
      <c r="U992" s="1"/>
      <c r="V992" s="1"/>
      <c r="W992" s="1"/>
      <c r="X992" s="1"/>
    </row>
    <row r="993">
      <c r="A993" s="1"/>
      <c r="B993" s="1"/>
      <c r="C993" s="2"/>
      <c r="D993" s="1"/>
      <c r="E993" s="1"/>
      <c r="F993" s="1"/>
      <c r="G993" s="1"/>
      <c r="H993" s="2"/>
      <c r="I993" s="2"/>
      <c r="J993" s="1"/>
      <c r="K993" s="1"/>
      <c r="L993" s="1"/>
      <c r="M993" s="1"/>
      <c r="N993" s="1"/>
      <c r="O993" s="1"/>
      <c r="P993" s="1"/>
      <c r="Q993" s="1"/>
      <c r="R993" s="1"/>
      <c r="S993" s="1"/>
      <c r="T993" s="1"/>
      <c r="U993" s="1"/>
      <c r="V993" s="1"/>
      <c r="W993" s="1"/>
      <c r="X993" s="1"/>
    </row>
    <row r="994">
      <c r="A994" s="1"/>
      <c r="B994" s="1"/>
      <c r="C994" s="2"/>
      <c r="D994" s="1"/>
      <c r="E994" s="1"/>
      <c r="F994" s="1"/>
      <c r="G994" s="1"/>
      <c r="H994" s="2"/>
      <c r="I994" s="2"/>
      <c r="J994" s="1"/>
      <c r="K994" s="1"/>
      <c r="L994" s="1"/>
      <c r="M994" s="1"/>
      <c r="N994" s="1"/>
      <c r="O994" s="1"/>
      <c r="P994" s="1"/>
      <c r="Q994" s="1"/>
      <c r="R994" s="1"/>
      <c r="S994" s="1"/>
      <c r="T994" s="1"/>
      <c r="U994" s="1"/>
      <c r="V994" s="1"/>
      <c r="W994" s="1"/>
      <c r="X994" s="1"/>
    </row>
    <row r="995">
      <c r="A995" s="1"/>
      <c r="B995" s="1"/>
      <c r="C995" s="2"/>
      <c r="D995" s="1"/>
      <c r="E995" s="1"/>
      <c r="F995" s="1"/>
      <c r="G995" s="1"/>
      <c r="H995" s="2"/>
      <c r="I995" s="2"/>
      <c r="J995" s="1"/>
      <c r="K995" s="1"/>
      <c r="L995" s="1"/>
      <c r="M995" s="1"/>
      <c r="N995" s="1"/>
      <c r="O995" s="1"/>
      <c r="P995" s="1"/>
      <c r="Q995" s="1"/>
      <c r="R995" s="1"/>
      <c r="S995" s="1"/>
      <c r="T995" s="1"/>
      <c r="U995" s="1"/>
      <c r="V995" s="1"/>
      <c r="W995" s="1"/>
      <c r="X995" s="1"/>
    </row>
    <row r="996">
      <c r="A996" s="1"/>
      <c r="B996" s="1"/>
      <c r="C996" s="2"/>
      <c r="D996" s="1"/>
      <c r="E996" s="1"/>
      <c r="F996" s="1"/>
      <c r="G996" s="1"/>
      <c r="H996" s="2"/>
      <c r="I996" s="2"/>
      <c r="J996" s="1"/>
      <c r="K996" s="1"/>
      <c r="L996" s="1"/>
      <c r="M996" s="1"/>
      <c r="N996" s="1"/>
      <c r="O996" s="1"/>
      <c r="P996" s="1"/>
      <c r="Q996" s="1"/>
      <c r="R996" s="1"/>
      <c r="S996" s="1"/>
      <c r="T996" s="1"/>
      <c r="U996" s="1"/>
      <c r="V996" s="1"/>
      <c r="W996" s="1"/>
      <c r="X996" s="1"/>
    </row>
    <row r="997">
      <c r="A997" s="1"/>
      <c r="B997" s="1"/>
      <c r="C997" s="2"/>
      <c r="D997" s="1"/>
      <c r="E997" s="1"/>
      <c r="F997" s="1"/>
      <c r="G997" s="1"/>
      <c r="H997" s="2"/>
      <c r="I997" s="2"/>
      <c r="J997" s="1"/>
      <c r="K997" s="1"/>
      <c r="L997" s="1"/>
      <c r="M997" s="1"/>
      <c r="N997" s="1"/>
      <c r="O997" s="1"/>
      <c r="P997" s="1"/>
      <c r="Q997" s="1"/>
      <c r="R997" s="1"/>
      <c r="S997" s="1"/>
      <c r="T997" s="1"/>
      <c r="U997" s="1"/>
      <c r="V997" s="1"/>
      <c r="W997" s="1"/>
      <c r="X997" s="1"/>
    </row>
    <row r="998">
      <c r="A998" s="1"/>
      <c r="B998" s="1"/>
      <c r="C998" s="2"/>
      <c r="D998" s="1"/>
      <c r="E998" s="1"/>
      <c r="F998" s="1"/>
      <c r="G998" s="1"/>
      <c r="H998" s="2"/>
      <c r="I998" s="2"/>
      <c r="J998" s="1"/>
      <c r="K998" s="1"/>
      <c r="L998" s="1"/>
      <c r="M998" s="1"/>
      <c r="N998" s="1"/>
      <c r="O998" s="1"/>
      <c r="P998" s="1"/>
      <c r="Q998" s="1"/>
      <c r="R998" s="1"/>
      <c r="S998" s="1"/>
      <c r="T998" s="1"/>
      <c r="U998" s="1"/>
      <c r="V998" s="1"/>
      <c r="W998" s="1"/>
      <c r="X998" s="1"/>
    </row>
    <row r="999">
      <c r="A999" s="1"/>
      <c r="B999" s="1"/>
      <c r="C999" s="2"/>
      <c r="D999" s="1"/>
      <c r="E999" s="1"/>
      <c r="F999" s="1"/>
      <c r="G999" s="1"/>
      <c r="H999" s="2"/>
      <c r="I999" s="2"/>
      <c r="J999" s="1"/>
      <c r="K999" s="1"/>
      <c r="L999" s="1"/>
      <c r="M999" s="1"/>
      <c r="N999" s="1"/>
      <c r="O999" s="1"/>
      <c r="P999" s="1"/>
      <c r="Q999" s="1"/>
      <c r="R999" s="1"/>
      <c r="S999" s="1"/>
      <c r="T999" s="1"/>
      <c r="U999" s="1"/>
      <c r="V999" s="1"/>
      <c r="W999" s="1"/>
      <c r="X999" s="1"/>
    </row>
    <row r="1000">
      <c r="A1000" s="1"/>
      <c r="B1000" s="1"/>
      <c r="C1000" s="2"/>
      <c r="D1000" s="1"/>
      <c r="E1000" s="1"/>
      <c r="F1000" s="1"/>
      <c r="G1000" s="1"/>
      <c r="H1000" s="2"/>
      <c r="I1000" s="2"/>
      <c r="J1000" s="1"/>
      <c r="K1000" s="1"/>
      <c r="L1000" s="1"/>
      <c r="M1000" s="1"/>
      <c r="N1000" s="1"/>
      <c r="O1000" s="1"/>
      <c r="P1000" s="1"/>
      <c r="Q1000" s="1"/>
      <c r="R1000" s="1"/>
      <c r="S1000" s="1"/>
      <c r="T1000" s="1"/>
      <c r="U1000" s="1"/>
      <c r="V1000" s="1"/>
      <c r="W1000" s="1"/>
      <c r="X1000" s="1"/>
    </row>
    <row r="1001">
      <c r="A1001" s="1"/>
      <c r="B1001" s="1"/>
      <c r="C1001" s="2"/>
      <c r="D1001" s="1"/>
      <c r="E1001" s="1"/>
      <c r="F1001" s="1"/>
      <c r="G1001" s="1"/>
      <c r="H1001" s="2"/>
      <c r="I1001" s="2"/>
      <c r="J1001" s="1"/>
      <c r="K1001" s="1"/>
      <c r="L1001" s="1"/>
      <c r="M1001" s="1"/>
      <c r="N1001" s="1"/>
      <c r="O1001" s="1"/>
      <c r="P1001" s="1"/>
      <c r="Q1001" s="1"/>
      <c r="R1001" s="1"/>
      <c r="S1001" s="1"/>
      <c r="T1001" s="1"/>
      <c r="U1001" s="1"/>
      <c r="V1001" s="1"/>
      <c r="W1001" s="1"/>
      <c r="X1001" s="1"/>
    </row>
    <row r="1002">
      <c r="A1002" s="1"/>
      <c r="B1002" s="1"/>
      <c r="C1002" s="2"/>
      <c r="D1002" s="1"/>
      <c r="E1002" s="1"/>
      <c r="F1002" s="1"/>
      <c r="G1002" s="1"/>
      <c r="H1002" s="2"/>
      <c r="I1002" s="2"/>
      <c r="J1002" s="1"/>
      <c r="K1002" s="1"/>
      <c r="L1002" s="1"/>
      <c r="M1002" s="1"/>
      <c r="N1002" s="1"/>
      <c r="O1002" s="1"/>
      <c r="P1002" s="1"/>
      <c r="Q1002" s="1"/>
      <c r="R1002" s="1"/>
      <c r="S1002" s="1"/>
      <c r="T1002" s="1"/>
      <c r="U1002" s="1"/>
      <c r="V1002" s="1"/>
      <c r="W1002" s="1"/>
      <c r="X1002" s="1"/>
    </row>
    <row r="1003">
      <c r="A1003" s="1"/>
      <c r="B1003" s="1"/>
      <c r="C1003" s="2"/>
      <c r="D1003" s="1"/>
      <c r="E1003" s="1"/>
      <c r="F1003" s="1"/>
      <c r="G1003" s="1"/>
      <c r="H1003" s="2"/>
      <c r="I1003" s="2"/>
      <c r="J1003" s="1"/>
      <c r="K1003" s="1"/>
      <c r="L1003" s="1"/>
      <c r="M1003" s="1"/>
      <c r="N1003" s="1"/>
      <c r="O1003" s="1"/>
      <c r="P1003" s="1"/>
      <c r="Q1003" s="1"/>
      <c r="R1003" s="1"/>
      <c r="S1003" s="1"/>
      <c r="T1003" s="1"/>
      <c r="U1003" s="1"/>
      <c r="V1003" s="1"/>
      <c r="W1003" s="1"/>
      <c r="X1003" s="1"/>
    </row>
    <row r="1004">
      <c r="A1004" s="1"/>
      <c r="B1004" s="1"/>
      <c r="C1004" s="2"/>
      <c r="D1004" s="1"/>
      <c r="E1004" s="1"/>
      <c r="F1004" s="1"/>
      <c r="G1004" s="1"/>
      <c r="H1004" s="2"/>
      <c r="I1004" s="2"/>
      <c r="J1004" s="1"/>
      <c r="K1004" s="1"/>
      <c r="L1004" s="1"/>
      <c r="M1004" s="1"/>
      <c r="N1004" s="1"/>
      <c r="O1004" s="1"/>
      <c r="P1004" s="1"/>
      <c r="Q1004" s="1"/>
      <c r="R1004" s="1"/>
      <c r="S1004" s="1"/>
      <c r="T1004" s="1"/>
      <c r="U1004" s="1"/>
      <c r="V1004" s="1"/>
      <c r="W1004" s="1"/>
      <c r="X1004" s="1"/>
    </row>
    <row r="1005">
      <c r="A1005" s="1"/>
      <c r="B1005" s="1"/>
      <c r="C1005" s="2"/>
      <c r="D1005" s="1"/>
      <c r="E1005" s="1"/>
      <c r="F1005" s="1"/>
      <c r="G1005" s="1"/>
      <c r="H1005" s="2"/>
      <c r="I1005" s="2"/>
      <c r="J1005" s="1"/>
      <c r="K1005" s="1"/>
      <c r="L1005" s="1"/>
      <c r="M1005" s="1"/>
      <c r="N1005" s="1"/>
      <c r="O1005" s="1"/>
      <c r="P1005" s="1"/>
      <c r="Q1005" s="1"/>
      <c r="R1005" s="1"/>
      <c r="S1005" s="1"/>
      <c r="T1005" s="1"/>
      <c r="U1005" s="1"/>
      <c r="V1005" s="1"/>
      <c r="W1005" s="1"/>
      <c r="X1005" s="1"/>
    </row>
    <row r="1006">
      <c r="A1006" s="1"/>
      <c r="B1006" s="1"/>
      <c r="C1006" s="2"/>
      <c r="D1006" s="1"/>
      <c r="E1006" s="1"/>
      <c r="F1006" s="1"/>
      <c r="G1006" s="1"/>
      <c r="H1006" s="2"/>
      <c r="I1006" s="2"/>
      <c r="J1006" s="1"/>
      <c r="K1006" s="1"/>
      <c r="L1006" s="1"/>
      <c r="M1006" s="1"/>
      <c r="N1006" s="1"/>
      <c r="O1006" s="1"/>
      <c r="P1006" s="1"/>
      <c r="Q1006" s="1"/>
      <c r="R1006" s="1"/>
      <c r="S1006" s="1"/>
      <c r="T1006" s="1"/>
      <c r="U1006" s="1"/>
      <c r="V1006" s="1"/>
      <c r="W1006" s="1"/>
      <c r="X1006" s="1"/>
    </row>
    <row r="1007">
      <c r="A1007" s="1"/>
      <c r="B1007" s="1"/>
      <c r="C1007" s="2"/>
      <c r="D1007" s="1"/>
      <c r="E1007" s="1"/>
      <c r="F1007" s="1"/>
      <c r="G1007" s="1"/>
      <c r="H1007" s="2"/>
      <c r="I1007" s="2"/>
      <c r="J1007" s="1"/>
      <c r="K1007" s="1"/>
      <c r="L1007" s="1"/>
      <c r="M1007" s="1"/>
      <c r="N1007" s="1"/>
      <c r="O1007" s="1"/>
      <c r="P1007" s="1"/>
      <c r="Q1007" s="1"/>
      <c r="R1007" s="1"/>
      <c r="S1007" s="1"/>
      <c r="T1007" s="1"/>
      <c r="U1007" s="1"/>
      <c r="V1007" s="1"/>
      <c r="W1007" s="1"/>
      <c r="X1007" s="1"/>
    </row>
    <row r="1008">
      <c r="A1008" s="1"/>
      <c r="B1008" s="1"/>
      <c r="C1008" s="2"/>
      <c r="D1008" s="1"/>
      <c r="E1008" s="1"/>
      <c r="F1008" s="1"/>
      <c r="G1008" s="1"/>
      <c r="H1008" s="2"/>
      <c r="I1008" s="2"/>
      <c r="J1008" s="1"/>
      <c r="K1008" s="1"/>
      <c r="L1008" s="1"/>
      <c r="M1008" s="1"/>
      <c r="N1008" s="1"/>
      <c r="O1008" s="1"/>
      <c r="P1008" s="1"/>
      <c r="Q1008" s="1"/>
      <c r="R1008" s="1"/>
      <c r="S1008" s="1"/>
      <c r="T1008" s="1"/>
      <c r="U1008" s="1"/>
      <c r="V1008" s="1"/>
      <c r="W1008" s="1"/>
      <c r="X1008" s="1"/>
    </row>
    <row r="1009">
      <c r="A1009" s="1"/>
      <c r="B1009" s="1"/>
      <c r="C1009" s="2"/>
      <c r="D1009" s="1"/>
      <c r="E1009" s="1"/>
      <c r="F1009" s="1"/>
      <c r="G1009" s="1"/>
      <c r="H1009" s="2"/>
      <c r="I1009" s="2"/>
      <c r="J1009" s="1"/>
      <c r="K1009" s="1"/>
      <c r="L1009" s="1"/>
      <c r="M1009" s="1"/>
      <c r="N1009" s="1"/>
      <c r="O1009" s="1"/>
      <c r="P1009" s="1"/>
      <c r="Q1009" s="1"/>
      <c r="R1009" s="1"/>
      <c r="S1009" s="1"/>
      <c r="T1009" s="1"/>
      <c r="U1009" s="1"/>
      <c r="V1009" s="1"/>
      <c r="W1009" s="1"/>
      <c r="X1009" s="1"/>
    </row>
    <row r="1010">
      <c r="A1010" s="1"/>
      <c r="B1010" s="1"/>
      <c r="C1010" s="2"/>
      <c r="D1010" s="1"/>
      <c r="E1010" s="1"/>
      <c r="F1010" s="1"/>
      <c r="G1010" s="1"/>
      <c r="H1010" s="2"/>
      <c r="I1010" s="2"/>
      <c r="J1010" s="1"/>
      <c r="K1010" s="1"/>
      <c r="L1010" s="1"/>
      <c r="M1010" s="1"/>
      <c r="N1010" s="1"/>
      <c r="O1010" s="1"/>
      <c r="P1010" s="1"/>
      <c r="Q1010" s="1"/>
      <c r="R1010" s="1"/>
      <c r="S1010" s="1"/>
      <c r="T1010" s="1"/>
      <c r="U1010" s="1"/>
      <c r="V1010" s="1"/>
      <c r="W1010" s="1"/>
      <c r="X1010" s="1"/>
    </row>
    <row r="1011">
      <c r="A1011" s="1"/>
      <c r="B1011" s="1"/>
      <c r="C1011" s="2"/>
      <c r="D1011" s="1"/>
      <c r="E1011" s="1"/>
      <c r="F1011" s="1"/>
      <c r="G1011" s="1"/>
      <c r="H1011" s="2"/>
      <c r="I1011" s="2"/>
      <c r="J1011" s="1"/>
      <c r="K1011" s="1"/>
      <c r="L1011" s="1"/>
      <c r="M1011" s="1"/>
      <c r="N1011" s="1"/>
      <c r="O1011" s="1"/>
      <c r="P1011" s="1"/>
      <c r="Q1011" s="1"/>
      <c r="R1011" s="1"/>
      <c r="S1011" s="1"/>
      <c r="T1011" s="1"/>
      <c r="U1011" s="1"/>
      <c r="V1011" s="1"/>
      <c r="W1011" s="1"/>
      <c r="X1011" s="1"/>
    </row>
    <row r="1012">
      <c r="A1012" s="1"/>
      <c r="B1012" s="1"/>
      <c r="C1012" s="2"/>
      <c r="D1012" s="1"/>
      <c r="E1012" s="1"/>
      <c r="F1012" s="1"/>
      <c r="G1012" s="1"/>
      <c r="H1012" s="2"/>
      <c r="I1012" s="2"/>
      <c r="J1012" s="1"/>
      <c r="K1012" s="1"/>
      <c r="L1012" s="1"/>
      <c r="M1012" s="1"/>
      <c r="N1012" s="1"/>
      <c r="O1012" s="1"/>
      <c r="P1012" s="1"/>
      <c r="Q1012" s="1"/>
      <c r="R1012" s="1"/>
      <c r="S1012" s="1"/>
      <c r="T1012" s="1"/>
      <c r="U1012" s="1"/>
      <c r="V1012" s="1"/>
      <c r="W1012" s="1"/>
      <c r="X1012" s="1"/>
    </row>
    <row r="1013">
      <c r="A1013" s="1"/>
      <c r="B1013" s="1"/>
      <c r="C1013" s="2"/>
      <c r="D1013" s="1"/>
      <c r="E1013" s="1"/>
      <c r="F1013" s="1"/>
      <c r="G1013" s="1"/>
      <c r="H1013" s="2"/>
      <c r="I1013" s="2"/>
      <c r="J1013" s="1"/>
      <c r="K1013" s="1"/>
      <c r="L1013" s="1"/>
      <c r="M1013" s="1"/>
      <c r="N1013" s="1"/>
      <c r="O1013" s="1"/>
      <c r="P1013" s="1"/>
      <c r="Q1013" s="1"/>
      <c r="R1013" s="1"/>
      <c r="S1013" s="1"/>
      <c r="T1013" s="1"/>
      <c r="U1013" s="1"/>
      <c r="V1013" s="1"/>
      <c r="W1013" s="1"/>
      <c r="X1013" s="1"/>
    </row>
    <row r="1014">
      <c r="A1014" s="1"/>
      <c r="B1014" s="1"/>
      <c r="C1014" s="2"/>
      <c r="D1014" s="1"/>
      <c r="E1014" s="1"/>
      <c r="F1014" s="1"/>
      <c r="G1014" s="1"/>
      <c r="H1014" s="2"/>
      <c r="I1014" s="2"/>
      <c r="J1014" s="1"/>
      <c r="K1014" s="1"/>
      <c r="L1014" s="1"/>
      <c r="M1014" s="1"/>
      <c r="N1014" s="1"/>
      <c r="O1014" s="1"/>
      <c r="P1014" s="1"/>
      <c r="Q1014" s="1"/>
      <c r="R1014" s="1"/>
      <c r="S1014" s="1"/>
      <c r="T1014" s="1"/>
      <c r="U1014" s="1"/>
      <c r="V1014" s="1"/>
      <c r="W1014" s="1"/>
      <c r="X1014" s="1"/>
    </row>
    <row r="1015">
      <c r="A1015" s="1"/>
      <c r="B1015" s="1"/>
      <c r="C1015" s="2"/>
      <c r="D1015" s="1"/>
      <c r="E1015" s="1"/>
      <c r="F1015" s="1"/>
      <c r="G1015" s="1"/>
      <c r="H1015" s="2"/>
      <c r="I1015" s="2"/>
      <c r="J1015" s="1"/>
      <c r="K1015" s="1"/>
      <c r="L1015" s="1"/>
      <c r="M1015" s="1"/>
      <c r="N1015" s="1"/>
      <c r="O1015" s="1"/>
      <c r="P1015" s="1"/>
      <c r="Q1015" s="1"/>
      <c r="R1015" s="1"/>
      <c r="S1015" s="1"/>
      <c r="T1015" s="1"/>
      <c r="U1015" s="1"/>
      <c r="V1015" s="1"/>
      <c r="W1015" s="1"/>
      <c r="X1015" s="1"/>
    </row>
    <row r="1016">
      <c r="A1016" s="1"/>
      <c r="B1016" s="1"/>
      <c r="C1016" s="2"/>
      <c r="D1016" s="1"/>
      <c r="E1016" s="1"/>
      <c r="F1016" s="1"/>
      <c r="G1016" s="1"/>
      <c r="H1016" s="2"/>
      <c r="I1016" s="2"/>
      <c r="J1016" s="1"/>
      <c r="K1016" s="1"/>
      <c r="L1016" s="1"/>
      <c r="M1016" s="1"/>
      <c r="N1016" s="1"/>
      <c r="O1016" s="1"/>
      <c r="P1016" s="1"/>
      <c r="Q1016" s="1"/>
      <c r="R1016" s="1"/>
      <c r="S1016" s="1"/>
      <c r="T1016" s="1"/>
      <c r="U1016" s="1"/>
      <c r="V1016" s="1"/>
      <c r="W1016" s="1"/>
      <c r="X1016" s="1"/>
    </row>
    <row r="1017">
      <c r="A1017" s="1"/>
      <c r="B1017" s="1"/>
      <c r="C1017" s="2"/>
      <c r="D1017" s="1"/>
      <c r="E1017" s="1"/>
      <c r="F1017" s="1"/>
      <c r="G1017" s="1"/>
      <c r="H1017" s="2"/>
      <c r="I1017" s="2"/>
      <c r="J1017" s="1"/>
      <c r="K1017" s="1"/>
      <c r="L1017" s="1"/>
      <c r="M1017" s="1"/>
      <c r="N1017" s="1"/>
      <c r="O1017" s="1"/>
      <c r="P1017" s="1"/>
      <c r="Q1017" s="1"/>
      <c r="R1017" s="1"/>
      <c r="S1017" s="1"/>
      <c r="T1017" s="1"/>
      <c r="U1017" s="1"/>
      <c r="V1017" s="1"/>
      <c r="W1017" s="1"/>
      <c r="X1017" s="1"/>
    </row>
    <row r="1018">
      <c r="A1018" s="1"/>
      <c r="B1018" s="1"/>
      <c r="C1018" s="2"/>
      <c r="D1018" s="1"/>
      <c r="E1018" s="1"/>
      <c r="F1018" s="1"/>
      <c r="G1018" s="1"/>
      <c r="H1018" s="2"/>
      <c r="I1018" s="2"/>
      <c r="J1018" s="1"/>
      <c r="K1018" s="1"/>
      <c r="L1018" s="1"/>
      <c r="M1018" s="1"/>
      <c r="N1018" s="1"/>
      <c r="O1018" s="1"/>
      <c r="P1018" s="1"/>
      <c r="Q1018" s="1"/>
      <c r="R1018" s="1"/>
      <c r="S1018" s="1"/>
      <c r="T1018" s="1"/>
      <c r="U1018" s="1"/>
      <c r="V1018" s="1"/>
      <c r="W1018" s="1"/>
      <c r="X1018" s="1"/>
    </row>
    <row r="1019">
      <c r="A1019" s="1"/>
      <c r="B1019" s="1"/>
      <c r="C1019" s="2"/>
      <c r="D1019" s="1"/>
      <c r="E1019" s="1"/>
      <c r="F1019" s="1"/>
      <c r="G1019" s="1"/>
      <c r="H1019" s="2"/>
      <c r="I1019" s="2"/>
      <c r="J1019" s="1"/>
      <c r="K1019" s="1"/>
      <c r="L1019" s="1"/>
      <c r="M1019" s="1"/>
      <c r="N1019" s="1"/>
      <c r="O1019" s="1"/>
      <c r="P1019" s="1"/>
      <c r="Q1019" s="1"/>
      <c r="R1019" s="1"/>
      <c r="S1019" s="1"/>
      <c r="T1019" s="1"/>
      <c r="U1019" s="1"/>
      <c r="V1019" s="1"/>
      <c r="W1019" s="1"/>
      <c r="X1019" s="1"/>
    </row>
    <row r="1020">
      <c r="A1020" s="1"/>
      <c r="B1020" s="1"/>
      <c r="C1020" s="2"/>
      <c r="D1020" s="1"/>
      <c r="E1020" s="1"/>
      <c r="F1020" s="1"/>
      <c r="G1020" s="1"/>
      <c r="H1020" s="2"/>
      <c r="I1020" s="2"/>
      <c r="J1020" s="1"/>
      <c r="K1020" s="1"/>
      <c r="L1020" s="1"/>
      <c r="M1020" s="1"/>
      <c r="N1020" s="1"/>
      <c r="O1020" s="1"/>
      <c r="P1020" s="1"/>
      <c r="Q1020" s="1"/>
      <c r="R1020" s="1"/>
      <c r="S1020" s="1"/>
      <c r="T1020" s="1"/>
      <c r="U1020" s="1"/>
      <c r="V1020" s="1"/>
      <c r="W1020" s="1"/>
      <c r="X1020" s="1"/>
    </row>
    <row r="1021">
      <c r="A1021" s="1"/>
      <c r="B1021" s="1"/>
      <c r="C1021" s="2"/>
      <c r="D1021" s="1"/>
      <c r="E1021" s="1"/>
      <c r="F1021" s="1"/>
      <c r="G1021" s="1"/>
      <c r="H1021" s="2"/>
      <c r="I1021" s="2"/>
      <c r="J1021" s="1"/>
      <c r="K1021" s="1"/>
      <c r="L1021" s="1"/>
      <c r="M1021" s="1"/>
      <c r="N1021" s="1"/>
      <c r="O1021" s="1"/>
      <c r="P1021" s="1"/>
      <c r="Q1021" s="1"/>
      <c r="R1021" s="1"/>
      <c r="S1021" s="1"/>
      <c r="T1021" s="1"/>
      <c r="U1021" s="1"/>
      <c r="V1021" s="1"/>
      <c r="W1021" s="1"/>
      <c r="X1021" s="1"/>
    </row>
    <row r="1022">
      <c r="A1022" s="1"/>
      <c r="B1022" s="1"/>
      <c r="C1022" s="2"/>
      <c r="D1022" s="1"/>
      <c r="E1022" s="1"/>
      <c r="F1022" s="1"/>
      <c r="G1022" s="1"/>
      <c r="H1022" s="2"/>
      <c r="I1022" s="2"/>
      <c r="J1022" s="1"/>
      <c r="K1022" s="1"/>
      <c r="L1022" s="1"/>
      <c r="M1022" s="1"/>
      <c r="N1022" s="1"/>
      <c r="O1022" s="1"/>
      <c r="P1022" s="1"/>
      <c r="Q1022" s="1"/>
      <c r="R1022" s="1"/>
      <c r="S1022" s="1"/>
      <c r="T1022" s="1"/>
      <c r="U1022" s="1"/>
      <c r="V1022" s="1"/>
      <c r="W1022" s="1"/>
      <c r="X1022" s="1"/>
    </row>
    <row r="1023">
      <c r="A1023" s="1"/>
      <c r="B1023" s="1"/>
      <c r="C1023" s="2"/>
      <c r="D1023" s="1"/>
      <c r="E1023" s="1"/>
      <c r="F1023" s="1"/>
      <c r="G1023" s="1"/>
      <c r="H1023" s="2"/>
      <c r="I1023" s="2"/>
      <c r="J1023" s="1"/>
      <c r="K1023" s="1"/>
      <c r="L1023" s="1"/>
      <c r="M1023" s="1"/>
      <c r="N1023" s="1"/>
      <c r="O1023" s="1"/>
      <c r="P1023" s="1"/>
      <c r="Q1023" s="1"/>
      <c r="R1023" s="1"/>
      <c r="S1023" s="1"/>
      <c r="T1023" s="1"/>
      <c r="U1023" s="1"/>
      <c r="V1023" s="1"/>
      <c r="W1023" s="1"/>
      <c r="X1023" s="1"/>
    </row>
    <row r="1024">
      <c r="A1024" s="1"/>
      <c r="B1024" s="1"/>
      <c r="C1024" s="2"/>
      <c r="D1024" s="1"/>
      <c r="E1024" s="1"/>
      <c r="F1024" s="1"/>
      <c r="G1024" s="1"/>
      <c r="H1024" s="2"/>
      <c r="I1024" s="2"/>
      <c r="J1024" s="1"/>
      <c r="K1024" s="1"/>
      <c r="L1024" s="1"/>
      <c r="M1024" s="1"/>
      <c r="N1024" s="1"/>
      <c r="O1024" s="1"/>
      <c r="P1024" s="1"/>
      <c r="Q1024" s="1"/>
      <c r="R1024" s="1"/>
      <c r="S1024" s="1"/>
      <c r="T1024" s="1"/>
      <c r="U1024" s="1"/>
      <c r="V1024" s="1"/>
      <c r="W1024" s="1"/>
      <c r="X1024" s="1"/>
    </row>
    <row r="1025">
      <c r="A1025" s="1"/>
      <c r="B1025" s="1"/>
      <c r="C1025" s="2"/>
      <c r="D1025" s="1"/>
      <c r="E1025" s="1"/>
      <c r="F1025" s="1"/>
      <c r="G1025" s="1"/>
      <c r="H1025" s="2"/>
      <c r="I1025" s="2"/>
      <c r="J1025" s="1"/>
      <c r="K1025" s="1"/>
      <c r="L1025" s="1"/>
      <c r="M1025" s="1"/>
      <c r="N1025" s="1"/>
      <c r="O1025" s="1"/>
      <c r="P1025" s="1"/>
      <c r="Q1025" s="1"/>
      <c r="R1025" s="1"/>
      <c r="S1025" s="1"/>
      <c r="T1025" s="1"/>
      <c r="U1025" s="1"/>
      <c r="V1025" s="1"/>
      <c r="W1025" s="1"/>
      <c r="X1025" s="1"/>
    </row>
    <row r="1026">
      <c r="A1026" s="1"/>
      <c r="B1026" s="1"/>
      <c r="C1026" s="2"/>
      <c r="D1026" s="1"/>
      <c r="E1026" s="1"/>
      <c r="F1026" s="1"/>
      <c r="G1026" s="1"/>
      <c r="H1026" s="2"/>
      <c r="I1026" s="2"/>
      <c r="J1026" s="1"/>
      <c r="K1026" s="1"/>
      <c r="L1026" s="1"/>
      <c r="M1026" s="1"/>
      <c r="N1026" s="1"/>
      <c r="O1026" s="1"/>
      <c r="P1026" s="1"/>
      <c r="Q1026" s="1"/>
      <c r="R1026" s="1"/>
      <c r="S1026" s="1"/>
      <c r="T1026" s="1"/>
      <c r="U1026" s="1"/>
      <c r="V1026" s="1"/>
      <c r="W1026" s="1"/>
      <c r="X1026" s="1"/>
    </row>
    <row r="1027">
      <c r="A1027" s="1"/>
      <c r="B1027" s="1"/>
      <c r="C1027" s="2"/>
      <c r="D1027" s="1"/>
      <c r="E1027" s="1"/>
      <c r="F1027" s="1"/>
      <c r="G1027" s="1"/>
      <c r="H1027" s="2"/>
      <c r="I1027" s="2"/>
      <c r="J1027" s="1"/>
      <c r="K1027" s="1"/>
      <c r="L1027" s="1"/>
      <c r="M1027" s="1"/>
      <c r="N1027" s="1"/>
      <c r="O1027" s="1"/>
      <c r="P1027" s="1"/>
      <c r="Q1027" s="1"/>
      <c r="R1027" s="1"/>
      <c r="S1027" s="1"/>
      <c r="T1027" s="1"/>
      <c r="U1027" s="1"/>
      <c r="V1027" s="1"/>
      <c r="W1027" s="1"/>
      <c r="X1027"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75"/>
    <col customWidth="1" min="2" max="2" width="15.63"/>
    <col customWidth="1" min="3" max="3" width="16.63"/>
    <col customWidth="1" min="6" max="6" width="15.63"/>
    <col customWidth="1" min="13" max="13" width="19.75"/>
    <col customWidth="1" min="14" max="14" width="18.13"/>
    <col customWidth="1" min="15" max="15" width="36.25"/>
  </cols>
  <sheetData>
    <row r="1">
      <c r="D1" s="1"/>
      <c r="H1" s="1"/>
      <c r="L1" s="1"/>
      <c r="Q1" s="1"/>
      <c r="R1" s="1"/>
      <c r="S1" s="1"/>
      <c r="T1" s="1"/>
      <c r="U1" s="1"/>
      <c r="V1" s="1"/>
      <c r="W1" s="1"/>
      <c r="X1" s="1"/>
      <c r="Y1" s="1"/>
      <c r="Z1" s="1"/>
    </row>
    <row r="2">
      <c r="D2" s="1"/>
      <c r="H2" s="1"/>
      <c r="L2" s="1"/>
      <c r="Q2" s="1"/>
      <c r="R2" s="1"/>
      <c r="S2" s="1"/>
      <c r="T2" s="1"/>
      <c r="U2" s="1"/>
      <c r="V2" s="1"/>
      <c r="W2" s="1"/>
      <c r="X2" s="1"/>
      <c r="Y2" s="1"/>
      <c r="Z2" s="1"/>
    </row>
    <row r="3">
      <c r="D3" s="1"/>
      <c r="E3" s="1"/>
      <c r="F3" s="1"/>
      <c r="G3" s="1"/>
      <c r="H3" s="1"/>
      <c r="L3" s="1"/>
      <c r="Q3" s="1"/>
      <c r="R3" s="1"/>
      <c r="S3" s="1"/>
      <c r="T3" s="1"/>
      <c r="U3" s="1"/>
      <c r="V3" s="1"/>
      <c r="W3" s="1"/>
      <c r="X3" s="1"/>
      <c r="Y3" s="1"/>
      <c r="Z3" s="1"/>
    </row>
    <row r="4">
      <c r="D4" s="1"/>
      <c r="E4" s="1"/>
      <c r="F4" s="1"/>
      <c r="G4" s="1"/>
      <c r="H4" s="1"/>
      <c r="I4" s="1"/>
      <c r="J4" s="1"/>
      <c r="K4" s="1"/>
      <c r="L4" s="1"/>
      <c r="Q4" s="1"/>
      <c r="R4" s="1"/>
      <c r="S4" s="1"/>
      <c r="T4" s="1"/>
      <c r="U4" s="1"/>
      <c r="V4" s="1"/>
      <c r="W4" s="1"/>
      <c r="X4" s="1"/>
      <c r="Y4" s="1"/>
      <c r="Z4" s="1"/>
    </row>
    <row r="5">
      <c r="D5" s="1"/>
      <c r="E5" s="1"/>
      <c r="F5" s="1"/>
      <c r="G5" s="1"/>
      <c r="H5" s="1"/>
      <c r="I5" s="1"/>
      <c r="J5" s="1"/>
      <c r="K5" s="1"/>
      <c r="L5" s="1"/>
      <c r="Q5" s="1"/>
      <c r="R5" s="1"/>
      <c r="S5" s="1"/>
      <c r="T5" s="1"/>
      <c r="U5" s="1"/>
      <c r="V5" s="1"/>
      <c r="W5" s="1"/>
      <c r="X5" s="1"/>
      <c r="Y5" s="1"/>
      <c r="Z5" s="1"/>
    </row>
    <row r="6">
      <c r="D6" s="1"/>
      <c r="E6" s="1"/>
      <c r="F6" s="1"/>
      <c r="G6" s="1"/>
      <c r="H6" s="1"/>
      <c r="I6" s="1"/>
      <c r="J6" s="1"/>
      <c r="K6" s="1"/>
      <c r="L6" s="1"/>
      <c r="Q6" s="1"/>
      <c r="R6" s="1"/>
      <c r="S6" s="1"/>
      <c r="T6" s="1"/>
      <c r="U6" s="1"/>
      <c r="V6" s="1"/>
      <c r="W6" s="1"/>
      <c r="X6" s="1"/>
      <c r="Y6" s="1"/>
      <c r="Z6" s="1"/>
    </row>
    <row r="7">
      <c r="D7" s="1"/>
      <c r="E7" s="1"/>
      <c r="F7" s="1"/>
      <c r="G7" s="1"/>
      <c r="H7" s="1"/>
      <c r="I7" s="1"/>
      <c r="J7" s="1"/>
      <c r="K7" s="1"/>
      <c r="L7" s="1"/>
      <c r="Q7" s="1"/>
      <c r="R7" s="1"/>
      <c r="S7" s="1"/>
      <c r="T7" s="1"/>
      <c r="U7" s="1"/>
      <c r="V7" s="1"/>
      <c r="W7" s="1"/>
      <c r="X7" s="1"/>
      <c r="Y7" s="1"/>
      <c r="Z7" s="1"/>
    </row>
    <row r="8">
      <c r="D8" s="1"/>
      <c r="E8" s="1"/>
      <c r="F8" s="1"/>
      <c r="G8" s="1"/>
      <c r="H8" s="1"/>
      <c r="I8" s="1"/>
      <c r="J8" s="1"/>
      <c r="K8" s="1"/>
      <c r="L8" s="1"/>
      <c r="Q8" s="1"/>
      <c r="R8" s="1"/>
      <c r="S8" s="1"/>
      <c r="T8" s="1"/>
      <c r="U8" s="1"/>
      <c r="V8" s="1"/>
      <c r="W8" s="1"/>
      <c r="X8" s="1"/>
      <c r="Y8" s="1"/>
      <c r="Z8" s="1"/>
    </row>
    <row r="9">
      <c r="D9" s="1"/>
      <c r="E9" s="1"/>
      <c r="F9" s="1"/>
      <c r="G9" s="1"/>
      <c r="H9" s="1"/>
      <c r="I9" s="1"/>
      <c r="J9" s="1"/>
      <c r="K9" s="1"/>
      <c r="L9" s="1"/>
      <c r="Q9" s="1"/>
      <c r="R9" s="1"/>
      <c r="S9" s="1"/>
      <c r="T9" s="1"/>
      <c r="U9" s="1"/>
      <c r="V9" s="1"/>
      <c r="W9" s="1"/>
      <c r="X9" s="1"/>
      <c r="Y9" s="1"/>
      <c r="Z9" s="1"/>
    </row>
    <row r="10">
      <c r="D10" s="1"/>
      <c r="E10" s="1"/>
      <c r="F10" s="1"/>
      <c r="G10" s="1"/>
      <c r="H10" s="1"/>
      <c r="I10" s="1"/>
      <c r="J10" s="1"/>
      <c r="K10" s="1"/>
      <c r="L10" s="1"/>
      <c r="Q10" s="1"/>
      <c r="R10" s="1"/>
      <c r="S10" s="1"/>
      <c r="T10" s="1"/>
      <c r="U10" s="1"/>
      <c r="V10" s="1"/>
      <c r="W10" s="1"/>
      <c r="X10" s="1"/>
      <c r="Y10" s="1"/>
      <c r="Z10" s="1"/>
    </row>
    <row r="11">
      <c r="D11" s="1"/>
      <c r="E11" s="1"/>
      <c r="F11" s="1"/>
      <c r="G11" s="1"/>
      <c r="H11" s="1"/>
      <c r="I11" s="1"/>
      <c r="J11" s="1"/>
      <c r="K11" s="1"/>
      <c r="L11" s="1"/>
      <c r="Q11" s="1"/>
      <c r="R11" s="1"/>
      <c r="S11" s="1"/>
      <c r="T11" s="1"/>
      <c r="U11" s="1"/>
      <c r="V11" s="1"/>
      <c r="W11" s="1"/>
      <c r="X11" s="1"/>
      <c r="Y11" s="1"/>
      <c r="Z11" s="1"/>
    </row>
    <row r="12">
      <c r="D12" s="1"/>
      <c r="E12" s="1"/>
      <c r="F12" s="1"/>
      <c r="G12" s="1"/>
      <c r="H12" s="1"/>
      <c r="I12" s="1"/>
      <c r="J12" s="1"/>
      <c r="K12" s="1"/>
      <c r="L12" s="1"/>
      <c r="Q12" s="1"/>
      <c r="R12" s="1"/>
      <c r="S12" s="1"/>
      <c r="T12" s="1"/>
      <c r="U12" s="1"/>
      <c r="V12" s="1"/>
      <c r="W12" s="1"/>
      <c r="X12" s="1"/>
      <c r="Y12" s="1"/>
      <c r="Z12" s="1"/>
    </row>
    <row r="13">
      <c r="D13" s="1"/>
      <c r="E13" s="1"/>
      <c r="F13" s="1"/>
      <c r="G13" s="1"/>
      <c r="H13" s="1"/>
      <c r="I13" s="1"/>
      <c r="J13" s="1"/>
      <c r="K13" s="1"/>
      <c r="L13" s="1"/>
      <c r="Q13" s="1"/>
      <c r="R13" s="1"/>
      <c r="S13" s="1"/>
      <c r="T13" s="1"/>
      <c r="U13" s="1"/>
      <c r="V13" s="1"/>
      <c r="W13" s="1"/>
      <c r="X13" s="1"/>
      <c r="Y13" s="1"/>
      <c r="Z13" s="1"/>
    </row>
    <row r="14">
      <c r="D14" s="1"/>
      <c r="E14" s="1"/>
      <c r="F14" s="1"/>
      <c r="G14" s="1"/>
      <c r="H14" s="1"/>
      <c r="I14" s="1"/>
      <c r="J14" s="1"/>
      <c r="K14" s="1"/>
      <c r="L14" s="1"/>
      <c r="Q14" s="1"/>
      <c r="R14" s="1"/>
      <c r="S14" s="1"/>
      <c r="T14" s="1"/>
      <c r="U14" s="1"/>
      <c r="V14" s="1"/>
      <c r="W14" s="1"/>
      <c r="X14" s="1"/>
      <c r="Y14" s="1"/>
      <c r="Z14" s="1"/>
    </row>
    <row r="15">
      <c r="D15" s="1"/>
      <c r="E15" s="1"/>
      <c r="F15" s="1"/>
      <c r="G15" s="1"/>
      <c r="H15" s="1"/>
      <c r="I15" s="1"/>
      <c r="J15" s="1"/>
      <c r="K15" s="1"/>
      <c r="L15" s="1"/>
      <c r="Q15" s="1"/>
      <c r="R15" s="1"/>
      <c r="S15" s="1"/>
      <c r="T15" s="1"/>
      <c r="U15" s="1"/>
      <c r="V15" s="1"/>
      <c r="W15" s="1"/>
      <c r="X15" s="1"/>
      <c r="Y15" s="1"/>
      <c r="Z15" s="1"/>
    </row>
    <row r="16">
      <c r="D16" s="1"/>
      <c r="E16" s="1"/>
      <c r="F16" s="1"/>
      <c r="G16" s="1"/>
      <c r="H16" s="1"/>
      <c r="I16" s="1"/>
      <c r="J16" s="1"/>
      <c r="K16" s="1"/>
      <c r="L16" s="1"/>
      <c r="Q16" s="1"/>
      <c r="R16" s="1"/>
      <c r="S16" s="1"/>
      <c r="T16" s="1"/>
      <c r="U16" s="1"/>
      <c r="V16" s="1"/>
      <c r="W16" s="1"/>
      <c r="X16" s="1"/>
      <c r="Y16" s="1"/>
      <c r="Z16" s="1"/>
    </row>
    <row r="17">
      <c r="D17" s="1"/>
      <c r="E17" s="1"/>
      <c r="F17" s="1"/>
      <c r="G17" s="1"/>
      <c r="H17" s="1"/>
      <c r="I17" s="1"/>
      <c r="J17" s="1"/>
      <c r="K17" s="1"/>
      <c r="L17" s="1"/>
      <c r="Q17" s="1"/>
      <c r="R17" s="1"/>
      <c r="S17" s="1"/>
      <c r="T17" s="1"/>
      <c r="U17" s="1"/>
      <c r="V17" s="1"/>
      <c r="W17" s="1"/>
      <c r="X17" s="1"/>
      <c r="Y17" s="1"/>
      <c r="Z17" s="1"/>
    </row>
    <row r="18">
      <c r="A18" s="1"/>
      <c r="B18" s="1"/>
      <c r="C18" s="1"/>
      <c r="D18" s="1"/>
      <c r="E18" s="1"/>
      <c r="F18" s="1"/>
      <c r="G18" s="1"/>
      <c r="H18" s="1"/>
      <c r="I18" s="1"/>
      <c r="J18" s="1"/>
      <c r="K18" s="1"/>
      <c r="L18" s="1"/>
      <c r="Q18" s="1"/>
      <c r="R18" s="1"/>
      <c r="S18" s="1"/>
      <c r="T18" s="1"/>
      <c r="U18" s="1"/>
      <c r="V18" s="1"/>
      <c r="W18" s="1"/>
      <c r="X18" s="1"/>
      <c r="Y18" s="1"/>
      <c r="Z18" s="1"/>
    </row>
    <row r="19">
      <c r="A19" s="1"/>
      <c r="B19" s="1"/>
      <c r="C19" s="1"/>
      <c r="D19" s="1"/>
      <c r="E19" s="1"/>
      <c r="F19" s="1"/>
      <c r="G19" s="1"/>
      <c r="H19" s="1"/>
      <c r="I19" s="1"/>
      <c r="J19" s="1"/>
      <c r="K19" s="1"/>
      <c r="L19" s="1"/>
      <c r="Q19" s="1"/>
      <c r="R19" s="1"/>
      <c r="S19" s="1"/>
      <c r="T19" s="1"/>
      <c r="U19" s="1"/>
      <c r="V19" s="1"/>
      <c r="W19" s="1"/>
      <c r="X19" s="1"/>
      <c r="Y19" s="1"/>
      <c r="Z19" s="1"/>
    </row>
    <row r="20">
      <c r="A20" s="1"/>
      <c r="B20" s="1"/>
      <c r="C20" s="1"/>
      <c r="D20" s="1"/>
      <c r="E20" s="1"/>
      <c r="F20" s="1"/>
      <c r="G20" s="1"/>
      <c r="H20" s="1"/>
      <c r="I20" s="1"/>
      <c r="J20" s="1"/>
      <c r="K20" s="1"/>
      <c r="L20" s="1"/>
      <c r="Q20" s="1"/>
      <c r="R20" s="1"/>
      <c r="S20" s="1"/>
      <c r="T20" s="1"/>
      <c r="U20" s="1"/>
      <c r="V20" s="1"/>
      <c r="W20" s="1"/>
      <c r="X20" s="1"/>
      <c r="Y20" s="1"/>
      <c r="Z20" s="1"/>
    </row>
    <row r="21">
      <c r="A21" s="1"/>
      <c r="B21" s="1"/>
      <c r="C21" s="1"/>
      <c r="D21" s="1"/>
      <c r="E21" s="1"/>
      <c r="F21" s="1"/>
      <c r="G21" s="1"/>
      <c r="H21" s="1"/>
      <c r="I21" s="1"/>
      <c r="J21" s="1"/>
      <c r="K21" s="1"/>
      <c r="L21" s="1"/>
      <c r="Q21" s="1"/>
      <c r="R21" s="1"/>
      <c r="S21" s="1"/>
      <c r="T21" s="1"/>
      <c r="U21" s="1"/>
      <c r="V21" s="1"/>
      <c r="W21" s="1"/>
      <c r="X21" s="1"/>
      <c r="Y21" s="1"/>
      <c r="Z21" s="1"/>
    </row>
    <row r="22">
      <c r="A22" s="1"/>
      <c r="B22" s="1"/>
      <c r="C22" s="1"/>
      <c r="D22" s="1"/>
      <c r="E22" s="1"/>
      <c r="F22" s="1"/>
      <c r="G22" s="1"/>
      <c r="H22" s="1"/>
      <c r="I22" s="1"/>
      <c r="J22" s="1"/>
      <c r="K22" s="1"/>
      <c r="L22" s="1"/>
      <c r="Q22" s="1"/>
      <c r="R22" s="1"/>
      <c r="S22" s="1"/>
      <c r="T22" s="1"/>
      <c r="U22" s="1"/>
      <c r="V22" s="1"/>
      <c r="W22" s="1"/>
      <c r="X22" s="1"/>
      <c r="Y22" s="1"/>
      <c r="Z22" s="1"/>
    </row>
    <row r="23">
      <c r="A23" s="1"/>
      <c r="B23" s="1"/>
      <c r="C23" s="1"/>
      <c r="D23" s="1"/>
      <c r="E23" s="1"/>
      <c r="F23" s="1"/>
      <c r="G23" s="1"/>
      <c r="H23" s="1"/>
      <c r="I23" s="1"/>
      <c r="J23" s="1"/>
      <c r="K23" s="1"/>
      <c r="L23" s="1"/>
      <c r="Q23" s="1"/>
      <c r="R23" s="1"/>
      <c r="S23" s="1"/>
      <c r="T23" s="1"/>
      <c r="U23" s="1"/>
      <c r="V23" s="1"/>
      <c r="W23" s="1"/>
      <c r="X23" s="1"/>
      <c r="Y23" s="1"/>
      <c r="Z23" s="1"/>
    </row>
    <row r="24">
      <c r="A24" s="1"/>
      <c r="B24" s="1"/>
      <c r="C24" s="1"/>
      <c r="D24" s="1"/>
      <c r="E24" s="1"/>
      <c r="F24" s="1"/>
      <c r="G24" s="1"/>
      <c r="H24" s="1"/>
      <c r="I24" s="1"/>
      <c r="J24" s="1"/>
      <c r="K24" s="1"/>
      <c r="L24" s="1"/>
      <c r="Q24" s="1"/>
      <c r="R24" s="1"/>
      <c r="S24" s="1"/>
      <c r="T24" s="1"/>
      <c r="U24" s="1"/>
      <c r="V24" s="1"/>
      <c r="W24" s="1"/>
      <c r="X24" s="1"/>
      <c r="Y24" s="1"/>
      <c r="Z24" s="1"/>
    </row>
    <row r="25">
      <c r="A25" s="1"/>
      <c r="B25" s="1"/>
      <c r="C25" s="1"/>
      <c r="D25" s="1"/>
      <c r="E25" s="1"/>
      <c r="F25" s="1"/>
      <c r="G25" s="1"/>
      <c r="H25" s="1"/>
      <c r="I25" s="1"/>
      <c r="J25" s="1"/>
      <c r="K25" s="1"/>
      <c r="L25" s="1"/>
      <c r="Q25" s="1"/>
      <c r="R25" s="1"/>
      <c r="S25" s="1"/>
      <c r="T25" s="1"/>
      <c r="U25" s="1"/>
      <c r="V25" s="1"/>
      <c r="W25" s="1"/>
      <c r="X25" s="1"/>
      <c r="Y25" s="1"/>
      <c r="Z25" s="1"/>
    </row>
    <row r="26">
      <c r="A26" s="1"/>
      <c r="B26" s="1"/>
      <c r="C26" s="1"/>
      <c r="D26" s="1"/>
      <c r="E26" s="1"/>
      <c r="F26" s="1"/>
      <c r="G26" s="1"/>
      <c r="H26" s="1"/>
      <c r="I26" s="1"/>
      <c r="J26" s="1"/>
      <c r="K26" s="1"/>
      <c r="L26" s="1"/>
      <c r="Q26" s="1"/>
      <c r="R26" s="1"/>
      <c r="S26" s="1"/>
      <c r="T26" s="1"/>
      <c r="U26" s="1"/>
      <c r="V26" s="1"/>
      <c r="W26" s="1"/>
      <c r="X26" s="1"/>
      <c r="Y26" s="1"/>
      <c r="Z26" s="1"/>
    </row>
    <row r="27">
      <c r="A27" s="1"/>
      <c r="B27" s="1"/>
      <c r="C27" s="1"/>
      <c r="D27" s="1"/>
      <c r="E27" s="1"/>
      <c r="F27" s="1"/>
      <c r="G27" s="1"/>
      <c r="H27" s="1"/>
      <c r="I27" s="1"/>
      <c r="J27" s="1"/>
      <c r="K27" s="1"/>
      <c r="L27" s="1"/>
      <c r="Q27" s="1"/>
      <c r="R27" s="1"/>
      <c r="S27" s="1"/>
      <c r="T27" s="1"/>
      <c r="U27" s="1"/>
      <c r="V27" s="1"/>
      <c r="W27" s="1"/>
      <c r="X27" s="1"/>
      <c r="Y27" s="1"/>
      <c r="Z27" s="1"/>
    </row>
    <row r="28">
      <c r="A28" s="1"/>
      <c r="B28" s="1"/>
      <c r="C28" s="1"/>
      <c r="D28" s="1"/>
      <c r="E28" s="1"/>
      <c r="F28" s="1"/>
      <c r="G28" s="1"/>
      <c r="H28" s="1"/>
      <c r="I28" s="1"/>
      <c r="J28" s="1"/>
      <c r="K28" s="1"/>
      <c r="L28" s="1"/>
      <c r="Q28" s="1"/>
      <c r="R28" s="1"/>
      <c r="S28" s="1"/>
      <c r="T28" s="1"/>
      <c r="U28" s="1"/>
      <c r="V28" s="1"/>
      <c r="W28" s="1"/>
      <c r="X28" s="1"/>
      <c r="Y28" s="1"/>
      <c r="Z28" s="1"/>
    </row>
    <row r="29">
      <c r="A29" s="1"/>
      <c r="B29" s="1"/>
      <c r="C29" s="1"/>
      <c r="D29" s="1"/>
      <c r="E29" s="1"/>
      <c r="F29" s="1"/>
      <c r="G29" s="1"/>
      <c r="H29" s="1"/>
      <c r="I29" s="1"/>
      <c r="J29" s="1"/>
      <c r="K29" s="1"/>
      <c r="L29" s="1"/>
      <c r="Q29" s="1"/>
      <c r="R29" s="1"/>
      <c r="S29" s="1"/>
      <c r="T29" s="1"/>
      <c r="U29" s="1"/>
      <c r="V29" s="1"/>
      <c r="W29" s="1"/>
      <c r="X29" s="1"/>
      <c r="Y29" s="1"/>
      <c r="Z29" s="1"/>
    </row>
    <row r="30">
      <c r="A30" s="1"/>
      <c r="B30" s="1"/>
      <c r="C30" s="1"/>
      <c r="D30" s="1"/>
      <c r="E30" s="1"/>
      <c r="F30" s="1"/>
      <c r="G30" s="1"/>
      <c r="H30" s="1"/>
      <c r="I30" s="1"/>
      <c r="J30" s="1"/>
      <c r="K30" s="1"/>
      <c r="L30" s="1"/>
      <c r="Q30" s="1"/>
      <c r="R30" s="1"/>
      <c r="S30" s="1"/>
      <c r="T30" s="1"/>
      <c r="U30" s="1"/>
      <c r="V30" s="1"/>
      <c r="W30" s="1"/>
      <c r="X30" s="1"/>
      <c r="Y30" s="1"/>
      <c r="Z30" s="1"/>
    </row>
    <row r="31">
      <c r="A31" s="1"/>
      <c r="B31" s="1"/>
      <c r="C31" s="1"/>
      <c r="D31" s="1"/>
      <c r="E31" s="1"/>
      <c r="F31" s="1"/>
      <c r="G31" s="1"/>
      <c r="H31" s="1"/>
      <c r="I31" s="1"/>
      <c r="J31" s="1"/>
      <c r="K31" s="1"/>
      <c r="L31" s="1"/>
      <c r="Q31" s="1"/>
      <c r="R31" s="1"/>
      <c r="S31" s="1"/>
      <c r="T31" s="1"/>
      <c r="U31" s="1"/>
      <c r="V31" s="1"/>
      <c r="W31" s="1"/>
      <c r="X31" s="1"/>
      <c r="Y31" s="1"/>
      <c r="Z31" s="1"/>
    </row>
    <row r="32">
      <c r="A32" s="1"/>
      <c r="B32" s="1"/>
      <c r="C32" s="1"/>
      <c r="D32" s="1"/>
      <c r="E32" s="1"/>
      <c r="F32" s="1"/>
      <c r="G32" s="1"/>
      <c r="H32" s="1"/>
      <c r="I32" s="1"/>
      <c r="J32" s="1"/>
      <c r="K32" s="1"/>
      <c r="L32" s="1"/>
      <c r="Q32" s="1"/>
      <c r="R32" s="1"/>
      <c r="S32" s="1"/>
      <c r="T32" s="1"/>
      <c r="U32" s="1"/>
      <c r="V32" s="1"/>
      <c r="W32" s="1"/>
      <c r="X32" s="1"/>
      <c r="Y32" s="1"/>
      <c r="Z32" s="1"/>
    </row>
    <row r="33">
      <c r="A33" s="1"/>
      <c r="B33" s="1"/>
      <c r="C33" s="1"/>
      <c r="D33" s="1"/>
      <c r="E33" s="1"/>
      <c r="F33" s="1"/>
      <c r="G33" s="1"/>
      <c r="H33" s="1"/>
      <c r="I33" s="1"/>
      <c r="J33" s="1"/>
      <c r="K33" s="1"/>
      <c r="L33" s="1"/>
      <c r="Q33" s="1"/>
      <c r="R33" s="1"/>
      <c r="S33" s="1"/>
      <c r="T33" s="1"/>
      <c r="U33" s="1"/>
      <c r="V33" s="1"/>
      <c r="W33" s="1"/>
      <c r="X33" s="1"/>
      <c r="Y33" s="1"/>
      <c r="Z33" s="1"/>
    </row>
    <row r="34">
      <c r="A34" s="1"/>
      <c r="B34" s="1"/>
      <c r="C34" s="1"/>
      <c r="D34" s="1"/>
      <c r="E34" s="1"/>
      <c r="F34" s="1"/>
      <c r="G34" s="1"/>
      <c r="H34" s="1"/>
      <c r="I34" s="1"/>
      <c r="J34" s="1"/>
      <c r="K34" s="1"/>
      <c r="L34" s="1"/>
      <c r="Q34" s="1"/>
      <c r="R34" s="1"/>
      <c r="S34" s="1"/>
      <c r="T34" s="1"/>
      <c r="U34" s="1"/>
      <c r="V34" s="1"/>
      <c r="W34" s="1"/>
      <c r="X34" s="1"/>
      <c r="Y34" s="1"/>
      <c r="Z34" s="1"/>
    </row>
    <row r="35">
      <c r="A35" s="1"/>
      <c r="B35" s="1"/>
      <c r="C35" s="1"/>
      <c r="D35" s="1"/>
      <c r="E35" s="1"/>
      <c r="F35" s="1"/>
      <c r="G35" s="1"/>
      <c r="H35" s="1"/>
      <c r="I35" s="1"/>
      <c r="J35" s="1"/>
      <c r="K35" s="1"/>
      <c r="L35" s="1"/>
      <c r="Q35" s="1"/>
      <c r="R35" s="1"/>
      <c r="S35" s="1"/>
      <c r="T35" s="1"/>
      <c r="U35" s="1"/>
      <c r="V35" s="1"/>
      <c r="W35" s="1"/>
      <c r="X35" s="1"/>
      <c r="Y35" s="1"/>
      <c r="Z35" s="1"/>
    </row>
    <row r="36">
      <c r="A36" s="1"/>
      <c r="B36" s="1"/>
      <c r="C36" s="1"/>
      <c r="D36" s="1"/>
      <c r="E36" s="1"/>
      <c r="F36" s="1"/>
      <c r="G36" s="1"/>
      <c r="H36" s="1"/>
      <c r="I36" s="1"/>
      <c r="J36" s="1"/>
      <c r="K36" s="1"/>
      <c r="L36" s="1"/>
      <c r="Q36" s="1"/>
      <c r="R36" s="1"/>
      <c r="S36" s="1"/>
      <c r="T36" s="1"/>
      <c r="U36" s="1"/>
      <c r="V36" s="1"/>
      <c r="W36" s="1"/>
      <c r="X36" s="1"/>
      <c r="Y36" s="1"/>
      <c r="Z36" s="1"/>
    </row>
    <row r="37">
      <c r="A37" s="1"/>
      <c r="B37" s="1"/>
      <c r="C37" s="1"/>
      <c r="D37" s="1"/>
      <c r="E37" s="1"/>
      <c r="F37" s="1"/>
      <c r="G37" s="1"/>
      <c r="H37" s="1"/>
      <c r="I37" s="1"/>
      <c r="J37" s="1"/>
      <c r="K37" s="1"/>
      <c r="L37" s="1"/>
      <c r="Q37" s="1"/>
      <c r="R37" s="1"/>
      <c r="S37" s="1"/>
      <c r="T37" s="1"/>
      <c r="U37" s="1"/>
      <c r="V37" s="1"/>
      <c r="W37" s="1"/>
      <c r="X37" s="1"/>
      <c r="Y37" s="1"/>
      <c r="Z37" s="1"/>
    </row>
    <row r="38">
      <c r="A38" s="1"/>
      <c r="B38" s="1"/>
      <c r="C38" s="1"/>
      <c r="D38" s="1"/>
      <c r="E38" s="1"/>
      <c r="F38" s="1"/>
      <c r="G38" s="1"/>
      <c r="H38" s="1"/>
      <c r="I38" s="1"/>
      <c r="J38" s="1"/>
      <c r="K38" s="1"/>
      <c r="L38" s="1"/>
      <c r="Q38" s="1"/>
      <c r="R38" s="1"/>
      <c r="S38" s="1"/>
      <c r="T38" s="1"/>
      <c r="U38" s="1"/>
      <c r="V38" s="1"/>
      <c r="W38" s="1"/>
      <c r="X38" s="1"/>
      <c r="Y38" s="1"/>
      <c r="Z38" s="1"/>
    </row>
    <row r="39">
      <c r="A39" s="1"/>
      <c r="B39" s="1"/>
      <c r="C39" s="1"/>
      <c r="D39" s="1"/>
      <c r="E39" s="1"/>
      <c r="F39" s="1"/>
      <c r="G39" s="1"/>
      <c r="H39" s="1"/>
      <c r="I39" s="1"/>
      <c r="J39" s="1"/>
      <c r="K39" s="1"/>
      <c r="L39" s="1"/>
      <c r="Q39" s="1"/>
      <c r="R39" s="1"/>
      <c r="S39" s="1"/>
      <c r="T39" s="1"/>
      <c r="U39" s="1"/>
      <c r="V39" s="1"/>
      <c r="W39" s="1"/>
      <c r="X39" s="1"/>
      <c r="Y39" s="1"/>
      <c r="Z39" s="1"/>
    </row>
    <row r="40">
      <c r="A40" s="1"/>
      <c r="B40" s="1"/>
      <c r="C40" s="1"/>
      <c r="D40" s="1"/>
      <c r="E40" s="1"/>
      <c r="F40" s="1"/>
      <c r="G40" s="1"/>
      <c r="H40" s="1"/>
      <c r="I40" s="1"/>
      <c r="J40" s="1"/>
      <c r="K40" s="1"/>
      <c r="L40" s="1"/>
      <c r="Q40" s="1"/>
      <c r="R40" s="1"/>
      <c r="S40" s="1"/>
      <c r="T40" s="1"/>
      <c r="U40" s="1"/>
      <c r="V40" s="1"/>
      <c r="W40" s="1"/>
      <c r="X40" s="1"/>
      <c r="Y40" s="1"/>
      <c r="Z40" s="1"/>
    </row>
    <row r="41">
      <c r="A41" s="1"/>
      <c r="B41" s="1"/>
      <c r="C41" s="1"/>
      <c r="D41" s="1"/>
      <c r="E41" s="1"/>
      <c r="F41" s="1"/>
      <c r="G41" s="1"/>
      <c r="H41" s="1"/>
      <c r="I41" s="1"/>
      <c r="J41" s="1"/>
      <c r="K41" s="1"/>
      <c r="L41" s="1"/>
      <c r="Q41" s="1"/>
      <c r="R41" s="1"/>
      <c r="S41" s="1"/>
      <c r="T41" s="1"/>
      <c r="U41" s="1"/>
      <c r="V41" s="1"/>
      <c r="W41" s="1"/>
      <c r="X41" s="1"/>
      <c r="Y41" s="1"/>
      <c r="Z41" s="1"/>
    </row>
    <row r="42">
      <c r="A42" s="1"/>
      <c r="B42" s="1"/>
      <c r="C42" s="1"/>
      <c r="D42" s="1"/>
      <c r="E42" s="1"/>
      <c r="F42" s="1"/>
      <c r="G42" s="1"/>
      <c r="H42" s="1"/>
      <c r="I42" s="1"/>
      <c r="J42" s="1"/>
      <c r="K42" s="1"/>
      <c r="L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16.25"/>
    <col customWidth="1" min="3" max="3" width="26.38"/>
    <col customWidth="1" min="4" max="4" width="20.13"/>
    <col customWidth="1" min="5" max="5" width="8.63"/>
    <col customWidth="1" min="6" max="6" width="10.63"/>
    <col customWidth="1" min="7" max="7" width="12.75"/>
  </cols>
  <sheetData>
    <row r="1">
      <c r="A1" s="4"/>
      <c r="B1" s="4"/>
      <c r="C1" s="4"/>
      <c r="D1" s="4"/>
      <c r="E1" s="4"/>
      <c r="F1" s="3"/>
      <c r="G1" s="31">
        <f>SUBTOTAL(9,G2:G989)</f>
        <v>60728115</v>
      </c>
      <c r="H1" s="4"/>
      <c r="I1" s="31">
        <f>SUBTOTAL(9,I2:I989)</f>
        <v>0</v>
      </c>
      <c r="J1" s="4"/>
      <c r="K1" s="3"/>
      <c r="L1" s="3"/>
      <c r="M1" s="4"/>
      <c r="N1" s="1"/>
      <c r="O1" s="1"/>
      <c r="P1" s="1"/>
      <c r="Q1" s="1"/>
      <c r="R1" s="1"/>
      <c r="S1" s="1"/>
      <c r="T1" s="1"/>
      <c r="U1" s="1"/>
      <c r="V1" s="1"/>
      <c r="W1" s="1"/>
      <c r="X1" s="1"/>
      <c r="Y1" s="1"/>
      <c r="Z1" s="1"/>
      <c r="AA1" s="1"/>
      <c r="AB1" s="1"/>
      <c r="AC1" s="1"/>
    </row>
    <row r="2">
      <c r="A2" s="33" t="s">
        <v>247</v>
      </c>
      <c r="B2" s="33" t="s">
        <v>41</v>
      </c>
      <c r="C2" s="33" t="s">
        <v>40</v>
      </c>
      <c r="D2" s="33" t="s">
        <v>315</v>
      </c>
      <c r="E2" s="33" t="s">
        <v>316</v>
      </c>
      <c r="F2" s="34" t="s">
        <v>42</v>
      </c>
      <c r="G2" s="34" t="s">
        <v>317</v>
      </c>
      <c r="H2" s="33" t="s">
        <v>318</v>
      </c>
      <c r="I2" s="34" t="s">
        <v>319</v>
      </c>
      <c r="J2" s="33" t="s">
        <v>320</v>
      </c>
      <c r="K2" s="34" t="s">
        <v>321</v>
      </c>
      <c r="L2" s="34" t="s">
        <v>322</v>
      </c>
      <c r="M2" s="33" t="s">
        <v>323</v>
      </c>
      <c r="N2" s="1"/>
      <c r="O2" s="1"/>
      <c r="P2" s="1"/>
      <c r="Q2" s="1"/>
      <c r="R2" s="1"/>
      <c r="S2" s="1"/>
      <c r="T2" s="1"/>
      <c r="U2" s="1"/>
      <c r="V2" s="1"/>
      <c r="W2" s="1"/>
      <c r="X2" s="1"/>
      <c r="Y2" s="1"/>
      <c r="Z2" s="1"/>
      <c r="AA2" s="1"/>
      <c r="AB2" s="1"/>
      <c r="AC2" s="1"/>
    </row>
    <row r="3">
      <c r="A3" s="4" t="s">
        <v>253</v>
      </c>
      <c r="B3" s="4" t="s">
        <v>10</v>
      </c>
      <c r="C3" s="4" t="s">
        <v>311</v>
      </c>
      <c r="D3" s="4" t="s">
        <v>311</v>
      </c>
      <c r="E3" s="4">
        <v>910.0</v>
      </c>
      <c r="F3" s="3">
        <v>40000.0</v>
      </c>
      <c r="G3" s="2">
        <f t="shared" ref="G3:G44" si="1">F3*E3</f>
        <v>36400000</v>
      </c>
      <c r="H3" s="35" t="s">
        <v>324</v>
      </c>
      <c r="I3" s="36"/>
      <c r="J3" s="4" t="s">
        <v>325</v>
      </c>
      <c r="K3" s="3" t="str">
        <f>VLOOKUP(B3,RESUMEN!B:B,1,0)</f>
        <v>Mercancia</v>
      </c>
      <c r="L3" s="35"/>
      <c r="M3" s="4"/>
      <c r="N3" s="1"/>
      <c r="O3" s="1"/>
      <c r="P3" s="1"/>
      <c r="Q3" s="1"/>
      <c r="R3" s="1"/>
      <c r="S3" s="1"/>
      <c r="T3" s="1"/>
      <c r="U3" s="1"/>
      <c r="V3" s="1"/>
      <c r="W3" s="1"/>
      <c r="X3" s="1"/>
      <c r="Y3" s="1"/>
      <c r="Z3" s="1"/>
      <c r="AA3" s="1"/>
      <c r="AB3" s="1"/>
      <c r="AC3" s="1"/>
    </row>
    <row r="4">
      <c r="A4" s="4" t="s">
        <v>253</v>
      </c>
      <c r="B4" s="4" t="s">
        <v>10</v>
      </c>
      <c r="C4" s="4" t="s">
        <v>312</v>
      </c>
      <c r="D4" s="4" t="s">
        <v>312</v>
      </c>
      <c r="E4" s="4">
        <v>1.0</v>
      </c>
      <c r="F4" s="3">
        <v>3000000.0</v>
      </c>
      <c r="G4" s="2">
        <f t="shared" si="1"/>
        <v>3000000</v>
      </c>
      <c r="H4" s="35" t="s">
        <v>324</v>
      </c>
      <c r="I4" s="36"/>
      <c r="J4" s="4" t="s">
        <v>326</v>
      </c>
      <c r="K4" s="3" t="str">
        <f>VLOOKUP(B4,RESUMEN!B:B,1,0)</f>
        <v>Mercancia</v>
      </c>
      <c r="L4" s="35"/>
      <c r="M4" s="35"/>
      <c r="N4" s="1"/>
      <c r="O4" s="1"/>
      <c r="P4" s="1"/>
      <c r="Q4" s="1"/>
      <c r="R4" s="1"/>
      <c r="S4" s="1"/>
      <c r="T4" s="1"/>
      <c r="U4" s="1"/>
      <c r="V4" s="1"/>
      <c r="W4" s="1"/>
      <c r="X4" s="1"/>
      <c r="Y4" s="1"/>
      <c r="Z4" s="1"/>
      <c r="AA4" s="1"/>
      <c r="AB4" s="1"/>
      <c r="AC4" s="1"/>
    </row>
    <row r="5">
      <c r="A5" s="4" t="s">
        <v>253</v>
      </c>
      <c r="B5" s="4" t="s">
        <v>17</v>
      </c>
      <c r="C5" s="4" t="s">
        <v>82</v>
      </c>
      <c r="D5" s="4" t="s">
        <v>327</v>
      </c>
      <c r="E5" s="4">
        <v>1.0</v>
      </c>
      <c r="F5" s="3">
        <v>700000.0</v>
      </c>
      <c r="G5" s="2">
        <f t="shared" si="1"/>
        <v>700000</v>
      </c>
      <c r="H5" s="35" t="s">
        <v>324</v>
      </c>
      <c r="I5" s="36"/>
      <c r="J5" s="4"/>
      <c r="K5" s="3" t="str">
        <f>VLOOKUP(B5,RESUMEN!B:B,1,0)</f>
        <v>Mostradores</v>
      </c>
      <c r="L5" s="35"/>
      <c r="M5" s="35"/>
      <c r="N5" s="1"/>
      <c r="O5" s="1"/>
      <c r="P5" s="1"/>
      <c r="Q5" s="1"/>
      <c r="R5" s="1"/>
      <c r="S5" s="1"/>
      <c r="T5" s="1"/>
      <c r="U5" s="1"/>
      <c r="V5" s="1"/>
      <c r="W5" s="1"/>
      <c r="X5" s="1"/>
      <c r="Y5" s="1"/>
      <c r="Z5" s="1"/>
      <c r="AA5" s="1"/>
      <c r="AB5" s="1"/>
      <c r="AC5" s="1"/>
    </row>
    <row r="6">
      <c r="A6" s="4" t="s">
        <v>253</v>
      </c>
      <c r="B6" s="4" t="s">
        <v>14</v>
      </c>
      <c r="C6" s="4" t="s">
        <v>308</v>
      </c>
      <c r="D6" s="4" t="s">
        <v>328</v>
      </c>
      <c r="E6" s="4">
        <v>4.0</v>
      </c>
      <c r="F6" s="3">
        <v>280000.0</v>
      </c>
      <c r="G6" s="2">
        <f t="shared" si="1"/>
        <v>1120000</v>
      </c>
      <c r="H6" s="35" t="s">
        <v>324</v>
      </c>
      <c r="I6" s="36"/>
      <c r="J6" s="1"/>
      <c r="K6" s="3" t="str">
        <f>VLOOKUP(B6,RESUMEN!B:B,1,0)</f>
        <v>Maniquies</v>
      </c>
      <c r="L6" s="35"/>
      <c r="M6" s="1"/>
      <c r="N6" s="1"/>
      <c r="O6" s="1"/>
      <c r="P6" s="1"/>
      <c r="Q6" s="1"/>
      <c r="R6" s="1"/>
      <c r="S6" s="1"/>
      <c r="T6" s="1"/>
      <c r="U6" s="1"/>
      <c r="V6" s="1"/>
      <c r="W6" s="1"/>
      <c r="X6" s="1"/>
      <c r="Y6" s="1"/>
      <c r="Z6" s="1"/>
      <c r="AA6" s="1"/>
      <c r="AB6" s="1"/>
      <c r="AC6" s="1"/>
    </row>
    <row r="7">
      <c r="A7" s="4" t="s">
        <v>253</v>
      </c>
      <c r="B7" s="4" t="s">
        <v>14</v>
      </c>
      <c r="C7" s="4" t="s">
        <v>309</v>
      </c>
      <c r="D7" s="4" t="s">
        <v>329</v>
      </c>
      <c r="E7" s="4">
        <v>6.0</v>
      </c>
      <c r="F7" s="3">
        <v>59900.0</v>
      </c>
      <c r="G7" s="2">
        <f t="shared" si="1"/>
        <v>359400</v>
      </c>
      <c r="H7" s="35" t="s">
        <v>324</v>
      </c>
      <c r="I7" s="36"/>
      <c r="J7" s="1"/>
      <c r="K7" s="3" t="str">
        <f>VLOOKUP(B7,RESUMEN!B:B,1,0)</f>
        <v>Maniquies</v>
      </c>
      <c r="L7" s="35"/>
      <c r="M7" s="1"/>
      <c r="N7" s="1"/>
      <c r="O7" s="1"/>
      <c r="P7" s="1"/>
      <c r="Q7" s="1"/>
      <c r="R7" s="1"/>
      <c r="S7" s="1"/>
      <c r="T7" s="1"/>
      <c r="U7" s="1"/>
      <c r="V7" s="1"/>
      <c r="W7" s="1"/>
      <c r="X7" s="1"/>
      <c r="Y7" s="1"/>
      <c r="Z7" s="1"/>
      <c r="AA7" s="1"/>
      <c r="AB7" s="1"/>
      <c r="AC7" s="1"/>
    </row>
    <row r="8">
      <c r="A8" s="4" t="s">
        <v>253</v>
      </c>
      <c r="B8" s="4" t="s">
        <v>32</v>
      </c>
      <c r="C8" s="4" t="s">
        <v>314</v>
      </c>
      <c r="D8" s="4" t="s">
        <v>314</v>
      </c>
      <c r="E8" s="4">
        <v>2.0</v>
      </c>
      <c r="F8" s="3">
        <v>40000.0</v>
      </c>
      <c r="G8" s="2">
        <f t="shared" si="1"/>
        <v>80000</v>
      </c>
      <c r="H8" s="35" t="s">
        <v>324</v>
      </c>
      <c r="I8" s="36"/>
      <c r="J8" s="1"/>
      <c r="K8" s="3" t="str">
        <f>VLOOKUP(B8,RESUMEN!B:B,1,0)</f>
        <v>Vestier</v>
      </c>
      <c r="L8" s="35"/>
      <c r="M8" s="1"/>
      <c r="N8" s="1"/>
      <c r="O8" s="1"/>
      <c r="P8" s="1"/>
      <c r="Q8" s="1"/>
      <c r="R8" s="1"/>
      <c r="S8" s="1"/>
      <c r="T8" s="1"/>
      <c r="U8" s="1"/>
      <c r="V8" s="1"/>
      <c r="W8" s="1"/>
      <c r="X8" s="1"/>
      <c r="Y8" s="1"/>
      <c r="Z8" s="1"/>
      <c r="AA8" s="1"/>
      <c r="AB8" s="1"/>
      <c r="AC8" s="1"/>
    </row>
    <row r="9">
      <c r="A9" s="4" t="s">
        <v>253</v>
      </c>
      <c r="B9" s="4" t="s">
        <v>32</v>
      </c>
      <c r="C9" s="4" t="s">
        <v>145</v>
      </c>
      <c r="D9" s="4" t="s">
        <v>145</v>
      </c>
      <c r="E9" s="4">
        <v>2.0</v>
      </c>
      <c r="F9" s="3">
        <v>150000.0</v>
      </c>
      <c r="G9" s="2">
        <f t="shared" si="1"/>
        <v>300000</v>
      </c>
      <c r="H9" s="35" t="s">
        <v>324</v>
      </c>
      <c r="I9" s="36"/>
      <c r="J9" s="1"/>
      <c r="K9" s="3" t="str">
        <f>VLOOKUP(B9,RESUMEN!B:B,1,0)</f>
        <v>Vestier</v>
      </c>
      <c r="L9" s="35"/>
      <c r="M9" s="1"/>
      <c r="N9" s="1"/>
      <c r="O9" s="1"/>
      <c r="P9" s="1"/>
      <c r="Q9" s="1"/>
      <c r="R9" s="1"/>
      <c r="S9" s="1"/>
      <c r="T9" s="1"/>
      <c r="U9" s="1"/>
      <c r="V9" s="1"/>
      <c r="W9" s="1"/>
      <c r="X9" s="1"/>
      <c r="Y9" s="1"/>
      <c r="Z9" s="1"/>
      <c r="AA9" s="1"/>
      <c r="AB9" s="1"/>
      <c r="AC9" s="1"/>
    </row>
    <row r="10">
      <c r="A10" s="4" t="s">
        <v>253</v>
      </c>
      <c r="B10" s="4" t="s">
        <v>14</v>
      </c>
      <c r="C10" s="4" t="s">
        <v>305</v>
      </c>
      <c r="D10" s="4" t="s">
        <v>305</v>
      </c>
      <c r="E10" s="4">
        <v>40.0</v>
      </c>
      <c r="F10" s="3">
        <v>20000.0</v>
      </c>
      <c r="G10" s="2">
        <f t="shared" si="1"/>
        <v>800000</v>
      </c>
      <c r="H10" s="35" t="s">
        <v>324</v>
      </c>
      <c r="I10" s="36"/>
      <c r="J10" s="1"/>
      <c r="K10" s="3" t="str">
        <f>VLOOKUP(B10,RESUMEN!B:B,1,0)</f>
        <v>Maniquies</v>
      </c>
      <c r="L10" s="35"/>
      <c r="M10" s="1"/>
      <c r="N10" s="1"/>
      <c r="O10" s="1"/>
      <c r="P10" s="1"/>
      <c r="Q10" s="1"/>
      <c r="R10" s="1"/>
      <c r="S10" s="1"/>
      <c r="T10" s="1"/>
      <c r="U10" s="1"/>
      <c r="V10" s="1"/>
      <c r="W10" s="1"/>
      <c r="X10" s="1"/>
      <c r="Y10" s="1"/>
      <c r="Z10" s="1"/>
      <c r="AA10" s="1"/>
      <c r="AB10" s="1"/>
      <c r="AC10" s="1"/>
    </row>
    <row r="11">
      <c r="A11" s="4" t="s">
        <v>253</v>
      </c>
      <c r="B11" s="4" t="s">
        <v>14</v>
      </c>
      <c r="C11" s="4" t="s">
        <v>304</v>
      </c>
      <c r="D11" s="4" t="s">
        <v>304</v>
      </c>
      <c r="E11" s="4">
        <v>20.0</v>
      </c>
      <c r="F11" s="3">
        <v>20000.0</v>
      </c>
      <c r="G11" s="2">
        <f t="shared" si="1"/>
        <v>400000</v>
      </c>
      <c r="H11" s="35" t="s">
        <v>324</v>
      </c>
      <c r="I11" s="36"/>
      <c r="J11" s="1"/>
      <c r="K11" s="3" t="str">
        <f>VLOOKUP(B11,RESUMEN!B:B,1,0)</f>
        <v>Maniquies</v>
      </c>
      <c r="L11" s="35"/>
      <c r="M11" s="1"/>
      <c r="N11" s="1"/>
      <c r="O11" s="1"/>
      <c r="P11" s="1"/>
      <c r="Q11" s="1"/>
      <c r="R11" s="1"/>
      <c r="S11" s="1"/>
      <c r="T11" s="1"/>
      <c r="U11" s="1"/>
      <c r="V11" s="1"/>
      <c r="W11" s="1"/>
      <c r="X11" s="1"/>
      <c r="Y11" s="1"/>
      <c r="Z11" s="1"/>
      <c r="AA11" s="1"/>
      <c r="AB11" s="1"/>
      <c r="AC11" s="1"/>
    </row>
    <row r="12">
      <c r="A12" s="4" t="s">
        <v>253</v>
      </c>
      <c r="B12" s="4" t="s">
        <v>14</v>
      </c>
      <c r="C12" s="4" t="s">
        <v>306</v>
      </c>
      <c r="D12" s="4" t="s">
        <v>306</v>
      </c>
      <c r="E12" s="4">
        <v>2.0</v>
      </c>
      <c r="F12" s="3">
        <v>50000.0</v>
      </c>
      <c r="G12" s="2">
        <f t="shared" si="1"/>
        <v>100000</v>
      </c>
      <c r="H12" s="35" t="s">
        <v>324</v>
      </c>
      <c r="I12" s="36"/>
      <c r="J12" s="1"/>
      <c r="K12" s="3" t="str">
        <f>VLOOKUP(B12,RESUMEN!B:B,1,0)</f>
        <v>Maniquies</v>
      </c>
      <c r="L12" s="35"/>
      <c r="M12" s="1"/>
      <c r="N12" s="1"/>
      <c r="O12" s="1"/>
      <c r="P12" s="1"/>
      <c r="Q12" s="1"/>
      <c r="R12" s="1"/>
      <c r="S12" s="1"/>
      <c r="T12" s="1"/>
      <c r="U12" s="1"/>
      <c r="V12" s="1"/>
      <c r="W12" s="1"/>
      <c r="X12" s="1"/>
      <c r="Y12" s="1"/>
      <c r="Z12" s="1"/>
      <c r="AA12" s="1"/>
      <c r="AB12" s="1"/>
      <c r="AC12" s="1"/>
    </row>
    <row r="13">
      <c r="A13" s="4" t="s">
        <v>253</v>
      </c>
      <c r="B13" s="4" t="s">
        <v>14</v>
      </c>
      <c r="C13" s="4" t="s">
        <v>303</v>
      </c>
      <c r="D13" s="4" t="s">
        <v>303</v>
      </c>
      <c r="E13" s="4">
        <v>2.0</v>
      </c>
      <c r="F13" s="3">
        <v>100000.0</v>
      </c>
      <c r="G13" s="2">
        <f t="shared" si="1"/>
        <v>200000</v>
      </c>
      <c r="H13" s="35" t="s">
        <v>324</v>
      </c>
      <c r="I13" s="36"/>
      <c r="J13" s="1"/>
      <c r="K13" s="3" t="str">
        <f>VLOOKUP(B13,RESUMEN!B:B,1,0)</f>
        <v>Maniquies</v>
      </c>
      <c r="L13" s="35"/>
      <c r="M13" s="1"/>
      <c r="N13" s="1"/>
      <c r="O13" s="1"/>
      <c r="P13" s="1"/>
      <c r="Q13" s="1"/>
      <c r="R13" s="1"/>
      <c r="S13" s="1"/>
      <c r="T13" s="1"/>
      <c r="U13" s="1"/>
      <c r="V13" s="1"/>
      <c r="W13" s="1"/>
      <c r="X13" s="1"/>
      <c r="Y13" s="1"/>
      <c r="Z13" s="1"/>
      <c r="AA13" s="1"/>
      <c r="AB13" s="1"/>
      <c r="AC13" s="1"/>
    </row>
    <row r="14">
      <c r="A14" s="4" t="s">
        <v>253</v>
      </c>
      <c r="B14" s="4" t="s">
        <v>14</v>
      </c>
      <c r="C14" s="4" t="s">
        <v>310</v>
      </c>
      <c r="D14" s="4" t="s">
        <v>310</v>
      </c>
      <c r="E14" s="4">
        <v>1.0</v>
      </c>
      <c r="F14" s="3">
        <v>100000.0</v>
      </c>
      <c r="G14" s="2">
        <f t="shared" si="1"/>
        <v>100000</v>
      </c>
      <c r="H14" s="35" t="s">
        <v>324</v>
      </c>
      <c r="I14" s="36"/>
      <c r="J14" s="1"/>
      <c r="K14" s="3" t="str">
        <f>VLOOKUP(B14,RESUMEN!B:B,1,0)</f>
        <v>Maniquies</v>
      </c>
      <c r="L14" s="35"/>
      <c r="M14" s="1"/>
      <c r="N14" s="1"/>
      <c r="O14" s="1"/>
      <c r="P14" s="1"/>
      <c r="Q14" s="1"/>
      <c r="R14" s="1"/>
      <c r="S14" s="1"/>
      <c r="T14" s="1"/>
      <c r="U14" s="1"/>
      <c r="V14" s="1"/>
      <c r="W14" s="1"/>
      <c r="X14" s="1"/>
      <c r="Y14" s="1"/>
      <c r="Z14" s="1"/>
      <c r="AA14" s="1"/>
      <c r="AB14" s="1"/>
      <c r="AC14" s="1"/>
    </row>
    <row r="15">
      <c r="A15" s="4" t="s">
        <v>253</v>
      </c>
      <c r="B15" s="4" t="s">
        <v>14</v>
      </c>
      <c r="C15" s="4" t="s">
        <v>306</v>
      </c>
      <c r="D15" s="4" t="s">
        <v>306</v>
      </c>
      <c r="E15" s="4">
        <v>2.0</v>
      </c>
      <c r="F15" s="3">
        <v>50000.0</v>
      </c>
      <c r="G15" s="2">
        <f t="shared" si="1"/>
        <v>100000</v>
      </c>
      <c r="H15" s="35" t="s">
        <v>324</v>
      </c>
      <c r="I15" s="36"/>
      <c r="J15" s="1"/>
      <c r="K15" s="3" t="str">
        <f>VLOOKUP(B15,RESUMEN!B:B,1,0)</f>
        <v>Maniquies</v>
      </c>
      <c r="L15" s="35"/>
      <c r="M15" s="1"/>
      <c r="N15" s="1"/>
      <c r="O15" s="1"/>
      <c r="P15" s="1"/>
      <c r="Q15" s="1"/>
      <c r="R15" s="1"/>
      <c r="S15" s="1"/>
      <c r="T15" s="1"/>
      <c r="U15" s="1"/>
      <c r="V15" s="1"/>
      <c r="W15" s="1"/>
      <c r="X15" s="1"/>
      <c r="Y15" s="1"/>
      <c r="Z15" s="1"/>
      <c r="AA15" s="1"/>
      <c r="AB15" s="1"/>
      <c r="AC15" s="1"/>
    </row>
    <row r="16">
      <c r="A16" s="4" t="s">
        <v>253</v>
      </c>
      <c r="B16" s="4" t="s">
        <v>14</v>
      </c>
      <c r="C16" s="4" t="s">
        <v>307</v>
      </c>
      <c r="D16" s="4" t="s">
        <v>307</v>
      </c>
      <c r="E16" s="4">
        <v>645.0</v>
      </c>
      <c r="F16" s="3">
        <v>2327.0</v>
      </c>
      <c r="G16" s="2">
        <f t="shared" si="1"/>
        <v>1500915</v>
      </c>
      <c r="H16" s="35" t="s">
        <v>324</v>
      </c>
      <c r="I16" s="37" t="s">
        <v>330</v>
      </c>
      <c r="J16" s="1"/>
      <c r="K16" s="3" t="str">
        <f>VLOOKUP(B16,RESUMEN!B:B,1,0)</f>
        <v>Maniquies</v>
      </c>
      <c r="L16" s="35"/>
      <c r="M16" s="1"/>
      <c r="N16" s="1"/>
      <c r="O16" s="1"/>
      <c r="P16" s="1"/>
      <c r="Q16" s="1"/>
      <c r="R16" s="1"/>
      <c r="S16" s="1"/>
      <c r="T16" s="1"/>
      <c r="U16" s="1"/>
      <c r="V16" s="1"/>
      <c r="W16" s="1"/>
      <c r="X16" s="1"/>
      <c r="Y16" s="1"/>
      <c r="Z16" s="1"/>
      <c r="AA16" s="1"/>
      <c r="AB16" s="1"/>
      <c r="AC16" s="1"/>
    </row>
    <row r="17">
      <c r="A17" s="4" t="s">
        <v>253</v>
      </c>
      <c r="B17" s="4" t="s">
        <v>24</v>
      </c>
      <c r="C17" s="4" t="s">
        <v>24</v>
      </c>
      <c r="D17" s="4" t="s">
        <v>331</v>
      </c>
      <c r="E17" s="4">
        <v>1.0</v>
      </c>
      <c r="F17" s="3">
        <v>400000.0</v>
      </c>
      <c r="G17" s="2">
        <f t="shared" si="1"/>
        <v>400000</v>
      </c>
      <c r="H17" s="35" t="s">
        <v>324</v>
      </c>
      <c r="I17" s="36"/>
      <c r="J17" s="1"/>
      <c r="K17" s="3" t="str">
        <f>VLOOKUP(B17,RESUMEN!B:B,1,0)</f>
        <v>Aviso</v>
      </c>
      <c r="L17" s="35"/>
      <c r="M17" s="1"/>
      <c r="N17" s="1"/>
      <c r="O17" s="1"/>
      <c r="P17" s="1"/>
      <c r="Q17" s="1"/>
      <c r="R17" s="1"/>
      <c r="S17" s="1"/>
      <c r="T17" s="1"/>
      <c r="U17" s="1"/>
      <c r="V17" s="1"/>
      <c r="W17" s="1"/>
      <c r="X17" s="1"/>
      <c r="Y17" s="1"/>
      <c r="Z17" s="1"/>
      <c r="AA17" s="1"/>
      <c r="AB17" s="1"/>
      <c r="AC17" s="1"/>
    </row>
    <row r="18">
      <c r="A18" s="4" t="s">
        <v>253</v>
      </c>
      <c r="B18" s="4" t="s">
        <v>19</v>
      </c>
      <c r="C18" s="4" t="s">
        <v>86</v>
      </c>
      <c r="D18" s="4" t="s">
        <v>86</v>
      </c>
      <c r="E18" s="4">
        <v>1.0</v>
      </c>
      <c r="F18" s="3">
        <v>600000.0</v>
      </c>
      <c r="G18" s="2">
        <f t="shared" si="1"/>
        <v>600000</v>
      </c>
      <c r="H18" s="35" t="s">
        <v>324</v>
      </c>
      <c r="I18" s="36"/>
      <c r="J18" s="1"/>
      <c r="K18" s="3" t="str">
        <f>VLOOKUP(B18,RESUMEN!B:B,1,0)</f>
        <v>Iluminacion</v>
      </c>
      <c r="L18" s="35"/>
      <c r="M18" s="1"/>
      <c r="N18" s="1"/>
      <c r="O18" s="1"/>
      <c r="P18" s="1"/>
      <c r="Q18" s="1"/>
      <c r="R18" s="1"/>
      <c r="S18" s="1"/>
      <c r="T18" s="1"/>
      <c r="U18" s="1"/>
      <c r="V18" s="1"/>
      <c r="W18" s="1"/>
      <c r="X18" s="1"/>
      <c r="Y18" s="1"/>
      <c r="Z18" s="1"/>
      <c r="AA18" s="1"/>
      <c r="AB18" s="1"/>
      <c r="AC18" s="1"/>
    </row>
    <row r="19">
      <c r="A19" s="4" t="s">
        <v>253</v>
      </c>
      <c r="B19" s="4" t="s">
        <v>23</v>
      </c>
      <c r="C19" s="4" t="s">
        <v>23</v>
      </c>
      <c r="D19" s="4" t="s">
        <v>23</v>
      </c>
      <c r="E19" s="4">
        <v>1.0</v>
      </c>
      <c r="F19" s="3">
        <v>500000.0</v>
      </c>
      <c r="G19" s="2">
        <f t="shared" si="1"/>
        <v>500000</v>
      </c>
      <c r="H19" s="35" t="s">
        <v>324</v>
      </c>
      <c r="I19" s="36"/>
      <c r="J19" s="1"/>
      <c r="K19" s="3" t="str">
        <f>VLOOKUP(B19,RESUMEN!B:B,1,0)</f>
        <v>Computador</v>
      </c>
      <c r="L19" s="35"/>
      <c r="M19" s="38"/>
      <c r="N19" s="1"/>
      <c r="O19" s="1"/>
      <c r="P19" s="1"/>
      <c r="Q19" s="1"/>
      <c r="R19" s="1"/>
      <c r="S19" s="1"/>
      <c r="T19" s="1"/>
      <c r="U19" s="1"/>
      <c r="V19" s="1"/>
      <c r="W19" s="1"/>
      <c r="X19" s="1"/>
      <c r="Y19" s="1"/>
      <c r="Z19" s="1"/>
      <c r="AA19" s="1"/>
      <c r="AB19" s="1"/>
      <c r="AC19" s="1"/>
    </row>
    <row r="20">
      <c r="A20" s="4" t="s">
        <v>253</v>
      </c>
      <c r="B20" s="4" t="s">
        <v>25</v>
      </c>
      <c r="C20" s="4" t="s">
        <v>157</v>
      </c>
      <c r="D20" s="4" t="s">
        <v>157</v>
      </c>
      <c r="E20" s="4">
        <v>1.0</v>
      </c>
      <c r="F20" s="3">
        <v>39900.0</v>
      </c>
      <c r="G20" s="2">
        <f t="shared" si="1"/>
        <v>39900</v>
      </c>
      <c r="H20" s="35" t="s">
        <v>324</v>
      </c>
      <c r="I20" s="36"/>
      <c r="J20" s="1"/>
      <c r="K20" s="3" t="str">
        <f>VLOOKUP(B20,RESUMEN!B:B,1,0)</f>
        <v>Sistema POS</v>
      </c>
      <c r="L20" s="35"/>
      <c r="M20" s="1"/>
      <c r="N20" s="1"/>
      <c r="O20" s="1"/>
      <c r="P20" s="1"/>
      <c r="Q20" s="1"/>
      <c r="R20" s="1"/>
      <c r="S20" s="1"/>
      <c r="T20" s="1"/>
      <c r="U20" s="1"/>
      <c r="V20" s="1"/>
      <c r="W20" s="1"/>
      <c r="X20" s="1"/>
      <c r="Y20" s="1"/>
      <c r="Z20" s="1"/>
      <c r="AA20" s="1"/>
      <c r="AB20" s="1"/>
      <c r="AC20" s="1"/>
    </row>
    <row r="21">
      <c r="A21" s="4" t="s">
        <v>253</v>
      </c>
      <c r="B21" s="2" t="s">
        <v>22</v>
      </c>
      <c r="C21" s="4" t="s">
        <v>111</v>
      </c>
      <c r="D21" s="4" t="s">
        <v>332</v>
      </c>
      <c r="E21" s="4">
        <v>1.0</v>
      </c>
      <c r="F21" s="3">
        <v>390000.0</v>
      </c>
      <c r="G21" s="2">
        <f t="shared" si="1"/>
        <v>390000</v>
      </c>
      <c r="H21" s="35" t="s">
        <v>324</v>
      </c>
      <c r="I21" s="36"/>
      <c r="J21" s="1"/>
      <c r="K21" s="3" t="str">
        <f>VLOOKUP(B21,RESUMEN!B:B,1,0)</f>
        <v>#N/A</v>
      </c>
      <c r="L21" s="1"/>
      <c r="M21" s="1"/>
      <c r="N21" s="1"/>
      <c r="O21" s="1"/>
      <c r="P21" s="1"/>
      <c r="Q21" s="1"/>
      <c r="R21" s="1"/>
      <c r="S21" s="1"/>
      <c r="T21" s="1"/>
      <c r="U21" s="1"/>
      <c r="V21" s="1"/>
      <c r="W21" s="1"/>
      <c r="X21" s="1"/>
      <c r="Y21" s="1"/>
      <c r="Z21" s="1"/>
      <c r="AA21" s="1"/>
      <c r="AB21" s="1"/>
      <c r="AC21" s="1"/>
    </row>
    <row r="22">
      <c r="A22" s="4" t="s">
        <v>253</v>
      </c>
      <c r="B22" s="4" t="s">
        <v>25</v>
      </c>
      <c r="C22" s="4" t="s">
        <v>200</v>
      </c>
      <c r="D22" s="4" t="s">
        <v>333</v>
      </c>
      <c r="E22" s="4">
        <v>1.0</v>
      </c>
      <c r="F22" s="3">
        <v>230000.0</v>
      </c>
      <c r="G22" s="2">
        <f t="shared" si="1"/>
        <v>230000</v>
      </c>
      <c r="H22" s="35" t="s">
        <v>324</v>
      </c>
      <c r="I22" s="36"/>
      <c r="J22" s="1"/>
      <c r="K22" s="3" t="str">
        <f>VLOOKUP(B22,RESUMEN!B:B,1,0)</f>
        <v>Sistema POS</v>
      </c>
      <c r="L22" s="1"/>
      <c r="M22" s="1"/>
      <c r="N22" s="1"/>
      <c r="O22" s="1"/>
      <c r="P22" s="1"/>
      <c r="Q22" s="1"/>
      <c r="R22" s="1"/>
      <c r="S22" s="1"/>
      <c r="T22" s="1"/>
      <c r="U22" s="1"/>
      <c r="V22" s="1"/>
      <c r="W22" s="1"/>
      <c r="X22" s="1"/>
      <c r="Y22" s="1"/>
      <c r="Z22" s="1"/>
      <c r="AA22" s="1"/>
      <c r="AB22" s="1"/>
      <c r="AC22" s="1"/>
    </row>
    <row r="23">
      <c r="A23" s="4" t="s">
        <v>253</v>
      </c>
      <c r="B23" s="4" t="s">
        <v>25</v>
      </c>
      <c r="C23" s="4" t="s">
        <v>49</v>
      </c>
      <c r="D23" s="4" t="s">
        <v>49</v>
      </c>
      <c r="E23" s="4">
        <v>1.0</v>
      </c>
      <c r="F23" s="3">
        <v>45700.0</v>
      </c>
      <c r="G23" s="2">
        <f t="shared" si="1"/>
        <v>45700</v>
      </c>
      <c r="H23" s="35" t="s">
        <v>324</v>
      </c>
      <c r="I23" s="36"/>
      <c r="J23" s="1"/>
      <c r="K23" s="3" t="str">
        <f>VLOOKUP(B23,RESUMEN!B:B,1,0)</f>
        <v>Sistema POS</v>
      </c>
      <c r="L23" s="1"/>
      <c r="M23" s="1"/>
      <c r="N23" s="1"/>
      <c r="O23" s="1"/>
      <c r="P23" s="1"/>
      <c r="Q23" s="1"/>
      <c r="R23" s="1"/>
      <c r="S23" s="1"/>
      <c r="T23" s="1"/>
      <c r="U23" s="1"/>
      <c r="V23" s="1"/>
      <c r="W23" s="1"/>
      <c r="X23" s="1"/>
      <c r="Y23" s="1"/>
      <c r="Z23" s="1"/>
      <c r="AA23" s="1"/>
      <c r="AB23" s="1"/>
      <c r="AC23" s="1"/>
    </row>
    <row r="24">
      <c r="A24" s="4" t="s">
        <v>253</v>
      </c>
      <c r="B24" s="4" t="s">
        <v>30</v>
      </c>
      <c r="C24" s="4" t="s">
        <v>302</v>
      </c>
      <c r="D24" s="4" t="s">
        <v>334</v>
      </c>
      <c r="E24" s="4">
        <v>1.0</v>
      </c>
      <c r="F24" s="3">
        <v>0.0</v>
      </c>
      <c r="G24" s="2">
        <f t="shared" si="1"/>
        <v>0</v>
      </c>
      <c r="H24" s="35" t="s">
        <v>324</v>
      </c>
      <c r="I24" s="36"/>
      <c r="J24" s="1"/>
      <c r="K24" s="3" t="str">
        <f>VLOOKUP(B24,RESUMEN!B:B,1,0)</f>
        <v>Legalización</v>
      </c>
      <c r="L24" s="1"/>
      <c r="M24" s="1"/>
      <c r="N24" s="1"/>
      <c r="O24" s="1"/>
      <c r="P24" s="1"/>
      <c r="Q24" s="1"/>
      <c r="R24" s="1"/>
      <c r="S24" s="1"/>
      <c r="T24" s="1"/>
      <c r="U24" s="1"/>
      <c r="V24" s="1"/>
      <c r="W24" s="1"/>
      <c r="X24" s="1"/>
      <c r="Y24" s="1"/>
      <c r="Z24" s="1"/>
      <c r="AA24" s="1"/>
      <c r="AB24" s="1"/>
      <c r="AC24" s="1"/>
    </row>
    <row r="25">
      <c r="A25" s="4" t="s">
        <v>253</v>
      </c>
      <c r="B25" s="4" t="s">
        <v>30</v>
      </c>
      <c r="C25" s="4" t="s">
        <v>58</v>
      </c>
      <c r="D25" s="4" t="s">
        <v>335</v>
      </c>
      <c r="E25" s="4">
        <v>1.0</v>
      </c>
      <c r="F25" s="3">
        <v>150000.0</v>
      </c>
      <c r="G25" s="2">
        <f t="shared" si="1"/>
        <v>150000</v>
      </c>
      <c r="H25" s="35" t="s">
        <v>324</v>
      </c>
      <c r="I25" s="36"/>
      <c r="J25" s="1"/>
      <c r="K25" s="3" t="str">
        <f>VLOOKUP(B25,RESUMEN!B:B,1,0)</f>
        <v>Legalización</v>
      </c>
      <c r="L25" s="1"/>
      <c r="M25" s="1"/>
      <c r="N25" s="1"/>
      <c r="O25" s="1"/>
      <c r="P25" s="1"/>
      <c r="Q25" s="1"/>
      <c r="R25" s="1"/>
      <c r="S25" s="1"/>
      <c r="T25" s="1"/>
      <c r="U25" s="1"/>
      <c r="V25" s="1"/>
      <c r="W25" s="1"/>
      <c r="X25" s="1"/>
      <c r="Y25" s="1"/>
      <c r="Z25" s="1"/>
      <c r="AA25" s="1"/>
      <c r="AB25" s="1"/>
      <c r="AC25" s="1"/>
    </row>
    <row r="26">
      <c r="A26" s="4" t="s">
        <v>253</v>
      </c>
      <c r="B26" s="4" t="s">
        <v>30</v>
      </c>
      <c r="C26" s="4" t="s">
        <v>301</v>
      </c>
      <c r="D26" s="4" t="s">
        <v>336</v>
      </c>
      <c r="E26" s="4">
        <v>1.0</v>
      </c>
      <c r="F26" s="3">
        <v>0.0</v>
      </c>
      <c r="G26" s="2">
        <f t="shared" si="1"/>
        <v>0</v>
      </c>
      <c r="H26" s="35" t="s">
        <v>324</v>
      </c>
      <c r="I26" s="36"/>
      <c r="J26" s="1"/>
      <c r="K26" s="3" t="str">
        <f>VLOOKUP(B26,RESUMEN!B:B,1,0)</f>
        <v>Legalización</v>
      </c>
      <c r="L26" s="1"/>
      <c r="M26" s="1"/>
      <c r="N26" s="1"/>
      <c r="O26" s="1"/>
      <c r="P26" s="1"/>
      <c r="Q26" s="1"/>
      <c r="R26" s="1"/>
      <c r="S26" s="1"/>
      <c r="T26" s="1"/>
      <c r="U26" s="1"/>
      <c r="V26" s="1"/>
      <c r="W26" s="1"/>
      <c r="X26" s="1"/>
      <c r="Y26" s="1"/>
      <c r="Z26" s="1"/>
      <c r="AA26" s="1"/>
      <c r="AB26" s="1"/>
      <c r="AC26" s="1"/>
    </row>
    <row r="27">
      <c r="A27" s="4" t="s">
        <v>253</v>
      </c>
      <c r="B27" s="4" t="s">
        <v>20</v>
      </c>
      <c r="C27" s="4" t="s">
        <v>91</v>
      </c>
      <c r="D27" s="4" t="s">
        <v>337</v>
      </c>
      <c r="E27" s="4">
        <v>1.0</v>
      </c>
      <c r="F27" s="3">
        <v>50000.0</v>
      </c>
      <c r="G27" s="2">
        <f t="shared" si="1"/>
        <v>50000</v>
      </c>
      <c r="H27" s="35" t="s">
        <v>324</v>
      </c>
      <c r="I27" s="36"/>
      <c r="J27" s="1"/>
      <c r="K27" s="3" t="str">
        <f>VLOOKUP(B27,RESUMEN!B:B,1,0)</f>
        <v>Insumos</v>
      </c>
      <c r="L27" s="1"/>
      <c r="M27" s="1"/>
      <c r="N27" s="1"/>
      <c r="O27" s="1"/>
      <c r="P27" s="1"/>
      <c r="Q27" s="1"/>
      <c r="R27" s="1"/>
      <c r="S27" s="1"/>
      <c r="T27" s="1"/>
      <c r="U27" s="1"/>
      <c r="V27" s="1"/>
      <c r="W27" s="1"/>
      <c r="X27" s="1"/>
      <c r="Y27" s="1"/>
      <c r="Z27" s="1"/>
      <c r="AA27" s="1"/>
      <c r="AB27" s="1"/>
      <c r="AC27" s="1"/>
    </row>
    <row r="28">
      <c r="A28" s="4" t="s">
        <v>253</v>
      </c>
      <c r="B28" s="4" t="s">
        <v>20</v>
      </c>
      <c r="C28" s="4" t="s">
        <v>300</v>
      </c>
      <c r="D28" s="4" t="s">
        <v>338</v>
      </c>
      <c r="E28" s="4">
        <v>1.0</v>
      </c>
      <c r="F28" s="3">
        <v>20000.0</v>
      </c>
      <c r="G28" s="2">
        <f t="shared" si="1"/>
        <v>20000</v>
      </c>
      <c r="H28" s="35" t="s">
        <v>324</v>
      </c>
      <c r="I28" s="36"/>
      <c r="J28" s="1"/>
      <c r="K28" s="3" t="str">
        <f>VLOOKUP(B28,RESUMEN!B:B,1,0)</f>
        <v>Insumos</v>
      </c>
      <c r="L28" s="1"/>
      <c r="M28" s="1"/>
      <c r="N28" s="1"/>
      <c r="O28" s="1"/>
      <c r="P28" s="1"/>
      <c r="Q28" s="1"/>
      <c r="R28" s="1"/>
      <c r="S28" s="1"/>
      <c r="T28" s="1"/>
      <c r="U28" s="1"/>
      <c r="V28" s="1"/>
      <c r="W28" s="1"/>
      <c r="X28" s="1"/>
      <c r="Y28" s="1"/>
      <c r="Z28" s="1"/>
      <c r="AA28" s="1"/>
      <c r="AB28" s="1"/>
      <c r="AC28" s="1"/>
    </row>
    <row r="29">
      <c r="A29" s="4" t="s">
        <v>253</v>
      </c>
      <c r="B29" s="4" t="s">
        <v>20</v>
      </c>
      <c r="C29" s="4" t="s">
        <v>299</v>
      </c>
      <c r="D29" s="4" t="s">
        <v>299</v>
      </c>
      <c r="E29" s="4">
        <v>2.0</v>
      </c>
      <c r="F29" s="3">
        <v>6000.0</v>
      </c>
      <c r="G29" s="2">
        <f t="shared" si="1"/>
        <v>12000</v>
      </c>
      <c r="H29" s="35" t="s">
        <v>324</v>
      </c>
      <c r="I29" s="36"/>
      <c r="J29" s="1"/>
      <c r="K29" s="3" t="str">
        <f>VLOOKUP(B29,RESUMEN!B:B,1,0)</f>
        <v>Insumos</v>
      </c>
      <c r="L29" s="1"/>
      <c r="M29" s="1"/>
      <c r="N29" s="1"/>
      <c r="O29" s="1"/>
      <c r="P29" s="1"/>
      <c r="Q29" s="1"/>
      <c r="R29" s="1"/>
      <c r="S29" s="1"/>
      <c r="T29" s="1"/>
      <c r="U29" s="1"/>
      <c r="V29" s="1"/>
      <c r="W29" s="1"/>
      <c r="X29" s="1"/>
      <c r="Y29" s="1"/>
      <c r="Z29" s="1"/>
      <c r="AA29" s="1"/>
      <c r="AB29" s="1"/>
      <c r="AC29" s="1"/>
    </row>
    <row r="30">
      <c r="A30" s="4" t="s">
        <v>253</v>
      </c>
      <c r="B30" s="4" t="s">
        <v>20</v>
      </c>
      <c r="C30" s="4" t="s">
        <v>234</v>
      </c>
      <c r="D30" s="4" t="s">
        <v>234</v>
      </c>
      <c r="E30" s="4">
        <v>2.0</v>
      </c>
      <c r="F30" s="3">
        <v>60000.0</v>
      </c>
      <c r="G30" s="2">
        <f t="shared" si="1"/>
        <v>120000</v>
      </c>
      <c r="H30" s="35" t="s">
        <v>324</v>
      </c>
      <c r="I30" s="36"/>
      <c r="J30" s="1"/>
      <c r="K30" s="3" t="str">
        <f>VLOOKUP(B30,RESUMEN!B:B,1,0)</f>
        <v>Insumos</v>
      </c>
      <c r="L30" s="1"/>
      <c r="M30" s="1"/>
      <c r="N30" s="1"/>
      <c r="O30" s="1"/>
      <c r="P30" s="1"/>
      <c r="Q30" s="1"/>
      <c r="R30" s="1"/>
      <c r="S30" s="1"/>
      <c r="T30" s="1"/>
      <c r="U30" s="1"/>
      <c r="V30" s="1"/>
      <c r="W30" s="1"/>
      <c r="X30" s="1"/>
      <c r="Y30" s="1"/>
      <c r="Z30" s="1"/>
      <c r="AA30" s="1"/>
      <c r="AB30" s="1"/>
      <c r="AC30" s="1"/>
    </row>
    <row r="31">
      <c r="A31" s="4" t="s">
        <v>253</v>
      </c>
      <c r="B31" s="4" t="s">
        <v>20</v>
      </c>
      <c r="C31" s="4" t="s">
        <v>115</v>
      </c>
      <c r="D31" s="4" t="s">
        <v>339</v>
      </c>
      <c r="E31" s="4">
        <v>1.0</v>
      </c>
      <c r="F31" s="3">
        <v>10000.0</v>
      </c>
      <c r="G31" s="2">
        <f t="shared" si="1"/>
        <v>10000</v>
      </c>
      <c r="H31" s="35" t="s">
        <v>324</v>
      </c>
      <c r="I31" s="36"/>
      <c r="J31" s="1"/>
      <c r="K31" s="3" t="str">
        <f>VLOOKUP(B31,RESUMEN!B:B,1,0)</f>
        <v>Insumos</v>
      </c>
      <c r="L31" s="1"/>
      <c r="M31" s="1"/>
      <c r="N31" s="1"/>
      <c r="O31" s="1"/>
      <c r="P31" s="1"/>
      <c r="Q31" s="1"/>
      <c r="R31" s="1"/>
      <c r="S31" s="1"/>
      <c r="T31" s="1"/>
      <c r="U31" s="1"/>
      <c r="V31" s="1"/>
      <c r="W31" s="1"/>
      <c r="X31" s="1"/>
      <c r="Y31" s="1"/>
      <c r="Z31" s="1"/>
      <c r="AA31" s="1"/>
      <c r="AB31" s="1"/>
      <c r="AC31" s="1"/>
    </row>
    <row r="32">
      <c r="A32" s="4" t="s">
        <v>253</v>
      </c>
      <c r="B32" s="4" t="s">
        <v>20</v>
      </c>
      <c r="C32" s="4" t="s">
        <v>229</v>
      </c>
      <c r="D32" s="4" t="s">
        <v>229</v>
      </c>
      <c r="E32" s="4">
        <v>1.0</v>
      </c>
      <c r="F32" s="3">
        <v>30000.0</v>
      </c>
      <c r="G32" s="2">
        <f t="shared" si="1"/>
        <v>30000</v>
      </c>
      <c r="H32" s="35" t="s">
        <v>324</v>
      </c>
      <c r="I32" s="36"/>
      <c r="J32" s="1"/>
      <c r="K32" s="3" t="str">
        <f>VLOOKUP(B32,RESUMEN!B:B,1,0)</f>
        <v>Insumos</v>
      </c>
      <c r="L32" s="1"/>
      <c r="M32" s="1"/>
      <c r="N32" s="1"/>
      <c r="O32" s="1"/>
      <c r="P32" s="1"/>
      <c r="Q32" s="1"/>
      <c r="R32" s="1"/>
      <c r="S32" s="1"/>
      <c r="T32" s="1"/>
      <c r="U32" s="1"/>
      <c r="V32" s="1"/>
      <c r="W32" s="1"/>
      <c r="X32" s="1"/>
      <c r="Y32" s="1"/>
      <c r="Z32" s="1"/>
      <c r="AA32" s="1"/>
      <c r="AB32" s="1"/>
      <c r="AC32" s="1"/>
    </row>
    <row r="33">
      <c r="A33" s="4" t="s">
        <v>253</v>
      </c>
      <c r="B33" s="4" t="s">
        <v>20</v>
      </c>
      <c r="C33" s="4" t="s">
        <v>298</v>
      </c>
      <c r="D33" s="4" t="s">
        <v>298</v>
      </c>
      <c r="E33" s="4">
        <v>1.0</v>
      </c>
      <c r="F33" s="3">
        <v>30000.0</v>
      </c>
      <c r="G33" s="2">
        <f t="shared" si="1"/>
        <v>30000</v>
      </c>
      <c r="H33" s="35" t="s">
        <v>324</v>
      </c>
      <c r="I33" s="36"/>
      <c r="J33" s="1"/>
      <c r="K33" s="3" t="str">
        <f>VLOOKUP(B33,RESUMEN!B:B,1,0)</f>
        <v>Insumos</v>
      </c>
      <c r="L33" s="1"/>
      <c r="M33" s="1"/>
      <c r="N33" s="1"/>
      <c r="O33" s="1"/>
      <c r="P33" s="1"/>
      <c r="Q33" s="1"/>
      <c r="R33" s="1"/>
      <c r="S33" s="1"/>
      <c r="T33" s="1"/>
      <c r="U33" s="1"/>
      <c r="V33" s="1"/>
      <c r="W33" s="1"/>
      <c r="X33" s="1"/>
      <c r="Y33" s="1"/>
      <c r="Z33" s="1"/>
      <c r="AA33" s="1"/>
      <c r="AB33" s="1"/>
      <c r="AC33" s="1"/>
    </row>
    <row r="34">
      <c r="A34" s="4" t="s">
        <v>253</v>
      </c>
      <c r="B34" s="4" t="s">
        <v>21</v>
      </c>
      <c r="C34" s="4" t="s">
        <v>21</v>
      </c>
      <c r="D34" s="4" t="s">
        <v>340</v>
      </c>
      <c r="E34" s="4">
        <v>1.0</v>
      </c>
      <c r="F34" s="3">
        <v>750000.0</v>
      </c>
      <c r="G34" s="2">
        <f t="shared" si="1"/>
        <v>750000</v>
      </c>
      <c r="H34" s="35" t="s">
        <v>324</v>
      </c>
      <c r="I34" s="36"/>
      <c r="J34" s="1"/>
      <c r="K34" s="3" t="str">
        <f>VLOOKUP(B34,RESUMEN!B:B,1,0)</f>
        <v>#N/A</v>
      </c>
      <c r="L34" s="1"/>
      <c r="M34" s="1"/>
      <c r="N34" s="1"/>
      <c r="O34" s="1"/>
      <c r="P34" s="1"/>
      <c r="Q34" s="1"/>
      <c r="R34" s="1"/>
      <c r="S34" s="1"/>
      <c r="T34" s="1"/>
      <c r="U34" s="1"/>
      <c r="V34" s="1"/>
      <c r="W34" s="1"/>
      <c r="X34" s="1"/>
      <c r="Y34" s="1"/>
      <c r="Z34" s="1"/>
      <c r="AA34" s="1"/>
      <c r="AB34" s="1"/>
      <c r="AC34" s="1"/>
    </row>
    <row r="35">
      <c r="A35" s="4" t="s">
        <v>253</v>
      </c>
      <c r="B35" s="4" t="s">
        <v>12</v>
      </c>
      <c r="C35" s="4" t="s">
        <v>295</v>
      </c>
      <c r="D35" s="4" t="s">
        <v>295</v>
      </c>
      <c r="E35" s="4">
        <v>1.0</v>
      </c>
      <c r="F35" s="3">
        <v>5000000.0</v>
      </c>
      <c r="G35" s="2">
        <f t="shared" si="1"/>
        <v>5000000</v>
      </c>
      <c r="H35" s="35" t="s">
        <v>324</v>
      </c>
      <c r="I35" s="36"/>
      <c r="J35" s="1"/>
      <c r="K35" s="3" t="str">
        <f>VLOOKUP(B35,RESUMEN!B:B,1,0)</f>
        <v>Arreglos locativos</v>
      </c>
      <c r="L35" s="1"/>
      <c r="M35" s="1"/>
      <c r="N35" s="1"/>
      <c r="O35" s="1"/>
      <c r="P35" s="1"/>
      <c r="Q35" s="1"/>
      <c r="R35" s="1"/>
      <c r="S35" s="1"/>
      <c r="T35" s="1"/>
      <c r="U35" s="1"/>
      <c r="V35" s="1"/>
      <c r="W35" s="1"/>
      <c r="X35" s="1"/>
      <c r="Y35" s="1"/>
      <c r="Z35" s="1"/>
      <c r="AA35" s="1"/>
      <c r="AB35" s="1"/>
      <c r="AC35" s="1"/>
    </row>
    <row r="36">
      <c r="A36" s="4" t="s">
        <v>253</v>
      </c>
      <c r="B36" s="4" t="s">
        <v>12</v>
      </c>
      <c r="C36" s="4" t="s">
        <v>296</v>
      </c>
      <c r="D36" s="4" t="s">
        <v>341</v>
      </c>
      <c r="E36" s="4">
        <v>1.0</v>
      </c>
      <c r="F36" s="2">
        <v>1187500.0</v>
      </c>
      <c r="G36" s="2">
        <f t="shared" si="1"/>
        <v>1187500</v>
      </c>
      <c r="H36" s="35" t="s">
        <v>324</v>
      </c>
      <c r="I36" s="36"/>
      <c r="J36" s="1"/>
      <c r="K36" s="3" t="str">
        <f>VLOOKUP(B36,RESUMEN!B:B,1,0)</f>
        <v>Arreglos locativos</v>
      </c>
      <c r="L36" s="1"/>
      <c r="M36" s="1"/>
      <c r="N36" s="1"/>
      <c r="O36" s="1"/>
      <c r="P36" s="1"/>
      <c r="Q36" s="1"/>
      <c r="R36" s="1"/>
      <c r="S36" s="1"/>
      <c r="T36" s="1"/>
      <c r="U36" s="1"/>
      <c r="V36" s="1"/>
      <c r="W36" s="1"/>
      <c r="X36" s="1"/>
      <c r="Y36" s="1"/>
      <c r="Z36" s="1"/>
      <c r="AA36" s="1"/>
      <c r="AB36" s="1"/>
      <c r="AC36" s="1"/>
    </row>
    <row r="37">
      <c r="A37" s="4" t="s">
        <v>253</v>
      </c>
      <c r="B37" s="4" t="s">
        <v>29</v>
      </c>
      <c r="C37" s="4" t="s">
        <v>100</v>
      </c>
      <c r="D37" s="4" t="s">
        <v>100</v>
      </c>
      <c r="E37" s="4">
        <v>2.0</v>
      </c>
      <c r="F37" s="3">
        <v>42900.0</v>
      </c>
      <c r="G37" s="2">
        <f t="shared" si="1"/>
        <v>85800</v>
      </c>
      <c r="H37" s="35" t="s">
        <v>324</v>
      </c>
      <c r="I37" s="37" t="s">
        <v>342</v>
      </c>
      <c r="J37" s="1"/>
      <c r="K37" s="3" t="str">
        <f>VLOOKUP(B37,RESUMEN!B:B,1,0)</f>
        <v>Seguridad</v>
      </c>
      <c r="L37" s="1"/>
      <c r="M37" s="1"/>
      <c r="N37" s="1"/>
      <c r="O37" s="1"/>
      <c r="P37" s="1"/>
      <c r="Q37" s="1"/>
      <c r="R37" s="1"/>
      <c r="S37" s="1"/>
      <c r="T37" s="1"/>
      <c r="U37" s="1"/>
      <c r="V37" s="1"/>
      <c r="W37" s="1"/>
      <c r="X37" s="1"/>
      <c r="Y37" s="1"/>
      <c r="Z37" s="1"/>
      <c r="AA37" s="1"/>
      <c r="AB37" s="1"/>
      <c r="AC37" s="1"/>
    </row>
    <row r="38">
      <c r="A38" s="4" t="s">
        <v>253</v>
      </c>
      <c r="B38" s="4" t="s">
        <v>29</v>
      </c>
      <c r="C38" s="4" t="s">
        <v>313</v>
      </c>
      <c r="D38" s="4" t="s">
        <v>313</v>
      </c>
      <c r="E38" s="4">
        <v>1.0</v>
      </c>
      <c r="F38" s="3">
        <v>60000.0</v>
      </c>
      <c r="G38" s="2">
        <f t="shared" si="1"/>
        <v>60000</v>
      </c>
      <c r="H38" s="35" t="s">
        <v>324</v>
      </c>
      <c r="I38" s="36"/>
      <c r="J38" s="1"/>
      <c r="K38" s="3" t="str">
        <f>VLOOKUP(B38,RESUMEN!B:B,1,0)</f>
        <v>Seguridad</v>
      </c>
      <c r="L38" s="1"/>
      <c r="M38" s="1"/>
      <c r="N38" s="1"/>
      <c r="O38" s="1"/>
      <c r="P38" s="1"/>
      <c r="Q38" s="1"/>
      <c r="R38" s="1"/>
      <c r="S38" s="1"/>
      <c r="T38" s="1"/>
      <c r="U38" s="1"/>
      <c r="V38" s="1"/>
      <c r="W38" s="1"/>
      <c r="X38" s="1"/>
      <c r="Y38" s="1"/>
      <c r="Z38" s="1"/>
      <c r="AA38" s="1"/>
      <c r="AB38" s="1"/>
      <c r="AC38" s="1"/>
    </row>
    <row r="39">
      <c r="A39" s="4" t="s">
        <v>253</v>
      </c>
      <c r="B39" s="4" t="s">
        <v>12</v>
      </c>
      <c r="C39" s="4" t="s">
        <v>88</v>
      </c>
      <c r="D39" s="4" t="s">
        <v>343</v>
      </c>
      <c r="E39" s="4">
        <v>1.0</v>
      </c>
      <c r="F39" s="3">
        <v>284900.0</v>
      </c>
      <c r="G39" s="2">
        <f t="shared" si="1"/>
        <v>284900</v>
      </c>
      <c r="H39" s="35" t="s">
        <v>324</v>
      </c>
      <c r="I39" s="36"/>
      <c r="J39" s="1"/>
      <c r="K39" s="3" t="str">
        <f>VLOOKUP(B39,RESUMEN!B:B,1,0)</f>
        <v>Arreglos locativos</v>
      </c>
      <c r="L39" s="1"/>
      <c r="M39" s="1"/>
      <c r="N39" s="1"/>
      <c r="O39" s="1"/>
      <c r="P39" s="1"/>
      <c r="Q39" s="1"/>
      <c r="R39" s="1"/>
      <c r="S39" s="1"/>
      <c r="T39" s="1"/>
      <c r="U39" s="1"/>
      <c r="V39" s="1"/>
      <c r="W39" s="1"/>
      <c r="X39" s="1"/>
      <c r="Y39" s="1"/>
      <c r="Z39" s="1"/>
      <c r="AA39" s="1"/>
      <c r="AB39" s="1"/>
      <c r="AC39" s="1"/>
    </row>
    <row r="40">
      <c r="A40" s="4" t="s">
        <v>253</v>
      </c>
      <c r="B40" s="4" t="s">
        <v>12</v>
      </c>
      <c r="C40" s="4" t="s">
        <v>88</v>
      </c>
      <c r="D40" s="4" t="s">
        <v>344</v>
      </c>
      <c r="E40" s="4">
        <v>1.0</v>
      </c>
      <c r="F40" s="3">
        <v>72000.0</v>
      </c>
      <c r="G40" s="2">
        <f t="shared" si="1"/>
        <v>72000</v>
      </c>
      <c r="H40" s="35" t="s">
        <v>324</v>
      </c>
      <c r="I40" s="36"/>
      <c r="J40" s="1"/>
      <c r="K40" s="3" t="str">
        <f>VLOOKUP(B40,RESUMEN!B:B,1,0)</f>
        <v>Arreglos locativos</v>
      </c>
      <c r="L40" s="1"/>
      <c r="M40" s="1"/>
      <c r="N40" s="1"/>
      <c r="O40" s="1"/>
      <c r="P40" s="1"/>
      <c r="Q40" s="1"/>
      <c r="R40" s="1"/>
      <c r="S40" s="1"/>
      <c r="T40" s="1"/>
      <c r="U40" s="1"/>
      <c r="V40" s="1"/>
      <c r="W40" s="1"/>
      <c r="X40" s="1"/>
      <c r="Y40" s="1"/>
      <c r="Z40" s="1"/>
      <c r="AA40" s="1"/>
      <c r="AB40" s="1"/>
      <c r="AC40" s="1"/>
    </row>
    <row r="41">
      <c r="A41" s="4" t="s">
        <v>253</v>
      </c>
      <c r="B41" s="4" t="s">
        <v>12</v>
      </c>
      <c r="C41" s="4" t="s">
        <v>297</v>
      </c>
      <c r="D41" s="4" t="s">
        <v>345</v>
      </c>
      <c r="E41" s="4">
        <v>0.0</v>
      </c>
      <c r="F41" s="3">
        <v>4000000.0</v>
      </c>
      <c r="G41" s="2">
        <f t="shared" si="1"/>
        <v>0</v>
      </c>
      <c r="H41" s="35" t="s">
        <v>346</v>
      </c>
      <c r="I41" s="36"/>
      <c r="J41" s="1"/>
      <c r="K41" s="3" t="str">
        <f>VLOOKUP(B41,RESUMEN!B:B,1,0)</f>
        <v>Arreglos locativos</v>
      </c>
      <c r="L41" s="1"/>
      <c r="M41" s="1"/>
      <c r="N41" s="1"/>
      <c r="O41" s="1"/>
      <c r="P41" s="1"/>
      <c r="Q41" s="1"/>
      <c r="R41" s="1"/>
      <c r="S41" s="1"/>
      <c r="T41" s="1"/>
      <c r="U41" s="1"/>
      <c r="V41" s="1"/>
      <c r="W41" s="1"/>
      <c r="X41" s="1"/>
      <c r="Y41" s="1"/>
      <c r="Z41" s="1"/>
      <c r="AA41" s="1"/>
      <c r="AB41" s="1"/>
      <c r="AC41" s="1"/>
    </row>
    <row r="42">
      <c r="A42" s="4" t="s">
        <v>253</v>
      </c>
      <c r="B42" s="4" t="s">
        <v>12</v>
      </c>
      <c r="C42" s="4" t="s">
        <v>93</v>
      </c>
      <c r="D42" s="4" t="s">
        <v>93</v>
      </c>
      <c r="E42" s="4">
        <v>1.0</v>
      </c>
      <c r="F42" s="3">
        <v>600000.0</v>
      </c>
      <c r="G42" s="2">
        <f t="shared" si="1"/>
        <v>600000</v>
      </c>
      <c r="H42" s="35" t="s">
        <v>324</v>
      </c>
      <c r="I42" s="36"/>
      <c r="J42" s="1"/>
      <c r="K42" s="3" t="str">
        <f>VLOOKUP(B42,RESUMEN!B:B,1,0)</f>
        <v>Arreglos locativos</v>
      </c>
      <c r="L42" s="1"/>
      <c r="M42" s="1"/>
      <c r="N42" s="1"/>
      <c r="O42" s="1"/>
      <c r="P42" s="1"/>
      <c r="Q42" s="1"/>
      <c r="R42" s="1"/>
      <c r="S42" s="1"/>
      <c r="T42" s="1"/>
      <c r="U42" s="1"/>
      <c r="V42" s="1"/>
      <c r="W42" s="1"/>
      <c r="X42" s="1"/>
      <c r="Y42" s="1"/>
      <c r="Z42" s="1"/>
      <c r="AA42" s="1"/>
      <c r="AB42" s="1"/>
      <c r="AC42" s="1"/>
    </row>
    <row r="43">
      <c r="A43" s="4" t="s">
        <v>253</v>
      </c>
      <c r="B43" s="4" t="s">
        <v>12</v>
      </c>
      <c r="C43" s="4" t="s">
        <v>55</v>
      </c>
      <c r="D43" s="4" t="s">
        <v>347</v>
      </c>
      <c r="E43" s="4">
        <v>2.0</v>
      </c>
      <c r="F43" s="3">
        <v>450000.0</v>
      </c>
      <c r="G43" s="2">
        <f t="shared" si="1"/>
        <v>900000</v>
      </c>
      <c r="H43" s="35" t="s">
        <v>324</v>
      </c>
      <c r="I43" s="36"/>
      <c r="J43" s="1"/>
      <c r="K43" s="3" t="str">
        <f>VLOOKUP(B43,RESUMEN!B:B,1,0)</f>
        <v>Arreglos locativos</v>
      </c>
      <c r="L43" s="1"/>
      <c r="M43" s="4"/>
      <c r="N43" s="39"/>
      <c r="O43" s="1"/>
      <c r="P43" s="1"/>
      <c r="Q43" s="1"/>
      <c r="R43" s="1"/>
      <c r="S43" s="1"/>
      <c r="T43" s="1"/>
      <c r="U43" s="1"/>
      <c r="V43" s="1"/>
      <c r="W43" s="1"/>
      <c r="X43" s="1"/>
      <c r="Y43" s="1"/>
      <c r="Z43" s="1"/>
      <c r="AA43" s="1"/>
      <c r="AB43" s="1"/>
      <c r="AC43" s="1"/>
    </row>
    <row r="44">
      <c r="A44" s="4" t="s">
        <v>253</v>
      </c>
      <c r="B44" s="4" t="s">
        <v>16</v>
      </c>
      <c r="C44" s="4" t="s">
        <v>45</v>
      </c>
      <c r="D44" s="4" t="s">
        <v>45</v>
      </c>
      <c r="E44" s="4">
        <v>1.0</v>
      </c>
      <c r="F44" s="3">
        <v>4000000.0</v>
      </c>
      <c r="G44" s="2">
        <f t="shared" si="1"/>
        <v>4000000</v>
      </c>
      <c r="H44" s="35" t="s">
        <v>324</v>
      </c>
      <c r="I44" s="36"/>
      <c r="J44" s="1"/>
      <c r="K44" s="3" t="str">
        <f>VLOOKUP(B44,RESUMEN!B:B,1,0)</f>
        <v>Arriendo</v>
      </c>
      <c r="L44" s="1"/>
      <c r="M44" s="4"/>
      <c r="N44" s="39"/>
      <c r="O44" s="1"/>
      <c r="P44" s="1"/>
      <c r="Q44" s="1"/>
      <c r="R44" s="1"/>
      <c r="S44" s="1"/>
      <c r="T44" s="1"/>
      <c r="U44" s="1"/>
      <c r="V44" s="1"/>
      <c r="W44" s="1"/>
      <c r="X44" s="1"/>
      <c r="Y44" s="1"/>
      <c r="Z44" s="1"/>
      <c r="AA44" s="1"/>
      <c r="AB44" s="1"/>
      <c r="AC44" s="1"/>
    </row>
    <row r="45">
      <c r="A45" s="1"/>
      <c r="B45" s="1"/>
      <c r="C45" s="1"/>
      <c r="D45" s="1"/>
      <c r="E45" s="1"/>
      <c r="F45" s="2"/>
      <c r="G45" s="2"/>
      <c r="H45" s="1"/>
      <c r="I45" s="2"/>
      <c r="J45" s="1"/>
      <c r="K45" s="3"/>
      <c r="L45" s="1"/>
      <c r="M45" s="1"/>
      <c r="N45" s="1"/>
      <c r="O45" s="1"/>
      <c r="P45" s="1"/>
      <c r="Q45" s="1"/>
      <c r="R45" s="1"/>
      <c r="S45" s="1"/>
      <c r="T45" s="1"/>
      <c r="U45" s="1"/>
      <c r="V45" s="1"/>
      <c r="W45" s="1"/>
      <c r="X45" s="1"/>
      <c r="Y45" s="1"/>
      <c r="Z45" s="1"/>
      <c r="AA45" s="1"/>
      <c r="AB45" s="1"/>
      <c r="AC45" s="1"/>
    </row>
    <row r="46">
      <c r="A46" s="1"/>
      <c r="B46" s="1"/>
      <c r="C46" s="1"/>
      <c r="D46" s="1"/>
      <c r="E46" s="1"/>
      <c r="F46" s="2"/>
      <c r="G46" s="2"/>
      <c r="H46" s="1"/>
      <c r="I46" s="2"/>
      <c r="J46" s="1"/>
      <c r="K46" s="3"/>
      <c r="L46" s="1"/>
      <c r="M46" s="1"/>
      <c r="N46" s="1"/>
      <c r="O46" s="1"/>
      <c r="P46" s="1"/>
      <c r="Q46" s="1"/>
      <c r="R46" s="1"/>
      <c r="S46" s="1"/>
      <c r="T46" s="1"/>
      <c r="U46" s="1"/>
      <c r="V46" s="1"/>
      <c r="W46" s="1"/>
      <c r="X46" s="1"/>
      <c r="Y46" s="1"/>
      <c r="Z46" s="1"/>
      <c r="AA46" s="1"/>
      <c r="AB46" s="1"/>
      <c r="AC46" s="1"/>
    </row>
    <row r="47">
      <c r="A47" s="1"/>
      <c r="B47" s="1"/>
      <c r="C47" s="1"/>
      <c r="D47" s="1"/>
      <c r="E47" s="1"/>
      <c r="F47" s="2"/>
      <c r="G47" s="2"/>
      <c r="H47" s="1"/>
      <c r="I47" s="2"/>
      <c r="J47" s="1"/>
      <c r="K47" s="3"/>
      <c r="L47" s="1"/>
      <c r="M47" s="1"/>
      <c r="N47" s="1"/>
      <c r="O47" s="1"/>
      <c r="P47" s="1"/>
      <c r="Q47" s="1"/>
      <c r="R47" s="1"/>
      <c r="S47" s="1"/>
      <c r="T47" s="1"/>
      <c r="U47" s="1"/>
      <c r="V47" s="1"/>
      <c r="W47" s="1"/>
      <c r="X47" s="1"/>
      <c r="Y47" s="1"/>
      <c r="Z47" s="1"/>
      <c r="AA47" s="1"/>
      <c r="AB47" s="1"/>
      <c r="AC47" s="1"/>
    </row>
    <row r="48">
      <c r="A48" s="1"/>
      <c r="B48" s="1"/>
      <c r="C48" s="1"/>
      <c r="D48" s="1"/>
      <c r="E48" s="1"/>
      <c r="F48" s="2"/>
      <c r="G48" s="2"/>
      <c r="H48" s="1"/>
      <c r="I48" s="2"/>
      <c r="J48" s="1"/>
      <c r="K48" s="3"/>
      <c r="L48" s="1"/>
      <c r="M48" s="1"/>
      <c r="N48" s="1"/>
      <c r="O48" s="1"/>
      <c r="P48" s="1"/>
      <c r="Q48" s="1"/>
      <c r="R48" s="1"/>
      <c r="S48" s="1"/>
      <c r="T48" s="1"/>
      <c r="U48" s="1"/>
      <c r="V48" s="1"/>
      <c r="W48" s="1"/>
      <c r="X48" s="1"/>
      <c r="Y48" s="1"/>
      <c r="Z48" s="1"/>
      <c r="AA48" s="1"/>
      <c r="AB48" s="1"/>
      <c r="AC48" s="1"/>
    </row>
    <row r="49">
      <c r="A49" s="1"/>
      <c r="B49" s="1"/>
      <c r="C49" s="1"/>
      <c r="D49" s="1"/>
      <c r="E49" s="1"/>
      <c r="F49" s="2"/>
      <c r="G49" s="2"/>
      <c r="H49" s="1"/>
      <c r="I49" s="2"/>
      <c r="J49" s="1"/>
      <c r="K49" s="3"/>
      <c r="L49" s="1"/>
      <c r="M49" s="1"/>
      <c r="N49" s="1"/>
      <c r="O49" s="1"/>
      <c r="P49" s="1"/>
      <c r="Q49" s="1"/>
      <c r="R49" s="1"/>
      <c r="S49" s="1"/>
      <c r="T49" s="1"/>
      <c r="U49" s="1"/>
      <c r="V49" s="1"/>
      <c r="W49" s="1"/>
      <c r="X49" s="1"/>
      <c r="Y49" s="1"/>
      <c r="Z49" s="1"/>
      <c r="AA49" s="1"/>
      <c r="AB49" s="1"/>
      <c r="AC49" s="1"/>
    </row>
    <row r="50">
      <c r="A50" s="1"/>
      <c r="B50" s="1"/>
      <c r="C50" s="1"/>
      <c r="D50" s="1"/>
      <c r="E50" s="1"/>
      <c r="F50" s="2"/>
      <c r="G50" s="2"/>
      <c r="H50" s="1"/>
      <c r="I50" s="2"/>
      <c r="J50" s="1"/>
      <c r="K50" s="3"/>
      <c r="L50" s="1"/>
      <c r="M50" s="1"/>
      <c r="N50" s="1"/>
      <c r="O50" s="1"/>
      <c r="P50" s="1"/>
      <c r="Q50" s="1"/>
      <c r="R50" s="1"/>
      <c r="S50" s="1"/>
      <c r="T50" s="1"/>
      <c r="U50" s="1"/>
      <c r="V50" s="1"/>
      <c r="W50" s="1"/>
      <c r="X50" s="1"/>
      <c r="Y50" s="1"/>
      <c r="Z50" s="1"/>
      <c r="AA50" s="1"/>
      <c r="AB50" s="1"/>
      <c r="AC50" s="1"/>
    </row>
    <row r="51">
      <c r="A51" s="1"/>
      <c r="B51" s="1"/>
      <c r="C51" s="1"/>
      <c r="D51" s="1"/>
      <c r="E51" s="1"/>
      <c r="F51" s="2"/>
      <c r="G51" s="2"/>
      <c r="H51" s="1"/>
      <c r="I51" s="2"/>
      <c r="J51" s="1"/>
      <c r="K51" s="3"/>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2"/>
      <c r="J52" s="1"/>
      <c r="K52" s="3"/>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2"/>
      <c r="J53" s="1"/>
      <c r="K53" s="3"/>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2"/>
      <c r="J54" s="1"/>
      <c r="K54" s="3"/>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2"/>
      <c r="J55" s="1"/>
      <c r="K55" s="3"/>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2"/>
      <c r="J56" s="1"/>
      <c r="K56" s="3"/>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2"/>
      <c r="J57" s="1"/>
      <c r="K57" s="3"/>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2"/>
      <c r="J58" s="1"/>
      <c r="K58" s="3"/>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2"/>
      <c r="J59" s="1"/>
      <c r="K59" s="3"/>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2"/>
      <c r="J60" s="1"/>
      <c r="K60" s="3"/>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2"/>
      <c r="J61" s="1"/>
      <c r="K61" s="3"/>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2"/>
      <c r="J62" s="1"/>
      <c r="K62" s="3"/>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2"/>
      <c r="J63" s="1"/>
      <c r="K63" s="3"/>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2"/>
      <c r="J64" s="1"/>
      <c r="K64" s="3"/>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2"/>
      <c r="J65" s="1"/>
      <c r="K65" s="3"/>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2"/>
      <c r="J66" s="1"/>
      <c r="K66" s="3"/>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2"/>
      <c r="J67" s="1"/>
      <c r="K67" s="3"/>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2"/>
      <c r="J68" s="1"/>
      <c r="K68" s="3"/>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2"/>
      <c r="J69" s="1"/>
      <c r="K69" s="3"/>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2"/>
      <c r="J70" s="1"/>
      <c r="K70" s="3"/>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2"/>
      <c r="J71" s="1"/>
      <c r="K71" s="3"/>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2"/>
      <c r="J72" s="1"/>
      <c r="K72" s="3"/>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2"/>
      <c r="J73" s="1"/>
      <c r="K73" s="3"/>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2"/>
      <c r="J74" s="1"/>
      <c r="K74" s="3"/>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2"/>
      <c r="J75" s="1"/>
      <c r="K75" s="3"/>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2"/>
      <c r="J76" s="1"/>
      <c r="K76" s="3"/>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2"/>
      <c r="J77" s="1"/>
      <c r="K77" s="3"/>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2"/>
      <c r="J78" s="1"/>
      <c r="K78" s="3"/>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2"/>
      <c r="J79" s="1"/>
      <c r="K79" s="3"/>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2"/>
      <c r="J80" s="1"/>
      <c r="K80" s="3"/>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2"/>
      <c r="J81" s="1"/>
      <c r="K81" s="3"/>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2"/>
      <c r="J82" s="1"/>
      <c r="K82" s="3"/>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2"/>
      <c r="J83" s="1"/>
      <c r="K83" s="3"/>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2"/>
      <c r="J84" s="1"/>
      <c r="K84" s="3"/>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2"/>
      <c r="J85" s="1"/>
      <c r="K85" s="3"/>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2"/>
      <c r="J86" s="1"/>
      <c r="K86" s="3"/>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2"/>
      <c r="J87" s="1"/>
      <c r="K87" s="3"/>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2"/>
      <c r="J88" s="1"/>
      <c r="K88" s="3"/>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2"/>
      <c r="J89" s="1"/>
      <c r="K89" s="3"/>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2"/>
      <c r="J90" s="1"/>
      <c r="K90" s="3"/>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2"/>
      <c r="J91" s="1"/>
      <c r="K91" s="3"/>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2"/>
      <c r="J92" s="1"/>
      <c r="K92" s="3"/>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2"/>
      <c r="J93" s="1"/>
      <c r="K93" s="3"/>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2"/>
      <c r="J94" s="1"/>
      <c r="K94" s="3"/>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2"/>
      <c r="J95" s="1"/>
      <c r="K95" s="3"/>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2"/>
      <c r="J96" s="1"/>
      <c r="K96" s="3"/>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2"/>
      <c r="J97" s="1"/>
      <c r="K97" s="3"/>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2"/>
      <c r="J98" s="1"/>
      <c r="K98" s="3"/>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2"/>
      <c r="J99" s="1"/>
      <c r="K99" s="3"/>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2"/>
      <c r="J100" s="1"/>
      <c r="K100" s="3"/>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2"/>
      <c r="J101" s="1"/>
      <c r="K101" s="3"/>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2"/>
      <c r="J102" s="1"/>
      <c r="K102" s="3"/>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2"/>
      <c r="J103" s="1"/>
      <c r="K103" s="3"/>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2"/>
      <c r="J104" s="1"/>
      <c r="K104" s="3"/>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2"/>
      <c r="J105" s="1"/>
      <c r="K105" s="3"/>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2"/>
      <c r="J106" s="1"/>
      <c r="K106" s="3"/>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2"/>
      <c r="J107" s="1"/>
      <c r="K107" s="3"/>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2"/>
      <c r="J108" s="1"/>
      <c r="K108" s="3"/>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2"/>
      <c r="J109" s="1"/>
      <c r="K109" s="3"/>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2"/>
      <c r="J110" s="1"/>
      <c r="K110" s="3"/>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2"/>
      <c r="J111" s="1"/>
      <c r="K111" s="3"/>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2"/>
      <c r="J112" s="1"/>
      <c r="K112" s="3"/>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2"/>
      <c r="J113" s="1"/>
      <c r="K113" s="3"/>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2"/>
      <c r="J114" s="1"/>
      <c r="K114" s="3"/>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2"/>
      <c r="J115" s="1"/>
      <c r="K115" s="3"/>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2"/>
      <c r="J116" s="1"/>
      <c r="K116" s="3"/>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2"/>
      <c r="J117" s="1"/>
      <c r="K117" s="3"/>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2"/>
      <c r="J118" s="1"/>
      <c r="K118" s="3"/>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2"/>
      <c r="J119" s="1"/>
      <c r="K119" s="3"/>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2"/>
      <c r="J120" s="1"/>
      <c r="K120" s="3"/>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2"/>
      <c r="J121" s="1"/>
      <c r="K121" s="3"/>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2"/>
      <c r="J122" s="1"/>
      <c r="K122" s="3"/>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2"/>
      <c r="J123" s="1"/>
      <c r="K123" s="3"/>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2"/>
      <c r="J124" s="1"/>
      <c r="K124" s="3"/>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2"/>
      <c r="J125" s="1"/>
      <c r="K125" s="3"/>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2"/>
      <c r="J126" s="1"/>
      <c r="K126" s="3"/>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2"/>
      <c r="J127" s="1"/>
      <c r="K127" s="3"/>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2"/>
      <c r="J128" s="1"/>
      <c r="K128" s="3"/>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2"/>
      <c r="J129" s="1"/>
      <c r="K129" s="3"/>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2"/>
      <c r="J130" s="1"/>
      <c r="K130" s="3"/>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2"/>
      <c r="J131" s="1"/>
      <c r="K131" s="3"/>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2"/>
      <c r="J132" s="1"/>
      <c r="K132" s="3"/>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2"/>
      <c r="J133" s="1"/>
      <c r="K133" s="3"/>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2"/>
      <c r="J134" s="1"/>
      <c r="K134" s="3"/>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2"/>
      <c r="J135" s="1"/>
      <c r="K135" s="3"/>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2"/>
      <c r="J136" s="1"/>
      <c r="K136" s="3"/>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2"/>
      <c r="J137" s="1"/>
      <c r="K137" s="3"/>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2"/>
      <c r="J138" s="1"/>
      <c r="K138" s="3"/>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2"/>
      <c r="J139" s="1"/>
      <c r="K139" s="3"/>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2"/>
      <c r="J140" s="1"/>
      <c r="K140" s="3"/>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2"/>
      <c r="J141" s="1"/>
      <c r="K141" s="3"/>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2"/>
      <c r="J142" s="1"/>
      <c r="K142" s="3"/>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2"/>
      <c r="J143" s="1"/>
      <c r="K143" s="3"/>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2"/>
      <c r="J144" s="1"/>
      <c r="K144" s="3"/>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2"/>
      <c r="J145" s="1"/>
      <c r="K145" s="3"/>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2"/>
      <c r="J146" s="1"/>
      <c r="K146" s="3"/>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2"/>
      <c r="J147" s="1"/>
      <c r="K147" s="3"/>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2"/>
      <c r="J148" s="1"/>
      <c r="K148" s="3"/>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2"/>
      <c r="J149" s="1"/>
      <c r="K149" s="3"/>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2"/>
      <c r="J150" s="1"/>
      <c r="K150" s="3"/>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2"/>
      <c r="J151" s="1"/>
      <c r="K151" s="3"/>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2"/>
      <c r="J152" s="1"/>
      <c r="K152" s="3"/>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2"/>
      <c r="J153" s="1"/>
      <c r="K153" s="3"/>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2"/>
      <c r="J154" s="1"/>
      <c r="K154" s="3"/>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2"/>
      <c r="J155" s="1"/>
      <c r="K155" s="3"/>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2"/>
      <c r="J156" s="1"/>
      <c r="K156" s="3"/>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2"/>
      <c r="J157" s="1"/>
      <c r="K157" s="3"/>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2"/>
      <c r="J158" s="1"/>
      <c r="K158" s="3"/>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2"/>
      <c r="J159" s="1"/>
      <c r="K159" s="3"/>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2"/>
      <c r="J160" s="1"/>
      <c r="K160" s="3"/>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2"/>
      <c r="J161" s="1"/>
      <c r="K161" s="3"/>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2"/>
      <c r="J162" s="1"/>
      <c r="K162" s="3"/>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2"/>
      <c r="J163" s="1"/>
      <c r="K163" s="3"/>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2"/>
      <c r="J164" s="1"/>
      <c r="K164" s="3"/>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2"/>
      <c r="J165" s="1"/>
      <c r="K165" s="3"/>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2"/>
      <c r="J166" s="1"/>
      <c r="K166" s="3"/>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2"/>
      <c r="J167" s="1"/>
      <c r="K167" s="3"/>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2"/>
      <c r="J168" s="1"/>
      <c r="K168" s="3"/>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2"/>
      <c r="J169" s="1"/>
      <c r="K169" s="3"/>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2"/>
      <c r="J170" s="1"/>
      <c r="K170" s="3"/>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2"/>
      <c r="J171" s="1"/>
      <c r="K171" s="3"/>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2"/>
      <c r="J172" s="1"/>
      <c r="K172" s="3"/>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2"/>
      <c r="J173" s="1"/>
      <c r="K173" s="3"/>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2"/>
      <c r="J174" s="1"/>
      <c r="K174" s="3"/>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2"/>
      <c r="J175" s="1"/>
      <c r="K175" s="3"/>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2"/>
      <c r="J176" s="1"/>
      <c r="K176" s="3"/>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2"/>
      <c r="J177" s="1"/>
      <c r="K177" s="3"/>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2"/>
      <c r="J178" s="1"/>
      <c r="K178" s="3"/>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2"/>
      <c r="J179" s="1"/>
      <c r="K179" s="3"/>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2"/>
      <c r="J180" s="1"/>
      <c r="K180" s="3"/>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2"/>
      <c r="J181" s="1"/>
      <c r="K181" s="3"/>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2"/>
      <c r="J182" s="1"/>
      <c r="K182" s="3"/>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2"/>
      <c r="J183" s="1"/>
      <c r="K183" s="3"/>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2"/>
      <c r="J184" s="1"/>
      <c r="K184" s="3"/>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2"/>
      <c r="J185" s="1"/>
      <c r="K185" s="3"/>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2"/>
      <c r="J186" s="1"/>
      <c r="K186" s="3"/>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2"/>
      <c r="J187" s="1"/>
      <c r="K187" s="3"/>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2"/>
      <c r="J188" s="1"/>
      <c r="K188" s="3"/>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2"/>
      <c r="J189" s="1"/>
      <c r="K189" s="3"/>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2"/>
      <c r="J190" s="1"/>
      <c r="K190" s="3"/>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2"/>
      <c r="J191" s="1"/>
      <c r="K191" s="3"/>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2"/>
      <c r="J192" s="1"/>
      <c r="K192" s="3"/>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2"/>
      <c r="J193" s="1"/>
      <c r="K193" s="3"/>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2"/>
      <c r="J194" s="1"/>
      <c r="K194" s="3"/>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2"/>
      <c r="J195" s="1"/>
      <c r="K195" s="3"/>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2"/>
      <c r="J196" s="1"/>
      <c r="K196" s="3"/>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2"/>
      <c r="J197" s="1"/>
      <c r="K197" s="3"/>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2"/>
      <c r="J198" s="1"/>
      <c r="K198" s="3"/>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2"/>
      <c r="J199" s="1"/>
      <c r="K199" s="3"/>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2"/>
      <c r="J200" s="1"/>
      <c r="K200" s="3"/>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2"/>
      <c r="J201" s="1"/>
      <c r="K201" s="3"/>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2"/>
      <c r="J202" s="1"/>
      <c r="K202" s="3"/>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2"/>
      <c r="J203" s="1"/>
      <c r="K203" s="3"/>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2"/>
      <c r="J204" s="1"/>
      <c r="K204" s="3"/>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2"/>
      <c r="J205" s="1"/>
      <c r="K205" s="3"/>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2"/>
      <c r="J206" s="1"/>
      <c r="K206" s="3"/>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2"/>
      <c r="J207" s="1"/>
      <c r="K207" s="3"/>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2"/>
      <c r="J208" s="1"/>
      <c r="K208" s="3"/>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2"/>
      <c r="J209" s="1"/>
      <c r="K209" s="3"/>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2"/>
      <c r="J210" s="1"/>
      <c r="K210" s="3"/>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2"/>
      <c r="J211" s="1"/>
      <c r="K211" s="3"/>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2"/>
      <c r="J212" s="1"/>
      <c r="K212" s="3"/>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2"/>
      <c r="J213" s="1"/>
      <c r="K213" s="3"/>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2"/>
      <c r="J214" s="1"/>
      <c r="K214" s="3"/>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2"/>
      <c r="J215" s="1"/>
      <c r="K215" s="3"/>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2"/>
      <c r="J216" s="1"/>
      <c r="K216" s="3"/>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2"/>
      <c r="J217" s="1"/>
      <c r="K217" s="3"/>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2"/>
      <c r="J218" s="1"/>
      <c r="K218" s="3"/>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2"/>
      <c r="J219" s="1"/>
      <c r="K219" s="3"/>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2"/>
      <c r="J220" s="1"/>
      <c r="K220" s="3"/>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2"/>
      <c r="J221" s="1"/>
      <c r="K221" s="3"/>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2"/>
      <c r="J222" s="1"/>
      <c r="K222" s="3"/>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2"/>
      <c r="J223" s="1"/>
      <c r="K223" s="3"/>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2"/>
      <c r="J224" s="1"/>
      <c r="K224" s="3"/>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2"/>
      <c r="J225" s="1"/>
      <c r="K225" s="3"/>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2"/>
      <c r="J226" s="1"/>
      <c r="K226" s="3"/>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2"/>
      <c r="J227" s="1"/>
      <c r="K227" s="3"/>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2"/>
      <c r="J228" s="1"/>
      <c r="K228" s="3"/>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2"/>
      <c r="J229" s="1"/>
      <c r="K229" s="3"/>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2"/>
      <c r="J230" s="1"/>
      <c r="K230" s="3"/>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2"/>
      <c r="J231" s="1"/>
      <c r="K231" s="3"/>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2"/>
      <c r="J232" s="1"/>
      <c r="K232" s="3"/>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2"/>
      <c r="J233" s="1"/>
      <c r="K233" s="3"/>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2"/>
      <c r="J234" s="1"/>
      <c r="K234" s="3"/>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2"/>
      <c r="J235" s="1"/>
      <c r="K235" s="3"/>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2"/>
      <c r="J236" s="1"/>
      <c r="K236" s="3"/>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2"/>
      <c r="J237" s="1"/>
      <c r="K237" s="3"/>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2"/>
      <c r="J238" s="1"/>
      <c r="K238" s="3"/>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2"/>
      <c r="J239" s="1"/>
      <c r="K239" s="3"/>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2"/>
      <c r="J240" s="1"/>
      <c r="K240" s="3"/>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2"/>
      <c r="J241" s="1"/>
      <c r="K241" s="3"/>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2"/>
      <c r="J242" s="1"/>
      <c r="K242" s="3"/>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2"/>
      <c r="J243" s="1"/>
      <c r="K243" s="3"/>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2"/>
      <c r="J244" s="1"/>
      <c r="K244" s="3"/>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2"/>
      <c r="J245" s="1"/>
      <c r="K245" s="3"/>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2"/>
      <c r="J246" s="1"/>
      <c r="K246" s="3"/>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2"/>
      <c r="J247" s="1"/>
      <c r="K247" s="3"/>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2"/>
      <c r="J248" s="1"/>
      <c r="K248" s="3"/>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2"/>
      <c r="J249" s="1"/>
      <c r="K249" s="3"/>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2"/>
      <c r="J250" s="1"/>
      <c r="K250" s="3"/>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2"/>
      <c r="J251" s="1"/>
      <c r="K251" s="3"/>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2"/>
      <c r="J252" s="1"/>
      <c r="K252" s="3"/>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2"/>
      <c r="J253" s="1"/>
      <c r="K253" s="3"/>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2"/>
      <c r="J254" s="1"/>
      <c r="K254" s="3"/>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2"/>
      <c r="J255" s="1"/>
      <c r="K255" s="3"/>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2"/>
      <c r="J256" s="1"/>
      <c r="K256" s="3"/>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2"/>
      <c r="J257" s="1"/>
      <c r="K257" s="3"/>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2"/>
      <c r="J258" s="1"/>
      <c r="K258" s="3"/>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2"/>
      <c r="J259" s="1"/>
      <c r="K259" s="3"/>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2"/>
      <c r="J260" s="1"/>
      <c r="K260" s="3"/>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2"/>
      <c r="J261" s="1"/>
      <c r="K261" s="3"/>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2"/>
      <c r="J262" s="1"/>
      <c r="K262" s="3"/>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2"/>
      <c r="J263" s="1"/>
      <c r="K263" s="3"/>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2"/>
      <c r="J264" s="1"/>
      <c r="K264" s="3"/>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2"/>
      <c r="J265" s="1"/>
      <c r="K265" s="3"/>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2"/>
      <c r="J266" s="1"/>
      <c r="K266" s="3"/>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2"/>
      <c r="J267" s="1"/>
      <c r="K267" s="3"/>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2"/>
      <c r="J268" s="1"/>
      <c r="K268" s="3"/>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2"/>
      <c r="J269" s="1"/>
      <c r="K269" s="3"/>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2"/>
      <c r="J270" s="1"/>
      <c r="K270" s="3"/>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2"/>
      <c r="J271" s="1"/>
      <c r="K271" s="3"/>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2"/>
      <c r="J272" s="1"/>
      <c r="K272" s="3"/>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2"/>
      <c r="J273" s="1"/>
      <c r="K273" s="3"/>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2"/>
      <c r="J274" s="1"/>
      <c r="K274" s="3"/>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2"/>
      <c r="J275" s="1"/>
      <c r="K275" s="3"/>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2"/>
      <c r="J276" s="1"/>
      <c r="K276" s="3"/>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2"/>
      <c r="J277" s="1"/>
      <c r="K277" s="3"/>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2"/>
      <c r="J278" s="1"/>
      <c r="K278" s="3"/>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2"/>
      <c r="J279" s="1"/>
      <c r="K279" s="3"/>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2"/>
      <c r="J280" s="1"/>
      <c r="K280" s="3"/>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2"/>
      <c r="J281" s="1"/>
      <c r="K281" s="3"/>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2"/>
      <c r="J282" s="1"/>
      <c r="K282" s="3"/>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2"/>
      <c r="J283" s="1"/>
      <c r="K283" s="3"/>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2"/>
      <c r="J284" s="1"/>
      <c r="K284" s="3"/>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2"/>
      <c r="J285" s="1"/>
      <c r="K285" s="3"/>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2"/>
      <c r="J286" s="1"/>
      <c r="K286" s="3"/>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2"/>
      <c r="J287" s="1"/>
      <c r="K287" s="3"/>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2"/>
      <c r="J288" s="1"/>
      <c r="K288" s="3"/>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2"/>
      <c r="J289" s="1"/>
      <c r="K289" s="3"/>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2"/>
      <c r="J290" s="1"/>
      <c r="K290" s="3"/>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2"/>
      <c r="J291" s="1"/>
      <c r="K291" s="3"/>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2"/>
      <c r="J292" s="1"/>
      <c r="K292" s="3"/>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2"/>
      <c r="J293" s="1"/>
      <c r="K293" s="3"/>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2"/>
      <c r="J294" s="1"/>
      <c r="K294" s="3"/>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2"/>
      <c r="J295" s="1"/>
      <c r="K295" s="3"/>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2"/>
      <c r="J296" s="1"/>
      <c r="K296" s="3"/>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2"/>
      <c r="J297" s="1"/>
      <c r="K297" s="3"/>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2"/>
      <c r="J298" s="1"/>
      <c r="K298" s="3"/>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2"/>
      <c r="J299" s="1"/>
      <c r="K299" s="3"/>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2"/>
      <c r="J300" s="1"/>
      <c r="K300" s="3"/>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2"/>
      <c r="J301" s="1"/>
      <c r="K301" s="3"/>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2"/>
      <c r="J302" s="1"/>
      <c r="K302" s="3"/>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2"/>
      <c r="J303" s="1"/>
      <c r="K303" s="3"/>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2"/>
      <c r="J304" s="1"/>
      <c r="K304" s="3"/>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2"/>
      <c r="J305" s="1"/>
      <c r="K305" s="3"/>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2"/>
      <c r="J306" s="1"/>
      <c r="K306" s="3"/>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2"/>
      <c r="J307" s="1"/>
      <c r="K307" s="3"/>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2"/>
      <c r="J308" s="1"/>
      <c r="K308" s="3"/>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2"/>
      <c r="J309" s="1"/>
      <c r="K309" s="3"/>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2"/>
      <c r="J310" s="1"/>
      <c r="K310" s="3"/>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2"/>
      <c r="J311" s="1"/>
      <c r="K311" s="3"/>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2"/>
      <c r="J312" s="1"/>
      <c r="K312" s="3"/>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2"/>
      <c r="J313" s="1"/>
      <c r="K313" s="3"/>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2"/>
      <c r="J314" s="1"/>
      <c r="K314" s="3"/>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2"/>
      <c r="J315" s="1"/>
      <c r="K315" s="3"/>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2"/>
      <c r="J316" s="1"/>
      <c r="K316" s="3"/>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2"/>
      <c r="J317" s="1"/>
      <c r="K317" s="3"/>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2"/>
      <c r="J318" s="1"/>
      <c r="K318" s="3"/>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2"/>
      <c r="J319" s="1"/>
      <c r="K319" s="3"/>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2"/>
      <c r="J320" s="1"/>
      <c r="K320" s="3"/>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2"/>
      <c r="J321" s="1"/>
      <c r="K321" s="3"/>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2"/>
      <c r="J322" s="1"/>
      <c r="K322" s="3"/>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2"/>
      <c r="J323" s="1"/>
      <c r="K323" s="3"/>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2"/>
      <c r="J324" s="1"/>
      <c r="K324" s="3"/>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2"/>
      <c r="J325" s="1"/>
      <c r="K325" s="3"/>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2"/>
      <c r="J326" s="1"/>
      <c r="K326" s="3"/>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2"/>
      <c r="J327" s="1"/>
      <c r="K327" s="3"/>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2"/>
      <c r="J328" s="1"/>
      <c r="K328" s="3"/>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2"/>
      <c r="J329" s="1"/>
      <c r="K329" s="3"/>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2"/>
      <c r="J330" s="1"/>
      <c r="K330" s="3"/>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2"/>
      <c r="J331" s="1"/>
      <c r="K331" s="3"/>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2"/>
      <c r="J332" s="1"/>
      <c r="K332" s="3"/>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2"/>
      <c r="J333" s="1"/>
      <c r="K333" s="3"/>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2"/>
      <c r="J334" s="1"/>
      <c r="K334" s="3"/>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2"/>
      <c r="J335" s="1"/>
      <c r="K335" s="3"/>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2"/>
      <c r="J336" s="1"/>
      <c r="K336" s="3"/>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2"/>
      <c r="J337" s="1"/>
      <c r="K337" s="3"/>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2"/>
      <c r="J338" s="1"/>
      <c r="K338" s="3"/>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2"/>
      <c r="J339" s="1"/>
      <c r="K339" s="3"/>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2"/>
      <c r="J340" s="1"/>
      <c r="K340" s="3"/>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2"/>
      <c r="J341" s="1"/>
      <c r="K341" s="3"/>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2"/>
      <c r="J342" s="1"/>
      <c r="K342" s="3"/>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2"/>
      <c r="J343" s="1"/>
      <c r="K343" s="3"/>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2"/>
      <c r="J344" s="1"/>
      <c r="K344" s="3"/>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2"/>
      <c r="J345" s="1"/>
      <c r="K345" s="3"/>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2"/>
      <c r="J346" s="1"/>
      <c r="K346" s="3"/>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2"/>
      <c r="J347" s="1"/>
      <c r="K347" s="3"/>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2"/>
      <c r="J348" s="1"/>
      <c r="K348" s="3"/>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2"/>
      <c r="J349" s="1"/>
      <c r="K349" s="3"/>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2"/>
      <c r="J350" s="1"/>
      <c r="K350" s="3"/>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2"/>
      <c r="J351" s="1"/>
      <c r="K351" s="3"/>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2"/>
      <c r="J352" s="1"/>
      <c r="K352" s="3"/>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2"/>
      <c r="J353" s="1"/>
      <c r="K353" s="3"/>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2"/>
      <c r="J354" s="1"/>
      <c r="K354" s="3"/>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2"/>
      <c r="J355" s="1"/>
      <c r="K355" s="3"/>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2"/>
      <c r="J356" s="1"/>
      <c r="K356" s="3"/>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2"/>
      <c r="J357" s="1"/>
      <c r="K357" s="3"/>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2"/>
      <c r="J358" s="1"/>
      <c r="K358" s="3"/>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2"/>
      <c r="J359" s="1"/>
      <c r="K359" s="3"/>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2"/>
      <c r="J360" s="1"/>
      <c r="K360" s="3"/>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2"/>
      <c r="J361" s="1"/>
      <c r="K361" s="3"/>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2"/>
      <c r="J362" s="1"/>
      <c r="K362" s="3"/>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2"/>
      <c r="J363" s="1"/>
      <c r="K363" s="3"/>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2"/>
      <c r="J364" s="1"/>
      <c r="K364" s="3"/>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2"/>
      <c r="J365" s="1"/>
      <c r="K365" s="3"/>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2"/>
      <c r="J366" s="1"/>
      <c r="K366" s="3"/>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2"/>
      <c r="J367" s="1"/>
      <c r="K367" s="3"/>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2"/>
      <c r="J368" s="1"/>
      <c r="K368" s="3"/>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2"/>
      <c r="J369" s="1"/>
      <c r="K369" s="3"/>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2"/>
      <c r="J370" s="1"/>
      <c r="K370" s="3"/>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2"/>
      <c r="J371" s="1"/>
      <c r="K371" s="3"/>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2"/>
      <c r="J372" s="1"/>
      <c r="K372" s="3"/>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2"/>
      <c r="J373" s="1"/>
      <c r="K373" s="3"/>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2"/>
      <c r="J374" s="1"/>
      <c r="K374" s="3"/>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2"/>
      <c r="J375" s="1"/>
      <c r="K375" s="3"/>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2"/>
      <c r="J376" s="1"/>
      <c r="K376" s="3"/>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2"/>
      <c r="J377" s="1"/>
      <c r="K377" s="3"/>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2"/>
      <c r="J378" s="1"/>
      <c r="K378" s="3"/>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2"/>
      <c r="J379" s="1"/>
      <c r="K379" s="3"/>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2"/>
      <c r="J380" s="1"/>
      <c r="K380" s="3"/>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2"/>
      <c r="J381" s="1"/>
      <c r="K381" s="3"/>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2"/>
      <c r="J382" s="1"/>
      <c r="K382" s="3"/>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2"/>
      <c r="J383" s="1"/>
      <c r="K383" s="3"/>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2"/>
      <c r="J384" s="1"/>
      <c r="K384" s="3"/>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2"/>
      <c r="J385" s="1"/>
      <c r="K385" s="3"/>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2"/>
      <c r="J386" s="1"/>
      <c r="K386" s="3"/>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2"/>
      <c r="J387" s="1"/>
      <c r="K387" s="3"/>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2"/>
      <c r="J388" s="1"/>
      <c r="K388" s="3"/>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2"/>
      <c r="J389" s="1"/>
      <c r="K389" s="3"/>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2"/>
      <c r="J390" s="1"/>
      <c r="K390" s="3"/>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2"/>
      <c r="J391" s="1"/>
      <c r="K391" s="3"/>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2"/>
      <c r="J392" s="1"/>
      <c r="K392" s="3"/>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2"/>
      <c r="J393" s="1"/>
      <c r="K393" s="3"/>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2"/>
      <c r="J394" s="1"/>
      <c r="K394" s="3"/>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2"/>
      <c r="J395" s="1"/>
      <c r="K395" s="3"/>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2"/>
      <c r="J396" s="1"/>
      <c r="K396" s="3"/>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2"/>
      <c r="J397" s="1"/>
      <c r="K397" s="3"/>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2"/>
      <c r="J398" s="1"/>
      <c r="K398" s="3"/>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2"/>
      <c r="J399" s="1"/>
      <c r="K399" s="3"/>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2"/>
      <c r="J400" s="1"/>
      <c r="K400" s="3"/>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2"/>
      <c r="J401" s="1"/>
      <c r="K401" s="3"/>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2"/>
      <c r="J402" s="1"/>
      <c r="K402" s="3"/>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2"/>
      <c r="J403" s="1"/>
      <c r="K403" s="3"/>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2"/>
      <c r="J404" s="1"/>
      <c r="K404" s="3"/>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2"/>
      <c r="J405" s="1"/>
      <c r="K405" s="3"/>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2"/>
      <c r="J406" s="1"/>
      <c r="K406" s="3"/>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2"/>
      <c r="J407" s="1"/>
      <c r="K407" s="3"/>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2"/>
      <c r="J408" s="1"/>
      <c r="K408" s="3"/>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2"/>
      <c r="J409" s="1"/>
      <c r="K409" s="3"/>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2"/>
      <c r="J410" s="1"/>
      <c r="K410" s="3"/>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2"/>
      <c r="J411" s="1"/>
      <c r="K411" s="3"/>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2"/>
      <c r="J412" s="1"/>
      <c r="K412" s="3"/>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2"/>
      <c r="J413" s="1"/>
      <c r="K413" s="3"/>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2"/>
      <c r="J414" s="1"/>
      <c r="K414" s="3"/>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2"/>
      <c r="J415" s="1"/>
      <c r="K415" s="3"/>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2"/>
      <c r="J416" s="1"/>
      <c r="K416" s="3"/>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2"/>
      <c r="J417" s="1"/>
      <c r="K417" s="3"/>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2"/>
      <c r="J418" s="1"/>
      <c r="K418" s="3"/>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2"/>
      <c r="J419" s="1"/>
      <c r="K419" s="3"/>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2"/>
      <c r="J420" s="1"/>
      <c r="K420" s="3"/>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2"/>
      <c r="J421" s="1"/>
      <c r="K421" s="3"/>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2"/>
      <c r="J422" s="1"/>
      <c r="K422" s="3"/>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2"/>
      <c r="J423" s="1"/>
      <c r="K423" s="3"/>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2"/>
      <c r="J424" s="1"/>
      <c r="K424" s="3"/>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2"/>
      <c r="J425" s="1"/>
      <c r="K425" s="3"/>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2"/>
      <c r="J426" s="1"/>
      <c r="K426" s="3"/>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2"/>
      <c r="J427" s="1"/>
      <c r="K427" s="3"/>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2"/>
      <c r="J428" s="1"/>
      <c r="K428" s="3"/>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2"/>
      <c r="J429" s="1"/>
      <c r="K429" s="3"/>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2"/>
      <c r="J430" s="1"/>
      <c r="K430" s="3"/>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2"/>
      <c r="J431" s="1"/>
      <c r="K431" s="3"/>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2"/>
      <c r="J432" s="1"/>
      <c r="K432" s="3"/>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2"/>
      <c r="J433" s="1"/>
      <c r="K433" s="3"/>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2"/>
      <c r="J434" s="1"/>
      <c r="K434" s="3"/>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2"/>
      <c r="J435" s="1"/>
      <c r="K435" s="3"/>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2"/>
      <c r="J436" s="1"/>
      <c r="K436" s="3"/>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2"/>
      <c r="J437" s="1"/>
      <c r="K437" s="3"/>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2"/>
      <c r="J438" s="1"/>
      <c r="K438" s="3"/>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2"/>
      <c r="J439" s="1"/>
      <c r="K439" s="3"/>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2"/>
      <c r="J440" s="1"/>
      <c r="K440" s="3"/>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2"/>
      <c r="J441" s="1"/>
      <c r="K441" s="3"/>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2"/>
      <c r="J442" s="1"/>
      <c r="K442" s="3"/>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2"/>
      <c r="J443" s="1"/>
      <c r="K443" s="3"/>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2"/>
      <c r="J444" s="1"/>
      <c r="K444" s="3"/>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2"/>
      <c r="J445" s="1"/>
      <c r="K445" s="3"/>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2"/>
      <c r="J446" s="1"/>
      <c r="K446" s="3"/>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2"/>
      <c r="J447" s="1"/>
      <c r="K447" s="3"/>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2"/>
      <c r="J448" s="1"/>
      <c r="K448" s="3"/>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2"/>
      <c r="J449" s="1"/>
      <c r="K449" s="3"/>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2"/>
      <c r="J450" s="1"/>
      <c r="K450" s="3"/>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2"/>
      <c r="J451" s="1"/>
      <c r="K451" s="3"/>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2"/>
      <c r="J452" s="1"/>
      <c r="K452" s="3"/>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2"/>
      <c r="J453" s="1"/>
      <c r="K453" s="3"/>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2"/>
      <c r="J454" s="1"/>
      <c r="K454" s="3"/>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2"/>
      <c r="J455" s="1"/>
      <c r="K455" s="3"/>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2"/>
      <c r="J456" s="1"/>
      <c r="K456" s="3"/>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2"/>
      <c r="J457" s="1"/>
      <c r="K457" s="3"/>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2"/>
      <c r="J458" s="1"/>
      <c r="K458" s="3"/>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2"/>
      <c r="J459" s="1"/>
      <c r="K459" s="3"/>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2"/>
      <c r="J460" s="1"/>
      <c r="K460" s="3"/>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2"/>
      <c r="J461" s="1"/>
      <c r="K461" s="3"/>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2"/>
      <c r="J462" s="1"/>
      <c r="K462" s="3"/>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2"/>
      <c r="J463" s="1"/>
      <c r="K463" s="3"/>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2"/>
      <c r="J464" s="1"/>
      <c r="K464" s="3"/>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2"/>
      <c r="J465" s="1"/>
      <c r="K465" s="3"/>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2"/>
      <c r="J466" s="1"/>
      <c r="K466" s="3"/>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2"/>
      <c r="J467" s="1"/>
      <c r="K467" s="3"/>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2"/>
      <c r="J468" s="1"/>
      <c r="K468" s="3"/>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2"/>
      <c r="J469" s="1"/>
      <c r="K469" s="3"/>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2"/>
      <c r="J470" s="1"/>
      <c r="K470" s="3"/>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2"/>
      <c r="J471" s="1"/>
      <c r="K471" s="3"/>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2"/>
      <c r="J472" s="1"/>
      <c r="K472" s="3"/>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2"/>
      <c r="J473" s="1"/>
      <c r="K473" s="3"/>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2"/>
      <c r="J474" s="1"/>
      <c r="K474" s="3"/>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2"/>
      <c r="J475" s="1"/>
      <c r="K475" s="3"/>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2"/>
      <c r="J476" s="1"/>
      <c r="K476" s="3"/>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2"/>
      <c r="J477" s="1"/>
      <c r="K477" s="3"/>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2"/>
      <c r="J478" s="1"/>
      <c r="K478" s="3"/>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2"/>
      <c r="J479" s="1"/>
      <c r="K479" s="3"/>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2"/>
      <c r="J480" s="1"/>
      <c r="K480" s="3"/>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2"/>
      <c r="J481" s="1"/>
      <c r="K481" s="3"/>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2"/>
      <c r="J482" s="1"/>
      <c r="K482" s="3"/>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2"/>
      <c r="J483" s="1"/>
      <c r="K483" s="3"/>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2"/>
      <c r="J484" s="1"/>
      <c r="K484" s="3"/>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2"/>
      <c r="J485" s="1"/>
      <c r="K485" s="3"/>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2"/>
      <c r="J486" s="1"/>
      <c r="K486" s="3"/>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2"/>
      <c r="J487" s="1"/>
      <c r="K487" s="3"/>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2"/>
      <c r="J488" s="1"/>
      <c r="K488" s="3"/>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2"/>
      <c r="J489" s="1"/>
      <c r="K489" s="3"/>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2"/>
      <c r="J490" s="1"/>
      <c r="K490" s="3"/>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2"/>
      <c r="J491" s="1"/>
      <c r="K491" s="3"/>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2"/>
      <c r="J492" s="1"/>
      <c r="K492" s="3"/>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2"/>
      <c r="J493" s="1"/>
      <c r="K493" s="3"/>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2"/>
      <c r="J494" s="1"/>
      <c r="K494" s="3"/>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2"/>
      <c r="J495" s="1"/>
      <c r="K495" s="3"/>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2"/>
      <c r="J496" s="1"/>
      <c r="K496" s="3"/>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2"/>
      <c r="J497" s="1"/>
      <c r="K497" s="3"/>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2"/>
      <c r="J498" s="1"/>
      <c r="K498" s="3"/>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2"/>
      <c r="J499" s="1"/>
      <c r="K499" s="3"/>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2"/>
      <c r="J500" s="1"/>
      <c r="K500" s="3"/>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2"/>
      <c r="J501" s="1"/>
      <c r="K501" s="3"/>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2"/>
      <c r="J502" s="1"/>
      <c r="K502" s="3"/>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2"/>
      <c r="J503" s="1"/>
      <c r="K503" s="3"/>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2"/>
      <c r="J504" s="1"/>
      <c r="K504" s="3"/>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2"/>
      <c r="J505" s="1"/>
      <c r="K505" s="3"/>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2"/>
      <c r="J506" s="1"/>
      <c r="K506" s="3"/>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2"/>
      <c r="J507" s="1"/>
      <c r="K507" s="3"/>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2"/>
      <c r="J508" s="1"/>
      <c r="K508" s="3"/>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2"/>
      <c r="J509" s="1"/>
      <c r="K509" s="3"/>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2"/>
      <c r="J510" s="1"/>
      <c r="K510" s="3"/>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2"/>
      <c r="J511" s="1"/>
      <c r="K511" s="3"/>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2"/>
      <c r="J512" s="1"/>
      <c r="K512" s="3"/>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2"/>
      <c r="J513" s="1"/>
      <c r="K513" s="3"/>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2"/>
      <c r="J514" s="1"/>
      <c r="K514" s="3"/>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2"/>
      <c r="J515" s="1"/>
      <c r="K515" s="3"/>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2"/>
      <c r="J516" s="1"/>
      <c r="K516" s="3"/>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2"/>
      <c r="J517" s="1"/>
      <c r="K517" s="3"/>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2"/>
      <c r="J518" s="1"/>
      <c r="K518" s="3"/>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2"/>
      <c r="J519" s="1"/>
      <c r="K519" s="3"/>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2"/>
      <c r="J520" s="1"/>
      <c r="K520" s="3"/>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2"/>
      <c r="J521" s="1"/>
      <c r="K521" s="3"/>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2"/>
      <c r="J522" s="1"/>
      <c r="K522" s="3"/>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2"/>
      <c r="J523" s="1"/>
      <c r="K523" s="3"/>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2"/>
      <c r="J524" s="1"/>
      <c r="K524" s="3"/>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2"/>
      <c r="J525" s="1"/>
      <c r="K525" s="3"/>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2"/>
      <c r="J526" s="1"/>
      <c r="K526" s="3"/>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2"/>
      <c r="J527" s="1"/>
      <c r="K527" s="3"/>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2"/>
      <c r="J528" s="1"/>
      <c r="K528" s="3"/>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2"/>
      <c r="J529" s="1"/>
      <c r="K529" s="3"/>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2"/>
      <c r="J530" s="1"/>
      <c r="K530" s="3"/>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2"/>
      <c r="J531" s="1"/>
      <c r="K531" s="3"/>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2"/>
      <c r="J532" s="1"/>
      <c r="K532" s="3"/>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2"/>
      <c r="J533" s="1"/>
      <c r="K533" s="3"/>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2"/>
      <c r="J534" s="1"/>
      <c r="K534" s="3"/>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2"/>
      <c r="J535" s="1"/>
      <c r="K535" s="3"/>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2"/>
      <c r="J536" s="1"/>
      <c r="K536" s="3"/>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2"/>
      <c r="J537" s="1"/>
      <c r="K537" s="3"/>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2"/>
      <c r="J538" s="1"/>
      <c r="K538" s="3"/>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2"/>
      <c r="J539" s="1"/>
      <c r="K539" s="3"/>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2"/>
      <c r="J540" s="1"/>
      <c r="K540" s="3"/>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2"/>
      <c r="J541" s="1"/>
      <c r="K541" s="3"/>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2"/>
      <c r="J542" s="1"/>
      <c r="K542" s="3"/>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2"/>
      <c r="J543" s="1"/>
      <c r="K543" s="3"/>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2"/>
      <c r="J544" s="1"/>
      <c r="K544" s="3"/>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2"/>
      <c r="J545" s="1"/>
      <c r="K545" s="3"/>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2"/>
      <c r="J546" s="1"/>
      <c r="K546" s="3"/>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2"/>
      <c r="J547" s="1"/>
      <c r="K547" s="3"/>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2"/>
      <c r="J548" s="1"/>
      <c r="K548" s="3"/>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2"/>
      <c r="J549" s="1"/>
      <c r="K549" s="3"/>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2"/>
      <c r="J550" s="1"/>
      <c r="K550" s="3"/>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2"/>
      <c r="J551" s="1"/>
      <c r="K551" s="3"/>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2"/>
      <c r="J552" s="1"/>
      <c r="K552" s="3"/>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2"/>
      <c r="J553" s="1"/>
      <c r="K553" s="3"/>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2"/>
      <c r="J554" s="1"/>
      <c r="K554" s="3"/>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2"/>
      <c r="J555" s="1"/>
      <c r="K555" s="3"/>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2"/>
      <c r="J556" s="1"/>
      <c r="K556" s="3"/>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2"/>
      <c r="J557" s="1"/>
      <c r="K557" s="3"/>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2"/>
      <c r="J558" s="1"/>
      <c r="K558" s="3"/>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2"/>
      <c r="J559" s="1"/>
      <c r="K559" s="3"/>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2"/>
      <c r="J560" s="1"/>
      <c r="K560" s="3"/>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2"/>
      <c r="J561" s="1"/>
      <c r="K561" s="3"/>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2"/>
      <c r="J562" s="1"/>
      <c r="K562" s="3"/>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2"/>
      <c r="J563" s="1"/>
      <c r="K563" s="3"/>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2"/>
      <c r="J564" s="1"/>
      <c r="K564" s="3"/>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2"/>
      <c r="J565" s="1"/>
      <c r="K565" s="3"/>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2"/>
      <c r="J566" s="1"/>
      <c r="K566" s="3"/>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2"/>
      <c r="J567" s="1"/>
      <c r="K567" s="3"/>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2"/>
      <c r="J568" s="1"/>
      <c r="K568" s="3"/>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2"/>
      <c r="J569" s="1"/>
      <c r="K569" s="3"/>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2"/>
      <c r="J570" s="1"/>
      <c r="K570" s="3"/>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2"/>
      <c r="J571" s="1"/>
      <c r="K571" s="3"/>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2"/>
      <c r="J572" s="1"/>
      <c r="K572" s="3"/>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2"/>
      <c r="J573" s="1"/>
      <c r="K573" s="3"/>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2"/>
      <c r="J574" s="1"/>
      <c r="K574" s="3"/>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2"/>
      <c r="J575" s="1"/>
      <c r="K575" s="3"/>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2"/>
      <c r="J576" s="1"/>
      <c r="K576" s="3"/>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2"/>
      <c r="J577" s="1"/>
      <c r="K577" s="3"/>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2"/>
      <c r="J578" s="1"/>
      <c r="K578" s="3"/>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2"/>
      <c r="J579" s="1"/>
      <c r="K579" s="3"/>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2"/>
      <c r="J580" s="1"/>
      <c r="K580" s="3"/>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2"/>
      <c r="J581" s="1"/>
      <c r="K581" s="3"/>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2"/>
      <c r="J582" s="1"/>
      <c r="K582" s="3"/>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2"/>
      <c r="J583" s="1"/>
      <c r="K583" s="3"/>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2"/>
      <c r="J584" s="1"/>
      <c r="K584" s="3"/>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2"/>
      <c r="J585" s="1"/>
      <c r="K585" s="3"/>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2"/>
      <c r="J586" s="1"/>
      <c r="K586" s="3"/>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2"/>
      <c r="J587" s="1"/>
      <c r="K587" s="3"/>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2"/>
      <c r="J588" s="1"/>
      <c r="K588" s="3"/>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2"/>
      <c r="J589" s="1"/>
      <c r="K589" s="3"/>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2"/>
      <c r="J590" s="1"/>
      <c r="K590" s="3"/>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2"/>
      <c r="J591" s="1"/>
      <c r="K591" s="3"/>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2"/>
      <c r="J592" s="1"/>
      <c r="K592" s="3"/>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2"/>
      <c r="J593" s="1"/>
      <c r="K593" s="3"/>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2"/>
      <c r="J594" s="1"/>
      <c r="K594" s="3"/>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2"/>
      <c r="J595" s="1"/>
      <c r="K595" s="3"/>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2"/>
      <c r="J596" s="1"/>
      <c r="K596" s="3"/>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2"/>
      <c r="J597" s="1"/>
      <c r="K597" s="3"/>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2"/>
      <c r="J598" s="1"/>
      <c r="K598" s="3"/>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2"/>
      <c r="J599" s="1"/>
      <c r="K599" s="3"/>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2"/>
      <c r="J600" s="1"/>
      <c r="K600" s="3"/>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2"/>
      <c r="J601" s="1"/>
      <c r="K601" s="3"/>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2"/>
      <c r="J602" s="1"/>
      <c r="K602" s="3"/>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2"/>
      <c r="J603" s="1"/>
      <c r="K603" s="3"/>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2"/>
      <c r="J604" s="1"/>
      <c r="K604" s="3"/>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2"/>
      <c r="J605" s="1"/>
      <c r="K605" s="3"/>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2"/>
      <c r="J606" s="1"/>
      <c r="K606" s="3"/>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2"/>
      <c r="J607" s="1"/>
      <c r="K607" s="3"/>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2"/>
      <c r="J608" s="1"/>
      <c r="K608" s="3"/>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2"/>
      <c r="J609" s="1"/>
      <c r="K609" s="3"/>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2"/>
      <c r="J610" s="1"/>
      <c r="K610" s="3"/>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2"/>
      <c r="J611" s="1"/>
      <c r="K611" s="3"/>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2"/>
      <c r="J612" s="1"/>
      <c r="K612" s="3"/>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2"/>
      <c r="J613" s="1"/>
      <c r="K613" s="3"/>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2"/>
      <c r="J614" s="1"/>
      <c r="K614" s="3"/>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2"/>
      <c r="J615" s="1"/>
      <c r="K615" s="3"/>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2"/>
      <c r="J616" s="1"/>
      <c r="K616" s="3"/>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2"/>
      <c r="J617" s="1"/>
      <c r="K617" s="3"/>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2"/>
      <c r="J618" s="1"/>
      <c r="K618" s="3"/>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2"/>
      <c r="J619" s="1"/>
      <c r="K619" s="3"/>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2"/>
      <c r="J620" s="1"/>
      <c r="K620" s="3"/>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2"/>
      <c r="J621" s="1"/>
      <c r="K621" s="3"/>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2"/>
      <c r="J622" s="1"/>
      <c r="K622" s="3"/>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2"/>
      <c r="J623" s="1"/>
      <c r="K623" s="3"/>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2"/>
      <c r="J624" s="1"/>
      <c r="K624" s="3"/>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2"/>
      <c r="J625" s="1"/>
      <c r="K625" s="3"/>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2"/>
      <c r="J626" s="1"/>
      <c r="K626" s="3"/>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2"/>
      <c r="J627" s="1"/>
      <c r="K627" s="3"/>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2"/>
      <c r="J628" s="1"/>
      <c r="K628" s="3"/>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2"/>
      <c r="J629" s="1"/>
      <c r="K629" s="3"/>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2"/>
      <c r="J630" s="1"/>
      <c r="K630" s="3"/>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2"/>
      <c r="J631" s="1"/>
      <c r="K631" s="3"/>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2"/>
      <c r="J632" s="1"/>
      <c r="K632" s="3"/>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2"/>
      <c r="J633" s="1"/>
      <c r="K633" s="3"/>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2"/>
      <c r="J634" s="1"/>
      <c r="K634" s="3"/>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2"/>
      <c r="J635" s="1"/>
      <c r="K635" s="3"/>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2"/>
      <c r="J636" s="1"/>
      <c r="K636" s="3"/>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2"/>
      <c r="J637" s="1"/>
      <c r="K637" s="3"/>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2"/>
      <c r="J638" s="1"/>
      <c r="K638" s="3"/>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2"/>
      <c r="J639" s="1"/>
      <c r="K639" s="3"/>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2"/>
      <c r="J640" s="1"/>
      <c r="K640" s="3"/>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2"/>
      <c r="J641" s="1"/>
      <c r="K641" s="3"/>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2"/>
      <c r="J642" s="1"/>
      <c r="K642" s="3"/>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2"/>
      <c r="J643" s="1"/>
      <c r="K643" s="3"/>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2"/>
      <c r="J644" s="1"/>
      <c r="K644" s="3"/>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2"/>
      <c r="J645" s="1"/>
      <c r="K645" s="3"/>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2"/>
      <c r="J646" s="1"/>
      <c r="K646" s="3"/>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2"/>
      <c r="J647" s="1"/>
      <c r="K647" s="3"/>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2"/>
      <c r="J648" s="1"/>
      <c r="K648" s="3"/>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2"/>
      <c r="J649" s="1"/>
      <c r="K649" s="3"/>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2"/>
      <c r="J650" s="1"/>
      <c r="K650" s="3"/>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2"/>
      <c r="J651" s="1"/>
      <c r="K651" s="3"/>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2"/>
      <c r="J652" s="1"/>
      <c r="K652" s="3"/>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2"/>
      <c r="J653" s="1"/>
      <c r="K653" s="3"/>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2"/>
      <c r="J654" s="1"/>
      <c r="K654" s="3"/>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2"/>
      <c r="J655" s="1"/>
      <c r="K655" s="3"/>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2"/>
      <c r="J656" s="1"/>
      <c r="K656" s="3"/>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2"/>
      <c r="J657" s="1"/>
      <c r="K657" s="3"/>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2"/>
      <c r="J658" s="1"/>
      <c r="K658" s="3"/>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2"/>
      <c r="J659" s="1"/>
      <c r="K659" s="3"/>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2"/>
      <c r="J660" s="1"/>
      <c r="K660" s="3"/>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2"/>
      <c r="J661" s="1"/>
      <c r="K661" s="3"/>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2"/>
      <c r="J662" s="1"/>
      <c r="K662" s="3"/>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2"/>
      <c r="J663" s="1"/>
      <c r="K663" s="3"/>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2"/>
      <c r="J664" s="1"/>
      <c r="K664" s="3"/>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2"/>
      <c r="J665" s="1"/>
      <c r="K665" s="3"/>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2"/>
      <c r="J666" s="1"/>
      <c r="K666" s="3"/>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2"/>
      <c r="J667" s="1"/>
      <c r="K667" s="3"/>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2"/>
      <c r="J668" s="1"/>
      <c r="K668" s="3"/>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2"/>
      <c r="J669" s="1"/>
      <c r="K669" s="3"/>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2"/>
      <c r="J670" s="1"/>
      <c r="K670" s="3"/>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2"/>
      <c r="J671" s="1"/>
      <c r="K671" s="3"/>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2"/>
      <c r="J672" s="1"/>
      <c r="K672" s="3"/>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2"/>
      <c r="J673" s="1"/>
      <c r="K673" s="3"/>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2"/>
      <c r="J674" s="1"/>
      <c r="K674" s="3"/>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2"/>
      <c r="J675" s="1"/>
      <c r="K675" s="3"/>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2"/>
      <c r="J676" s="1"/>
      <c r="K676" s="3"/>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2"/>
      <c r="J677" s="1"/>
      <c r="K677" s="3"/>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2"/>
      <c r="J678" s="1"/>
      <c r="K678" s="3"/>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2"/>
      <c r="J679" s="1"/>
      <c r="K679" s="3"/>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2"/>
      <c r="J680" s="1"/>
      <c r="K680" s="3"/>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2"/>
      <c r="J681" s="1"/>
      <c r="K681" s="3"/>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2"/>
      <c r="J682" s="1"/>
      <c r="K682" s="3"/>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2"/>
      <c r="J683" s="1"/>
      <c r="K683" s="3"/>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2"/>
      <c r="J684" s="1"/>
      <c r="K684" s="3"/>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2"/>
      <c r="J685" s="1"/>
      <c r="K685" s="3"/>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2"/>
      <c r="J686" s="1"/>
      <c r="K686" s="3"/>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2"/>
      <c r="J687" s="1"/>
      <c r="K687" s="3"/>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2"/>
      <c r="J688" s="1"/>
      <c r="K688" s="3"/>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2"/>
      <c r="J689" s="1"/>
      <c r="K689" s="3"/>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2"/>
      <c r="J690" s="1"/>
      <c r="K690" s="3"/>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2"/>
      <c r="J691" s="1"/>
      <c r="K691" s="3"/>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2"/>
      <c r="J692" s="1"/>
      <c r="K692" s="3"/>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2"/>
      <c r="J693" s="1"/>
      <c r="K693" s="3"/>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2"/>
      <c r="J694" s="1"/>
      <c r="K694" s="3"/>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2"/>
      <c r="J695" s="1"/>
      <c r="K695" s="3"/>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2"/>
      <c r="J696" s="1"/>
      <c r="K696" s="3"/>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2"/>
      <c r="J697" s="1"/>
      <c r="K697" s="3"/>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2"/>
      <c r="J698" s="1"/>
      <c r="K698" s="3"/>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2"/>
      <c r="J699" s="1"/>
      <c r="K699" s="3"/>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2"/>
      <c r="J700" s="1"/>
      <c r="K700" s="3"/>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2"/>
      <c r="J701" s="1"/>
      <c r="K701" s="3"/>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2"/>
      <c r="J702" s="1"/>
      <c r="K702" s="3"/>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2"/>
      <c r="J703" s="1"/>
      <c r="K703" s="3"/>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2"/>
      <c r="J704" s="1"/>
      <c r="K704" s="3"/>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2"/>
      <c r="J705" s="1"/>
      <c r="K705" s="3"/>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2"/>
      <c r="J706" s="1"/>
      <c r="K706" s="3"/>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2"/>
      <c r="J707" s="1"/>
      <c r="K707" s="3"/>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2"/>
      <c r="J708" s="1"/>
      <c r="K708" s="3"/>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2"/>
      <c r="J709" s="1"/>
      <c r="K709" s="3"/>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2"/>
      <c r="J710" s="1"/>
      <c r="K710" s="3"/>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2"/>
      <c r="J711" s="1"/>
      <c r="K711" s="3"/>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2"/>
      <c r="J712" s="1"/>
      <c r="K712" s="3"/>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2"/>
      <c r="J713" s="1"/>
      <c r="K713" s="3"/>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2"/>
      <c r="J714" s="1"/>
      <c r="K714" s="3"/>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2"/>
      <c r="J715" s="1"/>
      <c r="K715" s="3"/>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2"/>
      <c r="J716" s="1"/>
      <c r="K716" s="3"/>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2"/>
      <c r="J717" s="1"/>
      <c r="K717" s="3"/>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2"/>
      <c r="J718" s="1"/>
      <c r="K718" s="3"/>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2"/>
      <c r="J719" s="1"/>
      <c r="K719" s="3"/>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2"/>
      <c r="J720" s="1"/>
      <c r="K720" s="3"/>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2"/>
      <c r="J721" s="1"/>
      <c r="K721" s="3"/>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2"/>
      <c r="J722" s="1"/>
      <c r="K722" s="3"/>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2"/>
      <c r="J723" s="1"/>
      <c r="K723" s="3"/>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2"/>
      <c r="J724" s="1"/>
      <c r="K724" s="3"/>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2"/>
      <c r="J725" s="1"/>
      <c r="K725" s="3"/>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2"/>
      <c r="J726" s="1"/>
      <c r="K726" s="3"/>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2"/>
      <c r="J727" s="1"/>
      <c r="K727" s="3"/>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2"/>
      <c r="J728" s="1"/>
      <c r="K728" s="3"/>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2"/>
      <c r="J729" s="1"/>
      <c r="K729" s="3"/>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2"/>
      <c r="J730" s="1"/>
      <c r="K730" s="3"/>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2"/>
      <c r="J731" s="1"/>
      <c r="K731" s="3"/>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2"/>
      <c r="J732" s="1"/>
      <c r="K732" s="3"/>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2"/>
      <c r="J733" s="1"/>
      <c r="K733" s="3"/>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2"/>
      <c r="J734" s="1"/>
      <c r="K734" s="3"/>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2"/>
      <c r="J735" s="1"/>
      <c r="K735" s="3"/>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2"/>
      <c r="J736" s="1"/>
      <c r="K736" s="3"/>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2"/>
      <c r="J737" s="1"/>
      <c r="K737" s="3"/>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2"/>
      <c r="J738" s="1"/>
      <c r="K738" s="3"/>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2"/>
      <c r="J739" s="1"/>
      <c r="K739" s="3"/>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2"/>
      <c r="J740" s="1"/>
      <c r="K740" s="3"/>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2"/>
      <c r="J741" s="1"/>
      <c r="K741" s="3"/>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2"/>
      <c r="J742" s="1"/>
      <c r="K742" s="3"/>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2"/>
      <c r="J743" s="1"/>
      <c r="K743" s="3"/>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2"/>
      <c r="J744" s="1"/>
      <c r="K744" s="3"/>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2"/>
      <c r="J745" s="1"/>
      <c r="K745" s="3"/>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2"/>
      <c r="J746" s="1"/>
      <c r="K746" s="3"/>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2"/>
      <c r="J747" s="1"/>
      <c r="K747" s="3"/>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2"/>
      <c r="J748" s="1"/>
      <c r="K748" s="3"/>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2"/>
      <c r="J749" s="1"/>
      <c r="K749" s="3"/>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2"/>
      <c r="J750" s="1"/>
      <c r="K750" s="3"/>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2"/>
      <c r="J751" s="1"/>
      <c r="K751" s="3"/>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2"/>
      <c r="J752" s="1"/>
      <c r="K752" s="3"/>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2"/>
      <c r="J753" s="1"/>
      <c r="K753" s="3"/>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2"/>
      <c r="J754" s="1"/>
      <c r="K754" s="3"/>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2"/>
      <c r="J755" s="1"/>
      <c r="K755" s="3"/>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2"/>
      <c r="J756" s="1"/>
      <c r="K756" s="3"/>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2"/>
      <c r="J757" s="1"/>
      <c r="K757" s="3"/>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2"/>
      <c r="J758" s="1"/>
      <c r="K758" s="3"/>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2"/>
      <c r="J759" s="1"/>
      <c r="K759" s="3"/>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2"/>
      <c r="J760" s="1"/>
      <c r="K760" s="3"/>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2"/>
      <c r="J761" s="1"/>
      <c r="K761" s="3"/>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2"/>
      <c r="J762" s="1"/>
      <c r="K762" s="3"/>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2"/>
      <c r="J763" s="1"/>
      <c r="K763" s="3"/>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2"/>
      <c r="J764" s="1"/>
      <c r="K764" s="3"/>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2"/>
      <c r="J765" s="1"/>
      <c r="K765" s="3"/>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2"/>
      <c r="J766" s="1"/>
      <c r="K766" s="3"/>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2"/>
      <c r="J767" s="1"/>
      <c r="K767" s="3"/>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2"/>
      <c r="J768" s="1"/>
      <c r="K768" s="3"/>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2"/>
      <c r="J769" s="1"/>
      <c r="K769" s="3"/>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2"/>
      <c r="J770" s="1"/>
      <c r="K770" s="3"/>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2"/>
      <c r="J771" s="1"/>
      <c r="K771" s="3"/>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2"/>
      <c r="J772" s="1"/>
      <c r="K772" s="3"/>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2"/>
      <c r="J773" s="1"/>
      <c r="K773" s="3"/>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2"/>
      <c r="J774" s="1"/>
      <c r="K774" s="3"/>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2"/>
      <c r="J775" s="1"/>
      <c r="K775" s="3"/>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2"/>
      <c r="J776" s="1"/>
      <c r="K776" s="3"/>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2"/>
      <c r="J777" s="1"/>
      <c r="K777" s="3"/>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2"/>
      <c r="J778" s="1"/>
      <c r="K778" s="3"/>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2"/>
      <c r="J779" s="1"/>
      <c r="K779" s="3"/>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2"/>
      <c r="J780" s="1"/>
      <c r="K780" s="3"/>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2"/>
      <c r="J781" s="1"/>
      <c r="K781" s="3"/>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2"/>
      <c r="J782" s="1"/>
      <c r="K782" s="3"/>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2"/>
      <c r="J783" s="1"/>
      <c r="K783" s="3"/>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2"/>
      <c r="J784" s="1"/>
      <c r="K784" s="3"/>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2"/>
      <c r="J785" s="1"/>
      <c r="K785" s="3"/>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2"/>
      <c r="J786" s="1"/>
      <c r="K786" s="3"/>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2"/>
      <c r="J787" s="1"/>
      <c r="K787" s="3"/>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2"/>
      <c r="J788" s="1"/>
      <c r="K788" s="3"/>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2"/>
      <c r="J789" s="1"/>
      <c r="K789" s="3"/>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2"/>
      <c r="J790" s="1"/>
      <c r="K790" s="3"/>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2"/>
      <c r="J791" s="1"/>
      <c r="K791" s="3"/>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2"/>
      <c r="J792" s="1"/>
      <c r="K792" s="3"/>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2"/>
      <c r="J793" s="1"/>
      <c r="K793" s="3"/>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2"/>
      <c r="J794" s="1"/>
      <c r="K794" s="3"/>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2"/>
      <c r="J795" s="1"/>
      <c r="K795" s="3"/>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2"/>
      <c r="J796" s="1"/>
      <c r="K796" s="3"/>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2"/>
      <c r="J797" s="1"/>
      <c r="K797" s="3"/>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2"/>
      <c r="J798" s="1"/>
      <c r="K798" s="3"/>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2"/>
      <c r="J799" s="1"/>
      <c r="K799" s="3"/>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2"/>
      <c r="J800" s="1"/>
      <c r="K800" s="3"/>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2"/>
      <c r="J801" s="1"/>
      <c r="K801" s="3"/>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2"/>
      <c r="J802" s="1"/>
      <c r="K802" s="3"/>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2"/>
      <c r="J803" s="1"/>
      <c r="K803" s="3"/>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2"/>
      <c r="J804" s="1"/>
      <c r="K804" s="3"/>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2"/>
      <c r="J805" s="1"/>
      <c r="K805" s="3"/>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2"/>
      <c r="J806" s="1"/>
      <c r="K806" s="3"/>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2"/>
      <c r="J807" s="1"/>
      <c r="K807" s="3"/>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2"/>
      <c r="J808" s="1"/>
      <c r="K808" s="3"/>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2"/>
      <c r="J809" s="1"/>
      <c r="K809" s="3"/>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2"/>
      <c r="J810" s="1"/>
      <c r="K810" s="3"/>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2"/>
      <c r="J811" s="1"/>
      <c r="K811" s="3"/>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2"/>
      <c r="J812" s="1"/>
      <c r="K812" s="3"/>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2"/>
      <c r="J813" s="1"/>
      <c r="K813" s="3"/>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2"/>
      <c r="J814" s="1"/>
      <c r="K814" s="3"/>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2"/>
      <c r="J815" s="1"/>
      <c r="K815" s="3"/>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2"/>
      <c r="J816" s="1"/>
      <c r="K816" s="3"/>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2"/>
      <c r="J817" s="1"/>
      <c r="K817" s="3"/>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2"/>
      <c r="J818" s="1"/>
      <c r="K818" s="3"/>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2"/>
      <c r="J819" s="1"/>
      <c r="K819" s="3"/>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2"/>
      <c r="J820" s="1"/>
      <c r="K820" s="3"/>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2"/>
      <c r="J821" s="1"/>
      <c r="K821" s="3"/>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2"/>
      <c r="J822" s="1"/>
      <c r="K822" s="3"/>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2"/>
      <c r="J823" s="1"/>
      <c r="K823" s="3"/>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2"/>
      <c r="J824" s="1"/>
      <c r="K824" s="3"/>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2"/>
      <c r="J825" s="1"/>
      <c r="K825" s="3"/>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2"/>
      <c r="J826" s="1"/>
      <c r="K826" s="3"/>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2"/>
      <c r="J827" s="1"/>
      <c r="K827" s="3"/>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2"/>
      <c r="J828" s="1"/>
      <c r="K828" s="3"/>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2"/>
      <c r="J829" s="1"/>
      <c r="K829" s="3"/>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2"/>
      <c r="J830" s="1"/>
      <c r="K830" s="3"/>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2"/>
      <c r="J831" s="1"/>
      <c r="K831" s="3"/>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2"/>
      <c r="J832" s="1"/>
      <c r="K832" s="3"/>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2"/>
      <c r="J833" s="1"/>
      <c r="K833" s="3"/>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2"/>
      <c r="J834" s="1"/>
      <c r="K834" s="3"/>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2"/>
      <c r="J835" s="1"/>
      <c r="K835" s="3"/>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2"/>
      <c r="J836" s="1"/>
      <c r="K836" s="3"/>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2"/>
      <c r="J837" s="1"/>
      <c r="K837" s="3"/>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2"/>
      <c r="J838" s="1"/>
      <c r="K838" s="3"/>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2"/>
      <c r="J839" s="1"/>
      <c r="K839" s="3"/>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2"/>
      <c r="J840" s="1"/>
      <c r="K840" s="3"/>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2"/>
      <c r="J841" s="1"/>
      <c r="K841" s="3"/>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2"/>
      <c r="J842" s="1"/>
      <c r="K842" s="3"/>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2"/>
      <c r="J843" s="1"/>
      <c r="K843" s="3"/>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2"/>
      <c r="J844" s="1"/>
      <c r="K844" s="3"/>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2"/>
      <c r="J845" s="1"/>
      <c r="K845" s="3"/>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2"/>
      <c r="J846" s="1"/>
      <c r="K846" s="3"/>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2"/>
      <c r="J847" s="1"/>
      <c r="K847" s="3"/>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2"/>
      <c r="J848" s="1"/>
      <c r="K848" s="3"/>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2"/>
      <c r="J849" s="1"/>
      <c r="K849" s="3"/>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2"/>
      <c r="J850" s="1"/>
      <c r="K850" s="3"/>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2"/>
      <c r="J851" s="1"/>
      <c r="K851" s="3"/>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2"/>
      <c r="J852" s="1"/>
      <c r="K852" s="3"/>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2"/>
      <c r="J853" s="1"/>
      <c r="K853" s="3"/>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2"/>
      <c r="J854" s="1"/>
      <c r="K854" s="3"/>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2"/>
      <c r="J855" s="1"/>
      <c r="K855" s="3"/>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2"/>
      <c r="J856" s="1"/>
      <c r="K856" s="3"/>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2"/>
      <c r="J857" s="1"/>
      <c r="K857" s="3"/>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2"/>
      <c r="J858" s="1"/>
      <c r="K858" s="3"/>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2"/>
      <c r="J859" s="1"/>
      <c r="K859" s="3"/>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2"/>
      <c r="J860" s="1"/>
      <c r="K860" s="3"/>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2"/>
      <c r="J861" s="1"/>
      <c r="K861" s="3"/>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2"/>
      <c r="J862" s="1"/>
      <c r="K862" s="3"/>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2"/>
      <c r="J863" s="1"/>
      <c r="K863" s="3"/>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2"/>
      <c r="J864" s="1"/>
      <c r="K864" s="3"/>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2"/>
      <c r="J865" s="1"/>
      <c r="K865" s="3"/>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2"/>
      <c r="J866" s="1"/>
      <c r="K866" s="3"/>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2"/>
      <c r="J867" s="1"/>
      <c r="K867" s="3"/>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2"/>
      <c r="J868" s="1"/>
      <c r="K868" s="3"/>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2"/>
      <c r="J869" s="1"/>
      <c r="K869" s="3"/>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2"/>
      <c r="J870" s="1"/>
      <c r="K870" s="3"/>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2"/>
      <c r="J871" s="1"/>
      <c r="K871" s="3"/>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2"/>
      <c r="J872" s="1"/>
      <c r="K872" s="3"/>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2"/>
      <c r="J873" s="1"/>
      <c r="K873" s="3"/>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2"/>
      <c r="J874" s="1"/>
      <c r="K874" s="3"/>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2"/>
      <c r="J875" s="1"/>
      <c r="K875" s="3"/>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2"/>
      <c r="J876" s="1"/>
      <c r="K876" s="3"/>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2"/>
      <c r="J877" s="1"/>
      <c r="K877" s="3"/>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2"/>
      <c r="J878" s="1"/>
      <c r="K878" s="3"/>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2"/>
      <c r="J879" s="1"/>
      <c r="K879" s="3"/>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2"/>
      <c r="J880" s="1"/>
      <c r="K880" s="3"/>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2"/>
      <c r="J881" s="1"/>
      <c r="K881" s="3"/>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2"/>
      <c r="J882" s="1"/>
      <c r="K882" s="3"/>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2"/>
      <c r="J883" s="1"/>
      <c r="K883" s="3"/>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2"/>
      <c r="J884" s="1"/>
      <c r="K884" s="3"/>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2"/>
      <c r="J885" s="1"/>
      <c r="K885" s="3"/>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2"/>
      <c r="J886" s="1"/>
      <c r="K886" s="3"/>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2"/>
      <c r="J887" s="1"/>
      <c r="K887" s="3"/>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2"/>
      <c r="J888" s="1"/>
      <c r="K888" s="3"/>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2"/>
      <c r="J889" s="1"/>
      <c r="K889" s="3"/>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2"/>
      <c r="J890" s="1"/>
      <c r="K890" s="3"/>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2"/>
      <c r="J891" s="1"/>
      <c r="K891" s="3"/>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2"/>
      <c r="J892" s="1"/>
      <c r="K892" s="3"/>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2"/>
      <c r="J893" s="1"/>
      <c r="K893" s="3"/>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2"/>
      <c r="J894" s="1"/>
      <c r="K894" s="3"/>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2"/>
      <c r="J895" s="1"/>
      <c r="K895" s="3"/>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2"/>
      <c r="J896" s="1"/>
      <c r="K896" s="3"/>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2"/>
      <c r="J897" s="1"/>
      <c r="K897" s="3"/>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2"/>
      <c r="J898" s="1"/>
      <c r="K898" s="3"/>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2"/>
      <c r="J899" s="1"/>
      <c r="K899" s="3"/>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2"/>
      <c r="J900" s="1"/>
      <c r="K900" s="3"/>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2"/>
      <c r="J901" s="1"/>
      <c r="K901" s="3"/>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2"/>
      <c r="J902" s="1"/>
      <c r="K902" s="3"/>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2"/>
      <c r="J903" s="1"/>
      <c r="K903" s="3"/>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2"/>
      <c r="J904" s="1"/>
      <c r="K904" s="3"/>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2"/>
      <c r="J905" s="1"/>
      <c r="K905" s="3"/>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2"/>
      <c r="J906" s="1"/>
      <c r="K906" s="3"/>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2"/>
      <c r="J907" s="1"/>
      <c r="K907" s="3"/>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2"/>
      <c r="J908" s="1"/>
      <c r="K908" s="3"/>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2"/>
      <c r="J909" s="1"/>
      <c r="K909" s="3"/>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2"/>
      <c r="J910" s="1"/>
      <c r="K910" s="3"/>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2"/>
      <c r="J911" s="1"/>
      <c r="K911" s="3"/>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2"/>
      <c r="J912" s="1"/>
      <c r="K912" s="3"/>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2"/>
      <c r="J913" s="1"/>
      <c r="K913" s="3"/>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2"/>
      <c r="J914" s="1"/>
      <c r="K914" s="3"/>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2"/>
      <c r="J915" s="1"/>
      <c r="K915" s="3"/>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2"/>
      <c r="J916" s="1"/>
      <c r="K916" s="3"/>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2"/>
      <c r="J917" s="1"/>
      <c r="K917" s="3"/>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2"/>
      <c r="J918" s="1"/>
      <c r="K918" s="3"/>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2"/>
      <c r="J919" s="1"/>
      <c r="K919" s="3"/>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2"/>
      <c r="J920" s="1"/>
      <c r="K920" s="3"/>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2"/>
      <c r="J921" s="1"/>
      <c r="K921" s="3"/>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2"/>
      <c r="J922" s="1"/>
      <c r="K922" s="3"/>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2"/>
      <c r="J923" s="1"/>
      <c r="K923" s="3"/>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2"/>
      <c r="J924" s="1"/>
      <c r="K924" s="3"/>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2"/>
      <c r="J925" s="1"/>
      <c r="K925" s="3"/>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2"/>
      <c r="J926" s="1"/>
      <c r="K926" s="3"/>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2"/>
      <c r="J927" s="1"/>
      <c r="K927" s="3"/>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2"/>
      <c r="J928" s="1"/>
      <c r="K928" s="3"/>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2"/>
      <c r="J929" s="1"/>
      <c r="K929" s="3"/>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2"/>
      <c r="J930" s="1"/>
      <c r="K930" s="3"/>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2"/>
      <c r="J931" s="1"/>
      <c r="K931" s="3"/>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2"/>
      <c r="J932" s="1"/>
      <c r="K932" s="3"/>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2"/>
      <c r="J933" s="1"/>
      <c r="K933" s="3"/>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2"/>
      <c r="J934" s="1"/>
      <c r="K934" s="3"/>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2"/>
      <c r="J935" s="1"/>
      <c r="K935" s="3"/>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2"/>
      <c r="J936" s="1"/>
      <c r="K936" s="3"/>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2"/>
      <c r="J937" s="1"/>
      <c r="K937" s="3"/>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2"/>
      <c r="J938" s="1"/>
      <c r="K938" s="3"/>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2"/>
      <c r="J939" s="1"/>
      <c r="K939" s="3"/>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2"/>
      <c r="J940" s="1"/>
      <c r="K940" s="3"/>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2"/>
      <c r="J941" s="1"/>
      <c r="K941" s="3"/>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2"/>
      <c r="J942" s="1"/>
      <c r="K942" s="3"/>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2"/>
      <c r="J943" s="1"/>
      <c r="K943" s="3"/>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2"/>
      <c r="J944" s="1"/>
      <c r="K944" s="3"/>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2"/>
      <c r="J945" s="1"/>
      <c r="K945" s="3"/>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2"/>
      <c r="J946" s="1"/>
      <c r="K946" s="3"/>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2"/>
      <c r="J947" s="1"/>
      <c r="K947" s="3"/>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2"/>
      <c r="J948" s="1"/>
      <c r="K948" s="3"/>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2"/>
      <c r="J949" s="1"/>
      <c r="K949" s="3"/>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2"/>
      <c r="J950" s="1"/>
      <c r="K950" s="3"/>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2"/>
      <c r="J951" s="1"/>
      <c r="K951" s="3"/>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2"/>
      <c r="J952" s="1"/>
      <c r="K952" s="3"/>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2"/>
      <c r="J953" s="1"/>
      <c r="K953" s="3"/>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2"/>
      <c r="J954" s="1"/>
      <c r="K954" s="3"/>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2"/>
      <c r="J955" s="1"/>
      <c r="K955" s="3"/>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2"/>
      <c r="J956" s="1"/>
      <c r="K956" s="3"/>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2"/>
      <c r="J957" s="1"/>
      <c r="K957" s="3"/>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2"/>
      <c r="J958" s="1"/>
      <c r="K958" s="3"/>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2"/>
      <c r="J959" s="1"/>
      <c r="K959" s="3"/>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2"/>
      <c r="J960" s="1"/>
      <c r="K960" s="3"/>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2"/>
      <c r="J961" s="1"/>
      <c r="K961" s="3"/>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2"/>
      <c r="J962" s="1"/>
      <c r="K962" s="3"/>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2"/>
      <c r="J963" s="1"/>
      <c r="K963" s="3"/>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2"/>
      <c r="J964" s="1"/>
      <c r="K964" s="3"/>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2"/>
      <c r="J965" s="1"/>
      <c r="K965" s="3"/>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2"/>
      <c r="J966" s="1"/>
      <c r="K966" s="3"/>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2"/>
      <c r="J967" s="1"/>
      <c r="K967" s="3"/>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2"/>
      <c r="J968" s="1"/>
      <c r="K968" s="3"/>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2"/>
      <c r="J969" s="1"/>
      <c r="K969" s="3"/>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2"/>
      <c r="J970" s="1"/>
      <c r="K970" s="3"/>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2"/>
      <c r="J971" s="1"/>
      <c r="K971" s="3"/>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2"/>
      <c r="J972" s="1"/>
      <c r="K972" s="3"/>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2"/>
      <c r="J973" s="1"/>
      <c r="K973" s="3"/>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2"/>
      <c r="J974" s="1"/>
      <c r="K974" s="3"/>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2"/>
      <c r="J975" s="1"/>
      <c r="K975" s="3"/>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2"/>
      <c r="J976" s="1"/>
      <c r="K976" s="3"/>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2"/>
      <c r="J977" s="1"/>
      <c r="K977" s="3"/>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2"/>
      <c r="J978" s="1"/>
      <c r="K978" s="3"/>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2"/>
      <c r="J979" s="1"/>
      <c r="K979" s="3"/>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2"/>
      <c r="J980" s="1"/>
      <c r="K980" s="3"/>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2"/>
      <c r="J981" s="1"/>
      <c r="K981" s="3"/>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2"/>
      <c r="J982" s="1"/>
      <c r="K982" s="3"/>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2"/>
      <c r="J983" s="1"/>
      <c r="K983" s="3"/>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2"/>
      <c r="J984" s="1"/>
      <c r="K984" s="3"/>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2"/>
      <c r="J985" s="1"/>
      <c r="K985" s="3"/>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2"/>
      <c r="J986" s="1"/>
      <c r="K986" s="3"/>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2"/>
      <c r="J987" s="1"/>
      <c r="K987" s="3"/>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2"/>
      <c r="J988" s="1"/>
      <c r="K988" s="3"/>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2"/>
      <c r="J989" s="1"/>
      <c r="K989" s="3"/>
      <c r="L989" s="1"/>
      <c r="M989" s="1"/>
      <c r="N989" s="1"/>
      <c r="O989" s="1"/>
      <c r="P989" s="1"/>
      <c r="Q989" s="1"/>
      <c r="R989" s="1"/>
      <c r="S989" s="1"/>
      <c r="T989" s="1"/>
      <c r="U989" s="1"/>
      <c r="V989" s="1"/>
      <c r="W989" s="1"/>
      <c r="X989" s="1"/>
      <c r="Y989" s="1"/>
      <c r="Z989" s="1"/>
      <c r="AA989" s="1"/>
      <c r="AB989" s="1"/>
      <c r="AC989" s="1"/>
    </row>
  </sheetData>
  <autoFilter ref="$A$2:$M$44"/>
  <hyperlinks>
    <hyperlink r:id="rId1" ref="I16"/>
    <hyperlink r:id="rId2" ref="I37"/>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25"/>
    <col customWidth="1" min="2" max="2" width="20.63"/>
    <col customWidth="1" min="3" max="4" width="26.38"/>
    <col customWidth="1" min="5" max="5" width="8.63"/>
    <col customWidth="1" min="6" max="6" width="10.63"/>
    <col customWidth="1" min="7" max="7" width="11.0"/>
  </cols>
  <sheetData>
    <row r="1">
      <c r="A1" s="4"/>
      <c r="B1" s="4"/>
      <c r="C1" s="4"/>
      <c r="D1" s="4"/>
      <c r="E1" s="4"/>
      <c r="F1" s="3"/>
      <c r="G1" s="31">
        <f>SUBTOTAL(9,G2:G1006)</f>
        <v>6720900</v>
      </c>
      <c r="H1" s="4"/>
      <c r="I1" s="4"/>
      <c r="J1" s="4"/>
      <c r="K1" s="3"/>
      <c r="L1" s="3"/>
      <c r="M1" s="4"/>
      <c r="N1" s="1"/>
      <c r="O1" s="1"/>
      <c r="P1" s="1"/>
      <c r="Q1" s="1"/>
      <c r="R1" s="1"/>
      <c r="S1" s="1"/>
      <c r="T1" s="1"/>
      <c r="U1" s="1"/>
      <c r="V1" s="1"/>
      <c r="W1" s="1"/>
      <c r="X1" s="1"/>
      <c r="Y1" s="1"/>
      <c r="Z1" s="1"/>
      <c r="AA1" s="1"/>
      <c r="AB1" s="1"/>
      <c r="AC1" s="1"/>
    </row>
    <row r="2">
      <c r="A2" s="33" t="s">
        <v>247</v>
      </c>
      <c r="B2" s="33" t="s">
        <v>41</v>
      </c>
      <c r="C2" s="33" t="s">
        <v>40</v>
      </c>
      <c r="D2" s="33" t="s">
        <v>315</v>
      </c>
      <c r="E2" s="33" t="s">
        <v>316</v>
      </c>
      <c r="F2" s="33" t="s">
        <v>42</v>
      </c>
      <c r="G2" s="33" t="s">
        <v>317</v>
      </c>
      <c r="H2" s="33" t="s">
        <v>318</v>
      </c>
      <c r="I2" s="33" t="s">
        <v>348</v>
      </c>
      <c r="J2" s="33" t="s">
        <v>349</v>
      </c>
      <c r="K2" s="33" t="s">
        <v>350</v>
      </c>
      <c r="L2" s="33" t="s">
        <v>322</v>
      </c>
      <c r="M2" s="33" t="s">
        <v>323</v>
      </c>
      <c r="N2" s="1"/>
      <c r="O2" s="1"/>
      <c r="P2" s="1"/>
      <c r="Q2" s="1"/>
      <c r="R2" s="1"/>
      <c r="S2" s="1"/>
      <c r="T2" s="1"/>
      <c r="U2" s="1"/>
      <c r="V2" s="1"/>
      <c r="W2" s="1"/>
      <c r="X2" s="1"/>
      <c r="Y2" s="1"/>
      <c r="Z2" s="1"/>
      <c r="AA2" s="1"/>
      <c r="AB2" s="1"/>
      <c r="AC2" s="1"/>
    </row>
    <row r="3">
      <c r="A3" s="4" t="s">
        <v>258</v>
      </c>
      <c r="B3" s="4" t="s">
        <v>259</v>
      </c>
      <c r="C3" s="4" t="s">
        <v>351</v>
      </c>
      <c r="D3" s="4" t="s">
        <v>351</v>
      </c>
      <c r="E3" s="4">
        <v>1.0</v>
      </c>
      <c r="F3" s="3">
        <v>3000000.0</v>
      </c>
      <c r="G3" s="2">
        <f t="shared" ref="G3:G50" si="1">F3*E3</f>
        <v>3000000</v>
      </c>
      <c r="H3" s="35"/>
      <c r="I3" s="35"/>
      <c r="J3" s="4"/>
      <c r="K3" s="3"/>
      <c r="L3" s="36">
        <f t="shared" ref="L3:L50" si="2">K3*E3</f>
        <v>0</v>
      </c>
      <c r="M3" s="4"/>
      <c r="N3" s="1"/>
      <c r="O3" s="1"/>
      <c r="P3" s="1"/>
      <c r="Q3" s="1"/>
      <c r="R3" s="1"/>
      <c r="S3" s="1"/>
      <c r="T3" s="1"/>
      <c r="U3" s="1"/>
      <c r="V3" s="1"/>
      <c r="W3" s="1"/>
      <c r="X3" s="1"/>
      <c r="Y3" s="1"/>
      <c r="Z3" s="1"/>
      <c r="AA3" s="1"/>
      <c r="AB3" s="1"/>
      <c r="AC3" s="1"/>
    </row>
    <row r="4">
      <c r="A4" s="4" t="s">
        <v>258</v>
      </c>
      <c r="B4" s="4" t="s">
        <v>260</v>
      </c>
      <c r="C4" s="4" t="s">
        <v>352</v>
      </c>
      <c r="D4" s="4" t="s">
        <v>353</v>
      </c>
      <c r="E4" s="4">
        <v>1.0</v>
      </c>
      <c r="F4" s="3">
        <v>76000.0</v>
      </c>
      <c r="G4" s="2">
        <f t="shared" si="1"/>
        <v>76000</v>
      </c>
      <c r="H4" s="40" t="s">
        <v>354</v>
      </c>
      <c r="I4" s="1"/>
      <c r="J4" s="4"/>
      <c r="K4" s="3"/>
      <c r="L4" s="36">
        <f t="shared" si="2"/>
        <v>0</v>
      </c>
      <c r="M4" s="35"/>
      <c r="N4" s="1"/>
      <c r="O4" s="1"/>
      <c r="P4" s="1"/>
      <c r="Q4" s="1"/>
      <c r="R4" s="1"/>
      <c r="S4" s="1"/>
      <c r="T4" s="1"/>
      <c r="U4" s="1"/>
      <c r="V4" s="1"/>
      <c r="W4" s="1"/>
      <c r="X4" s="1"/>
      <c r="Y4" s="1"/>
      <c r="Z4" s="1"/>
      <c r="AA4" s="1"/>
      <c r="AB4" s="1"/>
      <c r="AC4" s="1"/>
    </row>
    <row r="5">
      <c r="A5" s="4" t="s">
        <v>258</v>
      </c>
      <c r="B5" s="4" t="s">
        <v>261</v>
      </c>
      <c r="C5" s="4" t="s">
        <v>339</v>
      </c>
      <c r="D5" s="4" t="s">
        <v>339</v>
      </c>
      <c r="E5" s="4">
        <v>1.0</v>
      </c>
      <c r="F5" s="3">
        <v>5000.0</v>
      </c>
      <c r="G5" s="2">
        <f t="shared" si="1"/>
        <v>5000</v>
      </c>
      <c r="H5" s="35"/>
      <c r="I5" s="1"/>
      <c r="J5" s="1"/>
      <c r="K5" s="3"/>
      <c r="L5" s="2">
        <f t="shared" si="2"/>
        <v>0</v>
      </c>
      <c r="M5" s="1"/>
      <c r="N5" s="1"/>
      <c r="O5" s="1"/>
      <c r="P5" s="1"/>
      <c r="Q5" s="1"/>
      <c r="R5" s="1"/>
      <c r="S5" s="1"/>
      <c r="T5" s="1"/>
      <c r="U5" s="1"/>
      <c r="V5" s="1"/>
      <c r="W5" s="1"/>
      <c r="X5" s="1"/>
      <c r="Y5" s="1"/>
      <c r="Z5" s="1"/>
      <c r="AA5" s="1"/>
      <c r="AB5" s="1"/>
      <c r="AC5" s="1"/>
    </row>
    <row r="6">
      <c r="A6" s="4" t="s">
        <v>258</v>
      </c>
      <c r="B6" s="4" t="s">
        <v>263</v>
      </c>
      <c r="C6" s="4" t="s">
        <v>355</v>
      </c>
      <c r="D6" s="4" t="s">
        <v>263</v>
      </c>
      <c r="E6" s="4">
        <v>30.0</v>
      </c>
      <c r="F6" s="3">
        <v>60000.0</v>
      </c>
      <c r="G6" s="2">
        <f t="shared" si="1"/>
        <v>1800000</v>
      </c>
      <c r="H6" s="4"/>
      <c r="I6" s="1"/>
      <c r="J6" s="1"/>
      <c r="K6" s="3"/>
      <c r="L6" s="36">
        <f t="shared" si="2"/>
        <v>0</v>
      </c>
      <c r="M6" s="1"/>
      <c r="N6" s="1"/>
      <c r="O6" s="1"/>
      <c r="P6" s="1"/>
      <c r="Q6" s="1"/>
      <c r="R6" s="1"/>
      <c r="S6" s="1"/>
      <c r="T6" s="1"/>
      <c r="U6" s="1"/>
      <c r="V6" s="1"/>
      <c r="W6" s="1"/>
      <c r="X6" s="1"/>
      <c r="Y6" s="1"/>
      <c r="Z6" s="1"/>
      <c r="AA6" s="1"/>
      <c r="AB6" s="1"/>
      <c r="AC6" s="1"/>
    </row>
    <row r="7">
      <c r="A7" s="4" t="s">
        <v>258</v>
      </c>
      <c r="B7" s="4" t="s">
        <v>262</v>
      </c>
      <c r="C7" s="4" t="s">
        <v>356</v>
      </c>
      <c r="D7" s="4" t="s">
        <v>357</v>
      </c>
      <c r="E7" s="4">
        <v>30.0</v>
      </c>
      <c r="F7" s="3">
        <v>60000.0</v>
      </c>
      <c r="G7" s="2">
        <f t="shared" si="1"/>
        <v>1800000</v>
      </c>
      <c r="H7" s="4"/>
      <c r="I7" s="1"/>
      <c r="J7" s="1"/>
      <c r="K7" s="3"/>
      <c r="L7" s="36">
        <f t="shared" si="2"/>
        <v>0</v>
      </c>
      <c r="M7" s="1"/>
      <c r="N7" s="1"/>
      <c r="O7" s="1"/>
      <c r="P7" s="1"/>
      <c r="Q7" s="1"/>
      <c r="R7" s="1"/>
      <c r="S7" s="1"/>
      <c r="T7" s="1"/>
      <c r="U7" s="1"/>
      <c r="V7" s="1"/>
      <c r="W7" s="1"/>
      <c r="X7" s="1"/>
      <c r="Y7" s="1"/>
      <c r="Z7" s="1"/>
      <c r="AA7" s="1"/>
      <c r="AB7" s="1"/>
      <c r="AC7" s="1"/>
    </row>
    <row r="8">
      <c r="A8" s="4" t="s">
        <v>258</v>
      </c>
      <c r="B8" s="4" t="s">
        <v>25</v>
      </c>
      <c r="C8" s="4" t="s">
        <v>157</v>
      </c>
      <c r="D8" s="4" t="s">
        <v>157</v>
      </c>
      <c r="E8" s="4">
        <v>1.0</v>
      </c>
      <c r="F8" s="3">
        <v>39900.0</v>
      </c>
      <c r="G8" s="2">
        <f t="shared" si="1"/>
        <v>39900</v>
      </c>
      <c r="H8" s="35"/>
      <c r="I8" s="1"/>
      <c r="J8" s="1"/>
      <c r="K8" s="3"/>
      <c r="L8" s="36">
        <f t="shared" si="2"/>
        <v>0</v>
      </c>
      <c r="M8" s="1"/>
      <c r="N8" s="1"/>
      <c r="O8" s="1"/>
      <c r="P8" s="1"/>
      <c r="Q8" s="1"/>
      <c r="R8" s="1"/>
      <c r="S8" s="1"/>
      <c r="T8" s="1"/>
      <c r="U8" s="1"/>
      <c r="V8" s="1"/>
      <c r="W8" s="1"/>
      <c r="X8" s="1"/>
      <c r="Y8" s="1"/>
      <c r="Z8" s="1"/>
      <c r="AA8" s="1"/>
      <c r="AB8" s="1"/>
      <c r="AC8" s="1"/>
    </row>
    <row r="9">
      <c r="A9" s="4"/>
      <c r="B9" s="4"/>
      <c r="C9" s="4"/>
      <c r="D9" s="4"/>
      <c r="E9" s="4"/>
      <c r="F9" s="3"/>
      <c r="G9" s="2">
        <f t="shared" si="1"/>
        <v>0</v>
      </c>
      <c r="H9" s="4"/>
      <c r="I9" s="1"/>
      <c r="J9" s="1"/>
      <c r="K9" s="3"/>
      <c r="L9" s="36">
        <f t="shared" si="2"/>
        <v>0</v>
      </c>
      <c r="M9" s="1"/>
      <c r="N9" s="1"/>
      <c r="O9" s="1"/>
      <c r="P9" s="1"/>
      <c r="Q9" s="1"/>
      <c r="R9" s="1"/>
      <c r="S9" s="1"/>
      <c r="T9" s="1"/>
      <c r="U9" s="1"/>
      <c r="V9" s="1"/>
      <c r="W9" s="1"/>
      <c r="X9" s="1"/>
      <c r="Y9" s="1"/>
      <c r="Z9" s="1"/>
      <c r="AA9" s="1"/>
      <c r="AB9" s="1"/>
      <c r="AC9" s="1"/>
    </row>
    <row r="10">
      <c r="A10" s="4"/>
      <c r="B10" s="4"/>
      <c r="C10" s="4"/>
      <c r="D10" s="4"/>
      <c r="E10" s="4"/>
      <c r="F10" s="3"/>
      <c r="G10" s="2">
        <f t="shared" si="1"/>
        <v>0</v>
      </c>
      <c r="H10" s="35"/>
      <c r="I10" s="1"/>
      <c r="J10" s="1"/>
      <c r="K10" s="3"/>
      <c r="L10" s="36">
        <f t="shared" si="2"/>
        <v>0</v>
      </c>
      <c r="M10" s="1"/>
      <c r="N10" s="1"/>
      <c r="O10" s="1"/>
      <c r="P10" s="1"/>
      <c r="Q10" s="1"/>
      <c r="R10" s="1"/>
      <c r="S10" s="1"/>
      <c r="T10" s="1"/>
      <c r="U10" s="1"/>
      <c r="V10" s="1"/>
      <c r="W10" s="1"/>
      <c r="X10" s="1"/>
      <c r="Y10" s="1"/>
      <c r="Z10" s="1"/>
      <c r="AA10" s="1"/>
      <c r="AB10" s="1"/>
      <c r="AC10" s="1"/>
    </row>
    <row r="11">
      <c r="A11" s="4"/>
      <c r="B11" s="4"/>
      <c r="C11" s="4"/>
      <c r="D11" s="4"/>
      <c r="E11" s="4"/>
      <c r="F11" s="3"/>
      <c r="G11" s="2">
        <f t="shared" si="1"/>
        <v>0</v>
      </c>
      <c r="H11" s="35"/>
      <c r="I11" s="1"/>
      <c r="J11" s="1"/>
      <c r="K11" s="3"/>
      <c r="L11" s="36">
        <f t="shared" si="2"/>
        <v>0</v>
      </c>
      <c r="M11" s="1"/>
      <c r="N11" s="1"/>
      <c r="O11" s="1"/>
      <c r="P11" s="1"/>
      <c r="Q11" s="1"/>
      <c r="R11" s="1"/>
      <c r="S11" s="1"/>
      <c r="T11" s="1"/>
      <c r="U11" s="1"/>
      <c r="V11" s="1"/>
      <c r="W11" s="1"/>
      <c r="X11" s="1"/>
      <c r="Y11" s="1"/>
      <c r="Z11" s="1"/>
      <c r="AA11" s="1"/>
      <c r="AB11" s="1"/>
      <c r="AC11" s="1"/>
    </row>
    <row r="12">
      <c r="A12" s="4"/>
      <c r="B12" s="4"/>
      <c r="C12" s="4"/>
      <c r="D12" s="4"/>
      <c r="E12" s="4"/>
      <c r="F12" s="3"/>
      <c r="G12" s="2">
        <f t="shared" si="1"/>
        <v>0</v>
      </c>
      <c r="H12" s="35"/>
      <c r="I12" s="1"/>
      <c r="J12" s="1"/>
      <c r="K12" s="3"/>
      <c r="L12" s="36">
        <f t="shared" si="2"/>
        <v>0</v>
      </c>
      <c r="M12" s="1"/>
      <c r="N12" s="1"/>
      <c r="O12" s="1"/>
      <c r="P12" s="1"/>
      <c r="Q12" s="1"/>
      <c r="R12" s="1"/>
      <c r="S12" s="1"/>
      <c r="T12" s="1"/>
      <c r="U12" s="1"/>
      <c r="V12" s="1"/>
      <c r="W12" s="1"/>
      <c r="X12" s="1"/>
      <c r="Y12" s="1"/>
      <c r="Z12" s="1"/>
      <c r="AA12" s="1"/>
      <c r="AB12" s="1"/>
      <c r="AC12" s="1"/>
    </row>
    <row r="13">
      <c r="A13" s="4"/>
      <c r="B13" s="4"/>
      <c r="C13" s="4"/>
      <c r="D13" s="4"/>
      <c r="E13" s="4"/>
      <c r="F13" s="3"/>
      <c r="G13" s="2">
        <f t="shared" si="1"/>
        <v>0</v>
      </c>
      <c r="H13" s="35"/>
      <c r="I13" s="1"/>
      <c r="J13" s="1"/>
      <c r="K13" s="3"/>
      <c r="L13" s="36">
        <f t="shared" si="2"/>
        <v>0</v>
      </c>
      <c r="M13" s="1"/>
      <c r="N13" s="1"/>
      <c r="O13" s="1"/>
      <c r="P13" s="1"/>
      <c r="Q13" s="1"/>
      <c r="R13" s="1"/>
      <c r="S13" s="1"/>
      <c r="T13" s="1"/>
      <c r="U13" s="1"/>
      <c r="V13" s="1"/>
      <c r="W13" s="1"/>
      <c r="X13" s="1"/>
      <c r="Y13" s="1"/>
      <c r="Z13" s="1"/>
      <c r="AA13" s="1"/>
      <c r="AB13" s="1"/>
      <c r="AC13" s="1"/>
    </row>
    <row r="14">
      <c r="A14" s="4"/>
      <c r="B14" s="4"/>
      <c r="C14" s="4"/>
      <c r="D14" s="4"/>
      <c r="E14" s="4"/>
      <c r="F14" s="3"/>
      <c r="G14" s="2">
        <f t="shared" si="1"/>
        <v>0</v>
      </c>
      <c r="H14" s="35"/>
      <c r="I14" s="1"/>
      <c r="J14" s="1"/>
      <c r="K14" s="3"/>
      <c r="L14" s="36">
        <f t="shared" si="2"/>
        <v>0</v>
      </c>
      <c r="M14" s="1"/>
      <c r="N14" s="1"/>
      <c r="O14" s="1"/>
      <c r="P14" s="1"/>
      <c r="Q14" s="1"/>
      <c r="R14" s="1"/>
      <c r="S14" s="1"/>
      <c r="T14" s="1"/>
      <c r="U14" s="1"/>
      <c r="V14" s="1"/>
      <c r="W14" s="1"/>
      <c r="X14" s="1"/>
      <c r="Y14" s="1"/>
      <c r="Z14" s="1"/>
      <c r="AA14" s="1"/>
      <c r="AB14" s="1"/>
      <c r="AC14" s="1"/>
    </row>
    <row r="15">
      <c r="A15" s="4"/>
      <c r="B15" s="4"/>
      <c r="C15" s="4"/>
      <c r="D15" s="4"/>
      <c r="E15" s="4"/>
      <c r="F15" s="3"/>
      <c r="G15" s="2">
        <f t="shared" si="1"/>
        <v>0</v>
      </c>
      <c r="H15" s="35"/>
      <c r="I15" s="1"/>
      <c r="J15" s="1"/>
      <c r="K15" s="3"/>
      <c r="L15" s="36">
        <f t="shared" si="2"/>
        <v>0</v>
      </c>
      <c r="M15" s="1"/>
      <c r="N15" s="1"/>
      <c r="O15" s="1"/>
      <c r="P15" s="1"/>
      <c r="Q15" s="1"/>
      <c r="R15" s="1"/>
      <c r="S15" s="1"/>
      <c r="T15" s="1"/>
      <c r="U15" s="1"/>
      <c r="V15" s="1"/>
      <c r="W15" s="1"/>
      <c r="X15" s="1"/>
      <c r="Y15" s="1"/>
      <c r="Z15" s="1"/>
      <c r="AA15" s="1"/>
      <c r="AB15" s="1"/>
      <c r="AC15" s="1"/>
    </row>
    <row r="16">
      <c r="A16" s="4"/>
      <c r="B16" s="4"/>
      <c r="C16" s="4"/>
      <c r="D16" s="4"/>
      <c r="E16" s="4"/>
      <c r="F16" s="3"/>
      <c r="G16" s="2">
        <f t="shared" si="1"/>
        <v>0</v>
      </c>
      <c r="H16" s="4"/>
      <c r="I16" s="1"/>
      <c r="J16" s="1"/>
      <c r="K16" s="3"/>
      <c r="L16" s="36">
        <f t="shared" si="2"/>
        <v>0</v>
      </c>
      <c r="M16" s="4"/>
      <c r="N16" s="1"/>
      <c r="O16" s="1"/>
      <c r="P16" s="1"/>
      <c r="Q16" s="1"/>
      <c r="R16" s="1"/>
      <c r="S16" s="1"/>
      <c r="T16" s="1"/>
      <c r="U16" s="1"/>
      <c r="V16" s="1"/>
      <c r="W16" s="1"/>
      <c r="X16" s="1"/>
      <c r="Y16" s="1"/>
      <c r="Z16" s="1"/>
      <c r="AA16" s="1"/>
      <c r="AB16" s="1"/>
      <c r="AC16" s="1"/>
    </row>
    <row r="17">
      <c r="A17" s="4"/>
      <c r="B17" s="4"/>
      <c r="C17" s="4"/>
      <c r="D17" s="4"/>
      <c r="E17" s="4"/>
      <c r="F17" s="3"/>
      <c r="G17" s="2">
        <f t="shared" si="1"/>
        <v>0</v>
      </c>
      <c r="H17" s="35"/>
      <c r="I17" s="1"/>
      <c r="J17" s="1"/>
      <c r="K17" s="3"/>
      <c r="L17" s="36">
        <f t="shared" si="2"/>
        <v>0</v>
      </c>
      <c r="M17" s="4"/>
      <c r="N17" s="1"/>
      <c r="O17" s="1"/>
      <c r="P17" s="1"/>
      <c r="Q17" s="1"/>
      <c r="R17" s="1"/>
      <c r="S17" s="1"/>
      <c r="T17" s="1"/>
      <c r="U17" s="1"/>
      <c r="V17" s="1"/>
      <c r="W17" s="1"/>
      <c r="X17" s="1"/>
      <c r="Y17" s="1"/>
      <c r="Z17" s="1"/>
      <c r="AA17" s="1"/>
      <c r="AB17" s="1"/>
      <c r="AC17" s="1"/>
    </row>
    <row r="18">
      <c r="A18" s="4"/>
      <c r="B18" s="4"/>
      <c r="C18" s="4"/>
      <c r="D18" s="4"/>
      <c r="E18" s="4"/>
      <c r="F18" s="3"/>
      <c r="G18" s="2">
        <f t="shared" si="1"/>
        <v>0</v>
      </c>
      <c r="H18" s="4"/>
      <c r="I18" s="1"/>
      <c r="J18" s="1"/>
      <c r="K18" s="3"/>
      <c r="L18" s="36">
        <f t="shared" si="2"/>
        <v>0</v>
      </c>
      <c r="M18" s="1"/>
      <c r="N18" s="1"/>
      <c r="O18" s="1"/>
      <c r="P18" s="1"/>
      <c r="Q18" s="1"/>
      <c r="R18" s="1"/>
      <c r="S18" s="1"/>
      <c r="T18" s="1"/>
      <c r="U18" s="1"/>
      <c r="V18" s="1"/>
      <c r="W18" s="1"/>
      <c r="X18" s="1"/>
      <c r="Y18" s="1"/>
      <c r="Z18" s="1"/>
      <c r="AA18" s="1"/>
      <c r="AB18" s="1"/>
      <c r="AC18" s="1"/>
    </row>
    <row r="19">
      <c r="A19" s="4"/>
      <c r="B19" s="4"/>
      <c r="C19" s="4"/>
      <c r="D19" s="4"/>
      <c r="E19" s="4"/>
      <c r="F19" s="3"/>
      <c r="G19" s="2">
        <f t="shared" si="1"/>
        <v>0</v>
      </c>
      <c r="H19" s="4"/>
      <c r="I19" s="1"/>
      <c r="J19" s="1"/>
      <c r="K19" s="3"/>
      <c r="L19" s="36">
        <f t="shared" si="2"/>
        <v>0</v>
      </c>
      <c r="M19" s="1"/>
      <c r="N19" s="1"/>
      <c r="O19" s="1"/>
      <c r="P19" s="1"/>
      <c r="Q19" s="1"/>
      <c r="R19" s="1"/>
      <c r="S19" s="1"/>
      <c r="T19" s="1"/>
      <c r="U19" s="1"/>
      <c r="V19" s="1"/>
      <c r="W19" s="1"/>
      <c r="X19" s="1"/>
      <c r="Y19" s="1"/>
      <c r="Z19" s="1"/>
      <c r="AA19" s="1"/>
      <c r="AB19" s="1"/>
      <c r="AC19" s="1"/>
    </row>
    <row r="20">
      <c r="A20" s="4"/>
      <c r="B20" s="4"/>
      <c r="C20" s="4"/>
      <c r="D20" s="4"/>
      <c r="E20" s="4"/>
      <c r="F20" s="3"/>
      <c r="G20" s="2">
        <f t="shared" si="1"/>
        <v>0</v>
      </c>
      <c r="H20" s="1"/>
      <c r="I20" s="1"/>
      <c r="J20" s="1"/>
      <c r="K20" s="3"/>
      <c r="L20" s="36">
        <f t="shared" si="2"/>
        <v>0</v>
      </c>
      <c r="M20" s="1"/>
      <c r="N20" s="1"/>
      <c r="O20" s="1"/>
      <c r="P20" s="1"/>
      <c r="Q20" s="1"/>
      <c r="R20" s="1"/>
      <c r="S20" s="1"/>
      <c r="T20" s="1"/>
      <c r="U20" s="1"/>
      <c r="V20" s="1"/>
      <c r="W20" s="1"/>
      <c r="X20" s="1"/>
      <c r="Y20" s="1"/>
      <c r="Z20" s="1"/>
      <c r="AA20" s="1"/>
      <c r="AB20" s="1"/>
      <c r="AC20" s="1"/>
    </row>
    <row r="21">
      <c r="A21" s="4"/>
      <c r="B21" s="4"/>
      <c r="C21" s="4"/>
      <c r="D21" s="4"/>
      <c r="E21" s="4"/>
      <c r="F21" s="3"/>
      <c r="G21" s="2">
        <f t="shared" si="1"/>
        <v>0</v>
      </c>
      <c r="H21" s="4"/>
      <c r="I21" s="1"/>
      <c r="J21" s="1"/>
      <c r="K21" s="3"/>
      <c r="L21" s="36">
        <f t="shared" si="2"/>
        <v>0</v>
      </c>
      <c r="M21" s="1"/>
      <c r="N21" s="1"/>
      <c r="O21" s="1"/>
      <c r="P21" s="1"/>
      <c r="Q21" s="1"/>
      <c r="R21" s="1"/>
      <c r="S21" s="1"/>
      <c r="T21" s="1"/>
      <c r="U21" s="1"/>
      <c r="V21" s="1"/>
      <c r="W21" s="1"/>
      <c r="X21" s="1"/>
      <c r="Y21" s="1"/>
      <c r="Z21" s="1"/>
      <c r="AA21" s="1"/>
      <c r="AB21" s="1"/>
      <c r="AC21" s="1"/>
    </row>
    <row r="22">
      <c r="A22" s="4"/>
      <c r="B22" s="4"/>
      <c r="C22" s="4"/>
      <c r="D22" s="4"/>
      <c r="E22" s="4"/>
      <c r="F22" s="3"/>
      <c r="G22" s="2">
        <f t="shared" si="1"/>
        <v>0</v>
      </c>
      <c r="H22" s="4"/>
      <c r="I22" s="1"/>
      <c r="J22" s="1"/>
      <c r="K22" s="3"/>
      <c r="L22" s="36">
        <f t="shared" si="2"/>
        <v>0</v>
      </c>
      <c r="M22" s="1"/>
      <c r="N22" s="1"/>
      <c r="O22" s="1"/>
      <c r="P22" s="1"/>
      <c r="Q22" s="1"/>
      <c r="R22" s="1"/>
      <c r="S22" s="1"/>
      <c r="T22" s="1"/>
      <c r="U22" s="1"/>
      <c r="V22" s="1"/>
      <c r="W22" s="1"/>
      <c r="X22" s="1"/>
      <c r="Y22" s="1"/>
      <c r="Z22" s="1"/>
      <c r="AA22" s="1"/>
      <c r="AB22" s="1"/>
      <c r="AC22" s="1"/>
    </row>
    <row r="23">
      <c r="A23" s="4"/>
      <c r="B23" s="4"/>
      <c r="C23" s="4"/>
      <c r="D23" s="4"/>
      <c r="E23" s="4"/>
      <c r="F23" s="3"/>
      <c r="G23" s="2">
        <f t="shared" si="1"/>
        <v>0</v>
      </c>
      <c r="H23" s="4"/>
      <c r="I23" s="1"/>
      <c r="J23" s="1"/>
      <c r="K23" s="3"/>
      <c r="L23" s="36">
        <f t="shared" si="2"/>
        <v>0</v>
      </c>
      <c r="M23" s="1"/>
      <c r="N23" s="1"/>
      <c r="O23" s="1"/>
      <c r="P23" s="1"/>
      <c r="Q23" s="1"/>
      <c r="R23" s="1"/>
      <c r="S23" s="1"/>
      <c r="T23" s="1"/>
      <c r="U23" s="1"/>
      <c r="V23" s="1"/>
      <c r="W23" s="1"/>
      <c r="X23" s="1"/>
      <c r="Y23" s="1"/>
      <c r="Z23" s="1"/>
      <c r="AA23" s="1"/>
      <c r="AB23" s="1"/>
      <c r="AC23" s="1"/>
    </row>
    <row r="24">
      <c r="A24" s="4"/>
      <c r="B24" s="4"/>
      <c r="C24" s="4"/>
      <c r="D24" s="4"/>
      <c r="E24" s="4"/>
      <c r="F24" s="3"/>
      <c r="G24" s="2">
        <f t="shared" si="1"/>
        <v>0</v>
      </c>
      <c r="H24" s="4"/>
      <c r="I24" s="1"/>
      <c r="J24" s="1"/>
      <c r="K24" s="3"/>
      <c r="L24" s="36">
        <f t="shared" si="2"/>
        <v>0</v>
      </c>
      <c r="M24" s="1"/>
      <c r="N24" s="1"/>
      <c r="O24" s="1"/>
      <c r="P24" s="1"/>
      <c r="Q24" s="1"/>
      <c r="R24" s="1"/>
      <c r="S24" s="1"/>
      <c r="T24" s="1"/>
      <c r="U24" s="1"/>
      <c r="V24" s="1"/>
      <c r="W24" s="1"/>
      <c r="X24" s="1"/>
      <c r="Y24" s="1"/>
      <c r="Z24" s="1"/>
      <c r="AA24" s="1"/>
      <c r="AB24" s="1"/>
      <c r="AC24" s="1"/>
    </row>
    <row r="25">
      <c r="A25" s="4"/>
      <c r="B25" s="4"/>
      <c r="C25" s="4"/>
      <c r="D25" s="4"/>
      <c r="E25" s="4"/>
      <c r="F25" s="3"/>
      <c r="G25" s="2">
        <f t="shared" si="1"/>
        <v>0</v>
      </c>
      <c r="H25" s="4"/>
      <c r="I25" s="1"/>
      <c r="J25" s="1"/>
      <c r="K25" s="3"/>
      <c r="L25" s="36">
        <f t="shared" si="2"/>
        <v>0</v>
      </c>
      <c r="M25" s="1"/>
      <c r="N25" s="1"/>
      <c r="O25" s="1"/>
      <c r="P25" s="1"/>
      <c r="Q25" s="1"/>
      <c r="R25" s="1"/>
      <c r="S25" s="1"/>
      <c r="T25" s="1"/>
      <c r="U25" s="1"/>
      <c r="V25" s="1"/>
      <c r="W25" s="1"/>
      <c r="X25" s="1"/>
      <c r="Y25" s="1"/>
      <c r="Z25" s="1"/>
      <c r="AA25" s="1"/>
      <c r="AB25" s="1"/>
      <c r="AC25" s="1"/>
    </row>
    <row r="26">
      <c r="A26" s="4"/>
      <c r="B26" s="4"/>
      <c r="C26" s="4"/>
      <c r="D26" s="4"/>
      <c r="E26" s="4"/>
      <c r="F26" s="3"/>
      <c r="G26" s="2">
        <f t="shared" si="1"/>
        <v>0</v>
      </c>
      <c r="H26" s="4"/>
      <c r="I26" s="1"/>
      <c r="J26" s="1"/>
      <c r="K26" s="3"/>
      <c r="L26" s="36">
        <f t="shared" si="2"/>
        <v>0</v>
      </c>
      <c r="M26" s="1"/>
      <c r="N26" s="1"/>
      <c r="O26" s="1"/>
      <c r="P26" s="1"/>
      <c r="Q26" s="1"/>
      <c r="R26" s="1"/>
      <c r="S26" s="1"/>
      <c r="T26" s="1"/>
      <c r="U26" s="1"/>
      <c r="V26" s="1"/>
      <c r="W26" s="1"/>
      <c r="X26" s="1"/>
      <c r="Y26" s="1"/>
      <c r="Z26" s="1"/>
      <c r="AA26" s="1"/>
      <c r="AB26" s="1"/>
      <c r="AC26" s="1"/>
    </row>
    <row r="27">
      <c r="A27" s="4"/>
      <c r="B27" s="4"/>
      <c r="C27" s="4"/>
      <c r="D27" s="4"/>
      <c r="E27" s="4"/>
      <c r="F27" s="3"/>
      <c r="G27" s="2">
        <f t="shared" si="1"/>
        <v>0</v>
      </c>
      <c r="H27" s="1"/>
      <c r="I27" s="1"/>
      <c r="J27" s="1"/>
      <c r="K27" s="3"/>
      <c r="L27" s="36">
        <f t="shared" si="2"/>
        <v>0</v>
      </c>
      <c r="M27" s="1"/>
      <c r="N27" s="1"/>
      <c r="O27" s="1"/>
      <c r="P27" s="1"/>
      <c r="Q27" s="1"/>
      <c r="R27" s="1"/>
      <c r="S27" s="1"/>
      <c r="T27" s="1"/>
      <c r="U27" s="1"/>
      <c r="V27" s="1"/>
      <c r="W27" s="1"/>
      <c r="X27" s="1"/>
      <c r="Y27" s="1"/>
      <c r="Z27" s="1"/>
      <c r="AA27" s="1"/>
      <c r="AB27" s="1"/>
      <c r="AC27" s="1"/>
    </row>
    <row r="28">
      <c r="A28" s="4"/>
      <c r="B28" s="4"/>
      <c r="C28" s="4"/>
      <c r="D28" s="4"/>
      <c r="E28" s="4"/>
      <c r="F28" s="3"/>
      <c r="G28" s="2">
        <f t="shared" si="1"/>
        <v>0</v>
      </c>
      <c r="H28" s="4"/>
      <c r="I28" s="1"/>
      <c r="J28" s="1"/>
      <c r="K28" s="3"/>
      <c r="L28" s="36">
        <f t="shared" si="2"/>
        <v>0</v>
      </c>
      <c r="M28" s="1"/>
      <c r="N28" s="1"/>
      <c r="O28" s="1"/>
      <c r="P28" s="1"/>
      <c r="Q28" s="1"/>
      <c r="R28" s="1"/>
      <c r="S28" s="1"/>
      <c r="T28" s="1"/>
      <c r="U28" s="1"/>
      <c r="V28" s="1"/>
      <c r="W28" s="1"/>
      <c r="X28" s="1"/>
      <c r="Y28" s="1"/>
      <c r="Z28" s="1"/>
      <c r="AA28" s="1"/>
      <c r="AB28" s="1"/>
      <c r="AC28" s="1"/>
    </row>
    <row r="29">
      <c r="A29" s="4"/>
      <c r="B29" s="4"/>
      <c r="C29" s="4"/>
      <c r="D29" s="4"/>
      <c r="E29" s="4"/>
      <c r="F29" s="3"/>
      <c r="G29" s="2">
        <f t="shared" si="1"/>
        <v>0</v>
      </c>
      <c r="H29" s="1"/>
      <c r="I29" s="1"/>
      <c r="J29" s="1"/>
      <c r="K29" s="3"/>
      <c r="L29" s="36">
        <f t="shared" si="2"/>
        <v>0</v>
      </c>
      <c r="M29" s="1"/>
      <c r="N29" s="1"/>
      <c r="O29" s="1"/>
      <c r="P29" s="1"/>
      <c r="Q29" s="1"/>
      <c r="R29" s="1"/>
      <c r="S29" s="1"/>
      <c r="T29" s="1"/>
      <c r="U29" s="1"/>
      <c r="V29" s="1"/>
      <c r="W29" s="1"/>
      <c r="X29" s="1"/>
      <c r="Y29" s="1"/>
      <c r="Z29" s="1"/>
      <c r="AA29" s="1"/>
      <c r="AB29" s="1"/>
      <c r="AC29" s="1"/>
    </row>
    <row r="30">
      <c r="A30" s="4"/>
      <c r="B30" s="4"/>
      <c r="C30" s="4"/>
      <c r="D30" s="4"/>
      <c r="E30" s="4"/>
      <c r="F30" s="3"/>
      <c r="G30" s="2">
        <f t="shared" si="1"/>
        <v>0</v>
      </c>
      <c r="H30" s="4"/>
      <c r="I30" s="1"/>
      <c r="J30" s="1"/>
      <c r="K30" s="3"/>
      <c r="L30" s="36">
        <f t="shared" si="2"/>
        <v>0</v>
      </c>
      <c r="M30" s="35"/>
      <c r="N30" s="1"/>
      <c r="O30" s="1"/>
      <c r="P30" s="1"/>
      <c r="Q30" s="1"/>
      <c r="R30" s="1"/>
      <c r="S30" s="1"/>
      <c r="T30" s="1"/>
      <c r="U30" s="1"/>
      <c r="V30" s="1"/>
      <c r="W30" s="1"/>
      <c r="X30" s="1"/>
      <c r="Y30" s="1"/>
      <c r="Z30" s="1"/>
      <c r="AA30" s="1"/>
      <c r="AB30" s="1"/>
      <c r="AC30" s="1"/>
    </row>
    <row r="31">
      <c r="A31" s="4"/>
      <c r="B31" s="4"/>
      <c r="C31" s="4"/>
      <c r="D31" s="4"/>
      <c r="E31" s="4"/>
      <c r="F31" s="3"/>
      <c r="G31" s="2">
        <f t="shared" si="1"/>
        <v>0</v>
      </c>
      <c r="H31" s="4"/>
      <c r="I31" s="1"/>
      <c r="J31" s="1"/>
      <c r="K31" s="3"/>
      <c r="L31" s="36">
        <f t="shared" si="2"/>
        <v>0</v>
      </c>
      <c r="M31" s="35"/>
      <c r="N31" s="1"/>
      <c r="O31" s="1"/>
      <c r="P31" s="1"/>
      <c r="Q31" s="1"/>
      <c r="R31" s="1"/>
      <c r="S31" s="1"/>
      <c r="T31" s="1"/>
      <c r="U31" s="1"/>
      <c r="V31" s="1"/>
      <c r="W31" s="1"/>
      <c r="X31" s="1"/>
      <c r="Y31" s="1"/>
      <c r="Z31" s="1"/>
      <c r="AA31" s="1"/>
      <c r="AB31" s="1"/>
      <c r="AC31" s="1"/>
    </row>
    <row r="32">
      <c r="A32" s="4"/>
      <c r="B32" s="4"/>
      <c r="C32" s="4"/>
      <c r="D32" s="4"/>
      <c r="E32" s="4"/>
      <c r="F32" s="3"/>
      <c r="G32" s="2">
        <f t="shared" si="1"/>
        <v>0</v>
      </c>
      <c r="H32" s="4"/>
      <c r="I32" s="1"/>
      <c r="J32" s="4"/>
      <c r="K32" s="3"/>
      <c r="L32" s="36">
        <f t="shared" si="2"/>
        <v>0</v>
      </c>
      <c r="M32" s="35"/>
      <c r="N32" s="1"/>
      <c r="O32" s="1"/>
      <c r="P32" s="1"/>
      <c r="Q32" s="1"/>
      <c r="R32" s="1"/>
      <c r="S32" s="1"/>
      <c r="T32" s="1"/>
      <c r="U32" s="1"/>
      <c r="V32" s="1"/>
      <c r="W32" s="1"/>
      <c r="X32" s="1"/>
      <c r="Y32" s="1"/>
      <c r="Z32" s="1"/>
      <c r="AA32" s="1"/>
      <c r="AB32" s="1"/>
      <c r="AC32" s="1"/>
    </row>
    <row r="33">
      <c r="A33" s="4"/>
      <c r="B33" s="4"/>
      <c r="C33" s="4"/>
      <c r="D33" s="4"/>
      <c r="E33" s="4"/>
      <c r="F33" s="3"/>
      <c r="G33" s="2">
        <f t="shared" si="1"/>
        <v>0</v>
      </c>
      <c r="H33" s="4"/>
      <c r="I33" s="1"/>
      <c r="J33" s="1"/>
      <c r="K33" s="3"/>
      <c r="L33" s="36">
        <f t="shared" si="2"/>
        <v>0</v>
      </c>
      <c r="M33" s="35"/>
      <c r="N33" s="1"/>
      <c r="O33" s="1"/>
      <c r="P33" s="1"/>
      <c r="Q33" s="1"/>
      <c r="R33" s="1"/>
      <c r="S33" s="1"/>
      <c r="T33" s="1"/>
      <c r="U33" s="1"/>
      <c r="V33" s="1"/>
      <c r="W33" s="1"/>
      <c r="X33" s="1"/>
      <c r="Y33" s="1"/>
      <c r="Z33" s="1"/>
      <c r="AA33" s="1"/>
      <c r="AB33" s="1"/>
      <c r="AC33" s="1"/>
    </row>
    <row r="34">
      <c r="A34" s="4"/>
      <c r="B34" s="4"/>
      <c r="C34" s="4"/>
      <c r="D34" s="4"/>
      <c r="E34" s="4"/>
      <c r="F34" s="3"/>
      <c r="G34" s="2">
        <f t="shared" si="1"/>
        <v>0</v>
      </c>
      <c r="H34" s="1"/>
      <c r="I34" s="1"/>
      <c r="J34" s="1"/>
      <c r="K34" s="3"/>
      <c r="L34" s="36">
        <f t="shared" si="2"/>
        <v>0</v>
      </c>
      <c r="M34" s="1"/>
      <c r="N34" s="1"/>
      <c r="O34" s="1"/>
      <c r="P34" s="1"/>
      <c r="Q34" s="1"/>
      <c r="R34" s="1"/>
      <c r="S34" s="1"/>
      <c r="T34" s="1"/>
      <c r="U34" s="1"/>
      <c r="V34" s="1"/>
      <c r="W34" s="1"/>
      <c r="X34" s="1"/>
      <c r="Y34" s="1"/>
      <c r="Z34" s="1"/>
      <c r="AA34" s="1"/>
      <c r="AB34" s="1"/>
      <c r="AC34" s="1"/>
    </row>
    <row r="35">
      <c r="A35" s="4"/>
      <c r="B35" s="4"/>
      <c r="C35" s="4"/>
      <c r="D35" s="4"/>
      <c r="E35" s="4"/>
      <c r="F35" s="3"/>
      <c r="G35" s="2">
        <f t="shared" si="1"/>
        <v>0</v>
      </c>
      <c r="H35" s="1"/>
      <c r="I35" s="1"/>
      <c r="J35" s="1"/>
      <c r="K35" s="3"/>
      <c r="L35" s="36">
        <f t="shared" si="2"/>
        <v>0</v>
      </c>
      <c r="M35" s="1"/>
      <c r="N35" s="1"/>
      <c r="O35" s="1"/>
      <c r="P35" s="1"/>
      <c r="Q35" s="1"/>
      <c r="R35" s="1"/>
      <c r="S35" s="1"/>
      <c r="T35" s="1"/>
      <c r="U35" s="1"/>
      <c r="V35" s="1"/>
      <c r="W35" s="1"/>
      <c r="X35" s="1"/>
      <c r="Y35" s="1"/>
      <c r="Z35" s="1"/>
      <c r="AA35" s="1"/>
      <c r="AB35" s="1"/>
      <c r="AC35" s="1"/>
    </row>
    <row r="36">
      <c r="A36" s="4"/>
      <c r="B36" s="4"/>
      <c r="C36" s="4"/>
      <c r="D36" s="4"/>
      <c r="E36" s="4"/>
      <c r="F36" s="3"/>
      <c r="G36" s="2">
        <f t="shared" si="1"/>
        <v>0</v>
      </c>
      <c r="H36" s="1"/>
      <c r="I36" s="1"/>
      <c r="J36" s="1"/>
      <c r="K36" s="3"/>
      <c r="L36" s="36">
        <f t="shared" si="2"/>
        <v>0</v>
      </c>
      <c r="M36" s="1"/>
      <c r="N36" s="1"/>
      <c r="O36" s="1"/>
      <c r="P36" s="1"/>
      <c r="Q36" s="1"/>
      <c r="R36" s="1"/>
      <c r="S36" s="1"/>
      <c r="T36" s="1"/>
      <c r="U36" s="1"/>
      <c r="V36" s="1"/>
      <c r="W36" s="1"/>
      <c r="X36" s="1"/>
      <c r="Y36" s="1"/>
      <c r="Z36" s="1"/>
      <c r="AA36" s="1"/>
      <c r="AB36" s="1"/>
      <c r="AC36" s="1"/>
    </row>
    <row r="37">
      <c r="A37" s="4"/>
      <c r="B37" s="4"/>
      <c r="C37" s="4"/>
      <c r="D37" s="4"/>
      <c r="E37" s="4"/>
      <c r="F37" s="3"/>
      <c r="G37" s="2">
        <f t="shared" si="1"/>
        <v>0</v>
      </c>
      <c r="H37" s="1"/>
      <c r="I37" s="1"/>
      <c r="J37" s="1"/>
      <c r="K37" s="3"/>
      <c r="L37" s="36">
        <f t="shared" si="2"/>
        <v>0</v>
      </c>
      <c r="M37" s="1"/>
      <c r="N37" s="1"/>
      <c r="O37" s="1"/>
      <c r="P37" s="1"/>
      <c r="Q37" s="1"/>
      <c r="R37" s="1"/>
      <c r="S37" s="1"/>
      <c r="T37" s="1"/>
      <c r="U37" s="1"/>
      <c r="V37" s="1"/>
      <c r="W37" s="1"/>
      <c r="X37" s="1"/>
      <c r="Y37" s="1"/>
      <c r="Z37" s="1"/>
      <c r="AA37" s="1"/>
      <c r="AB37" s="1"/>
      <c r="AC37" s="1"/>
    </row>
    <row r="38">
      <c r="A38" s="4"/>
      <c r="B38" s="4"/>
      <c r="C38" s="4"/>
      <c r="D38" s="4"/>
      <c r="E38" s="4"/>
      <c r="F38" s="3"/>
      <c r="G38" s="2">
        <f t="shared" si="1"/>
        <v>0</v>
      </c>
      <c r="H38" s="1"/>
      <c r="I38" s="1"/>
      <c r="J38" s="1"/>
      <c r="K38" s="3"/>
      <c r="L38" s="36">
        <f t="shared" si="2"/>
        <v>0</v>
      </c>
      <c r="M38" s="1"/>
      <c r="N38" s="1"/>
      <c r="O38" s="1"/>
      <c r="P38" s="1"/>
      <c r="Q38" s="1"/>
      <c r="R38" s="1"/>
      <c r="S38" s="1"/>
      <c r="T38" s="1"/>
      <c r="U38" s="1"/>
      <c r="V38" s="1"/>
      <c r="W38" s="1"/>
      <c r="X38" s="1"/>
      <c r="Y38" s="1"/>
      <c r="Z38" s="1"/>
      <c r="AA38" s="1"/>
      <c r="AB38" s="1"/>
      <c r="AC38" s="1"/>
    </row>
    <row r="39">
      <c r="A39" s="4"/>
      <c r="B39" s="4"/>
      <c r="C39" s="4"/>
      <c r="D39" s="4"/>
      <c r="E39" s="4"/>
      <c r="F39" s="3"/>
      <c r="G39" s="2">
        <f t="shared" si="1"/>
        <v>0</v>
      </c>
      <c r="H39" s="1"/>
      <c r="I39" s="1"/>
      <c r="J39" s="1"/>
      <c r="K39" s="3"/>
      <c r="L39" s="36">
        <f t="shared" si="2"/>
        <v>0</v>
      </c>
      <c r="M39" s="1"/>
      <c r="N39" s="1"/>
      <c r="O39" s="1"/>
      <c r="P39" s="1"/>
      <c r="Q39" s="1"/>
      <c r="R39" s="1"/>
      <c r="S39" s="1"/>
      <c r="T39" s="1"/>
      <c r="U39" s="1"/>
      <c r="V39" s="1"/>
      <c r="W39" s="1"/>
      <c r="X39" s="1"/>
      <c r="Y39" s="1"/>
      <c r="Z39" s="1"/>
      <c r="AA39" s="1"/>
      <c r="AB39" s="1"/>
      <c r="AC39" s="1"/>
    </row>
    <row r="40">
      <c r="A40" s="4"/>
      <c r="B40" s="4"/>
      <c r="C40" s="4"/>
      <c r="D40" s="4"/>
      <c r="E40" s="4"/>
      <c r="F40" s="3"/>
      <c r="G40" s="2">
        <f t="shared" si="1"/>
        <v>0</v>
      </c>
      <c r="H40" s="1"/>
      <c r="I40" s="1"/>
      <c r="J40" s="1"/>
      <c r="K40" s="3"/>
      <c r="L40" s="36">
        <f t="shared" si="2"/>
        <v>0</v>
      </c>
      <c r="M40" s="1"/>
      <c r="N40" s="1"/>
      <c r="O40" s="1"/>
      <c r="P40" s="1"/>
      <c r="Q40" s="1"/>
      <c r="R40" s="1"/>
      <c r="S40" s="1"/>
      <c r="T40" s="1"/>
      <c r="U40" s="1"/>
      <c r="V40" s="1"/>
      <c r="W40" s="1"/>
      <c r="X40" s="1"/>
      <c r="Y40" s="1"/>
      <c r="Z40" s="1"/>
      <c r="AA40" s="1"/>
      <c r="AB40" s="1"/>
      <c r="AC40" s="1"/>
    </row>
    <row r="41">
      <c r="A41" s="4"/>
      <c r="B41" s="4"/>
      <c r="C41" s="4"/>
      <c r="D41" s="4"/>
      <c r="E41" s="4"/>
      <c r="F41" s="3"/>
      <c r="G41" s="2">
        <f t="shared" si="1"/>
        <v>0</v>
      </c>
      <c r="H41" s="1"/>
      <c r="I41" s="1"/>
      <c r="J41" s="1"/>
      <c r="K41" s="3"/>
      <c r="L41" s="36">
        <f t="shared" si="2"/>
        <v>0</v>
      </c>
      <c r="M41" s="1"/>
      <c r="N41" s="1"/>
      <c r="O41" s="1"/>
      <c r="P41" s="1"/>
      <c r="Q41" s="1"/>
      <c r="R41" s="1"/>
      <c r="S41" s="1"/>
      <c r="T41" s="1"/>
      <c r="U41" s="1"/>
      <c r="V41" s="1"/>
      <c r="W41" s="1"/>
      <c r="X41" s="1"/>
      <c r="Y41" s="1"/>
      <c r="Z41" s="1"/>
      <c r="AA41" s="1"/>
      <c r="AB41" s="1"/>
      <c r="AC41" s="1"/>
    </row>
    <row r="42">
      <c r="A42" s="4"/>
      <c r="B42" s="4"/>
      <c r="C42" s="4"/>
      <c r="D42" s="4"/>
      <c r="E42" s="4"/>
      <c r="F42" s="3"/>
      <c r="G42" s="2">
        <f t="shared" si="1"/>
        <v>0</v>
      </c>
      <c r="H42" s="1"/>
      <c r="I42" s="1"/>
      <c r="J42" s="1"/>
      <c r="K42" s="3"/>
      <c r="L42" s="36">
        <f t="shared" si="2"/>
        <v>0</v>
      </c>
      <c r="M42" s="1"/>
      <c r="N42" s="1"/>
      <c r="O42" s="1"/>
      <c r="P42" s="1"/>
      <c r="Q42" s="1"/>
      <c r="R42" s="1"/>
      <c r="S42" s="1"/>
      <c r="T42" s="1"/>
      <c r="U42" s="1"/>
      <c r="V42" s="1"/>
      <c r="W42" s="1"/>
      <c r="X42" s="1"/>
      <c r="Y42" s="1"/>
      <c r="Z42" s="1"/>
      <c r="AA42" s="1"/>
      <c r="AB42" s="1"/>
      <c r="AC42" s="1"/>
    </row>
    <row r="43">
      <c r="A43" s="4"/>
      <c r="B43" s="4"/>
      <c r="C43" s="4"/>
      <c r="D43" s="4"/>
      <c r="E43" s="4"/>
      <c r="F43" s="3"/>
      <c r="G43" s="2">
        <f t="shared" si="1"/>
        <v>0</v>
      </c>
      <c r="H43" s="1"/>
      <c r="I43" s="1"/>
      <c r="J43" s="1"/>
      <c r="K43" s="3"/>
      <c r="L43" s="36">
        <f t="shared" si="2"/>
        <v>0</v>
      </c>
      <c r="M43" s="1"/>
      <c r="N43" s="1"/>
      <c r="O43" s="1"/>
      <c r="P43" s="1"/>
      <c r="Q43" s="1"/>
      <c r="R43" s="1"/>
      <c r="S43" s="1"/>
      <c r="T43" s="1"/>
      <c r="U43" s="1"/>
      <c r="V43" s="1"/>
      <c r="W43" s="1"/>
      <c r="X43" s="1"/>
      <c r="Y43" s="1"/>
      <c r="Z43" s="1"/>
      <c r="AA43" s="1"/>
      <c r="AB43" s="1"/>
      <c r="AC43" s="1"/>
    </row>
    <row r="44" ht="15.75" customHeight="1">
      <c r="A44" s="4"/>
      <c r="B44" s="4"/>
      <c r="C44" s="4"/>
      <c r="D44" s="4"/>
      <c r="E44" s="4"/>
      <c r="F44" s="3"/>
      <c r="G44" s="2">
        <f t="shared" si="1"/>
        <v>0</v>
      </c>
      <c r="H44" s="35"/>
      <c r="I44" s="1"/>
      <c r="J44" s="1"/>
      <c r="K44" s="3"/>
      <c r="L44" s="36">
        <f t="shared" si="2"/>
        <v>0</v>
      </c>
      <c r="M44" s="1"/>
      <c r="N44" s="1"/>
      <c r="O44" s="1"/>
      <c r="P44" s="1"/>
      <c r="Q44" s="1"/>
      <c r="R44" s="1"/>
      <c r="S44" s="1"/>
      <c r="T44" s="1"/>
      <c r="U44" s="1"/>
      <c r="V44" s="1"/>
      <c r="W44" s="1"/>
      <c r="X44" s="1"/>
      <c r="Y44" s="1"/>
      <c r="Z44" s="1"/>
      <c r="AA44" s="1"/>
      <c r="AB44" s="1"/>
      <c r="AC44" s="1"/>
    </row>
    <row r="45">
      <c r="A45" s="4"/>
      <c r="B45" s="4"/>
      <c r="C45" s="4"/>
      <c r="D45" s="4"/>
      <c r="E45" s="4"/>
      <c r="F45" s="3"/>
      <c r="G45" s="2">
        <f t="shared" si="1"/>
        <v>0</v>
      </c>
      <c r="H45" s="1"/>
      <c r="I45" s="1"/>
      <c r="J45" s="1"/>
      <c r="K45" s="3"/>
      <c r="L45" s="36">
        <f t="shared" si="2"/>
        <v>0</v>
      </c>
      <c r="M45" s="1"/>
      <c r="N45" s="1"/>
      <c r="O45" s="1"/>
      <c r="P45" s="1"/>
      <c r="Q45" s="1"/>
      <c r="R45" s="1"/>
      <c r="S45" s="1"/>
      <c r="T45" s="1"/>
      <c r="U45" s="1"/>
      <c r="V45" s="1"/>
      <c r="W45" s="1"/>
      <c r="X45" s="1"/>
      <c r="Y45" s="1"/>
      <c r="Z45" s="1"/>
      <c r="AA45" s="1"/>
      <c r="AB45" s="1"/>
      <c r="AC45" s="1"/>
    </row>
    <row r="46">
      <c r="A46" s="4"/>
      <c r="B46" s="4"/>
      <c r="C46" s="4"/>
      <c r="D46" s="4"/>
      <c r="E46" s="4"/>
      <c r="F46" s="3"/>
      <c r="G46" s="2">
        <f t="shared" si="1"/>
        <v>0</v>
      </c>
      <c r="H46" s="1"/>
      <c r="I46" s="1"/>
      <c r="J46" s="1"/>
      <c r="K46" s="3"/>
      <c r="L46" s="36">
        <f t="shared" si="2"/>
        <v>0</v>
      </c>
      <c r="M46" s="1"/>
      <c r="N46" s="1"/>
      <c r="O46" s="1"/>
      <c r="P46" s="1"/>
      <c r="Q46" s="1"/>
      <c r="R46" s="1"/>
      <c r="S46" s="1"/>
      <c r="T46" s="1"/>
      <c r="U46" s="1"/>
      <c r="V46" s="1"/>
      <c r="W46" s="1"/>
      <c r="X46" s="1"/>
      <c r="Y46" s="1"/>
      <c r="Z46" s="1"/>
      <c r="AA46" s="1"/>
      <c r="AB46" s="1"/>
      <c r="AC46" s="1"/>
    </row>
    <row r="47">
      <c r="A47" s="4"/>
      <c r="B47" s="4"/>
      <c r="C47" s="4"/>
      <c r="D47" s="4"/>
      <c r="E47" s="4"/>
      <c r="F47" s="3"/>
      <c r="G47" s="2">
        <f t="shared" si="1"/>
        <v>0</v>
      </c>
      <c r="H47" s="1"/>
      <c r="I47" s="1"/>
      <c r="J47" s="1"/>
      <c r="K47" s="3"/>
      <c r="L47" s="36">
        <f t="shared" si="2"/>
        <v>0</v>
      </c>
      <c r="M47" s="1"/>
      <c r="N47" s="1"/>
      <c r="O47" s="1"/>
      <c r="P47" s="1"/>
      <c r="Q47" s="1"/>
      <c r="R47" s="1"/>
      <c r="S47" s="1"/>
      <c r="T47" s="1"/>
      <c r="U47" s="1"/>
      <c r="V47" s="1"/>
      <c r="W47" s="1"/>
      <c r="X47" s="1"/>
      <c r="Y47" s="1"/>
      <c r="Z47" s="1"/>
      <c r="AA47" s="1"/>
      <c r="AB47" s="1"/>
      <c r="AC47" s="1"/>
    </row>
    <row r="48">
      <c r="A48" s="4"/>
      <c r="B48" s="4"/>
      <c r="C48" s="4"/>
      <c r="D48" s="4"/>
      <c r="E48" s="4"/>
      <c r="F48" s="3"/>
      <c r="G48" s="2">
        <f t="shared" si="1"/>
        <v>0</v>
      </c>
      <c r="H48" s="1"/>
      <c r="I48" s="1"/>
      <c r="J48" s="1"/>
      <c r="K48" s="3"/>
      <c r="L48" s="36">
        <f t="shared" si="2"/>
        <v>0</v>
      </c>
      <c r="M48" s="1"/>
      <c r="N48" s="1"/>
      <c r="O48" s="1"/>
      <c r="P48" s="1"/>
      <c r="Q48" s="1"/>
      <c r="R48" s="1"/>
      <c r="S48" s="1"/>
      <c r="T48" s="1"/>
      <c r="U48" s="1"/>
      <c r="V48" s="1"/>
      <c r="W48" s="1"/>
      <c r="X48" s="1"/>
      <c r="Y48" s="1"/>
      <c r="Z48" s="1"/>
      <c r="AA48" s="1"/>
      <c r="AB48" s="1"/>
      <c r="AC48" s="1"/>
    </row>
    <row r="49">
      <c r="A49" s="4"/>
      <c r="B49" s="4"/>
      <c r="C49" s="4"/>
      <c r="D49" s="4"/>
      <c r="E49" s="4"/>
      <c r="F49" s="3"/>
      <c r="G49" s="2">
        <f t="shared" si="1"/>
        <v>0</v>
      </c>
      <c r="H49" s="1"/>
      <c r="I49" s="1"/>
      <c r="J49" s="1"/>
      <c r="K49" s="3"/>
      <c r="L49" s="36">
        <f t="shared" si="2"/>
        <v>0</v>
      </c>
      <c r="M49" s="1"/>
      <c r="N49" s="1"/>
      <c r="O49" s="1"/>
      <c r="P49" s="1"/>
      <c r="Q49" s="1"/>
      <c r="R49" s="1"/>
      <c r="S49" s="1"/>
      <c r="T49" s="1"/>
      <c r="U49" s="1"/>
      <c r="V49" s="1"/>
      <c r="W49" s="1"/>
      <c r="X49" s="1"/>
      <c r="Y49" s="1"/>
      <c r="Z49" s="1"/>
      <c r="AA49" s="1"/>
      <c r="AB49" s="1"/>
      <c r="AC49" s="1"/>
    </row>
    <row r="50">
      <c r="A50" s="4"/>
      <c r="B50" s="4"/>
      <c r="C50" s="4"/>
      <c r="D50" s="4"/>
      <c r="E50" s="4"/>
      <c r="F50" s="3"/>
      <c r="G50" s="2">
        <f t="shared" si="1"/>
        <v>0</v>
      </c>
      <c r="H50" s="1"/>
      <c r="I50" s="1"/>
      <c r="J50" s="1"/>
      <c r="K50" s="3"/>
      <c r="L50" s="36">
        <f t="shared" si="2"/>
        <v>0</v>
      </c>
      <c r="M50" s="1"/>
      <c r="N50" s="1"/>
      <c r="O50" s="1"/>
      <c r="P50" s="1"/>
      <c r="Q50" s="1"/>
      <c r="R50" s="1"/>
      <c r="S50" s="1"/>
      <c r="T50" s="1"/>
      <c r="U50" s="1"/>
      <c r="V50" s="1"/>
      <c r="W50" s="1"/>
      <c r="X50" s="1"/>
      <c r="Y50" s="1"/>
      <c r="Z50" s="1"/>
      <c r="AA50" s="1"/>
      <c r="AB50" s="1"/>
      <c r="AC50" s="1"/>
    </row>
    <row r="51">
      <c r="A51" s="1"/>
      <c r="B51" s="1"/>
      <c r="C51" s="1"/>
      <c r="D51" s="1"/>
      <c r="E51" s="1"/>
      <c r="F51" s="2"/>
      <c r="G51" s="2"/>
      <c r="H51" s="1"/>
      <c r="I51" s="1"/>
      <c r="J51" s="1"/>
      <c r="K51" s="3"/>
      <c r="L51" s="1"/>
      <c r="M51" s="1"/>
      <c r="N51" s="1"/>
      <c r="O51" s="1"/>
      <c r="P51" s="1"/>
      <c r="Q51" s="1"/>
      <c r="R51" s="1"/>
      <c r="S51" s="1"/>
      <c r="T51" s="1"/>
      <c r="U51" s="1"/>
      <c r="V51" s="1"/>
      <c r="W51" s="1"/>
      <c r="X51" s="1"/>
      <c r="Y51" s="1"/>
      <c r="Z51" s="1"/>
      <c r="AA51" s="1"/>
      <c r="AB51" s="1"/>
      <c r="AC51" s="1"/>
    </row>
    <row r="52">
      <c r="A52" s="1"/>
      <c r="B52" s="1"/>
      <c r="C52" s="1"/>
      <c r="D52" s="1"/>
      <c r="E52" s="1"/>
      <c r="F52" s="2"/>
      <c r="G52" s="2"/>
      <c r="H52" s="1"/>
      <c r="I52" s="1"/>
      <c r="J52" s="1"/>
      <c r="K52" s="3"/>
      <c r="L52" s="1"/>
      <c r="M52" s="1"/>
      <c r="N52" s="1"/>
      <c r="O52" s="1"/>
      <c r="P52" s="1"/>
      <c r="Q52" s="1"/>
      <c r="R52" s="1"/>
      <c r="S52" s="1"/>
      <c r="T52" s="1"/>
      <c r="U52" s="1"/>
      <c r="V52" s="1"/>
      <c r="W52" s="1"/>
      <c r="X52" s="1"/>
      <c r="Y52" s="1"/>
      <c r="Z52" s="1"/>
      <c r="AA52" s="1"/>
      <c r="AB52" s="1"/>
      <c r="AC52" s="1"/>
    </row>
    <row r="53">
      <c r="A53" s="1"/>
      <c r="B53" s="1"/>
      <c r="C53" s="1"/>
      <c r="D53" s="1"/>
      <c r="E53" s="1"/>
      <c r="F53" s="2"/>
      <c r="G53" s="2"/>
      <c r="H53" s="1"/>
      <c r="I53" s="1"/>
      <c r="J53" s="1"/>
      <c r="K53" s="3"/>
      <c r="L53" s="1"/>
      <c r="M53" s="1"/>
      <c r="N53" s="1"/>
      <c r="O53" s="1"/>
      <c r="P53" s="1"/>
      <c r="Q53" s="1"/>
      <c r="R53" s="1"/>
      <c r="S53" s="1"/>
      <c r="T53" s="1"/>
      <c r="U53" s="1"/>
      <c r="V53" s="1"/>
      <c r="W53" s="1"/>
      <c r="X53" s="1"/>
      <c r="Y53" s="1"/>
      <c r="Z53" s="1"/>
      <c r="AA53" s="1"/>
      <c r="AB53" s="1"/>
      <c r="AC53" s="1"/>
    </row>
    <row r="54">
      <c r="A54" s="1"/>
      <c r="B54" s="1"/>
      <c r="C54" s="1"/>
      <c r="D54" s="1"/>
      <c r="E54" s="1"/>
      <c r="F54" s="2"/>
      <c r="G54" s="2"/>
      <c r="H54" s="1"/>
      <c r="I54" s="1"/>
      <c r="J54" s="1"/>
      <c r="K54" s="3"/>
      <c r="L54" s="1"/>
      <c r="M54" s="1"/>
      <c r="N54" s="1"/>
      <c r="O54" s="1"/>
      <c r="P54" s="1"/>
      <c r="Q54" s="1"/>
      <c r="R54" s="1"/>
      <c r="S54" s="1"/>
      <c r="T54" s="1"/>
      <c r="U54" s="1"/>
      <c r="V54" s="1"/>
      <c r="W54" s="1"/>
      <c r="X54" s="1"/>
      <c r="Y54" s="1"/>
      <c r="Z54" s="1"/>
      <c r="AA54" s="1"/>
      <c r="AB54" s="1"/>
      <c r="AC54" s="1"/>
    </row>
    <row r="55">
      <c r="A55" s="1"/>
      <c r="B55" s="1"/>
      <c r="C55" s="1"/>
      <c r="D55" s="1"/>
      <c r="E55" s="1"/>
      <c r="F55" s="2"/>
      <c r="G55" s="2"/>
      <c r="H55" s="1"/>
      <c r="I55" s="1"/>
      <c r="J55" s="1"/>
      <c r="K55" s="3"/>
      <c r="L55" s="1"/>
      <c r="M55" s="1"/>
      <c r="N55" s="1"/>
      <c r="O55" s="1"/>
      <c r="P55" s="1"/>
      <c r="Q55" s="1"/>
      <c r="R55" s="1"/>
      <c r="S55" s="1"/>
      <c r="T55" s="1"/>
      <c r="U55" s="1"/>
      <c r="V55" s="1"/>
      <c r="W55" s="1"/>
      <c r="X55" s="1"/>
      <c r="Y55" s="1"/>
      <c r="Z55" s="1"/>
      <c r="AA55" s="1"/>
      <c r="AB55" s="1"/>
      <c r="AC55" s="1"/>
    </row>
    <row r="56">
      <c r="A56" s="1"/>
      <c r="B56" s="1"/>
      <c r="C56" s="1"/>
      <c r="D56" s="1"/>
      <c r="E56" s="1"/>
      <c r="F56" s="2"/>
      <c r="G56" s="2"/>
      <c r="H56" s="1"/>
      <c r="I56" s="1"/>
      <c r="J56" s="1"/>
      <c r="K56" s="3"/>
      <c r="L56" s="1"/>
      <c r="M56" s="1"/>
      <c r="N56" s="1"/>
      <c r="O56" s="1"/>
      <c r="P56" s="1"/>
      <c r="Q56" s="1"/>
      <c r="R56" s="1"/>
      <c r="S56" s="1"/>
      <c r="T56" s="1"/>
      <c r="U56" s="1"/>
      <c r="V56" s="1"/>
      <c r="W56" s="1"/>
      <c r="X56" s="1"/>
      <c r="Y56" s="1"/>
      <c r="Z56" s="1"/>
      <c r="AA56" s="1"/>
      <c r="AB56" s="1"/>
      <c r="AC56" s="1"/>
    </row>
    <row r="57">
      <c r="A57" s="1"/>
      <c r="B57" s="1"/>
      <c r="C57" s="1"/>
      <c r="D57" s="1"/>
      <c r="E57" s="1"/>
      <c r="F57" s="2"/>
      <c r="G57" s="2"/>
      <c r="H57" s="1"/>
      <c r="I57" s="1"/>
      <c r="J57" s="1"/>
      <c r="K57" s="3"/>
      <c r="L57" s="1"/>
      <c r="M57" s="1"/>
      <c r="N57" s="1"/>
      <c r="O57" s="1"/>
      <c r="P57" s="1"/>
      <c r="Q57" s="1"/>
      <c r="R57" s="1"/>
      <c r="S57" s="1"/>
      <c r="T57" s="1"/>
      <c r="U57" s="1"/>
      <c r="V57" s="1"/>
      <c r="W57" s="1"/>
      <c r="X57" s="1"/>
      <c r="Y57" s="1"/>
      <c r="Z57" s="1"/>
      <c r="AA57" s="1"/>
      <c r="AB57" s="1"/>
      <c r="AC57" s="1"/>
    </row>
    <row r="58">
      <c r="A58" s="1"/>
      <c r="B58" s="1"/>
      <c r="C58" s="1"/>
      <c r="D58" s="1"/>
      <c r="E58" s="1"/>
      <c r="F58" s="2"/>
      <c r="G58" s="2"/>
      <c r="H58" s="1"/>
      <c r="I58" s="1"/>
      <c r="J58" s="1"/>
      <c r="K58" s="3"/>
      <c r="L58" s="1"/>
      <c r="M58" s="1"/>
      <c r="N58" s="1"/>
      <c r="O58" s="1"/>
      <c r="P58" s="1"/>
      <c r="Q58" s="1"/>
      <c r="R58" s="1"/>
      <c r="S58" s="1"/>
      <c r="T58" s="1"/>
      <c r="U58" s="1"/>
      <c r="V58" s="1"/>
      <c r="W58" s="1"/>
      <c r="X58" s="1"/>
      <c r="Y58" s="1"/>
      <c r="Z58" s="1"/>
      <c r="AA58" s="1"/>
      <c r="AB58" s="1"/>
      <c r="AC58" s="1"/>
    </row>
    <row r="59">
      <c r="A59" s="1"/>
      <c r="B59" s="1"/>
      <c r="C59" s="1"/>
      <c r="D59" s="1"/>
      <c r="E59" s="1"/>
      <c r="F59" s="2"/>
      <c r="G59" s="2"/>
      <c r="H59" s="1"/>
      <c r="I59" s="1"/>
      <c r="J59" s="1"/>
      <c r="K59" s="3"/>
      <c r="L59" s="1"/>
      <c r="M59" s="1"/>
      <c r="N59" s="1"/>
      <c r="O59" s="1"/>
      <c r="P59" s="1"/>
      <c r="Q59" s="1"/>
      <c r="R59" s="1"/>
      <c r="S59" s="1"/>
      <c r="T59" s="1"/>
      <c r="U59" s="1"/>
      <c r="V59" s="1"/>
      <c r="W59" s="1"/>
      <c r="X59" s="1"/>
      <c r="Y59" s="1"/>
      <c r="Z59" s="1"/>
      <c r="AA59" s="1"/>
      <c r="AB59" s="1"/>
      <c r="AC59" s="1"/>
    </row>
    <row r="60">
      <c r="A60" s="1"/>
      <c r="B60" s="1"/>
      <c r="C60" s="1"/>
      <c r="D60" s="1"/>
      <c r="E60" s="1"/>
      <c r="F60" s="2"/>
      <c r="G60" s="2"/>
      <c r="H60" s="1"/>
      <c r="I60" s="1"/>
      <c r="J60" s="1"/>
      <c r="K60" s="3"/>
      <c r="L60" s="1"/>
      <c r="M60" s="1"/>
      <c r="N60" s="1"/>
      <c r="O60" s="1"/>
      <c r="P60" s="1"/>
      <c r="Q60" s="1"/>
      <c r="R60" s="1"/>
      <c r="S60" s="1"/>
      <c r="T60" s="1"/>
      <c r="U60" s="1"/>
      <c r="V60" s="1"/>
      <c r="W60" s="1"/>
      <c r="X60" s="1"/>
      <c r="Y60" s="1"/>
      <c r="Z60" s="1"/>
      <c r="AA60" s="1"/>
      <c r="AB60" s="1"/>
      <c r="AC60" s="1"/>
    </row>
    <row r="61">
      <c r="A61" s="1"/>
      <c r="B61" s="1"/>
      <c r="C61" s="1"/>
      <c r="D61" s="1"/>
      <c r="E61" s="1"/>
      <c r="F61" s="2"/>
      <c r="G61" s="2"/>
      <c r="H61" s="1"/>
      <c r="I61" s="1"/>
      <c r="J61" s="1"/>
      <c r="K61" s="3"/>
      <c r="L61" s="1"/>
      <c r="M61" s="1"/>
      <c r="N61" s="1"/>
      <c r="O61" s="1"/>
      <c r="P61" s="1"/>
      <c r="Q61" s="1"/>
      <c r="R61" s="1"/>
      <c r="S61" s="1"/>
      <c r="T61" s="1"/>
      <c r="U61" s="1"/>
      <c r="V61" s="1"/>
      <c r="W61" s="1"/>
      <c r="X61" s="1"/>
      <c r="Y61" s="1"/>
      <c r="Z61" s="1"/>
      <c r="AA61" s="1"/>
      <c r="AB61" s="1"/>
      <c r="AC61" s="1"/>
    </row>
    <row r="62">
      <c r="A62" s="1"/>
      <c r="B62" s="1"/>
      <c r="C62" s="1"/>
      <c r="D62" s="1"/>
      <c r="E62" s="1"/>
      <c r="F62" s="2"/>
      <c r="G62" s="2"/>
      <c r="H62" s="1"/>
      <c r="I62" s="1"/>
      <c r="J62" s="1"/>
      <c r="K62" s="3"/>
      <c r="L62" s="1"/>
      <c r="M62" s="1"/>
      <c r="N62" s="1"/>
      <c r="O62" s="1"/>
      <c r="P62" s="1"/>
      <c r="Q62" s="1"/>
      <c r="R62" s="1"/>
      <c r="S62" s="1"/>
      <c r="T62" s="1"/>
      <c r="U62" s="1"/>
      <c r="V62" s="1"/>
      <c r="W62" s="1"/>
      <c r="X62" s="1"/>
      <c r="Y62" s="1"/>
      <c r="Z62" s="1"/>
      <c r="AA62" s="1"/>
      <c r="AB62" s="1"/>
      <c r="AC62" s="1"/>
    </row>
    <row r="63">
      <c r="A63" s="1"/>
      <c r="B63" s="1"/>
      <c r="C63" s="1"/>
      <c r="D63" s="1"/>
      <c r="E63" s="1"/>
      <c r="F63" s="2"/>
      <c r="G63" s="2"/>
      <c r="H63" s="1"/>
      <c r="I63" s="1"/>
      <c r="J63" s="1"/>
      <c r="K63" s="3"/>
      <c r="L63" s="1"/>
      <c r="M63" s="1"/>
      <c r="N63" s="1"/>
      <c r="O63" s="1"/>
      <c r="P63" s="1"/>
      <c r="Q63" s="1"/>
      <c r="R63" s="1"/>
      <c r="S63" s="1"/>
      <c r="T63" s="1"/>
      <c r="U63" s="1"/>
      <c r="V63" s="1"/>
      <c r="W63" s="1"/>
      <c r="X63" s="1"/>
      <c r="Y63" s="1"/>
      <c r="Z63" s="1"/>
      <c r="AA63" s="1"/>
      <c r="AB63" s="1"/>
      <c r="AC63" s="1"/>
    </row>
    <row r="64">
      <c r="A64" s="1"/>
      <c r="B64" s="1"/>
      <c r="C64" s="1"/>
      <c r="D64" s="1"/>
      <c r="E64" s="1"/>
      <c r="F64" s="2"/>
      <c r="G64" s="2"/>
      <c r="H64" s="1"/>
      <c r="I64" s="1"/>
      <c r="J64" s="1"/>
      <c r="K64" s="3"/>
      <c r="L64" s="1"/>
      <c r="M64" s="1"/>
      <c r="N64" s="1"/>
      <c r="O64" s="1"/>
      <c r="P64" s="1"/>
      <c r="Q64" s="1"/>
      <c r="R64" s="1"/>
      <c r="S64" s="1"/>
      <c r="T64" s="1"/>
      <c r="U64" s="1"/>
      <c r="V64" s="1"/>
      <c r="W64" s="1"/>
      <c r="X64" s="1"/>
      <c r="Y64" s="1"/>
      <c r="Z64" s="1"/>
      <c r="AA64" s="1"/>
      <c r="AB64" s="1"/>
      <c r="AC64" s="1"/>
    </row>
    <row r="65">
      <c r="A65" s="1"/>
      <c r="B65" s="1"/>
      <c r="C65" s="1"/>
      <c r="D65" s="1"/>
      <c r="E65" s="1"/>
      <c r="F65" s="2"/>
      <c r="G65" s="2"/>
      <c r="H65" s="1"/>
      <c r="I65" s="1"/>
      <c r="J65" s="1"/>
      <c r="K65" s="3"/>
      <c r="L65" s="1"/>
      <c r="M65" s="1"/>
      <c r="N65" s="1"/>
      <c r="O65" s="1"/>
      <c r="P65" s="1"/>
      <c r="Q65" s="1"/>
      <c r="R65" s="1"/>
      <c r="S65" s="1"/>
      <c r="T65" s="1"/>
      <c r="U65" s="1"/>
      <c r="V65" s="1"/>
      <c r="W65" s="1"/>
      <c r="X65" s="1"/>
      <c r="Y65" s="1"/>
      <c r="Z65" s="1"/>
      <c r="AA65" s="1"/>
      <c r="AB65" s="1"/>
      <c r="AC65" s="1"/>
    </row>
    <row r="66">
      <c r="A66" s="1"/>
      <c r="B66" s="1"/>
      <c r="C66" s="1"/>
      <c r="D66" s="1"/>
      <c r="E66" s="1"/>
      <c r="F66" s="2"/>
      <c r="G66" s="2"/>
      <c r="H66" s="1"/>
      <c r="I66" s="1"/>
      <c r="J66" s="1"/>
      <c r="K66" s="3"/>
      <c r="L66" s="1"/>
      <c r="M66" s="1"/>
      <c r="N66" s="1"/>
      <c r="O66" s="1"/>
      <c r="P66" s="1"/>
      <c r="Q66" s="1"/>
      <c r="R66" s="1"/>
      <c r="S66" s="1"/>
      <c r="T66" s="1"/>
      <c r="U66" s="1"/>
      <c r="V66" s="1"/>
      <c r="W66" s="1"/>
      <c r="X66" s="1"/>
      <c r="Y66" s="1"/>
      <c r="Z66" s="1"/>
      <c r="AA66" s="1"/>
      <c r="AB66" s="1"/>
      <c r="AC66" s="1"/>
    </row>
    <row r="67">
      <c r="A67" s="1"/>
      <c r="B67" s="1"/>
      <c r="C67" s="1"/>
      <c r="D67" s="1"/>
      <c r="E67" s="1"/>
      <c r="F67" s="2"/>
      <c r="G67" s="2"/>
      <c r="H67" s="1"/>
      <c r="I67" s="1"/>
      <c r="J67" s="1"/>
      <c r="K67" s="3"/>
      <c r="L67" s="1"/>
      <c r="M67" s="1"/>
      <c r="N67" s="1"/>
      <c r="O67" s="1"/>
      <c r="P67" s="1"/>
      <c r="Q67" s="1"/>
      <c r="R67" s="1"/>
      <c r="S67" s="1"/>
      <c r="T67" s="1"/>
      <c r="U67" s="1"/>
      <c r="V67" s="1"/>
      <c r="W67" s="1"/>
      <c r="X67" s="1"/>
      <c r="Y67" s="1"/>
      <c r="Z67" s="1"/>
      <c r="AA67" s="1"/>
      <c r="AB67" s="1"/>
      <c r="AC67" s="1"/>
    </row>
    <row r="68">
      <c r="A68" s="1"/>
      <c r="B68" s="1"/>
      <c r="C68" s="1"/>
      <c r="D68" s="1"/>
      <c r="E68" s="1"/>
      <c r="F68" s="2"/>
      <c r="G68" s="2"/>
      <c r="H68" s="1"/>
      <c r="I68" s="1"/>
      <c r="J68" s="1"/>
      <c r="K68" s="3"/>
      <c r="L68" s="1"/>
      <c r="M68" s="1"/>
      <c r="N68" s="1"/>
      <c r="O68" s="1"/>
      <c r="P68" s="1"/>
      <c r="Q68" s="1"/>
      <c r="R68" s="1"/>
      <c r="S68" s="1"/>
      <c r="T68" s="1"/>
      <c r="U68" s="1"/>
      <c r="V68" s="1"/>
      <c r="W68" s="1"/>
      <c r="X68" s="1"/>
      <c r="Y68" s="1"/>
      <c r="Z68" s="1"/>
      <c r="AA68" s="1"/>
      <c r="AB68" s="1"/>
      <c r="AC68" s="1"/>
    </row>
    <row r="69">
      <c r="A69" s="1"/>
      <c r="B69" s="1"/>
      <c r="C69" s="1"/>
      <c r="D69" s="1"/>
      <c r="E69" s="1"/>
      <c r="F69" s="2"/>
      <c r="G69" s="2"/>
      <c r="H69" s="1"/>
      <c r="I69" s="1"/>
      <c r="J69" s="1"/>
      <c r="K69" s="3"/>
      <c r="L69" s="1"/>
      <c r="M69" s="1"/>
      <c r="N69" s="1"/>
      <c r="O69" s="1"/>
      <c r="P69" s="1"/>
      <c r="Q69" s="1"/>
      <c r="R69" s="1"/>
      <c r="S69" s="1"/>
      <c r="T69" s="1"/>
      <c r="U69" s="1"/>
      <c r="V69" s="1"/>
      <c r="W69" s="1"/>
      <c r="X69" s="1"/>
      <c r="Y69" s="1"/>
      <c r="Z69" s="1"/>
      <c r="AA69" s="1"/>
      <c r="AB69" s="1"/>
      <c r="AC69" s="1"/>
    </row>
    <row r="70">
      <c r="A70" s="1"/>
      <c r="B70" s="1"/>
      <c r="C70" s="1"/>
      <c r="D70" s="1"/>
      <c r="E70" s="1"/>
      <c r="F70" s="2"/>
      <c r="G70" s="2"/>
      <c r="H70" s="1"/>
      <c r="I70" s="1"/>
      <c r="J70" s="1"/>
      <c r="K70" s="3"/>
      <c r="L70" s="1"/>
      <c r="M70" s="1"/>
      <c r="N70" s="1"/>
      <c r="O70" s="1"/>
      <c r="P70" s="1"/>
      <c r="Q70" s="1"/>
      <c r="R70" s="1"/>
      <c r="S70" s="1"/>
      <c r="T70" s="1"/>
      <c r="U70" s="1"/>
      <c r="V70" s="1"/>
      <c r="W70" s="1"/>
      <c r="X70" s="1"/>
      <c r="Y70" s="1"/>
      <c r="Z70" s="1"/>
      <c r="AA70" s="1"/>
      <c r="AB70" s="1"/>
      <c r="AC70" s="1"/>
    </row>
    <row r="71">
      <c r="A71" s="1"/>
      <c r="B71" s="1"/>
      <c r="C71" s="1"/>
      <c r="D71" s="1"/>
      <c r="E71" s="1"/>
      <c r="F71" s="2"/>
      <c r="G71" s="2"/>
      <c r="H71" s="1"/>
      <c r="I71" s="1"/>
      <c r="J71" s="1"/>
      <c r="K71" s="3"/>
      <c r="L71" s="1"/>
      <c r="M71" s="1"/>
      <c r="N71" s="1"/>
      <c r="O71" s="1"/>
      <c r="P71" s="1"/>
      <c r="Q71" s="1"/>
      <c r="R71" s="1"/>
      <c r="S71" s="1"/>
      <c r="T71" s="1"/>
      <c r="U71" s="1"/>
      <c r="V71" s="1"/>
      <c r="W71" s="1"/>
      <c r="X71" s="1"/>
      <c r="Y71" s="1"/>
      <c r="Z71" s="1"/>
      <c r="AA71" s="1"/>
      <c r="AB71" s="1"/>
      <c r="AC71" s="1"/>
    </row>
    <row r="72">
      <c r="A72" s="1"/>
      <c r="B72" s="1"/>
      <c r="C72" s="1"/>
      <c r="D72" s="1"/>
      <c r="E72" s="1"/>
      <c r="F72" s="2"/>
      <c r="G72" s="2"/>
      <c r="H72" s="1"/>
      <c r="I72" s="1"/>
      <c r="J72" s="1"/>
      <c r="K72" s="3"/>
      <c r="L72" s="1"/>
      <c r="M72" s="1"/>
      <c r="N72" s="1"/>
      <c r="O72" s="1"/>
      <c r="P72" s="1"/>
      <c r="Q72" s="1"/>
      <c r="R72" s="1"/>
      <c r="S72" s="1"/>
      <c r="T72" s="1"/>
      <c r="U72" s="1"/>
      <c r="V72" s="1"/>
      <c r="W72" s="1"/>
      <c r="X72" s="1"/>
      <c r="Y72" s="1"/>
      <c r="Z72" s="1"/>
      <c r="AA72" s="1"/>
      <c r="AB72" s="1"/>
      <c r="AC72" s="1"/>
    </row>
    <row r="73">
      <c r="A73" s="1"/>
      <c r="B73" s="1"/>
      <c r="C73" s="1"/>
      <c r="D73" s="1"/>
      <c r="E73" s="1"/>
      <c r="F73" s="2"/>
      <c r="G73" s="2"/>
      <c r="H73" s="1"/>
      <c r="I73" s="1"/>
      <c r="J73" s="1"/>
      <c r="K73" s="3"/>
      <c r="L73" s="1"/>
      <c r="M73" s="1"/>
      <c r="N73" s="1"/>
      <c r="O73" s="1"/>
      <c r="P73" s="1"/>
      <c r="Q73" s="1"/>
      <c r="R73" s="1"/>
      <c r="S73" s="1"/>
      <c r="T73" s="1"/>
      <c r="U73" s="1"/>
      <c r="V73" s="1"/>
      <c r="W73" s="1"/>
      <c r="X73" s="1"/>
      <c r="Y73" s="1"/>
      <c r="Z73" s="1"/>
      <c r="AA73" s="1"/>
      <c r="AB73" s="1"/>
      <c r="AC73" s="1"/>
    </row>
    <row r="74">
      <c r="A74" s="1"/>
      <c r="B74" s="1"/>
      <c r="C74" s="1"/>
      <c r="D74" s="1"/>
      <c r="E74" s="1"/>
      <c r="F74" s="2"/>
      <c r="G74" s="2"/>
      <c r="H74" s="1"/>
      <c r="I74" s="1"/>
      <c r="J74" s="1"/>
      <c r="K74" s="3"/>
      <c r="L74" s="1"/>
      <c r="M74" s="1"/>
      <c r="N74" s="1"/>
      <c r="O74" s="1"/>
      <c r="P74" s="1"/>
      <c r="Q74" s="1"/>
      <c r="R74" s="1"/>
      <c r="S74" s="1"/>
      <c r="T74" s="1"/>
      <c r="U74" s="1"/>
      <c r="V74" s="1"/>
      <c r="W74" s="1"/>
      <c r="X74" s="1"/>
      <c r="Y74" s="1"/>
      <c r="Z74" s="1"/>
      <c r="AA74" s="1"/>
      <c r="AB74" s="1"/>
      <c r="AC74" s="1"/>
    </row>
    <row r="75">
      <c r="A75" s="1"/>
      <c r="B75" s="1"/>
      <c r="C75" s="1"/>
      <c r="D75" s="1"/>
      <c r="E75" s="1"/>
      <c r="F75" s="2"/>
      <c r="G75" s="2"/>
      <c r="H75" s="1"/>
      <c r="I75" s="1"/>
      <c r="J75" s="1"/>
      <c r="K75" s="3"/>
      <c r="L75" s="1"/>
      <c r="M75" s="1"/>
      <c r="N75" s="1"/>
      <c r="O75" s="1"/>
      <c r="P75" s="1"/>
      <c r="Q75" s="1"/>
      <c r="R75" s="1"/>
      <c r="S75" s="1"/>
      <c r="T75" s="1"/>
      <c r="U75" s="1"/>
      <c r="V75" s="1"/>
      <c r="W75" s="1"/>
      <c r="X75" s="1"/>
      <c r="Y75" s="1"/>
      <c r="Z75" s="1"/>
      <c r="AA75" s="1"/>
      <c r="AB75" s="1"/>
      <c r="AC75" s="1"/>
    </row>
    <row r="76">
      <c r="A76" s="1"/>
      <c r="B76" s="1"/>
      <c r="C76" s="1"/>
      <c r="D76" s="1"/>
      <c r="E76" s="1"/>
      <c r="F76" s="2"/>
      <c r="G76" s="2"/>
      <c r="H76" s="1"/>
      <c r="I76" s="1"/>
      <c r="J76" s="1"/>
      <c r="K76" s="3"/>
      <c r="L76" s="1"/>
      <c r="M76" s="1"/>
      <c r="N76" s="1"/>
      <c r="O76" s="1"/>
      <c r="P76" s="1"/>
      <c r="Q76" s="1"/>
      <c r="R76" s="1"/>
      <c r="S76" s="1"/>
      <c r="T76" s="1"/>
      <c r="U76" s="1"/>
      <c r="V76" s="1"/>
      <c r="W76" s="1"/>
      <c r="X76" s="1"/>
      <c r="Y76" s="1"/>
      <c r="Z76" s="1"/>
      <c r="AA76" s="1"/>
      <c r="AB76" s="1"/>
      <c r="AC76" s="1"/>
    </row>
    <row r="77">
      <c r="A77" s="1"/>
      <c r="B77" s="1"/>
      <c r="C77" s="1"/>
      <c r="D77" s="1"/>
      <c r="E77" s="1"/>
      <c r="F77" s="2"/>
      <c r="G77" s="2"/>
      <c r="H77" s="1"/>
      <c r="I77" s="1"/>
      <c r="J77" s="1"/>
      <c r="K77" s="3"/>
      <c r="L77" s="1"/>
      <c r="M77" s="1"/>
      <c r="N77" s="1"/>
      <c r="O77" s="1"/>
      <c r="P77" s="1"/>
      <c r="Q77" s="1"/>
      <c r="R77" s="1"/>
      <c r="S77" s="1"/>
      <c r="T77" s="1"/>
      <c r="U77" s="1"/>
      <c r="V77" s="1"/>
      <c r="W77" s="1"/>
      <c r="X77" s="1"/>
      <c r="Y77" s="1"/>
      <c r="Z77" s="1"/>
      <c r="AA77" s="1"/>
      <c r="AB77" s="1"/>
      <c r="AC77" s="1"/>
    </row>
    <row r="78">
      <c r="A78" s="1"/>
      <c r="B78" s="1"/>
      <c r="C78" s="1"/>
      <c r="D78" s="1"/>
      <c r="E78" s="1"/>
      <c r="F78" s="2"/>
      <c r="G78" s="2"/>
      <c r="H78" s="1"/>
      <c r="I78" s="1"/>
      <c r="J78" s="1"/>
      <c r="K78" s="3"/>
      <c r="L78" s="1"/>
      <c r="M78" s="1"/>
      <c r="N78" s="1"/>
      <c r="O78" s="1"/>
      <c r="P78" s="1"/>
      <c r="Q78" s="1"/>
      <c r="R78" s="1"/>
      <c r="S78" s="1"/>
      <c r="T78" s="1"/>
      <c r="U78" s="1"/>
      <c r="V78" s="1"/>
      <c r="W78" s="1"/>
      <c r="X78" s="1"/>
      <c r="Y78" s="1"/>
      <c r="Z78" s="1"/>
      <c r="AA78" s="1"/>
      <c r="AB78" s="1"/>
      <c r="AC78" s="1"/>
    </row>
    <row r="79">
      <c r="A79" s="1"/>
      <c r="B79" s="1"/>
      <c r="C79" s="1"/>
      <c r="D79" s="1"/>
      <c r="E79" s="1"/>
      <c r="F79" s="2"/>
      <c r="G79" s="2"/>
      <c r="H79" s="1"/>
      <c r="I79" s="1"/>
      <c r="J79" s="1"/>
      <c r="K79" s="3"/>
      <c r="L79" s="1"/>
      <c r="M79" s="1"/>
      <c r="N79" s="1"/>
      <c r="O79" s="1"/>
      <c r="P79" s="1"/>
      <c r="Q79" s="1"/>
      <c r="R79" s="1"/>
      <c r="S79" s="1"/>
      <c r="T79" s="1"/>
      <c r="U79" s="1"/>
      <c r="V79" s="1"/>
      <c r="W79" s="1"/>
      <c r="X79" s="1"/>
      <c r="Y79" s="1"/>
      <c r="Z79" s="1"/>
      <c r="AA79" s="1"/>
      <c r="AB79" s="1"/>
      <c r="AC79" s="1"/>
    </row>
    <row r="80">
      <c r="A80" s="1"/>
      <c r="B80" s="1"/>
      <c r="C80" s="1"/>
      <c r="D80" s="1"/>
      <c r="E80" s="1"/>
      <c r="F80" s="2"/>
      <c r="G80" s="2"/>
      <c r="H80" s="1"/>
      <c r="I80" s="1"/>
      <c r="J80" s="1"/>
      <c r="K80" s="3"/>
      <c r="L80" s="1"/>
      <c r="M80" s="1"/>
      <c r="N80" s="1"/>
      <c r="O80" s="1"/>
      <c r="P80" s="1"/>
      <c r="Q80" s="1"/>
      <c r="R80" s="1"/>
      <c r="S80" s="1"/>
      <c r="T80" s="1"/>
      <c r="U80" s="1"/>
      <c r="V80" s="1"/>
      <c r="W80" s="1"/>
      <c r="X80" s="1"/>
      <c r="Y80" s="1"/>
      <c r="Z80" s="1"/>
      <c r="AA80" s="1"/>
      <c r="AB80" s="1"/>
      <c r="AC80" s="1"/>
    </row>
    <row r="81">
      <c r="A81" s="1"/>
      <c r="B81" s="1"/>
      <c r="C81" s="1"/>
      <c r="D81" s="1"/>
      <c r="E81" s="1"/>
      <c r="F81" s="2"/>
      <c r="G81" s="2"/>
      <c r="H81" s="1"/>
      <c r="I81" s="1"/>
      <c r="J81" s="1"/>
      <c r="K81" s="3"/>
      <c r="L81" s="1"/>
      <c r="M81" s="1"/>
      <c r="N81" s="1"/>
      <c r="O81" s="1"/>
      <c r="P81" s="1"/>
      <c r="Q81" s="1"/>
      <c r="R81" s="1"/>
      <c r="S81" s="1"/>
      <c r="T81" s="1"/>
      <c r="U81" s="1"/>
      <c r="V81" s="1"/>
      <c r="W81" s="1"/>
      <c r="X81" s="1"/>
      <c r="Y81" s="1"/>
      <c r="Z81" s="1"/>
      <c r="AA81" s="1"/>
      <c r="AB81" s="1"/>
      <c r="AC81" s="1"/>
    </row>
    <row r="82">
      <c r="A82" s="1"/>
      <c r="B82" s="1"/>
      <c r="C82" s="1"/>
      <c r="D82" s="1"/>
      <c r="E82" s="1"/>
      <c r="F82" s="2"/>
      <c r="G82" s="2"/>
      <c r="H82" s="1"/>
      <c r="I82" s="1"/>
      <c r="J82" s="1"/>
      <c r="K82" s="3"/>
      <c r="L82" s="1"/>
      <c r="M82" s="1"/>
      <c r="N82" s="1"/>
      <c r="O82" s="1"/>
      <c r="P82" s="1"/>
      <c r="Q82" s="1"/>
      <c r="R82" s="1"/>
      <c r="S82" s="1"/>
      <c r="T82" s="1"/>
      <c r="U82" s="1"/>
      <c r="V82" s="1"/>
      <c r="W82" s="1"/>
      <c r="X82" s="1"/>
      <c r="Y82" s="1"/>
      <c r="Z82" s="1"/>
      <c r="AA82" s="1"/>
      <c r="AB82" s="1"/>
      <c r="AC82" s="1"/>
    </row>
    <row r="83">
      <c r="A83" s="1"/>
      <c r="B83" s="1"/>
      <c r="C83" s="1"/>
      <c r="D83" s="1"/>
      <c r="E83" s="1"/>
      <c r="F83" s="2"/>
      <c r="G83" s="2"/>
      <c r="H83" s="1"/>
      <c r="I83" s="1"/>
      <c r="J83" s="1"/>
      <c r="K83" s="3"/>
      <c r="L83" s="1"/>
      <c r="M83" s="1"/>
      <c r="N83" s="1"/>
      <c r="O83" s="1"/>
      <c r="P83" s="1"/>
      <c r="Q83" s="1"/>
      <c r="R83" s="1"/>
      <c r="S83" s="1"/>
      <c r="T83" s="1"/>
      <c r="U83" s="1"/>
      <c r="V83" s="1"/>
      <c r="W83" s="1"/>
      <c r="X83" s="1"/>
      <c r="Y83" s="1"/>
      <c r="Z83" s="1"/>
      <c r="AA83" s="1"/>
      <c r="AB83" s="1"/>
      <c r="AC83" s="1"/>
    </row>
    <row r="84">
      <c r="A84" s="1"/>
      <c r="B84" s="1"/>
      <c r="C84" s="1"/>
      <c r="D84" s="1"/>
      <c r="E84" s="1"/>
      <c r="F84" s="2"/>
      <c r="G84" s="2"/>
      <c r="H84" s="1"/>
      <c r="I84" s="1"/>
      <c r="J84" s="1"/>
      <c r="K84" s="3"/>
      <c r="L84" s="1"/>
      <c r="M84" s="1"/>
      <c r="N84" s="1"/>
      <c r="O84" s="1"/>
      <c r="P84" s="1"/>
      <c r="Q84" s="1"/>
      <c r="R84" s="1"/>
      <c r="S84" s="1"/>
      <c r="T84" s="1"/>
      <c r="U84" s="1"/>
      <c r="V84" s="1"/>
      <c r="W84" s="1"/>
      <c r="X84" s="1"/>
      <c r="Y84" s="1"/>
      <c r="Z84" s="1"/>
      <c r="AA84" s="1"/>
      <c r="AB84" s="1"/>
      <c r="AC84" s="1"/>
    </row>
    <row r="85">
      <c r="A85" s="1"/>
      <c r="B85" s="1"/>
      <c r="C85" s="1"/>
      <c r="D85" s="1"/>
      <c r="E85" s="1"/>
      <c r="F85" s="2"/>
      <c r="G85" s="2"/>
      <c r="H85" s="1"/>
      <c r="I85" s="1"/>
      <c r="J85" s="1"/>
      <c r="K85" s="3"/>
      <c r="L85" s="1"/>
      <c r="M85" s="1"/>
      <c r="N85" s="1"/>
      <c r="O85" s="1"/>
      <c r="P85" s="1"/>
      <c r="Q85" s="1"/>
      <c r="R85" s="1"/>
      <c r="S85" s="1"/>
      <c r="T85" s="1"/>
      <c r="U85" s="1"/>
      <c r="V85" s="1"/>
      <c r="W85" s="1"/>
      <c r="X85" s="1"/>
      <c r="Y85" s="1"/>
      <c r="Z85" s="1"/>
      <c r="AA85" s="1"/>
      <c r="AB85" s="1"/>
      <c r="AC85" s="1"/>
    </row>
    <row r="86">
      <c r="A86" s="1"/>
      <c r="B86" s="1"/>
      <c r="C86" s="1"/>
      <c r="D86" s="1"/>
      <c r="E86" s="1"/>
      <c r="F86" s="2"/>
      <c r="G86" s="2"/>
      <c r="H86" s="1"/>
      <c r="I86" s="1"/>
      <c r="J86" s="1"/>
      <c r="K86" s="3"/>
      <c r="L86" s="1"/>
      <c r="M86" s="1"/>
      <c r="N86" s="1"/>
      <c r="O86" s="1"/>
      <c r="P86" s="1"/>
      <c r="Q86" s="1"/>
      <c r="R86" s="1"/>
      <c r="S86" s="1"/>
      <c r="T86" s="1"/>
      <c r="U86" s="1"/>
      <c r="V86" s="1"/>
      <c r="W86" s="1"/>
      <c r="X86" s="1"/>
      <c r="Y86" s="1"/>
      <c r="Z86" s="1"/>
      <c r="AA86" s="1"/>
      <c r="AB86" s="1"/>
      <c r="AC86" s="1"/>
    </row>
    <row r="87">
      <c r="A87" s="1"/>
      <c r="B87" s="1"/>
      <c r="C87" s="1"/>
      <c r="D87" s="1"/>
      <c r="E87" s="1"/>
      <c r="F87" s="2"/>
      <c r="G87" s="2"/>
      <c r="H87" s="1"/>
      <c r="I87" s="1"/>
      <c r="J87" s="1"/>
      <c r="K87" s="3"/>
      <c r="L87" s="1"/>
      <c r="M87" s="1"/>
      <c r="N87" s="1"/>
      <c r="O87" s="1"/>
      <c r="P87" s="1"/>
      <c r="Q87" s="1"/>
      <c r="R87" s="1"/>
      <c r="S87" s="1"/>
      <c r="T87" s="1"/>
      <c r="U87" s="1"/>
      <c r="V87" s="1"/>
      <c r="W87" s="1"/>
      <c r="X87" s="1"/>
      <c r="Y87" s="1"/>
      <c r="Z87" s="1"/>
      <c r="AA87" s="1"/>
      <c r="AB87" s="1"/>
      <c r="AC87" s="1"/>
    </row>
    <row r="88">
      <c r="A88" s="1"/>
      <c r="B88" s="1"/>
      <c r="C88" s="1"/>
      <c r="D88" s="1"/>
      <c r="E88" s="1"/>
      <c r="F88" s="2"/>
      <c r="G88" s="2"/>
      <c r="H88" s="1"/>
      <c r="I88" s="1"/>
      <c r="J88" s="1"/>
      <c r="K88" s="3"/>
      <c r="L88" s="1"/>
      <c r="M88" s="1"/>
      <c r="N88" s="1"/>
      <c r="O88" s="1"/>
      <c r="P88" s="1"/>
      <c r="Q88" s="1"/>
      <c r="R88" s="1"/>
      <c r="S88" s="1"/>
      <c r="T88" s="1"/>
      <c r="U88" s="1"/>
      <c r="V88" s="1"/>
      <c r="W88" s="1"/>
      <c r="X88" s="1"/>
      <c r="Y88" s="1"/>
      <c r="Z88" s="1"/>
      <c r="AA88" s="1"/>
      <c r="AB88" s="1"/>
      <c r="AC88" s="1"/>
    </row>
    <row r="89">
      <c r="A89" s="1"/>
      <c r="B89" s="1"/>
      <c r="C89" s="1"/>
      <c r="D89" s="1"/>
      <c r="E89" s="1"/>
      <c r="F89" s="2"/>
      <c r="G89" s="2"/>
      <c r="H89" s="1"/>
      <c r="I89" s="1"/>
      <c r="J89" s="1"/>
      <c r="K89" s="3"/>
      <c r="L89" s="1"/>
      <c r="M89" s="1"/>
      <c r="N89" s="1"/>
      <c r="O89" s="1"/>
      <c r="P89" s="1"/>
      <c r="Q89" s="1"/>
      <c r="R89" s="1"/>
      <c r="S89" s="1"/>
      <c r="T89" s="1"/>
      <c r="U89" s="1"/>
      <c r="V89" s="1"/>
      <c r="W89" s="1"/>
      <c r="X89" s="1"/>
      <c r="Y89" s="1"/>
      <c r="Z89" s="1"/>
      <c r="AA89" s="1"/>
      <c r="AB89" s="1"/>
      <c r="AC89" s="1"/>
    </row>
    <row r="90">
      <c r="A90" s="1"/>
      <c r="B90" s="1"/>
      <c r="C90" s="1"/>
      <c r="D90" s="1"/>
      <c r="E90" s="1"/>
      <c r="F90" s="2"/>
      <c r="G90" s="2"/>
      <c r="H90" s="1"/>
      <c r="I90" s="1"/>
      <c r="J90" s="1"/>
      <c r="K90" s="3"/>
      <c r="L90" s="1"/>
      <c r="M90" s="1"/>
      <c r="N90" s="1"/>
      <c r="O90" s="1"/>
      <c r="P90" s="1"/>
      <c r="Q90" s="1"/>
      <c r="R90" s="1"/>
      <c r="S90" s="1"/>
      <c r="T90" s="1"/>
      <c r="U90" s="1"/>
      <c r="V90" s="1"/>
      <c r="W90" s="1"/>
      <c r="X90" s="1"/>
      <c r="Y90" s="1"/>
      <c r="Z90" s="1"/>
      <c r="AA90" s="1"/>
      <c r="AB90" s="1"/>
      <c r="AC90" s="1"/>
    </row>
    <row r="91">
      <c r="A91" s="1"/>
      <c r="B91" s="1"/>
      <c r="C91" s="1"/>
      <c r="D91" s="1"/>
      <c r="E91" s="1"/>
      <c r="F91" s="2"/>
      <c r="G91" s="2"/>
      <c r="H91" s="1"/>
      <c r="I91" s="1"/>
      <c r="J91" s="1"/>
      <c r="K91" s="3"/>
      <c r="L91" s="1"/>
      <c r="M91" s="1"/>
      <c r="N91" s="1"/>
      <c r="O91" s="1"/>
      <c r="P91" s="1"/>
      <c r="Q91" s="1"/>
      <c r="R91" s="1"/>
      <c r="S91" s="1"/>
      <c r="T91" s="1"/>
      <c r="U91" s="1"/>
      <c r="V91" s="1"/>
      <c r="W91" s="1"/>
      <c r="X91" s="1"/>
      <c r="Y91" s="1"/>
      <c r="Z91" s="1"/>
      <c r="AA91" s="1"/>
      <c r="AB91" s="1"/>
      <c r="AC91" s="1"/>
    </row>
    <row r="92">
      <c r="A92" s="1"/>
      <c r="B92" s="1"/>
      <c r="C92" s="1"/>
      <c r="D92" s="1"/>
      <c r="E92" s="1"/>
      <c r="F92" s="2"/>
      <c r="G92" s="2"/>
      <c r="H92" s="1"/>
      <c r="I92" s="1"/>
      <c r="J92" s="1"/>
      <c r="K92" s="3"/>
      <c r="L92" s="1"/>
      <c r="M92" s="1"/>
      <c r="N92" s="1"/>
      <c r="O92" s="1"/>
      <c r="P92" s="1"/>
      <c r="Q92" s="1"/>
      <c r="R92" s="1"/>
      <c r="S92" s="1"/>
      <c r="T92" s="1"/>
      <c r="U92" s="1"/>
      <c r="V92" s="1"/>
      <c r="W92" s="1"/>
      <c r="X92" s="1"/>
      <c r="Y92" s="1"/>
      <c r="Z92" s="1"/>
      <c r="AA92" s="1"/>
      <c r="AB92" s="1"/>
      <c r="AC92" s="1"/>
    </row>
    <row r="93">
      <c r="A93" s="1"/>
      <c r="B93" s="1"/>
      <c r="C93" s="1"/>
      <c r="D93" s="1"/>
      <c r="E93" s="1"/>
      <c r="F93" s="2"/>
      <c r="G93" s="2"/>
      <c r="H93" s="1"/>
      <c r="I93" s="1"/>
      <c r="J93" s="1"/>
      <c r="K93" s="3"/>
      <c r="L93" s="1"/>
      <c r="M93" s="1"/>
      <c r="N93" s="1"/>
      <c r="O93" s="1"/>
      <c r="P93" s="1"/>
      <c r="Q93" s="1"/>
      <c r="R93" s="1"/>
      <c r="S93" s="1"/>
      <c r="T93" s="1"/>
      <c r="U93" s="1"/>
      <c r="V93" s="1"/>
      <c r="W93" s="1"/>
      <c r="X93" s="1"/>
      <c r="Y93" s="1"/>
      <c r="Z93" s="1"/>
      <c r="AA93" s="1"/>
      <c r="AB93" s="1"/>
      <c r="AC93" s="1"/>
    </row>
    <row r="94">
      <c r="A94" s="1"/>
      <c r="B94" s="1"/>
      <c r="C94" s="1"/>
      <c r="D94" s="1"/>
      <c r="E94" s="1"/>
      <c r="F94" s="2"/>
      <c r="G94" s="2"/>
      <c r="H94" s="1"/>
      <c r="I94" s="1"/>
      <c r="J94" s="1"/>
      <c r="K94" s="3"/>
      <c r="L94" s="1"/>
      <c r="M94" s="1"/>
      <c r="N94" s="1"/>
      <c r="O94" s="1"/>
      <c r="P94" s="1"/>
      <c r="Q94" s="1"/>
      <c r="R94" s="1"/>
      <c r="S94" s="1"/>
      <c r="T94" s="1"/>
      <c r="U94" s="1"/>
      <c r="V94" s="1"/>
      <c r="W94" s="1"/>
      <c r="X94" s="1"/>
      <c r="Y94" s="1"/>
      <c r="Z94" s="1"/>
      <c r="AA94" s="1"/>
      <c r="AB94" s="1"/>
      <c r="AC94" s="1"/>
    </row>
    <row r="95">
      <c r="A95" s="1"/>
      <c r="B95" s="1"/>
      <c r="C95" s="1"/>
      <c r="D95" s="1"/>
      <c r="E95" s="1"/>
      <c r="F95" s="2"/>
      <c r="G95" s="2"/>
      <c r="H95" s="1"/>
      <c r="I95" s="1"/>
      <c r="J95" s="1"/>
      <c r="K95" s="3"/>
      <c r="L95" s="1"/>
      <c r="M95" s="1"/>
      <c r="N95" s="1"/>
      <c r="O95" s="1"/>
      <c r="P95" s="1"/>
      <c r="Q95" s="1"/>
      <c r="R95" s="1"/>
      <c r="S95" s="1"/>
      <c r="T95" s="1"/>
      <c r="U95" s="1"/>
      <c r="V95" s="1"/>
      <c r="W95" s="1"/>
      <c r="X95" s="1"/>
      <c r="Y95" s="1"/>
      <c r="Z95" s="1"/>
      <c r="AA95" s="1"/>
      <c r="AB95" s="1"/>
      <c r="AC95" s="1"/>
    </row>
    <row r="96">
      <c r="A96" s="1"/>
      <c r="B96" s="1"/>
      <c r="C96" s="1"/>
      <c r="D96" s="1"/>
      <c r="E96" s="1"/>
      <c r="F96" s="2"/>
      <c r="G96" s="2"/>
      <c r="H96" s="1"/>
      <c r="I96" s="1"/>
      <c r="J96" s="1"/>
      <c r="K96" s="3"/>
      <c r="L96" s="1"/>
      <c r="M96" s="1"/>
      <c r="N96" s="1"/>
      <c r="O96" s="1"/>
      <c r="P96" s="1"/>
      <c r="Q96" s="1"/>
      <c r="R96" s="1"/>
      <c r="S96" s="1"/>
      <c r="T96" s="1"/>
      <c r="U96" s="1"/>
      <c r="V96" s="1"/>
      <c r="W96" s="1"/>
      <c r="X96" s="1"/>
      <c r="Y96" s="1"/>
      <c r="Z96" s="1"/>
      <c r="AA96" s="1"/>
      <c r="AB96" s="1"/>
      <c r="AC96" s="1"/>
    </row>
    <row r="97">
      <c r="A97" s="1"/>
      <c r="B97" s="1"/>
      <c r="C97" s="1"/>
      <c r="D97" s="1"/>
      <c r="E97" s="1"/>
      <c r="F97" s="2"/>
      <c r="G97" s="2"/>
      <c r="H97" s="1"/>
      <c r="I97" s="1"/>
      <c r="J97" s="1"/>
      <c r="K97" s="3"/>
      <c r="L97" s="1"/>
      <c r="M97" s="1"/>
      <c r="N97" s="1"/>
      <c r="O97" s="1"/>
      <c r="P97" s="1"/>
      <c r="Q97" s="1"/>
      <c r="R97" s="1"/>
      <c r="S97" s="1"/>
      <c r="T97" s="1"/>
      <c r="U97" s="1"/>
      <c r="V97" s="1"/>
      <c r="W97" s="1"/>
      <c r="X97" s="1"/>
      <c r="Y97" s="1"/>
      <c r="Z97" s="1"/>
      <c r="AA97" s="1"/>
      <c r="AB97" s="1"/>
      <c r="AC97" s="1"/>
    </row>
    <row r="98">
      <c r="A98" s="1"/>
      <c r="B98" s="1"/>
      <c r="C98" s="1"/>
      <c r="D98" s="1"/>
      <c r="E98" s="1"/>
      <c r="F98" s="2"/>
      <c r="G98" s="2"/>
      <c r="H98" s="1"/>
      <c r="I98" s="1"/>
      <c r="J98" s="1"/>
      <c r="K98" s="3"/>
      <c r="L98" s="1"/>
      <c r="M98" s="1"/>
      <c r="N98" s="1"/>
      <c r="O98" s="1"/>
      <c r="P98" s="1"/>
      <c r="Q98" s="1"/>
      <c r="R98" s="1"/>
      <c r="S98" s="1"/>
      <c r="T98" s="1"/>
      <c r="U98" s="1"/>
      <c r="V98" s="1"/>
      <c r="W98" s="1"/>
      <c r="X98" s="1"/>
      <c r="Y98" s="1"/>
      <c r="Z98" s="1"/>
      <c r="AA98" s="1"/>
      <c r="AB98" s="1"/>
      <c r="AC98" s="1"/>
    </row>
    <row r="99">
      <c r="A99" s="1"/>
      <c r="B99" s="1"/>
      <c r="C99" s="1"/>
      <c r="D99" s="1"/>
      <c r="E99" s="1"/>
      <c r="F99" s="2"/>
      <c r="G99" s="2"/>
      <c r="H99" s="1"/>
      <c r="I99" s="1"/>
      <c r="J99" s="1"/>
      <c r="K99" s="3"/>
      <c r="L99" s="1"/>
      <c r="M99" s="1"/>
      <c r="N99" s="1"/>
      <c r="O99" s="1"/>
      <c r="P99" s="1"/>
      <c r="Q99" s="1"/>
      <c r="R99" s="1"/>
      <c r="S99" s="1"/>
      <c r="T99" s="1"/>
      <c r="U99" s="1"/>
      <c r="V99" s="1"/>
      <c r="W99" s="1"/>
      <c r="X99" s="1"/>
      <c r="Y99" s="1"/>
      <c r="Z99" s="1"/>
      <c r="AA99" s="1"/>
      <c r="AB99" s="1"/>
      <c r="AC99" s="1"/>
    </row>
    <row r="100">
      <c r="A100" s="1"/>
      <c r="B100" s="1"/>
      <c r="C100" s="1"/>
      <c r="D100" s="1"/>
      <c r="E100" s="1"/>
      <c r="F100" s="2"/>
      <c r="G100" s="2"/>
      <c r="H100" s="1"/>
      <c r="I100" s="1"/>
      <c r="J100" s="1"/>
      <c r="K100" s="3"/>
      <c r="L100" s="1"/>
      <c r="M100" s="1"/>
      <c r="N100" s="1"/>
      <c r="O100" s="1"/>
      <c r="P100" s="1"/>
      <c r="Q100" s="1"/>
      <c r="R100" s="1"/>
      <c r="S100" s="1"/>
      <c r="T100" s="1"/>
      <c r="U100" s="1"/>
      <c r="V100" s="1"/>
      <c r="W100" s="1"/>
      <c r="X100" s="1"/>
      <c r="Y100" s="1"/>
      <c r="Z100" s="1"/>
      <c r="AA100" s="1"/>
      <c r="AB100" s="1"/>
      <c r="AC100" s="1"/>
    </row>
    <row r="101">
      <c r="A101" s="1"/>
      <c r="B101" s="1"/>
      <c r="C101" s="1"/>
      <c r="D101" s="1"/>
      <c r="E101" s="1"/>
      <c r="F101" s="2"/>
      <c r="G101" s="2"/>
      <c r="H101" s="1"/>
      <c r="I101" s="1"/>
      <c r="J101" s="1"/>
      <c r="K101" s="3"/>
      <c r="L101" s="1"/>
      <c r="M101" s="1"/>
      <c r="N101" s="1"/>
      <c r="O101" s="1"/>
      <c r="P101" s="1"/>
      <c r="Q101" s="1"/>
      <c r="R101" s="1"/>
      <c r="S101" s="1"/>
      <c r="T101" s="1"/>
      <c r="U101" s="1"/>
      <c r="V101" s="1"/>
      <c r="W101" s="1"/>
      <c r="X101" s="1"/>
      <c r="Y101" s="1"/>
      <c r="Z101" s="1"/>
      <c r="AA101" s="1"/>
      <c r="AB101" s="1"/>
      <c r="AC101" s="1"/>
    </row>
    <row r="102">
      <c r="A102" s="1"/>
      <c r="B102" s="1"/>
      <c r="C102" s="1"/>
      <c r="D102" s="1"/>
      <c r="E102" s="1"/>
      <c r="F102" s="2"/>
      <c r="G102" s="2"/>
      <c r="H102" s="1"/>
      <c r="I102" s="1"/>
      <c r="J102" s="1"/>
      <c r="K102" s="3"/>
      <c r="L102" s="1"/>
      <c r="M102" s="1"/>
      <c r="N102" s="1"/>
      <c r="O102" s="1"/>
      <c r="P102" s="1"/>
      <c r="Q102" s="1"/>
      <c r="R102" s="1"/>
      <c r="S102" s="1"/>
      <c r="T102" s="1"/>
      <c r="U102" s="1"/>
      <c r="V102" s="1"/>
      <c r="W102" s="1"/>
      <c r="X102" s="1"/>
      <c r="Y102" s="1"/>
      <c r="Z102" s="1"/>
      <c r="AA102" s="1"/>
      <c r="AB102" s="1"/>
      <c r="AC102" s="1"/>
    </row>
    <row r="103">
      <c r="A103" s="1"/>
      <c r="B103" s="1"/>
      <c r="C103" s="1"/>
      <c r="D103" s="1"/>
      <c r="E103" s="1"/>
      <c r="F103" s="2"/>
      <c r="G103" s="2"/>
      <c r="H103" s="1"/>
      <c r="I103" s="1"/>
      <c r="J103" s="1"/>
      <c r="K103" s="3"/>
      <c r="L103" s="1"/>
      <c r="M103" s="1"/>
      <c r="N103" s="1"/>
      <c r="O103" s="1"/>
      <c r="P103" s="1"/>
      <c r="Q103" s="1"/>
      <c r="R103" s="1"/>
      <c r="S103" s="1"/>
      <c r="T103" s="1"/>
      <c r="U103" s="1"/>
      <c r="V103" s="1"/>
      <c r="W103" s="1"/>
      <c r="X103" s="1"/>
      <c r="Y103" s="1"/>
      <c r="Z103" s="1"/>
      <c r="AA103" s="1"/>
      <c r="AB103" s="1"/>
      <c r="AC103" s="1"/>
    </row>
    <row r="104">
      <c r="A104" s="1"/>
      <c r="B104" s="1"/>
      <c r="C104" s="1"/>
      <c r="D104" s="1"/>
      <c r="E104" s="1"/>
      <c r="F104" s="2"/>
      <c r="G104" s="2"/>
      <c r="H104" s="1"/>
      <c r="I104" s="1"/>
      <c r="J104" s="1"/>
      <c r="K104" s="3"/>
      <c r="L104" s="1"/>
      <c r="M104" s="1"/>
      <c r="N104" s="1"/>
      <c r="O104" s="1"/>
      <c r="P104" s="1"/>
      <c r="Q104" s="1"/>
      <c r="R104" s="1"/>
      <c r="S104" s="1"/>
      <c r="T104" s="1"/>
      <c r="U104" s="1"/>
      <c r="V104" s="1"/>
      <c r="W104" s="1"/>
      <c r="X104" s="1"/>
      <c r="Y104" s="1"/>
      <c r="Z104" s="1"/>
      <c r="AA104" s="1"/>
      <c r="AB104" s="1"/>
      <c r="AC104" s="1"/>
    </row>
    <row r="105">
      <c r="A105" s="1"/>
      <c r="B105" s="1"/>
      <c r="C105" s="1"/>
      <c r="D105" s="1"/>
      <c r="E105" s="1"/>
      <c r="F105" s="2"/>
      <c r="G105" s="2"/>
      <c r="H105" s="1"/>
      <c r="I105" s="1"/>
      <c r="J105" s="1"/>
      <c r="K105" s="3"/>
      <c r="L105" s="1"/>
      <c r="M105" s="1"/>
      <c r="N105" s="1"/>
      <c r="O105" s="1"/>
      <c r="P105" s="1"/>
      <c r="Q105" s="1"/>
      <c r="R105" s="1"/>
      <c r="S105" s="1"/>
      <c r="T105" s="1"/>
      <c r="U105" s="1"/>
      <c r="V105" s="1"/>
      <c r="W105" s="1"/>
      <c r="X105" s="1"/>
      <c r="Y105" s="1"/>
      <c r="Z105" s="1"/>
      <c r="AA105" s="1"/>
      <c r="AB105" s="1"/>
      <c r="AC105" s="1"/>
    </row>
    <row r="106">
      <c r="A106" s="1"/>
      <c r="B106" s="1"/>
      <c r="C106" s="1"/>
      <c r="D106" s="1"/>
      <c r="E106" s="1"/>
      <c r="F106" s="2"/>
      <c r="G106" s="2"/>
      <c r="H106" s="1"/>
      <c r="I106" s="1"/>
      <c r="J106" s="1"/>
      <c r="K106" s="3"/>
      <c r="L106" s="1"/>
      <c r="M106" s="1"/>
      <c r="N106" s="1"/>
      <c r="O106" s="1"/>
      <c r="P106" s="1"/>
      <c r="Q106" s="1"/>
      <c r="R106" s="1"/>
      <c r="S106" s="1"/>
      <c r="T106" s="1"/>
      <c r="U106" s="1"/>
      <c r="V106" s="1"/>
      <c r="W106" s="1"/>
      <c r="X106" s="1"/>
      <c r="Y106" s="1"/>
      <c r="Z106" s="1"/>
      <c r="AA106" s="1"/>
      <c r="AB106" s="1"/>
      <c r="AC106" s="1"/>
    </row>
    <row r="107">
      <c r="A107" s="1"/>
      <c r="B107" s="1"/>
      <c r="C107" s="1"/>
      <c r="D107" s="1"/>
      <c r="E107" s="1"/>
      <c r="F107" s="2"/>
      <c r="G107" s="2"/>
      <c r="H107" s="1"/>
      <c r="I107" s="1"/>
      <c r="J107" s="1"/>
      <c r="K107" s="3"/>
      <c r="L107" s="1"/>
      <c r="M107" s="1"/>
      <c r="N107" s="1"/>
      <c r="O107" s="1"/>
      <c r="P107" s="1"/>
      <c r="Q107" s="1"/>
      <c r="R107" s="1"/>
      <c r="S107" s="1"/>
      <c r="T107" s="1"/>
      <c r="U107" s="1"/>
      <c r="V107" s="1"/>
      <c r="W107" s="1"/>
      <c r="X107" s="1"/>
      <c r="Y107" s="1"/>
      <c r="Z107" s="1"/>
      <c r="AA107" s="1"/>
      <c r="AB107" s="1"/>
      <c r="AC107" s="1"/>
    </row>
    <row r="108">
      <c r="A108" s="1"/>
      <c r="B108" s="1"/>
      <c r="C108" s="1"/>
      <c r="D108" s="1"/>
      <c r="E108" s="1"/>
      <c r="F108" s="2"/>
      <c r="G108" s="2"/>
      <c r="H108" s="1"/>
      <c r="I108" s="1"/>
      <c r="J108" s="1"/>
      <c r="K108" s="3"/>
      <c r="L108" s="1"/>
      <c r="M108" s="1"/>
      <c r="N108" s="1"/>
      <c r="O108" s="1"/>
      <c r="P108" s="1"/>
      <c r="Q108" s="1"/>
      <c r="R108" s="1"/>
      <c r="S108" s="1"/>
      <c r="T108" s="1"/>
      <c r="U108" s="1"/>
      <c r="V108" s="1"/>
      <c r="W108" s="1"/>
      <c r="X108" s="1"/>
      <c r="Y108" s="1"/>
      <c r="Z108" s="1"/>
      <c r="AA108" s="1"/>
      <c r="AB108" s="1"/>
      <c r="AC108" s="1"/>
    </row>
    <row r="109">
      <c r="A109" s="1"/>
      <c r="B109" s="1"/>
      <c r="C109" s="1"/>
      <c r="D109" s="1"/>
      <c r="E109" s="1"/>
      <c r="F109" s="2"/>
      <c r="G109" s="2"/>
      <c r="H109" s="1"/>
      <c r="I109" s="1"/>
      <c r="J109" s="1"/>
      <c r="K109" s="3"/>
      <c r="L109" s="1"/>
      <c r="M109" s="1"/>
      <c r="N109" s="1"/>
      <c r="O109" s="1"/>
      <c r="P109" s="1"/>
      <c r="Q109" s="1"/>
      <c r="R109" s="1"/>
      <c r="S109" s="1"/>
      <c r="T109" s="1"/>
      <c r="U109" s="1"/>
      <c r="V109" s="1"/>
      <c r="W109" s="1"/>
      <c r="X109" s="1"/>
      <c r="Y109" s="1"/>
      <c r="Z109" s="1"/>
      <c r="AA109" s="1"/>
      <c r="AB109" s="1"/>
      <c r="AC109" s="1"/>
    </row>
    <row r="110">
      <c r="A110" s="1"/>
      <c r="B110" s="1"/>
      <c r="C110" s="1"/>
      <c r="D110" s="1"/>
      <c r="E110" s="1"/>
      <c r="F110" s="2"/>
      <c r="G110" s="2"/>
      <c r="H110" s="1"/>
      <c r="I110" s="1"/>
      <c r="J110" s="1"/>
      <c r="K110" s="3"/>
      <c r="L110" s="1"/>
      <c r="M110" s="1"/>
      <c r="N110" s="1"/>
      <c r="O110" s="1"/>
      <c r="P110" s="1"/>
      <c r="Q110" s="1"/>
      <c r="R110" s="1"/>
      <c r="S110" s="1"/>
      <c r="T110" s="1"/>
      <c r="U110" s="1"/>
      <c r="V110" s="1"/>
      <c r="W110" s="1"/>
      <c r="X110" s="1"/>
      <c r="Y110" s="1"/>
      <c r="Z110" s="1"/>
      <c r="AA110" s="1"/>
      <c r="AB110" s="1"/>
      <c r="AC110" s="1"/>
    </row>
    <row r="111">
      <c r="A111" s="1"/>
      <c r="B111" s="1"/>
      <c r="C111" s="1"/>
      <c r="D111" s="1"/>
      <c r="E111" s="1"/>
      <c r="F111" s="2"/>
      <c r="G111" s="2"/>
      <c r="H111" s="1"/>
      <c r="I111" s="1"/>
      <c r="J111" s="1"/>
      <c r="K111" s="3"/>
      <c r="L111" s="1"/>
      <c r="M111" s="1"/>
      <c r="N111" s="1"/>
      <c r="O111" s="1"/>
      <c r="P111" s="1"/>
      <c r="Q111" s="1"/>
      <c r="R111" s="1"/>
      <c r="S111" s="1"/>
      <c r="T111" s="1"/>
      <c r="U111" s="1"/>
      <c r="V111" s="1"/>
      <c r="W111" s="1"/>
      <c r="X111" s="1"/>
      <c r="Y111" s="1"/>
      <c r="Z111" s="1"/>
      <c r="AA111" s="1"/>
      <c r="AB111" s="1"/>
      <c r="AC111" s="1"/>
    </row>
    <row r="112">
      <c r="A112" s="1"/>
      <c r="B112" s="1"/>
      <c r="C112" s="1"/>
      <c r="D112" s="1"/>
      <c r="E112" s="1"/>
      <c r="F112" s="2"/>
      <c r="G112" s="2"/>
      <c r="H112" s="1"/>
      <c r="I112" s="1"/>
      <c r="J112" s="1"/>
      <c r="K112" s="3"/>
      <c r="L112" s="1"/>
      <c r="M112" s="1"/>
      <c r="N112" s="1"/>
      <c r="O112" s="1"/>
      <c r="P112" s="1"/>
      <c r="Q112" s="1"/>
      <c r="R112" s="1"/>
      <c r="S112" s="1"/>
      <c r="T112" s="1"/>
      <c r="U112" s="1"/>
      <c r="V112" s="1"/>
      <c r="W112" s="1"/>
      <c r="X112" s="1"/>
      <c r="Y112" s="1"/>
      <c r="Z112" s="1"/>
      <c r="AA112" s="1"/>
      <c r="AB112" s="1"/>
      <c r="AC112" s="1"/>
    </row>
    <row r="113">
      <c r="A113" s="1"/>
      <c r="B113" s="1"/>
      <c r="C113" s="1"/>
      <c r="D113" s="1"/>
      <c r="E113" s="1"/>
      <c r="F113" s="2"/>
      <c r="G113" s="2"/>
      <c r="H113" s="1"/>
      <c r="I113" s="1"/>
      <c r="J113" s="1"/>
      <c r="K113" s="3"/>
      <c r="L113" s="1"/>
      <c r="M113" s="1"/>
      <c r="N113" s="1"/>
      <c r="O113" s="1"/>
      <c r="P113" s="1"/>
      <c r="Q113" s="1"/>
      <c r="R113" s="1"/>
      <c r="S113" s="1"/>
      <c r="T113" s="1"/>
      <c r="U113" s="1"/>
      <c r="V113" s="1"/>
      <c r="W113" s="1"/>
      <c r="X113" s="1"/>
      <c r="Y113" s="1"/>
      <c r="Z113" s="1"/>
      <c r="AA113" s="1"/>
      <c r="AB113" s="1"/>
      <c r="AC113" s="1"/>
    </row>
    <row r="114">
      <c r="A114" s="1"/>
      <c r="B114" s="1"/>
      <c r="C114" s="1"/>
      <c r="D114" s="1"/>
      <c r="E114" s="1"/>
      <c r="F114" s="2"/>
      <c r="G114" s="2"/>
      <c r="H114" s="1"/>
      <c r="I114" s="1"/>
      <c r="J114" s="1"/>
      <c r="K114" s="3"/>
      <c r="L114" s="1"/>
      <c r="M114" s="1"/>
      <c r="N114" s="1"/>
      <c r="O114" s="1"/>
      <c r="P114" s="1"/>
      <c r="Q114" s="1"/>
      <c r="R114" s="1"/>
      <c r="S114" s="1"/>
      <c r="T114" s="1"/>
      <c r="U114" s="1"/>
      <c r="V114" s="1"/>
      <c r="W114" s="1"/>
      <c r="X114" s="1"/>
      <c r="Y114" s="1"/>
      <c r="Z114" s="1"/>
      <c r="AA114" s="1"/>
      <c r="AB114" s="1"/>
      <c r="AC114" s="1"/>
    </row>
    <row r="115">
      <c r="A115" s="1"/>
      <c r="B115" s="1"/>
      <c r="C115" s="1"/>
      <c r="D115" s="1"/>
      <c r="E115" s="1"/>
      <c r="F115" s="2"/>
      <c r="G115" s="2"/>
      <c r="H115" s="1"/>
      <c r="I115" s="1"/>
      <c r="J115" s="1"/>
      <c r="K115" s="3"/>
      <c r="L115" s="1"/>
      <c r="M115" s="1"/>
      <c r="N115" s="1"/>
      <c r="O115" s="1"/>
      <c r="P115" s="1"/>
      <c r="Q115" s="1"/>
      <c r="R115" s="1"/>
      <c r="S115" s="1"/>
      <c r="T115" s="1"/>
      <c r="U115" s="1"/>
      <c r="V115" s="1"/>
      <c r="W115" s="1"/>
      <c r="X115" s="1"/>
      <c r="Y115" s="1"/>
      <c r="Z115" s="1"/>
      <c r="AA115" s="1"/>
      <c r="AB115" s="1"/>
      <c r="AC115" s="1"/>
    </row>
    <row r="116">
      <c r="A116" s="1"/>
      <c r="B116" s="1"/>
      <c r="C116" s="1"/>
      <c r="D116" s="1"/>
      <c r="E116" s="1"/>
      <c r="F116" s="2"/>
      <c r="G116" s="2"/>
      <c r="H116" s="1"/>
      <c r="I116" s="1"/>
      <c r="J116" s="1"/>
      <c r="K116" s="3"/>
      <c r="L116" s="1"/>
      <c r="M116" s="1"/>
      <c r="N116" s="1"/>
      <c r="O116" s="1"/>
      <c r="P116" s="1"/>
      <c r="Q116" s="1"/>
      <c r="R116" s="1"/>
      <c r="S116" s="1"/>
      <c r="T116" s="1"/>
      <c r="U116" s="1"/>
      <c r="V116" s="1"/>
      <c r="W116" s="1"/>
      <c r="X116" s="1"/>
      <c r="Y116" s="1"/>
      <c r="Z116" s="1"/>
      <c r="AA116" s="1"/>
      <c r="AB116" s="1"/>
      <c r="AC116" s="1"/>
    </row>
    <row r="117">
      <c r="A117" s="1"/>
      <c r="B117" s="1"/>
      <c r="C117" s="1"/>
      <c r="D117" s="1"/>
      <c r="E117" s="1"/>
      <c r="F117" s="2"/>
      <c r="G117" s="2"/>
      <c r="H117" s="1"/>
      <c r="I117" s="1"/>
      <c r="J117" s="1"/>
      <c r="K117" s="3"/>
      <c r="L117" s="1"/>
      <c r="M117" s="1"/>
      <c r="N117" s="1"/>
      <c r="O117" s="1"/>
      <c r="P117" s="1"/>
      <c r="Q117" s="1"/>
      <c r="R117" s="1"/>
      <c r="S117" s="1"/>
      <c r="T117" s="1"/>
      <c r="U117" s="1"/>
      <c r="V117" s="1"/>
      <c r="W117" s="1"/>
      <c r="X117" s="1"/>
      <c r="Y117" s="1"/>
      <c r="Z117" s="1"/>
      <c r="AA117" s="1"/>
      <c r="AB117" s="1"/>
      <c r="AC117" s="1"/>
    </row>
    <row r="118">
      <c r="A118" s="1"/>
      <c r="B118" s="1"/>
      <c r="C118" s="1"/>
      <c r="D118" s="1"/>
      <c r="E118" s="1"/>
      <c r="F118" s="2"/>
      <c r="G118" s="2"/>
      <c r="H118" s="1"/>
      <c r="I118" s="1"/>
      <c r="J118" s="1"/>
      <c r="K118" s="3"/>
      <c r="L118" s="1"/>
      <c r="M118" s="1"/>
      <c r="N118" s="1"/>
      <c r="O118" s="1"/>
      <c r="P118" s="1"/>
      <c r="Q118" s="1"/>
      <c r="R118" s="1"/>
      <c r="S118" s="1"/>
      <c r="T118" s="1"/>
      <c r="U118" s="1"/>
      <c r="V118" s="1"/>
      <c r="W118" s="1"/>
      <c r="X118" s="1"/>
      <c r="Y118" s="1"/>
      <c r="Z118" s="1"/>
      <c r="AA118" s="1"/>
      <c r="AB118" s="1"/>
      <c r="AC118" s="1"/>
    </row>
    <row r="119">
      <c r="A119" s="1"/>
      <c r="B119" s="1"/>
      <c r="C119" s="1"/>
      <c r="D119" s="1"/>
      <c r="E119" s="1"/>
      <c r="F119" s="2"/>
      <c r="G119" s="2"/>
      <c r="H119" s="1"/>
      <c r="I119" s="1"/>
      <c r="J119" s="1"/>
      <c r="K119" s="3"/>
      <c r="L119" s="1"/>
      <c r="M119" s="1"/>
      <c r="N119" s="1"/>
      <c r="O119" s="1"/>
      <c r="P119" s="1"/>
      <c r="Q119" s="1"/>
      <c r="R119" s="1"/>
      <c r="S119" s="1"/>
      <c r="T119" s="1"/>
      <c r="U119" s="1"/>
      <c r="V119" s="1"/>
      <c r="W119" s="1"/>
      <c r="X119" s="1"/>
      <c r="Y119" s="1"/>
      <c r="Z119" s="1"/>
      <c r="AA119" s="1"/>
      <c r="AB119" s="1"/>
      <c r="AC119" s="1"/>
    </row>
    <row r="120">
      <c r="A120" s="1"/>
      <c r="B120" s="1"/>
      <c r="C120" s="1"/>
      <c r="D120" s="1"/>
      <c r="E120" s="1"/>
      <c r="F120" s="2"/>
      <c r="G120" s="2"/>
      <c r="H120" s="1"/>
      <c r="I120" s="1"/>
      <c r="J120" s="1"/>
      <c r="K120" s="3"/>
      <c r="L120" s="1"/>
      <c r="M120" s="1"/>
      <c r="N120" s="1"/>
      <c r="O120" s="1"/>
      <c r="P120" s="1"/>
      <c r="Q120" s="1"/>
      <c r="R120" s="1"/>
      <c r="S120" s="1"/>
      <c r="T120" s="1"/>
      <c r="U120" s="1"/>
      <c r="V120" s="1"/>
      <c r="W120" s="1"/>
      <c r="X120" s="1"/>
      <c r="Y120" s="1"/>
      <c r="Z120" s="1"/>
      <c r="AA120" s="1"/>
      <c r="AB120" s="1"/>
      <c r="AC120" s="1"/>
    </row>
    <row r="121">
      <c r="A121" s="1"/>
      <c r="B121" s="1"/>
      <c r="C121" s="1"/>
      <c r="D121" s="1"/>
      <c r="E121" s="1"/>
      <c r="F121" s="2"/>
      <c r="G121" s="2"/>
      <c r="H121" s="1"/>
      <c r="I121" s="1"/>
      <c r="J121" s="1"/>
      <c r="K121" s="3"/>
      <c r="L121" s="1"/>
      <c r="M121" s="1"/>
      <c r="N121" s="1"/>
      <c r="O121" s="1"/>
      <c r="P121" s="1"/>
      <c r="Q121" s="1"/>
      <c r="R121" s="1"/>
      <c r="S121" s="1"/>
      <c r="T121" s="1"/>
      <c r="U121" s="1"/>
      <c r="V121" s="1"/>
      <c r="W121" s="1"/>
      <c r="X121" s="1"/>
      <c r="Y121" s="1"/>
      <c r="Z121" s="1"/>
      <c r="AA121" s="1"/>
      <c r="AB121" s="1"/>
      <c r="AC121" s="1"/>
    </row>
    <row r="122">
      <c r="A122" s="1"/>
      <c r="B122" s="1"/>
      <c r="C122" s="1"/>
      <c r="D122" s="1"/>
      <c r="E122" s="1"/>
      <c r="F122" s="2"/>
      <c r="G122" s="2"/>
      <c r="H122" s="1"/>
      <c r="I122" s="1"/>
      <c r="J122" s="1"/>
      <c r="K122" s="3"/>
      <c r="L122" s="1"/>
      <c r="M122" s="1"/>
      <c r="N122" s="1"/>
      <c r="O122" s="1"/>
      <c r="P122" s="1"/>
      <c r="Q122" s="1"/>
      <c r="R122" s="1"/>
      <c r="S122" s="1"/>
      <c r="T122" s="1"/>
      <c r="U122" s="1"/>
      <c r="V122" s="1"/>
      <c r="W122" s="1"/>
      <c r="X122" s="1"/>
      <c r="Y122" s="1"/>
      <c r="Z122" s="1"/>
      <c r="AA122" s="1"/>
      <c r="AB122" s="1"/>
      <c r="AC122" s="1"/>
    </row>
    <row r="123">
      <c r="A123" s="1"/>
      <c r="B123" s="1"/>
      <c r="C123" s="1"/>
      <c r="D123" s="1"/>
      <c r="E123" s="1"/>
      <c r="F123" s="2"/>
      <c r="G123" s="2"/>
      <c r="H123" s="1"/>
      <c r="I123" s="1"/>
      <c r="J123" s="1"/>
      <c r="K123" s="3"/>
      <c r="L123" s="1"/>
      <c r="M123" s="1"/>
      <c r="N123" s="1"/>
      <c r="O123" s="1"/>
      <c r="P123" s="1"/>
      <c r="Q123" s="1"/>
      <c r="R123" s="1"/>
      <c r="S123" s="1"/>
      <c r="T123" s="1"/>
      <c r="U123" s="1"/>
      <c r="V123" s="1"/>
      <c r="W123" s="1"/>
      <c r="X123" s="1"/>
      <c r="Y123" s="1"/>
      <c r="Z123" s="1"/>
      <c r="AA123" s="1"/>
      <c r="AB123" s="1"/>
      <c r="AC123" s="1"/>
    </row>
    <row r="124">
      <c r="A124" s="1"/>
      <c r="B124" s="1"/>
      <c r="C124" s="1"/>
      <c r="D124" s="1"/>
      <c r="E124" s="1"/>
      <c r="F124" s="2"/>
      <c r="G124" s="2"/>
      <c r="H124" s="1"/>
      <c r="I124" s="1"/>
      <c r="J124" s="1"/>
      <c r="K124" s="3"/>
      <c r="L124" s="1"/>
      <c r="M124" s="1"/>
      <c r="N124" s="1"/>
      <c r="O124" s="1"/>
      <c r="P124" s="1"/>
      <c r="Q124" s="1"/>
      <c r="R124" s="1"/>
      <c r="S124" s="1"/>
      <c r="T124" s="1"/>
      <c r="U124" s="1"/>
      <c r="V124" s="1"/>
      <c r="W124" s="1"/>
      <c r="X124" s="1"/>
      <c r="Y124" s="1"/>
      <c r="Z124" s="1"/>
      <c r="AA124" s="1"/>
      <c r="AB124" s="1"/>
      <c r="AC124" s="1"/>
    </row>
    <row r="125">
      <c r="A125" s="1"/>
      <c r="B125" s="1"/>
      <c r="C125" s="1"/>
      <c r="D125" s="1"/>
      <c r="E125" s="1"/>
      <c r="F125" s="2"/>
      <c r="G125" s="2"/>
      <c r="H125" s="1"/>
      <c r="I125" s="1"/>
      <c r="J125" s="1"/>
      <c r="K125" s="3"/>
      <c r="L125" s="1"/>
      <c r="M125" s="1"/>
      <c r="N125" s="1"/>
      <c r="O125" s="1"/>
      <c r="P125" s="1"/>
      <c r="Q125" s="1"/>
      <c r="R125" s="1"/>
      <c r="S125" s="1"/>
      <c r="T125" s="1"/>
      <c r="U125" s="1"/>
      <c r="V125" s="1"/>
      <c r="W125" s="1"/>
      <c r="X125" s="1"/>
      <c r="Y125" s="1"/>
      <c r="Z125" s="1"/>
      <c r="AA125" s="1"/>
      <c r="AB125" s="1"/>
      <c r="AC125" s="1"/>
    </row>
    <row r="126">
      <c r="A126" s="1"/>
      <c r="B126" s="1"/>
      <c r="C126" s="1"/>
      <c r="D126" s="1"/>
      <c r="E126" s="1"/>
      <c r="F126" s="2"/>
      <c r="G126" s="2"/>
      <c r="H126" s="1"/>
      <c r="I126" s="1"/>
      <c r="J126" s="1"/>
      <c r="K126" s="3"/>
      <c r="L126" s="1"/>
      <c r="M126" s="1"/>
      <c r="N126" s="1"/>
      <c r="O126" s="1"/>
      <c r="P126" s="1"/>
      <c r="Q126" s="1"/>
      <c r="R126" s="1"/>
      <c r="S126" s="1"/>
      <c r="T126" s="1"/>
      <c r="U126" s="1"/>
      <c r="V126" s="1"/>
      <c r="W126" s="1"/>
      <c r="X126" s="1"/>
      <c r="Y126" s="1"/>
      <c r="Z126" s="1"/>
      <c r="AA126" s="1"/>
      <c r="AB126" s="1"/>
      <c r="AC126" s="1"/>
    </row>
    <row r="127">
      <c r="A127" s="1"/>
      <c r="B127" s="1"/>
      <c r="C127" s="1"/>
      <c r="D127" s="1"/>
      <c r="E127" s="1"/>
      <c r="F127" s="2"/>
      <c r="G127" s="2"/>
      <c r="H127" s="1"/>
      <c r="I127" s="1"/>
      <c r="J127" s="1"/>
      <c r="K127" s="3"/>
      <c r="L127" s="1"/>
      <c r="M127" s="1"/>
      <c r="N127" s="1"/>
      <c r="O127" s="1"/>
      <c r="P127" s="1"/>
      <c r="Q127" s="1"/>
      <c r="R127" s="1"/>
      <c r="S127" s="1"/>
      <c r="T127" s="1"/>
      <c r="U127" s="1"/>
      <c r="V127" s="1"/>
      <c r="W127" s="1"/>
      <c r="X127" s="1"/>
      <c r="Y127" s="1"/>
      <c r="Z127" s="1"/>
      <c r="AA127" s="1"/>
      <c r="AB127" s="1"/>
      <c r="AC127" s="1"/>
    </row>
    <row r="128">
      <c r="A128" s="1"/>
      <c r="B128" s="1"/>
      <c r="C128" s="1"/>
      <c r="D128" s="1"/>
      <c r="E128" s="1"/>
      <c r="F128" s="2"/>
      <c r="G128" s="2"/>
      <c r="H128" s="1"/>
      <c r="I128" s="1"/>
      <c r="J128" s="1"/>
      <c r="K128" s="3"/>
      <c r="L128" s="1"/>
      <c r="M128" s="1"/>
      <c r="N128" s="1"/>
      <c r="O128" s="1"/>
      <c r="P128" s="1"/>
      <c r="Q128" s="1"/>
      <c r="R128" s="1"/>
      <c r="S128" s="1"/>
      <c r="T128" s="1"/>
      <c r="U128" s="1"/>
      <c r="V128" s="1"/>
      <c r="W128" s="1"/>
      <c r="X128" s="1"/>
      <c r="Y128" s="1"/>
      <c r="Z128" s="1"/>
      <c r="AA128" s="1"/>
      <c r="AB128" s="1"/>
      <c r="AC128" s="1"/>
    </row>
    <row r="129">
      <c r="A129" s="1"/>
      <c r="B129" s="1"/>
      <c r="C129" s="1"/>
      <c r="D129" s="1"/>
      <c r="E129" s="1"/>
      <c r="F129" s="2"/>
      <c r="G129" s="2"/>
      <c r="H129" s="1"/>
      <c r="I129" s="1"/>
      <c r="J129" s="1"/>
      <c r="K129" s="3"/>
      <c r="L129" s="1"/>
      <c r="M129" s="1"/>
      <c r="N129" s="1"/>
      <c r="O129" s="1"/>
      <c r="P129" s="1"/>
      <c r="Q129" s="1"/>
      <c r="R129" s="1"/>
      <c r="S129" s="1"/>
      <c r="T129" s="1"/>
      <c r="U129" s="1"/>
      <c r="V129" s="1"/>
      <c r="W129" s="1"/>
      <c r="X129" s="1"/>
      <c r="Y129" s="1"/>
      <c r="Z129" s="1"/>
      <c r="AA129" s="1"/>
      <c r="AB129" s="1"/>
      <c r="AC129" s="1"/>
    </row>
    <row r="130">
      <c r="A130" s="1"/>
      <c r="B130" s="1"/>
      <c r="C130" s="1"/>
      <c r="D130" s="1"/>
      <c r="E130" s="1"/>
      <c r="F130" s="2"/>
      <c r="G130" s="2"/>
      <c r="H130" s="1"/>
      <c r="I130" s="1"/>
      <c r="J130" s="1"/>
      <c r="K130" s="3"/>
      <c r="L130" s="1"/>
      <c r="M130" s="1"/>
      <c r="N130" s="1"/>
      <c r="O130" s="1"/>
      <c r="P130" s="1"/>
      <c r="Q130" s="1"/>
      <c r="R130" s="1"/>
      <c r="S130" s="1"/>
      <c r="T130" s="1"/>
      <c r="U130" s="1"/>
      <c r="V130" s="1"/>
      <c r="W130" s="1"/>
      <c r="X130" s="1"/>
      <c r="Y130" s="1"/>
      <c r="Z130" s="1"/>
      <c r="AA130" s="1"/>
      <c r="AB130" s="1"/>
      <c r="AC130" s="1"/>
    </row>
    <row r="131">
      <c r="A131" s="1"/>
      <c r="B131" s="1"/>
      <c r="C131" s="1"/>
      <c r="D131" s="1"/>
      <c r="E131" s="1"/>
      <c r="F131" s="2"/>
      <c r="G131" s="2"/>
      <c r="H131" s="1"/>
      <c r="I131" s="1"/>
      <c r="J131" s="1"/>
      <c r="K131" s="3"/>
      <c r="L131" s="1"/>
      <c r="M131" s="1"/>
      <c r="N131" s="1"/>
      <c r="O131" s="1"/>
      <c r="P131" s="1"/>
      <c r="Q131" s="1"/>
      <c r="R131" s="1"/>
      <c r="S131" s="1"/>
      <c r="T131" s="1"/>
      <c r="U131" s="1"/>
      <c r="V131" s="1"/>
      <c r="W131" s="1"/>
      <c r="X131" s="1"/>
      <c r="Y131" s="1"/>
      <c r="Z131" s="1"/>
      <c r="AA131" s="1"/>
      <c r="AB131" s="1"/>
      <c r="AC131" s="1"/>
    </row>
    <row r="132">
      <c r="A132" s="1"/>
      <c r="B132" s="1"/>
      <c r="C132" s="1"/>
      <c r="D132" s="1"/>
      <c r="E132" s="1"/>
      <c r="F132" s="2"/>
      <c r="G132" s="2"/>
      <c r="H132" s="1"/>
      <c r="I132" s="1"/>
      <c r="J132" s="1"/>
      <c r="K132" s="3"/>
      <c r="L132" s="1"/>
      <c r="M132" s="1"/>
      <c r="N132" s="1"/>
      <c r="O132" s="1"/>
      <c r="P132" s="1"/>
      <c r="Q132" s="1"/>
      <c r="R132" s="1"/>
      <c r="S132" s="1"/>
      <c r="T132" s="1"/>
      <c r="U132" s="1"/>
      <c r="V132" s="1"/>
      <c r="W132" s="1"/>
      <c r="X132" s="1"/>
      <c r="Y132" s="1"/>
      <c r="Z132" s="1"/>
      <c r="AA132" s="1"/>
      <c r="AB132" s="1"/>
      <c r="AC132" s="1"/>
    </row>
    <row r="133">
      <c r="A133" s="1"/>
      <c r="B133" s="1"/>
      <c r="C133" s="1"/>
      <c r="D133" s="1"/>
      <c r="E133" s="1"/>
      <c r="F133" s="2"/>
      <c r="G133" s="2"/>
      <c r="H133" s="1"/>
      <c r="I133" s="1"/>
      <c r="J133" s="1"/>
      <c r="K133" s="3"/>
      <c r="L133" s="1"/>
      <c r="M133" s="1"/>
      <c r="N133" s="1"/>
      <c r="O133" s="1"/>
      <c r="P133" s="1"/>
      <c r="Q133" s="1"/>
      <c r="R133" s="1"/>
      <c r="S133" s="1"/>
      <c r="T133" s="1"/>
      <c r="U133" s="1"/>
      <c r="V133" s="1"/>
      <c r="W133" s="1"/>
      <c r="X133" s="1"/>
      <c r="Y133" s="1"/>
      <c r="Z133" s="1"/>
      <c r="AA133" s="1"/>
      <c r="AB133" s="1"/>
      <c r="AC133" s="1"/>
    </row>
    <row r="134">
      <c r="A134" s="1"/>
      <c r="B134" s="1"/>
      <c r="C134" s="1"/>
      <c r="D134" s="1"/>
      <c r="E134" s="1"/>
      <c r="F134" s="2"/>
      <c r="G134" s="2"/>
      <c r="H134" s="1"/>
      <c r="I134" s="1"/>
      <c r="J134" s="1"/>
      <c r="K134" s="3"/>
      <c r="L134" s="1"/>
      <c r="M134" s="1"/>
      <c r="N134" s="1"/>
      <c r="O134" s="1"/>
      <c r="P134" s="1"/>
      <c r="Q134" s="1"/>
      <c r="R134" s="1"/>
      <c r="S134" s="1"/>
      <c r="T134" s="1"/>
      <c r="U134" s="1"/>
      <c r="V134" s="1"/>
      <c r="W134" s="1"/>
      <c r="X134" s="1"/>
      <c r="Y134" s="1"/>
      <c r="Z134" s="1"/>
      <c r="AA134" s="1"/>
      <c r="AB134" s="1"/>
      <c r="AC134" s="1"/>
    </row>
    <row r="135">
      <c r="A135" s="1"/>
      <c r="B135" s="1"/>
      <c r="C135" s="1"/>
      <c r="D135" s="1"/>
      <c r="E135" s="1"/>
      <c r="F135" s="2"/>
      <c r="G135" s="2"/>
      <c r="H135" s="1"/>
      <c r="I135" s="1"/>
      <c r="J135" s="1"/>
      <c r="K135" s="3"/>
      <c r="L135" s="1"/>
      <c r="M135" s="1"/>
      <c r="N135" s="1"/>
      <c r="O135" s="1"/>
      <c r="P135" s="1"/>
      <c r="Q135" s="1"/>
      <c r="R135" s="1"/>
      <c r="S135" s="1"/>
      <c r="T135" s="1"/>
      <c r="U135" s="1"/>
      <c r="V135" s="1"/>
      <c r="W135" s="1"/>
      <c r="X135" s="1"/>
      <c r="Y135" s="1"/>
      <c r="Z135" s="1"/>
      <c r="AA135" s="1"/>
      <c r="AB135" s="1"/>
      <c r="AC135" s="1"/>
    </row>
    <row r="136">
      <c r="A136" s="1"/>
      <c r="B136" s="1"/>
      <c r="C136" s="1"/>
      <c r="D136" s="1"/>
      <c r="E136" s="1"/>
      <c r="F136" s="2"/>
      <c r="G136" s="2"/>
      <c r="H136" s="1"/>
      <c r="I136" s="1"/>
      <c r="J136" s="1"/>
      <c r="K136" s="3"/>
      <c r="L136" s="1"/>
      <c r="M136" s="1"/>
      <c r="N136" s="1"/>
      <c r="O136" s="1"/>
      <c r="P136" s="1"/>
      <c r="Q136" s="1"/>
      <c r="R136" s="1"/>
      <c r="S136" s="1"/>
      <c r="T136" s="1"/>
      <c r="U136" s="1"/>
      <c r="V136" s="1"/>
      <c r="W136" s="1"/>
      <c r="X136" s="1"/>
      <c r="Y136" s="1"/>
      <c r="Z136" s="1"/>
      <c r="AA136" s="1"/>
      <c r="AB136" s="1"/>
      <c r="AC136" s="1"/>
    </row>
    <row r="137">
      <c r="A137" s="1"/>
      <c r="B137" s="1"/>
      <c r="C137" s="1"/>
      <c r="D137" s="1"/>
      <c r="E137" s="1"/>
      <c r="F137" s="2"/>
      <c r="G137" s="2"/>
      <c r="H137" s="1"/>
      <c r="I137" s="1"/>
      <c r="J137" s="1"/>
      <c r="K137" s="3"/>
      <c r="L137" s="1"/>
      <c r="M137" s="1"/>
      <c r="N137" s="1"/>
      <c r="O137" s="1"/>
      <c r="P137" s="1"/>
      <c r="Q137" s="1"/>
      <c r="R137" s="1"/>
      <c r="S137" s="1"/>
      <c r="T137" s="1"/>
      <c r="U137" s="1"/>
      <c r="V137" s="1"/>
      <c r="W137" s="1"/>
      <c r="X137" s="1"/>
      <c r="Y137" s="1"/>
      <c r="Z137" s="1"/>
      <c r="AA137" s="1"/>
      <c r="AB137" s="1"/>
      <c r="AC137" s="1"/>
    </row>
    <row r="138">
      <c r="A138" s="1"/>
      <c r="B138" s="1"/>
      <c r="C138" s="1"/>
      <c r="D138" s="1"/>
      <c r="E138" s="1"/>
      <c r="F138" s="2"/>
      <c r="G138" s="2"/>
      <c r="H138" s="1"/>
      <c r="I138" s="1"/>
      <c r="J138" s="1"/>
      <c r="K138" s="3"/>
      <c r="L138" s="1"/>
      <c r="M138" s="1"/>
      <c r="N138" s="1"/>
      <c r="O138" s="1"/>
      <c r="P138" s="1"/>
      <c r="Q138" s="1"/>
      <c r="R138" s="1"/>
      <c r="S138" s="1"/>
      <c r="T138" s="1"/>
      <c r="U138" s="1"/>
      <c r="V138" s="1"/>
      <c r="W138" s="1"/>
      <c r="X138" s="1"/>
      <c r="Y138" s="1"/>
      <c r="Z138" s="1"/>
      <c r="AA138" s="1"/>
      <c r="AB138" s="1"/>
      <c r="AC138" s="1"/>
    </row>
    <row r="139">
      <c r="A139" s="1"/>
      <c r="B139" s="1"/>
      <c r="C139" s="1"/>
      <c r="D139" s="1"/>
      <c r="E139" s="1"/>
      <c r="F139" s="2"/>
      <c r="G139" s="2"/>
      <c r="H139" s="1"/>
      <c r="I139" s="1"/>
      <c r="J139" s="1"/>
      <c r="K139" s="3"/>
      <c r="L139" s="1"/>
      <c r="M139" s="1"/>
      <c r="N139" s="1"/>
      <c r="O139" s="1"/>
      <c r="P139" s="1"/>
      <c r="Q139" s="1"/>
      <c r="R139" s="1"/>
      <c r="S139" s="1"/>
      <c r="T139" s="1"/>
      <c r="U139" s="1"/>
      <c r="V139" s="1"/>
      <c r="W139" s="1"/>
      <c r="X139" s="1"/>
      <c r="Y139" s="1"/>
      <c r="Z139" s="1"/>
      <c r="AA139" s="1"/>
      <c r="AB139" s="1"/>
      <c r="AC139" s="1"/>
    </row>
    <row r="140">
      <c r="A140" s="1"/>
      <c r="B140" s="1"/>
      <c r="C140" s="1"/>
      <c r="D140" s="1"/>
      <c r="E140" s="1"/>
      <c r="F140" s="2"/>
      <c r="G140" s="2"/>
      <c r="H140" s="1"/>
      <c r="I140" s="1"/>
      <c r="J140" s="1"/>
      <c r="K140" s="3"/>
      <c r="L140" s="1"/>
      <c r="M140" s="1"/>
      <c r="N140" s="1"/>
      <c r="O140" s="1"/>
      <c r="P140" s="1"/>
      <c r="Q140" s="1"/>
      <c r="R140" s="1"/>
      <c r="S140" s="1"/>
      <c r="T140" s="1"/>
      <c r="U140" s="1"/>
      <c r="V140" s="1"/>
      <c r="W140" s="1"/>
      <c r="X140" s="1"/>
      <c r="Y140" s="1"/>
      <c r="Z140" s="1"/>
      <c r="AA140" s="1"/>
      <c r="AB140" s="1"/>
      <c r="AC140" s="1"/>
    </row>
    <row r="141">
      <c r="A141" s="1"/>
      <c r="B141" s="1"/>
      <c r="C141" s="1"/>
      <c r="D141" s="1"/>
      <c r="E141" s="1"/>
      <c r="F141" s="2"/>
      <c r="G141" s="2"/>
      <c r="H141" s="1"/>
      <c r="I141" s="1"/>
      <c r="J141" s="1"/>
      <c r="K141" s="3"/>
      <c r="L141" s="1"/>
      <c r="M141" s="1"/>
      <c r="N141" s="1"/>
      <c r="O141" s="1"/>
      <c r="P141" s="1"/>
      <c r="Q141" s="1"/>
      <c r="R141" s="1"/>
      <c r="S141" s="1"/>
      <c r="T141" s="1"/>
      <c r="U141" s="1"/>
      <c r="V141" s="1"/>
      <c r="W141" s="1"/>
      <c r="X141" s="1"/>
      <c r="Y141" s="1"/>
      <c r="Z141" s="1"/>
      <c r="AA141" s="1"/>
      <c r="AB141" s="1"/>
      <c r="AC141" s="1"/>
    </row>
    <row r="142">
      <c r="A142" s="1"/>
      <c r="B142" s="1"/>
      <c r="C142" s="1"/>
      <c r="D142" s="1"/>
      <c r="E142" s="1"/>
      <c r="F142" s="2"/>
      <c r="G142" s="2"/>
      <c r="H142" s="1"/>
      <c r="I142" s="1"/>
      <c r="J142" s="1"/>
      <c r="K142" s="3"/>
      <c r="L142" s="1"/>
      <c r="M142" s="1"/>
      <c r="N142" s="1"/>
      <c r="O142" s="1"/>
      <c r="P142" s="1"/>
      <c r="Q142" s="1"/>
      <c r="R142" s="1"/>
      <c r="S142" s="1"/>
      <c r="T142" s="1"/>
      <c r="U142" s="1"/>
      <c r="V142" s="1"/>
      <c r="W142" s="1"/>
      <c r="X142" s="1"/>
      <c r="Y142" s="1"/>
      <c r="Z142" s="1"/>
      <c r="AA142" s="1"/>
      <c r="AB142" s="1"/>
      <c r="AC142" s="1"/>
    </row>
    <row r="143">
      <c r="A143" s="1"/>
      <c r="B143" s="1"/>
      <c r="C143" s="1"/>
      <c r="D143" s="1"/>
      <c r="E143" s="1"/>
      <c r="F143" s="2"/>
      <c r="G143" s="2"/>
      <c r="H143" s="1"/>
      <c r="I143" s="1"/>
      <c r="J143" s="1"/>
      <c r="K143" s="3"/>
      <c r="L143" s="1"/>
      <c r="M143" s="1"/>
      <c r="N143" s="1"/>
      <c r="O143" s="1"/>
      <c r="P143" s="1"/>
      <c r="Q143" s="1"/>
      <c r="R143" s="1"/>
      <c r="S143" s="1"/>
      <c r="T143" s="1"/>
      <c r="U143" s="1"/>
      <c r="V143" s="1"/>
      <c r="W143" s="1"/>
      <c r="X143" s="1"/>
      <c r="Y143" s="1"/>
      <c r="Z143" s="1"/>
      <c r="AA143" s="1"/>
      <c r="AB143" s="1"/>
      <c r="AC143" s="1"/>
    </row>
    <row r="144">
      <c r="A144" s="1"/>
      <c r="B144" s="1"/>
      <c r="C144" s="1"/>
      <c r="D144" s="1"/>
      <c r="E144" s="1"/>
      <c r="F144" s="2"/>
      <c r="G144" s="2"/>
      <c r="H144" s="1"/>
      <c r="I144" s="1"/>
      <c r="J144" s="1"/>
      <c r="K144" s="3"/>
      <c r="L144" s="1"/>
      <c r="M144" s="1"/>
      <c r="N144" s="1"/>
      <c r="O144" s="1"/>
      <c r="P144" s="1"/>
      <c r="Q144" s="1"/>
      <c r="R144" s="1"/>
      <c r="S144" s="1"/>
      <c r="T144" s="1"/>
      <c r="U144" s="1"/>
      <c r="V144" s="1"/>
      <c r="W144" s="1"/>
      <c r="X144" s="1"/>
      <c r="Y144" s="1"/>
      <c r="Z144" s="1"/>
      <c r="AA144" s="1"/>
      <c r="AB144" s="1"/>
      <c r="AC144" s="1"/>
    </row>
    <row r="145">
      <c r="A145" s="1"/>
      <c r="B145" s="1"/>
      <c r="C145" s="1"/>
      <c r="D145" s="1"/>
      <c r="E145" s="1"/>
      <c r="F145" s="2"/>
      <c r="G145" s="2"/>
      <c r="H145" s="1"/>
      <c r="I145" s="1"/>
      <c r="J145" s="1"/>
      <c r="K145" s="3"/>
      <c r="L145" s="1"/>
      <c r="M145" s="1"/>
      <c r="N145" s="1"/>
      <c r="O145" s="1"/>
      <c r="P145" s="1"/>
      <c r="Q145" s="1"/>
      <c r="R145" s="1"/>
      <c r="S145" s="1"/>
      <c r="T145" s="1"/>
      <c r="U145" s="1"/>
      <c r="V145" s="1"/>
      <c r="W145" s="1"/>
      <c r="X145" s="1"/>
      <c r="Y145" s="1"/>
      <c r="Z145" s="1"/>
      <c r="AA145" s="1"/>
      <c r="AB145" s="1"/>
      <c r="AC145" s="1"/>
    </row>
    <row r="146">
      <c r="A146" s="1"/>
      <c r="B146" s="1"/>
      <c r="C146" s="1"/>
      <c r="D146" s="1"/>
      <c r="E146" s="1"/>
      <c r="F146" s="2"/>
      <c r="G146" s="2"/>
      <c r="H146" s="1"/>
      <c r="I146" s="1"/>
      <c r="J146" s="1"/>
      <c r="K146" s="3"/>
      <c r="L146" s="1"/>
      <c r="M146" s="1"/>
      <c r="N146" s="1"/>
      <c r="O146" s="1"/>
      <c r="P146" s="1"/>
      <c r="Q146" s="1"/>
      <c r="R146" s="1"/>
      <c r="S146" s="1"/>
      <c r="T146" s="1"/>
      <c r="U146" s="1"/>
      <c r="V146" s="1"/>
      <c r="W146" s="1"/>
      <c r="X146" s="1"/>
      <c r="Y146" s="1"/>
      <c r="Z146" s="1"/>
      <c r="AA146" s="1"/>
      <c r="AB146" s="1"/>
      <c r="AC146" s="1"/>
    </row>
    <row r="147">
      <c r="A147" s="1"/>
      <c r="B147" s="1"/>
      <c r="C147" s="1"/>
      <c r="D147" s="1"/>
      <c r="E147" s="1"/>
      <c r="F147" s="2"/>
      <c r="G147" s="2"/>
      <c r="H147" s="1"/>
      <c r="I147" s="1"/>
      <c r="J147" s="1"/>
      <c r="K147" s="3"/>
      <c r="L147" s="1"/>
      <c r="M147" s="1"/>
      <c r="N147" s="1"/>
      <c r="O147" s="1"/>
      <c r="P147" s="1"/>
      <c r="Q147" s="1"/>
      <c r="R147" s="1"/>
      <c r="S147" s="1"/>
      <c r="T147" s="1"/>
      <c r="U147" s="1"/>
      <c r="V147" s="1"/>
      <c r="W147" s="1"/>
      <c r="X147" s="1"/>
      <c r="Y147" s="1"/>
      <c r="Z147" s="1"/>
      <c r="AA147" s="1"/>
      <c r="AB147" s="1"/>
      <c r="AC147" s="1"/>
    </row>
    <row r="148">
      <c r="A148" s="1"/>
      <c r="B148" s="1"/>
      <c r="C148" s="1"/>
      <c r="D148" s="1"/>
      <c r="E148" s="1"/>
      <c r="F148" s="2"/>
      <c r="G148" s="2"/>
      <c r="H148" s="1"/>
      <c r="I148" s="1"/>
      <c r="J148" s="1"/>
      <c r="K148" s="3"/>
      <c r="L148" s="1"/>
      <c r="M148" s="1"/>
      <c r="N148" s="1"/>
      <c r="O148" s="1"/>
      <c r="P148" s="1"/>
      <c r="Q148" s="1"/>
      <c r="R148" s="1"/>
      <c r="S148" s="1"/>
      <c r="T148" s="1"/>
      <c r="U148" s="1"/>
      <c r="V148" s="1"/>
      <c r="W148" s="1"/>
      <c r="X148" s="1"/>
      <c r="Y148" s="1"/>
      <c r="Z148" s="1"/>
      <c r="AA148" s="1"/>
      <c r="AB148" s="1"/>
      <c r="AC148" s="1"/>
    </row>
    <row r="149">
      <c r="A149" s="1"/>
      <c r="B149" s="1"/>
      <c r="C149" s="1"/>
      <c r="D149" s="1"/>
      <c r="E149" s="1"/>
      <c r="F149" s="2"/>
      <c r="G149" s="2"/>
      <c r="H149" s="1"/>
      <c r="I149" s="1"/>
      <c r="J149" s="1"/>
      <c r="K149" s="3"/>
      <c r="L149" s="1"/>
      <c r="M149" s="1"/>
      <c r="N149" s="1"/>
      <c r="O149" s="1"/>
      <c r="P149" s="1"/>
      <c r="Q149" s="1"/>
      <c r="R149" s="1"/>
      <c r="S149" s="1"/>
      <c r="T149" s="1"/>
      <c r="U149" s="1"/>
      <c r="V149" s="1"/>
      <c r="W149" s="1"/>
      <c r="X149" s="1"/>
      <c r="Y149" s="1"/>
      <c r="Z149" s="1"/>
      <c r="AA149" s="1"/>
      <c r="AB149" s="1"/>
      <c r="AC149" s="1"/>
    </row>
    <row r="150">
      <c r="A150" s="1"/>
      <c r="B150" s="1"/>
      <c r="C150" s="1"/>
      <c r="D150" s="1"/>
      <c r="E150" s="1"/>
      <c r="F150" s="2"/>
      <c r="G150" s="2"/>
      <c r="H150" s="1"/>
      <c r="I150" s="1"/>
      <c r="J150" s="1"/>
      <c r="K150" s="3"/>
      <c r="L150" s="1"/>
      <c r="M150" s="1"/>
      <c r="N150" s="1"/>
      <c r="O150" s="1"/>
      <c r="P150" s="1"/>
      <c r="Q150" s="1"/>
      <c r="R150" s="1"/>
      <c r="S150" s="1"/>
      <c r="T150" s="1"/>
      <c r="U150" s="1"/>
      <c r="V150" s="1"/>
      <c r="W150" s="1"/>
      <c r="X150" s="1"/>
      <c r="Y150" s="1"/>
      <c r="Z150" s="1"/>
      <c r="AA150" s="1"/>
      <c r="AB150" s="1"/>
      <c r="AC150" s="1"/>
    </row>
    <row r="151">
      <c r="A151" s="1"/>
      <c r="B151" s="1"/>
      <c r="C151" s="1"/>
      <c r="D151" s="1"/>
      <c r="E151" s="1"/>
      <c r="F151" s="2"/>
      <c r="G151" s="2"/>
      <c r="H151" s="1"/>
      <c r="I151" s="1"/>
      <c r="J151" s="1"/>
      <c r="K151" s="3"/>
      <c r="L151" s="1"/>
      <c r="M151" s="1"/>
      <c r="N151" s="1"/>
      <c r="O151" s="1"/>
      <c r="P151" s="1"/>
      <c r="Q151" s="1"/>
      <c r="R151" s="1"/>
      <c r="S151" s="1"/>
      <c r="T151" s="1"/>
      <c r="U151" s="1"/>
      <c r="V151" s="1"/>
      <c r="W151" s="1"/>
      <c r="X151" s="1"/>
      <c r="Y151" s="1"/>
      <c r="Z151" s="1"/>
      <c r="AA151" s="1"/>
      <c r="AB151" s="1"/>
      <c r="AC151" s="1"/>
    </row>
    <row r="152">
      <c r="A152" s="1"/>
      <c r="B152" s="1"/>
      <c r="C152" s="1"/>
      <c r="D152" s="1"/>
      <c r="E152" s="1"/>
      <c r="F152" s="2"/>
      <c r="G152" s="2"/>
      <c r="H152" s="1"/>
      <c r="I152" s="1"/>
      <c r="J152" s="1"/>
      <c r="K152" s="3"/>
      <c r="L152" s="1"/>
      <c r="M152" s="1"/>
      <c r="N152" s="1"/>
      <c r="O152" s="1"/>
      <c r="P152" s="1"/>
      <c r="Q152" s="1"/>
      <c r="R152" s="1"/>
      <c r="S152" s="1"/>
      <c r="T152" s="1"/>
      <c r="U152" s="1"/>
      <c r="V152" s="1"/>
      <c r="W152" s="1"/>
      <c r="X152" s="1"/>
      <c r="Y152" s="1"/>
      <c r="Z152" s="1"/>
      <c r="AA152" s="1"/>
      <c r="AB152" s="1"/>
      <c r="AC152" s="1"/>
    </row>
    <row r="153">
      <c r="A153" s="1"/>
      <c r="B153" s="1"/>
      <c r="C153" s="1"/>
      <c r="D153" s="1"/>
      <c r="E153" s="1"/>
      <c r="F153" s="2"/>
      <c r="G153" s="2"/>
      <c r="H153" s="1"/>
      <c r="I153" s="1"/>
      <c r="J153" s="1"/>
      <c r="K153" s="3"/>
      <c r="L153" s="1"/>
      <c r="M153" s="1"/>
      <c r="N153" s="1"/>
      <c r="O153" s="1"/>
      <c r="P153" s="1"/>
      <c r="Q153" s="1"/>
      <c r="R153" s="1"/>
      <c r="S153" s="1"/>
      <c r="T153" s="1"/>
      <c r="U153" s="1"/>
      <c r="V153" s="1"/>
      <c r="W153" s="1"/>
      <c r="X153" s="1"/>
      <c r="Y153" s="1"/>
      <c r="Z153" s="1"/>
      <c r="AA153" s="1"/>
      <c r="AB153" s="1"/>
      <c r="AC153" s="1"/>
    </row>
    <row r="154">
      <c r="A154" s="1"/>
      <c r="B154" s="1"/>
      <c r="C154" s="1"/>
      <c r="D154" s="1"/>
      <c r="E154" s="1"/>
      <c r="F154" s="2"/>
      <c r="G154" s="2"/>
      <c r="H154" s="1"/>
      <c r="I154" s="1"/>
      <c r="J154" s="1"/>
      <c r="K154" s="3"/>
      <c r="L154" s="1"/>
      <c r="M154" s="1"/>
      <c r="N154" s="1"/>
      <c r="O154" s="1"/>
      <c r="P154" s="1"/>
      <c r="Q154" s="1"/>
      <c r="R154" s="1"/>
      <c r="S154" s="1"/>
      <c r="T154" s="1"/>
      <c r="U154" s="1"/>
      <c r="V154" s="1"/>
      <c r="W154" s="1"/>
      <c r="X154" s="1"/>
      <c r="Y154" s="1"/>
      <c r="Z154" s="1"/>
      <c r="AA154" s="1"/>
      <c r="AB154" s="1"/>
      <c r="AC154" s="1"/>
    </row>
    <row r="155">
      <c r="A155" s="1"/>
      <c r="B155" s="1"/>
      <c r="C155" s="1"/>
      <c r="D155" s="1"/>
      <c r="E155" s="1"/>
      <c r="F155" s="2"/>
      <c r="G155" s="2"/>
      <c r="H155" s="1"/>
      <c r="I155" s="1"/>
      <c r="J155" s="1"/>
      <c r="K155" s="3"/>
      <c r="L155" s="1"/>
      <c r="M155" s="1"/>
      <c r="N155" s="1"/>
      <c r="O155" s="1"/>
      <c r="P155" s="1"/>
      <c r="Q155" s="1"/>
      <c r="R155" s="1"/>
      <c r="S155" s="1"/>
      <c r="T155" s="1"/>
      <c r="U155" s="1"/>
      <c r="V155" s="1"/>
      <c r="W155" s="1"/>
      <c r="X155" s="1"/>
      <c r="Y155" s="1"/>
      <c r="Z155" s="1"/>
      <c r="AA155" s="1"/>
      <c r="AB155" s="1"/>
      <c r="AC155" s="1"/>
    </row>
    <row r="156">
      <c r="A156" s="1"/>
      <c r="B156" s="1"/>
      <c r="C156" s="1"/>
      <c r="D156" s="1"/>
      <c r="E156" s="1"/>
      <c r="F156" s="2"/>
      <c r="G156" s="2"/>
      <c r="H156" s="1"/>
      <c r="I156" s="1"/>
      <c r="J156" s="1"/>
      <c r="K156" s="3"/>
      <c r="L156" s="1"/>
      <c r="M156" s="1"/>
      <c r="N156" s="1"/>
      <c r="O156" s="1"/>
      <c r="P156" s="1"/>
      <c r="Q156" s="1"/>
      <c r="R156" s="1"/>
      <c r="S156" s="1"/>
      <c r="T156" s="1"/>
      <c r="U156" s="1"/>
      <c r="V156" s="1"/>
      <c r="W156" s="1"/>
      <c r="X156" s="1"/>
      <c r="Y156" s="1"/>
      <c r="Z156" s="1"/>
      <c r="AA156" s="1"/>
      <c r="AB156" s="1"/>
      <c r="AC156" s="1"/>
    </row>
    <row r="157">
      <c r="A157" s="1"/>
      <c r="B157" s="1"/>
      <c r="C157" s="1"/>
      <c r="D157" s="1"/>
      <c r="E157" s="1"/>
      <c r="F157" s="2"/>
      <c r="G157" s="2"/>
      <c r="H157" s="1"/>
      <c r="I157" s="1"/>
      <c r="J157" s="1"/>
      <c r="K157" s="3"/>
      <c r="L157" s="1"/>
      <c r="M157" s="1"/>
      <c r="N157" s="1"/>
      <c r="O157" s="1"/>
      <c r="P157" s="1"/>
      <c r="Q157" s="1"/>
      <c r="R157" s="1"/>
      <c r="S157" s="1"/>
      <c r="T157" s="1"/>
      <c r="U157" s="1"/>
      <c r="V157" s="1"/>
      <c r="W157" s="1"/>
      <c r="X157" s="1"/>
      <c r="Y157" s="1"/>
      <c r="Z157" s="1"/>
      <c r="AA157" s="1"/>
      <c r="AB157" s="1"/>
      <c r="AC157" s="1"/>
    </row>
    <row r="158">
      <c r="A158" s="1"/>
      <c r="B158" s="1"/>
      <c r="C158" s="1"/>
      <c r="D158" s="1"/>
      <c r="E158" s="1"/>
      <c r="F158" s="2"/>
      <c r="G158" s="2"/>
      <c r="H158" s="1"/>
      <c r="I158" s="1"/>
      <c r="J158" s="1"/>
      <c r="K158" s="3"/>
      <c r="L158" s="1"/>
      <c r="M158" s="1"/>
      <c r="N158" s="1"/>
      <c r="O158" s="1"/>
      <c r="P158" s="1"/>
      <c r="Q158" s="1"/>
      <c r="R158" s="1"/>
      <c r="S158" s="1"/>
      <c r="T158" s="1"/>
      <c r="U158" s="1"/>
      <c r="V158" s="1"/>
      <c r="W158" s="1"/>
      <c r="X158" s="1"/>
      <c r="Y158" s="1"/>
      <c r="Z158" s="1"/>
      <c r="AA158" s="1"/>
      <c r="AB158" s="1"/>
      <c r="AC158" s="1"/>
    </row>
    <row r="159">
      <c r="A159" s="1"/>
      <c r="B159" s="1"/>
      <c r="C159" s="1"/>
      <c r="D159" s="1"/>
      <c r="E159" s="1"/>
      <c r="F159" s="2"/>
      <c r="G159" s="2"/>
      <c r="H159" s="1"/>
      <c r="I159" s="1"/>
      <c r="J159" s="1"/>
      <c r="K159" s="3"/>
      <c r="L159" s="1"/>
      <c r="M159" s="1"/>
      <c r="N159" s="1"/>
      <c r="O159" s="1"/>
      <c r="P159" s="1"/>
      <c r="Q159" s="1"/>
      <c r="R159" s="1"/>
      <c r="S159" s="1"/>
      <c r="T159" s="1"/>
      <c r="U159" s="1"/>
      <c r="V159" s="1"/>
      <c r="W159" s="1"/>
      <c r="X159" s="1"/>
      <c r="Y159" s="1"/>
      <c r="Z159" s="1"/>
      <c r="AA159" s="1"/>
      <c r="AB159" s="1"/>
      <c r="AC159" s="1"/>
    </row>
    <row r="160">
      <c r="A160" s="1"/>
      <c r="B160" s="1"/>
      <c r="C160" s="1"/>
      <c r="D160" s="1"/>
      <c r="E160" s="1"/>
      <c r="F160" s="2"/>
      <c r="G160" s="2"/>
      <c r="H160" s="1"/>
      <c r="I160" s="1"/>
      <c r="J160" s="1"/>
      <c r="K160" s="3"/>
      <c r="L160" s="1"/>
      <c r="M160" s="1"/>
      <c r="N160" s="1"/>
      <c r="O160" s="1"/>
      <c r="P160" s="1"/>
      <c r="Q160" s="1"/>
      <c r="R160" s="1"/>
      <c r="S160" s="1"/>
      <c r="T160" s="1"/>
      <c r="U160" s="1"/>
      <c r="V160" s="1"/>
      <c r="W160" s="1"/>
      <c r="X160" s="1"/>
      <c r="Y160" s="1"/>
      <c r="Z160" s="1"/>
      <c r="AA160" s="1"/>
      <c r="AB160" s="1"/>
      <c r="AC160" s="1"/>
    </row>
    <row r="161">
      <c r="A161" s="1"/>
      <c r="B161" s="1"/>
      <c r="C161" s="1"/>
      <c r="D161" s="1"/>
      <c r="E161" s="1"/>
      <c r="F161" s="2"/>
      <c r="G161" s="2"/>
      <c r="H161" s="1"/>
      <c r="I161" s="1"/>
      <c r="J161" s="1"/>
      <c r="K161" s="3"/>
      <c r="L161" s="1"/>
      <c r="M161" s="1"/>
      <c r="N161" s="1"/>
      <c r="O161" s="1"/>
      <c r="P161" s="1"/>
      <c r="Q161" s="1"/>
      <c r="R161" s="1"/>
      <c r="S161" s="1"/>
      <c r="T161" s="1"/>
      <c r="U161" s="1"/>
      <c r="V161" s="1"/>
      <c r="W161" s="1"/>
      <c r="X161" s="1"/>
      <c r="Y161" s="1"/>
      <c r="Z161" s="1"/>
      <c r="AA161" s="1"/>
      <c r="AB161" s="1"/>
      <c r="AC161" s="1"/>
    </row>
    <row r="162">
      <c r="A162" s="1"/>
      <c r="B162" s="1"/>
      <c r="C162" s="1"/>
      <c r="D162" s="1"/>
      <c r="E162" s="1"/>
      <c r="F162" s="2"/>
      <c r="G162" s="2"/>
      <c r="H162" s="1"/>
      <c r="I162" s="1"/>
      <c r="J162" s="1"/>
      <c r="K162" s="3"/>
      <c r="L162" s="1"/>
      <c r="M162" s="1"/>
      <c r="N162" s="1"/>
      <c r="O162" s="1"/>
      <c r="P162" s="1"/>
      <c r="Q162" s="1"/>
      <c r="R162" s="1"/>
      <c r="S162" s="1"/>
      <c r="T162" s="1"/>
      <c r="U162" s="1"/>
      <c r="V162" s="1"/>
      <c r="W162" s="1"/>
      <c r="X162" s="1"/>
      <c r="Y162" s="1"/>
      <c r="Z162" s="1"/>
      <c r="AA162" s="1"/>
      <c r="AB162" s="1"/>
      <c r="AC162" s="1"/>
    </row>
    <row r="163">
      <c r="A163" s="1"/>
      <c r="B163" s="1"/>
      <c r="C163" s="1"/>
      <c r="D163" s="1"/>
      <c r="E163" s="1"/>
      <c r="F163" s="2"/>
      <c r="G163" s="2"/>
      <c r="H163" s="1"/>
      <c r="I163" s="1"/>
      <c r="J163" s="1"/>
      <c r="K163" s="3"/>
      <c r="L163" s="1"/>
      <c r="M163" s="1"/>
      <c r="N163" s="1"/>
      <c r="O163" s="1"/>
      <c r="P163" s="1"/>
      <c r="Q163" s="1"/>
      <c r="R163" s="1"/>
      <c r="S163" s="1"/>
      <c r="T163" s="1"/>
      <c r="U163" s="1"/>
      <c r="V163" s="1"/>
      <c r="W163" s="1"/>
      <c r="X163" s="1"/>
      <c r="Y163" s="1"/>
      <c r="Z163" s="1"/>
      <c r="AA163" s="1"/>
      <c r="AB163" s="1"/>
      <c r="AC163" s="1"/>
    </row>
    <row r="164">
      <c r="A164" s="1"/>
      <c r="B164" s="1"/>
      <c r="C164" s="1"/>
      <c r="D164" s="1"/>
      <c r="E164" s="1"/>
      <c r="F164" s="2"/>
      <c r="G164" s="2"/>
      <c r="H164" s="1"/>
      <c r="I164" s="1"/>
      <c r="J164" s="1"/>
      <c r="K164" s="3"/>
      <c r="L164" s="1"/>
      <c r="M164" s="1"/>
      <c r="N164" s="1"/>
      <c r="O164" s="1"/>
      <c r="P164" s="1"/>
      <c r="Q164" s="1"/>
      <c r="R164" s="1"/>
      <c r="S164" s="1"/>
      <c r="T164" s="1"/>
      <c r="U164" s="1"/>
      <c r="V164" s="1"/>
      <c r="W164" s="1"/>
      <c r="X164" s="1"/>
      <c r="Y164" s="1"/>
      <c r="Z164" s="1"/>
      <c r="AA164" s="1"/>
      <c r="AB164" s="1"/>
      <c r="AC164" s="1"/>
    </row>
    <row r="165">
      <c r="A165" s="1"/>
      <c r="B165" s="1"/>
      <c r="C165" s="1"/>
      <c r="D165" s="1"/>
      <c r="E165" s="1"/>
      <c r="F165" s="2"/>
      <c r="G165" s="2"/>
      <c r="H165" s="1"/>
      <c r="I165" s="1"/>
      <c r="J165" s="1"/>
      <c r="K165" s="3"/>
      <c r="L165" s="1"/>
      <c r="M165" s="1"/>
      <c r="N165" s="1"/>
      <c r="O165" s="1"/>
      <c r="P165" s="1"/>
      <c r="Q165" s="1"/>
      <c r="R165" s="1"/>
      <c r="S165" s="1"/>
      <c r="T165" s="1"/>
      <c r="U165" s="1"/>
      <c r="V165" s="1"/>
      <c r="W165" s="1"/>
      <c r="X165" s="1"/>
      <c r="Y165" s="1"/>
      <c r="Z165" s="1"/>
      <c r="AA165" s="1"/>
      <c r="AB165" s="1"/>
      <c r="AC165" s="1"/>
    </row>
    <row r="166">
      <c r="A166" s="1"/>
      <c r="B166" s="1"/>
      <c r="C166" s="1"/>
      <c r="D166" s="1"/>
      <c r="E166" s="1"/>
      <c r="F166" s="2"/>
      <c r="G166" s="2"/>
      <c r="H166" s="1"/>
      <c r="I166" s="1"/>
      <c r="J166" s="1"/>
      <c r="K166" s="3"/>
      <c r="L166" s="1"/>
      <c r="M166" s="1"/>
      <c r="N166" s="1"/>
      <c r="O166" s="1"/>
      <c r="P166" s="1"/>
      <c r="Q166" s="1"/>
      <c r="R166" s="1"/>
      <c r="S166" s="1"/>
      <c r="T166" s="1"/>
      <c r="U166" s="1"/>
      <c r="V166" s="1"/>
      <c r="W166" s="1"/>
      <c r="X166" s="1"/>
      <c r="Y166" s="1"/>
      <c r="Z166" s="1"/>
      <c r="AA166" s="1"/>
      <c r="AB166" s="1"/>
      <c r="AC166" s="1"/>
    </row>
    <row r="167">
      <c r="A167" s="1"/>
      <c r="B167" s="1"/>
      <c r="C167" s="1"/>
      <c r="D167" s="1"/>
      <c r="E167" s="1"/>
      <c r="F167" s="2"/>
      <c r="G167" s="2"/>
      <c r="H167" s="1"/>
      <c r="I167" s="1"/>
      <c r="J167" s="1"/>
      <c r="K167" s="3"/>
      <c r="L167" s="1"/>
      <c r="M167" s="1"/>
      <c r="N167" s="1"/>
      <c r="O167" s="1"/>
      <c r="P167" s="1"/>
      <c r="Q167" s="1"/>
      <c r="R167" s="1"/>
      <c r="S167" s="1"/>
      <c r="T167" s="1"/>
      <c r="U167" s="1"/>
      <c r="V167" s="1"/>
      <c r="W167" s="1"/>
      <c r="X167" s="1"/>
      <c r="Y167" s="1"/>
      <c r="Z167" s="1"/>
      <c r="AA167" s="1"/>
      <c r="AB167" s="1"/>
      <c r="AC167" s="1"/>
    </row>
    <row r="168">
      <c r="A168" s="1"/>
      <c r="B168" s="1"/>
      <c r="C168" s="1"/>
      <c r="D168" s="1"/>
      <c r="E168" s="1"/>
      <c r="F168" s="2"/>
      <c r="G168" s="2"/>
      <c r="H168" s="1"/>
      <c r="I168" s="1"/>
      <c r="J168" s="1"/>
      <c r="K168" s="3"/>
      <c r="L168" s="1"/>
      <c r="M168" s="1"/>
      <c r="N168" s="1"/>
      <c r="O168" s="1"/>
      <c r="P168" s="1"/>
      <c r="Q168" s="1"/>
      <c r="R168" s="1"/>
      <c r="S168" s="1"/>
      <c r="T168" s="1"/>
      <c r="U168" s="1"/>
      <c r="V168" s="1"/>
      <c r="W168" s="1"/>
      <c r="X168" s="1"/>
      <c r="Y168" s="1"/>
      <c r="Z168" s="1"/>
      <c r="AA168" s="1"/>
      <c r="AB168" s="1"/>
      <c r="AC168" s="1"/>
    </row>
    <row r="169">
      <c r="A169" s="1"/>
      <c r="B169" s="1"/>
      <c r="C169" s="1"/>
      <c r="D169" s="1"/>
      <c r="E169" s="1"/>
      <c r="F169" s="2"/>
      <c r="G169" s="2"/>
      <c r="H169" s="1"/>
      <c r="I169" s="1"/>
      <c r="J169" s="1"/>
      <c r="K169" s="3"/>
      <c r="L169" s="1"/>
      <c r="M169" s="1"/>
      <c r="N169" s="1"/>
      <c r="O169" s="1"/>
      <c r="P169" s="1"/>
      <c r="Q169" s="1"/>
      <c r="R169" s="1"/>
      <c r="S169" s="1"/>
      <c r="T169" s="1"/>
      <c r="U169" s="1"/>
      <c r="V169" s="1"/>
      <c r="W169" s="1"/>
      <c r="X169" s="1"/>
      <c r="Y169" s="1"/>
      <c r="Z169" s="1"/>
      <c r="AA169" s="1"/>
      <c r="AB169" s="1"/>
      <c r="AC169" s="1"/>
    </row>
    <row r="170">
      <c r="A170" s="1"/>
      <c r="B170" s="1"/>
      <c r="C170" s="1"/>
      <c r="D170" s="1"/>
      <c r="E170" s="1"/>
      <c r="F170" s="2"/>
      <c r="G170" s="2"/>
      <c r="H170" s="1"/>
      <c r="I170" s="1"/>
      <c r="J170" s="1"/>
      <c r="K170" s="3"/>
      <c r="L170" s="1"/>
      <c r="M170" s="1"/>
      <c r="N170" s="1"/>
      <c r="O170" s="1"/>
      <c r="P170" s="1"/>
      <c r="Q170" s="1"/>
      <c r="R170" s="1"/>
      <c r="S170" s="1"/>
      <c r="T170" s="1"/>
      <c r="U170" s="1"/>
      <c r="V170" s="1"/>
      <c r="W170" s="1"/>
      <c r="X170" s="1"/>
      <c r="Y170" s="1"/>
      <c r="Z170" s="1"/>
      <c r="AA170" s="1"/>
      <c r="AB170" s="1"/>
      <c r="AC170" s="1"/>
    </row>
    <row r="171">
      <c r="A171" s="1"/>
      <c r="B171" s="1"/>
      <c r="C171" s="1"/>
      <c r="D171" s="1"/>
      <c r="E171" s="1"/>
      <c r="F171" s="2"/>
      <c r="G171" s="2"/>
      <c r="H171" s="1"/>
      <c r="I171" s="1"/>
      <c r="J171" s="1"/>
      <c r="K171" s="3"/>
      <c r="L171" s="1"/>
      <c r="M171" s="1"/>
      <c r="N171" s="1"/>
      <c r="O171" s="1"/>
      <c r="P171" s="1"/>
      <c r="Q171" s="1"/>
      <c r="R171" s="1"/>
      <c r="S171" s="1"/>
      <c r="T171" s="1"/>
      <c r="U171" s="1"/>
      <c r="V171" s="1"/>
      <c r="W171" s="1"/>
      <c r="X171" s="1"/>
      <c r="Y171" s="1"/>
      <c r="Z171" s="1"/>
      <c r="AA171" s="1"/>
      <c r="AB171" s="1"/>
      <c r="AC171" s="1"/>
    </row>
    <row r="172">
      <c r="A172" s="1"/>
      <c r="B172" s="1"/>
      <c r="C172" s="1"/>
      <c r="D172" s="1"/>
      <c r="E172" s="1"/>
      <c r="F172" s="2"/>
      <c r="G172" s="2"/>
      <c r="H172" s="1"/>
      <c r="I172" s="1"/>
      <c r="J172" s="1"/>
      <c r="K172" s="3"/>
      <c r="L172" s="1"/>
      <c r="M172" s="1"/>
      <c r="N172" s="1"/>
      <c r="O172" s="1"/>
      <c r="P172" s="1"/>
      <c r="Q172" s="1"/>
      <c r="R172" s="1"/>
      <c r="S172" s="1"/>
      <c r="T172" s="1"/>
      <c r="U172" s="1"/>
      <c r="V172" s="1"/>
      <c r="W172" s="1"/>
      <c r="X172" s="1"/>
      <c r="Y172" s="1"/>
      <c r="Z172" s="1"/>
      <c r="AA172" s="1"/>
      <c r="AB172" s="1"/>
      <c r="AC172" s="1"/>
    </row>
    <row r="173">
      <c r="A173" s="1"/>
      <c r="B173" s="1"/>
      <c r="C173" s="1"/>
      <c r="D173" s="1"/>
      <c r="E173" s="1"/>
      <c r="F173" s="2"/>
      <c r="G173" s="2"/>
      <c r="H173" s="1"/>
      <c r="I173" s="1"/>
      <c r="J173" s="1"/>
      <c r="K173" s="3"/>
      <c r="L173" s="1"/>
      <c r="M173" s="1"/>
      <c r="N173" s="1"/>
      <c r="O173" s="1"/>
      <c r="P173" s="1"/>
      <c r="Q173" s="1"/>
      <c r="R173" s="1"/>
      <c r="S173" s="1"/>
      <c r="T173" s="1"/>
      <c r="U173" s="1"/>
      <c r="V173" s="1"/>
      <c r="W173" s="1"/>
      <c r="X173" s="1"/>
      <c r="Y173" s="1"/>
      <c r="Z173" s="1"/>
      <c r="AA173" s="1"/>
      <c r="AB173" s="1"/>
      <c r="AC173" s="1"/>
    </row>
    <row r="174">
      <c r="A174" s="1"/>
      <c r="B174" s="1"/>
      <c r="C174" s="1"/>
      <c r="D174" s="1"/>
      <c r="E174" s="1"/>
      <c r="F174" s="2"/>
      <c r="G174" s="2"/>
      <c r="H174" s="1"/>
      <c r="I174" s="1"/>
      <c r="J174" s="1"/>
      <c r="K174" s="3"/>
      <c r="L174" s="1"/>
      <c r="M174" s="1"/>
      <c r="N174" s="1"/>
      <c r="O174" s="1"/>
      <c r="P174" s="1"/>
      <c r="Q174" s="1"/>
      <c r="R174" s="1"/>
      <c r="S174" s="1"/>
      <c r="T174" s="1"/>
      <c r="U174" s="1"/>
      <c r="V174" s="1"/>
      <c r="W174" s="1"/>
      <c r="X174" s="1"/>
      <c r="Y174" s="1"/>
      <c r="Z174" s="1"/>
      <c r="AA174" s="1"/>
      <c r="AB174" s="1"/>
      <c r="AC174" s="1"/>
    </row>
    <row r="175">
      <c r="A175" s="1"/>
      <c r="B175" s="1"/>
      <c r="C175" s="1"/>
      <c r="D175" s="1"/>
      <c r="E175" s="1"/>
      <c r="F175" s="2"/>
      <c r="G175" s="2"/>
      <c r="H175" s="1"/>
      <c r="I175" s="1"/>
      <c r="J175" s="1"/>
      <c r="K175" s="3"/>
      <c r="L175" s="1"/>
      <c r="M175" s="1"/>
      <c r="N175" s="1"/>
      <c r="O175" s="1"/>
      <c r="P175" s="1"/>
      <c r="Q175" s="1"/>
      <c r="R175" s="1"/>
      <c r="S175" s="1"/>
      <c r="T175" s="1"/>
      <c r="U175" s="1"/>
      <c r="V175" s="1"/>
      <c r="W175" s="1"/>
      <c r="X175" s="1"/>
      <c r="Y175" s="1"/>
      <c r="Z175" s="1"/>
      <c r="AA175" s="1"/>
      <c r="AB175" s="1"/>
      <c r="AC175" s="1"/>
    </row>
    <row r="176">
      <c r="A176" s="1"/>
      <c r="B176" s="1"/>
      <c r="C176" s="1"/>
      <c r="D176" s="1"/>
      <c r="E176" s="1"/>
      <c r="F176" s="2"/>
      <c r="G176" s="2"/>
      <c r="H176" s="1"/>
      <c r="I176" s="1"/>
      <c r="J176" s="1"/>
      <c r="K176" s="3"/>
      <c r="L176" s="1"/>
      <c r="M176" s="1"/>
      <c r="N176" s="1"/>
      <c r="O176" s="1"/>
      <c r="P176" s="1"/>
      <c r="Q176" s="1"/>
      <c r="R176" s="1"/>
      <c r="S176" s="1"/>
      <c r="T176" s="1"/>
      <c r="U176" s="1"/>
      <c r="V176" s="1"/>
      <c r="W176" s="1"/>
      <c r="X176" s="1"/>
      <c r="Y176" s="1"/>
      <c r="Z176" s="1"/>
      <c r="AA176" s="1"/>
      <c r="AB176" s="1"/>
      <c r="AC176" s="1"/>
    </row>
    <row r="177">
      <c r="A177" s="1"/>
      <c r="B177" s="1"/>
      <c r="C177" s="1"/>
      <c r="D177" s="1"/>
      <c r="E177" s="1"/>
      <c r="F177" s="2"/>
      <c r="G177" s="2"/>
      <c r="H177" s="1"/>
      <c r="I177" s="1"/>
      <c r="J177" s="1"/>
      <c r="K177" s="3"/>
      <c r="L177" s="1"/>
      <c r="M177" s="1"/>
      <c r="N177" s="1"/>
      <c r="O177" s="1"/>
      <c r="P177" s="1"/>
      <c r="Q177" s="1"/>
      <c r="R177" s="1"/>
      <c r="S177" s="1"/>
      <c r="T177" s="1"/>
      <c r="U177" s="1"/>
      <c r="V177" s="1"/>
      <c r="W177" s="1"/>
      <c r="X177" s="1"/>
      <c r="Y177" s="1"/>
      <c r="Z177" s="1"/>
      <c r="AA177" s="1"/>
      <c r="AB177" s="1"/>
      <c r="AC177" s="1"/>
    </row>
    <row r="178">
      <c r="A178" s="1"/>
      <c r="B178" s="1"/>
      <c r="C178" s="1"/>
      <c r="D178" s="1"/>
      <c r="E178" s="1"/>
      <c r="F178" s="2"/>
      <c r="G178" s="2"/>
      <c r="H178" s="1"/>
      <c r="I178" s="1"/>
      <c r="J178" s="1"/>
      <c r="K178" s="3"/>
      <c r="L178" s="1"/>
      <c r="M178" s="1"/>
      <c r="N178" s="1"/>
      <c r="O178" s="1"/>
      <c r="P178" s="1"/>
      <c r="Q178" s="1"/>
      <c r="R178" s="1"/>
      <c r="S178" s="1"/>
      <c r="T178" s="1"/>
      <c r="U178" s="1"/>
      <c r="V178" s="1"/>
      <c r="W178" s="1"/>
      <c r="X178" s="1"/>
      <c r="Y178" s="1"/>
      <c r="Z178" s="1"/>
      <c r="AA178" s="1"/>
      <c r="AB178" s="1"/>
      <c r="AC178" s="1"/>
    </row>
    <row r="179">
      <c r="A179" s="1"/>
      <c r="B179" s="1"/>
      <c r="C179" s="1"/>
      <c r="D179" s="1"/>
      <c r="E179" s="1"/>
      <c r="F179" s="2"/>
      <c r="G179" s="2"/>
      <c r="H179" s="1"/>
      <c r="I179" s="1"/>
      <c r="J179" s="1"/>
      <c r="K179" s="3"/>
      <c r="L179" s="1"/>
      <c r="M179" s="1"/>
      <c r="N179" s="1"/>
      <c r="O179" s="1"/>
      <c r="P179" s="1"/>
      <c r="Q179" s="1"/>
      <c r="R179" s="1"/>
      <c r="S179" s="1"/>
      <c r="T179" s="1"/>
      <c r="U179" s="1"/>
      <c r="V179" s="1"/>
      <c r="W179" s="1"/>
      <c r="X179" s="1"/>
      <c r="Y179" s="1"/>
      <c r="Z179" s="1"/>
      <c r="AA179" s="1"/>
      <c r="AB179" s="1"/>
      <c r="AC179" s="1"/>
    </row>
    <row r="180">
      <c r="A180" s="1"/>
      <c r="B180" s="1"/>
      <c r="C180" s="1"/>
      <c r="D180" s="1"/>
      <c r="E180" s="1"/>
      <c r="F180" s="2"/>
      <c r="G180" s="2"/>
      <c r="H180" s="1"/>
      <c r="I180" s="1"/>
      <c r="J180" s="1"/>
      <c r="K180" s="3"/>
      <c r="L180" s="1"/>
      <c r="M180" s="1"/>
      <c r="N180" s="1"/>
      <c r="O180" s="1"/>
      <c r="P180" s="1"/>
      <c r="Q180" s="1"/>
      <c r="R180" s="1"/>
      <c r="S180" s="1"/>
      <c r="T180" s="1"/>
      <c r="U180" s="1"/>
      <c r="V180" s="1"/>
      <c r="W180" s="1"/>
      <c r="X180" s="1"/>
      <c r="Y180" s="1"/>
      <c r="Z180" s="1"/>
      <c r="AA180" s="1"/>
      <c r="AB180" s="1"/>
      <c r="AC180" s="1"/>
    </row>
    <row r="181">
      <c r="A181" s="1"/>
      <c r="B181" s="1"/>
      <c r="C181" s="1"/>
      <c r="D181" s="1"/>
      <c r="E181" s="1"/>
      <c r="F181" s="2"/>
      <c r="G181" s="2"/>
      <c r="H181" s="1"/>
      <c r="I181" s="1"/>
      <c r="J181" s="1"/>
      <c r="K181" s="3"/>
      <c r="L181" s="1"/>
      <c r="M181" s="1"/>
      <c r="N181" s="1"/>
      <c r="O181" s="1"/>
      <c r="P181" s="1"/>
      <c r="Q181" s="1"/>
      <c r="R181" s="1"/>
      <c r="S181" s="1"/>
      <c r="T181" s="1"/>
      <c r="U181" s="1"/>
      <c r="V181" s="1"/>
      <c r="W181" s="1"/>
      <c r="X181" s="1"/>
      <c r="Y181" s="1"/>
      <c r="Z181" s="1"/>
      <c r="AA181" s="1"/>
      <c r="AB181" s="1"/>
      <c r="AC181" s="1"/>
    </row>
    <row r="182">
      <c r="A182" s="1"/>
      <c r="B182" s="1"/>
      <c r="C182" s="1"/>
      <c r="D182" s="1"/>
      <c r="E182" s="1"/>
      <c r="F182" s="2"/>
      <c r="G182" s="2"/>
      <c r="H182" s="1"/>
      <c r="I182" s="1"/>
      <c r="J182" s="1"/>
      <c r="K182" s="3"/>
      <c r="L182" s="1"/>
      <c r="M182" s="1"/>
      <c r="N182" s="1"/>
      <c r="O182" s="1"/>
      <c r="P182" s="1"/>
      <c r="Q182" s="1"/>
      <c r="R182" s="1"/>
      <c r="S182" s="1"/>
      <c r="T182" s="1"/>
      <c r="U182" s="1"/>
      <c r="V182" s="1"/>
      <c r="W182" s="1"/>
      <c r="X182" s="1"/>
      <c r="Y182" s="1"/>
      <c r="Z182" s="1"/>
      <c r="AA182" s="1"/>
      <c r="AB182" s="1"/>
      <c r="AC182" s="1"/>
    </row>
    <row r="183">
      <c r="A183" s="1"/>
      <c r="B183" s="1"/>
      <c r="C183" s="1"/>
      <c r="D183" s="1"/>
      <c r="E183" s="1"/>
      <c r="F183" s="2"/>
      <c r="G183" s="2"/>
      <c r="H183" s="1"/>
      <c r="I183" s="1"/>
      <c r="J183" s="1"/>
      <c r="K183" s="3"/>
      <c r="L183" s="1"/>
      <c r="M183" s="1"/>
      <c r="N183" s="1"/>
      <c r="O183" s="1"/>
      <c r="P183" s="1"/>
      <c r="Q183" s="1"/>
      <c r="R183" s="1"/>
      <c r="S183" s="1"/>
      <c r="T183" s="1"/>
      <c r="U183" s="1"/>
      <c r="V183" s="1"/>
      <c r="W183" s="1"/>
      <c r="X183" s="1"/>
      <c r="Y183" s="1"/>
      <c r="Z183" s="1"/>
      <c r="AA183" s="1"/>
      <c r="AB183" s="1"/>
      <c r="AC183" s="1"/>
    </row>
    <row r="184">
      <c r="A184" s="1"/>
      <c r="B184" s="1"/>
      <c r="C184" s="1"/>
      <c r="D184" s="1"/>
      <c r="E184" s="1"/>
      <c r="F184" s="2"/>
      <c r="G184" s="2"/>
      <c r="H184" s="1"/>
      <c r="I184" s="1"/>
      <c r="J184" s="1"/>
      <c r="K184" s="3"/>
      <c r="L184" s="1"/>
      <c r="M184" s="1"/>
      <c r="N184" s="1"/>
      <c r="O184" s="1"/>
      <c r="P184" s="1"/>
      <c r="Q184" s="1"/>
      <c r="R184" s="1"/>
      <c r="S184" s="1"/>
      <c r="T184" s="1"/>
      <c r="U184" s="1"/>
      <c r="V184" s="1"/>
      <c r="W184" s="1"/>
      <c r="X184" s="1"/>
      <c r="Y184" s="1"/>
      <c r="Z184" s="1"/>
      <c r="AA184" s="1"/>
      <c r="AB184" s="1"/>
      <c r="AC184" s="1"/>
    </row>
    <row r="185">
      <c r="A185" s="1"/>
      <c r="B185" s="1"/>
      <c r="C185" s="1"/>
      <c r="D185" s="1"/>
      <c r="E185" s="1"/>
      <c r="F185" s="2"/>
      <c r="G185" s="2"/>
      <c r="H185" s="1"/>
      <c r="I185" s="1"/>
      <c r="J185" s="1"/>
      <c r="K185" s="3"/>
      <c r="L185" s="1"/>
      <c r="M185" s="1"/>
      <c r="N185" s="1"/>
      <c r="O185" s="1"/>
      <c r="P185" s="1"/>
      <c r="Q185" s="1"/>
      <c r="R185" s="1"/>
      <c r="S185" s="1"/>
      <c r="T185" s="1"/>
      <c r="U185" s="1"/>
      <c r="V185" s="1"/>
      <c r="W185" s="1"/>
      <c r="X185" s="1"/>
      <c r="Y185" s="1"/>
      <c r="Z185" s="1"/>
      <c r="AA185" s="1"/>
      <c r="AB185" s="1"/>
      <c r="AC185" s="1"/>
    </row>
    <row r="186">
      <c r="A186" s="1"/>
      <c r="B186" s="1"/>
      <c r="C186" s="1"/>
      <c r="D186" s="1"/>
      <c r="E186" s="1"/>
      <c r="F186" s="2"/>
      <c r="G186" s="2"/>
      <c r="H186" s="1"/>
      <c r="I186" s="1"/>
      <c r="J186" s="1"/>
      <c r="K186" s="3"/>
      <c r="L186" s="1"/>
      <c r="M186" s="1"/>
      <c r="N186" s="1"/>
      <c r="O186" s="1"/>
      <c r="P186" s="1"/>
      <c r="Q186" s="1"/>
      <c r="R186" s="1"/>
      <c r="S186" s="1"/>
      <c r="T186" s="1"/>
      <c r="U186" s="1"/>
      <c r="V186" s="1"/>
      <c r="W186" s="1"/>
      <c r="X186" s="1"/>
      <c r="Y186" s="1"/>
      <c r="Z186" s="1"/>
      <c r="AA186" s="1"/>
      <c r="AB186" s="1"/>
      <c r="AC186" s="1"/>
    </row>
    <row r="187">
      <c r="A187" s="1"/>
      <c r="B187" s="1"/>
      <c r="C187" s="1"/>
      <c r="D187" s="1"/>
      <c r="E187" s="1"/>
      <c r="F187" s="2"/>
      <c r="G187" s="2"/>
      <c r="H187" s="1"/>
      <c r="I187" s="1"/>
      <c r="J187" s="1"/>
      <c r="K187" s="3"/>
      <c r="L187" s="1"/>
      <c r="M187" s="1"/>
      <c r="N187" s="1"/>
      <c r="O187" s="1"/>
      <c r="P187" s="1"/>
      <c r="Q187" s="1"/>
      <c r="R187" s="1"/>
      <c r="S187" s="1"/>
      <c r="T187" s="1"/>
      <c r="U187" s="1"/>
      <c r="V187" s="1"/>
      <c r="W187" s="1"/>
      <c r="X187" s="1"/>
      <c r="Y187" s="1"/>
      <c r="Z187" s="1"/>
      <c r="AA187" s="1"/>
      <c r="AB187" s="1"/>
      <c r="AC187" s="1"/>
    </row>
    <row r="188">
      <c r="A188" s="1"/>
      <c r="B188" s="1"/>
      <c r="C188" s="1"/>
      <c r="D188" s="1"/>
      <c r="E188" s="1"/>
      <c r="F188" s="2"/>
      <c r="G188" s="2"/>
      <c r="H188" s="1"/>
      <c r="I188" s="1"/>
      <c r="J188" s="1"/>
      <c r="K188" s="3"/>
      <c r="L188" s="1"/>
      <c r="M188" s="1"/>
      <c r="N188" s="1"/>
      <c r="O188" s="1"/>
      <c r="P188" s="1"/>
      <c r="Q188" s="1"/>
      <c r="R188" s="1"/>
      <c r="S188" s="1"/>
      <c r="T188" s="1"/>
      <c r="U188" s="1"/>
      <c r="V188" s="1"/>
      <c r="W188" s="1"/>
      <c r="X188" s="1"/>
      <c r="Y188" s="1"/>
      <c r="Z188" s="1"/>
      <c r="AA188" s="1"/>
      <c r="AB188" s="1"/>
      <c r="AC188" s="1"/>
    </row>
    <row r="189">
      <c r="A189" s="1"/>
      <c r="B189" s="1"/>
      <c r="C189" s="1"/>
      <c r="D189" s="1"/>
      <c r="E189" s="1"/>
      <c r="F189" s="2"/>
      <c r="G189" s="2"/>
      <c r="H189" s="1"/>
      <c r="I189" s="1"/>
      <c r="J189" s="1"/>
      <c r="K189" s="3"/>
      <c r="L189" s="1"/>
      <c r="M189" s="1"/>
      <c r="N189" s="1"/>
      <c r="O189" s="1"/>
      <c r="P189" s="1"/>
      <c r="Q189" s="1"/>
      <c r="R189" s="1"/>
      <c r="S189" s="1"/>
      <c r="T189" s="1"/>
      <c r="U189" s="1"/>
      <c r="V189" s="1"/>
      <c r="W189" s="1"/>
      <c r="X189" s="1"/>
      <c r="Y189" s="1"/>
      <c r="Z189" s="1"/>
      <c r="AA189" s="1"/>
      <c r="AB189" s="1"/>
      <c r="AC189" s="1"/>
    </row>
    <row r="190">
      <c r="A190" s="1"/>
      <c r="B190" s="1"/>
      <c r="C190" s="1"/>
      <c r="D190" s="1"/>
      <c r="E190" s="1"/>
      <c r="F190" s="2"/>
      <c r="G190" s="2"/>
      <c r="H190" s="1"/>
      <c r="I190" s="1"/>
      <c r="J190" s="1"/>
      <c r="K190" s="3"/>
      <c r="L190" s="1"/>
      <c r="M190" s="1"/>
      <c r="N190" s="1"/>
      <c r="O190" s="1"/>
      <c r="P190" s="1"/>
      <c r="Q190" s="1"/>
      <c r="R190" s="1"/>
      <c r="S190" s="1"/>
      <c r="T190" s="1"/>
      <c r="U190" s="1"/>
      <c r="V190" s="1"/>
      <c r="W190" s="1"/>
      <c r="X190" s="1"/>
      <c r="Y190" s="1"/>
      <c r="Z190" s="1"/>
      <c r="AA190" s="1"/>
      <c r="AB190" s="1"/>
      <c r="AC190" s="1"/>
    </row>
    <row r="191">
      <c r="A191" s="1"/>
      <c r="B191" s="1"/>
      <c r="C191" s="1"/>
      <c r="D191" s="1"/>
      <c r="E191" s="1"/>
      <c r="F191" s="2"/>
      <c r="G191" s="2"/>
      <c r="H191" s="1"/>
      <c r="I191" s="1"/>
      <c r="J191" s="1"/>
      <c r="K191" s="3"/>
      <c r="L191" s="1"/>
      <c r="M191" s="1"/>
      <c r="N191" s="1"/>
      <c r="O191" s="1"/>
      <c r="P191" s="1"/>
      <c r="Q191" s="1"/>
      <c r="R191" s="1"/>
      <c r="S191" s="1"/>
      <c r="T191" s="1"/>
      <c r="U191" s="1"/>
      <c r="V191" s="1"/>
      <c r="W191" s="1"/>
      <c r="X191" s="1"/>
      <c r="Y191" s="1"/>
      <c r="Z191" s="1"/>
      <c r="AA191" s="1"/>
      <c r="AB191" s="1"/>
      <c r="AC191" s="1"/>
    </row>
    <row r="192">
      <c r="A192" s="1"/>
      <c r="B192" s="1"/>
      <c r="C192" s="1"/>
      <c r="D192" s="1"/>
      <c r="E192" s="1"/>
      <c r="F192" s="2"/>
      <c r="G192" s="2"/>
      <c r="H192" s="1"/>
      <c r="I192" s="1"/>
      <c r="J192" s="1"/>
      <c r="K192" s="3"/>
      <c r="L192" s="1"/>
      <c r="M192" s="1"/>
      <c r="N192" s="1"/>
      <c r="O192" s="1"/>
      <c r="P192" s="1"/>
      <c r="Q192" s="1"/>
      <c r="R192" s="1"/>
      <c r="S192" s="1"/>
      <c r="T192" s="1"/>
      <c r="U192" s="1"/>
      <c r="V192" s="1"/>
      <c r="W192" s="1"/>
      <c r="X192" s="1"/>
      <c r="Y192" s="1"/>
      <c r="Z192" s="1"/>
      <c r="AA192" s="1"/>
      <c r="AB192" s="1"/>
      <c r="AC192" s="1"/>
    </row>
    <row r="193">
      <c r="A193" s="1"/>
      <c r="B193" s="1"/>
      <c r="C193" s="1"/>
      <c r="D193" s="1"/>
      <c r="E193" s="1"/>
      <c r="F193" s="2"/>
      <c r="G193" s="2"/>
      <c r="H193" s="1"/>
      <c r="I193" s="1"/>
      <c r="J193" s="1"/>
      <c r="K193" s="3"/>
      <c r="L193" s="1"/>
      <c r="M193" s="1"/>
      <c r="N193" s="1"/>
      <c r="O193" s="1"/>
      <c r="P193" s="1"/>
      <c r="Q193" s="1"/>
      <c r="R193" s="1"/>
      <c r="S193" s="1"/>
      <c r="T193" s="1"/>
      <c r="U193" s="1"/>
      <c r="V193" s="1"/>
      <c r="W193" s="1"/>
      <c r="X193" s="1"/>
      <c r="Y193" s="1"/>
      <c r="Z193" s="1"/>
      <c r="AA193" s="1"/>
      <c r="AB193" s="1"/>
      <c r="AC193" s="1"/>
    </row>
    <row r="194">
      <c r="A194" s="1"/>
      <c r="B194" s="1"/>
      <c r="C194" s="1"/>
      <c r="D194" s="1"/>
      <c r="E194" s="1"/>
      <c r="F194" s="2"/>
      <c r="G194" s="2"/>
      <c r="H194" s="1"/>
      <c r="I194" s="1"/>
      <c r="J194" s="1"/>
      <c r="K194" s="3"/>
      <c r="L194" s="1"/>
      <c r="M194" s="1"/>
      <c r="N194" s="1"/>
      <c r="O194" s="1"/>
      <c r="P194" s="1"/>
      <c r="Q194" s="1"/>
      <c r="R194" s="1"/>
      <c r="S194" s="1"/>
      <c r="T194" s="1"/>
      <c r="U194" s="1"/>
      <c r="V194" s="1"/>
      <c r="W194" s="1"/>
      <c r="X194" s="1"/>
      <c r="Y194" s="1"/>
      <c r="Z194" s="1"/>
      <c r="AA194" s="1"/>
      <c r="AB194" s="1"/>
      <c r="AC194" s="1"/>
    </row>
    <row r="195">
      <c r="A195" s="1"/>
      <c r="B195" s="1"/>
      <c r="C195" s="1"/>
      <c r="D195" s="1"/>
      <c r="E195" s="1"/>
      <c r="F195" s="2"/>
      <c r="G195" s="2"/>
      <c r="H195" s="1"/>
      <c r="I195" s="1"/>
      <c r="J195" s="1"/>
      <c r="K195" s="3"/>
      <c r="L195" s="1"/>
      <c r="M195" s="1"/>
      <c r="N195" s="1"/>
      <c r="O195" s="1"/>
      <c r="P195" s="1"/>
      <c r="Q195" s="1"/>
      <c r="R195" s="1"/>
      <c r="S195" s="1"/>
      <c r="T195" s="1"/>
      <c r="U195" s="1"/>
      <c r="V195" s="1"/>
      <c r="W195" s="1"/>
      <c r="X195" s="1"/>
      <c r="Y195" s="1"/>
      <c r="Z195" s="1"/>
      <c r="AA195" s="1"/>
      <c r="AB195" s="1"/>
      <c r="AC195" s="1"/>
    </row>
    <row r="196">
      <c r="A196" s="1"/>
      <c r="B196" s="1"/>
      <c r="C196" s="1"/>
      <c r="D196" s="1"/>
      <c r="E196" s="1"/>
      <c r="F196" s="2"/>
      <c r="G196" s="2"/>
      <c r="H196" s="1"/>
      <c r="I196" s="1"/>
      <c r="J196" s="1"/>
      <c r="K196" s="3"/>
      <c r="L196" s="1"/>
      <c r="M196" s="1"/>
      <c r="N196" s="1"/>
      <c r="O196" s="1"/>
      <c r="P196" s="1"/>
      <c r="Q196" s="1"/>
      <c r="R196" s="1"/>
      <c r="S196" s="1"/>
      <c r="T196" s="1"/>
      <c r="U196" s="1"/>
      <c r="V196" s="1"/>
      <c r="W196" s="1"/>
      <c r="X196" s="1"/>
      <c r="Y196" s="1"/>
      <c r="Z196" s="1"/>
      <c r="AA196" s="1"/>
      <c r="AB196" s="1"/>
      <c r="AC196" s="1"/>
    </row>
    <row r="197">
      <c r="A197" s="1"/>
      <c r="B197" s="1"/>
      <c r="C197" s="1"/>
      <c r="D197" s="1"/>
      <c r="E197" s="1"/>
      <c r="F197" s="2"/>
      <c r="G197" s="2"/>
      <c r="H197" s="1"/>
      <c r="I197" s="1"/>
      <c r="J197" s="1"/>
      <c r="K197" s="3"/>
      <c r="L197" s="1"/>
      <c r="M197" s="1"/>
      <c r="N197" s="1"/>
      <c r="O197" s="1"/>
      <c r="P197" s="1"/>
      <c r="Q197" s="1"/>
      <c r="R197" s="1"/>
      <c r="S197" s="1"/>
      <c r="T197" s="1"/>
      <c r="U197" s="1"/>
      <c r="V197" s="1"/>
      <c r="W197" s="1"/>
      <c r="X197" s="1"/>
      <c r="Y197" s="1"/>
      <c r="Z197" s="1"/>
      <c r="AA197" s="1"/>
      <c r="AB197" s="1"/>
      <c r="AC197" s="1"/>
    </row>
    <row r="198">
      <c r="A198" s="1"/>
      <c r="B198" s="1"/>
      <c r="C198" s="1"/>
      <c r="D198" s="1"/>
      <c r="E198" s="1"/>
      <c r="F198" s="2"/>
      <c r="G198" s="2"/>
      <c r="H198" s="1"/>
      <c r="I198" s="1"/>
      <c r="J198" s="1"/>
      <c r="K198" s="3"/>
      <c r="L198" s="1"/>
      <c r="M198" s="1"/>
      <c r="N198" s="1"/>
      <c r="O198" s="1"/>
      <c r="P198" s="1"/>
      <c r="Q198" s="1"/>
      <c r="R198" s="1"/>
      <c r="S198" s="1"/>
      <c r="T198" s="1"/>
      <c r="U198" s="1"/>
      <c r="V198" s="1"/>
      <c r="W198" s="1"/>
      <c r="X198" s="1"/>
      <c r="Y198" s="1"/>
      <c r="Z198" s="1"/>
      <c r="AA198" s="1"/>
      <c r="AB198" s="1"/>
      <c r="AC198" s="1"/>
    </row>
    <row r="199">
      <c r="A199" s="1"/>
      <c r="B199" s="1"/>
      <c r="C199" s="1"/>
      <c r="D199" s="1"/>
      <c r="E199" s="1"/>
      <c r="F199" s="2"/>
      <c r="G199" s="2"/>
      <c r="H199" s="1"/>
      <c r="I199" s="1"/>
      <c r="J199" s="1"/>
      <c r="K199" s="3"/>
      <c r="L199" s="1"/>
      <c r="M199" s="1"/>
      <c r="N199" s="1"/>
      <c r="O199" s="1"/>
      <c r="P199" s="1"/>
      <c r="Q199" s="1"/>
      <c r="R199" s="1"/>
      <c r="S199" s="1"/>
      <c r="T199" s="1"/>
      <c r="U199" s="1"/>
      <c r="V199" s="1"/>
      <c r="W199" s="1"/>
      <c r="X199" s="1"/>
      <c r="Y199" s="1"/>
      <c r="Z199" s="1"/>
      <c r="AA199" s="1"/>
      <c r="AB199" s="1"/>
      <c r="AC199" s="1"/>
    </row>
    <row r="200">
      <c r="A200" s="1"/>
      <c r="B200" s="1"/>
      <c r="C200" s="1"/>
      <c r="D200" s="1"/>
      <c r="E200" s="1"/>
      <c r="F200" s="2"/>
      <c r="G200" s="2"/>
      <c r="H200" s="1"/>
      <c r="I200" s="1"/>
      <c r="J200" s="1"/>
      <c r="K200" s="3"/>
      <c r="L200" s="1"/>
      <c r="M200" s="1"/>
      <c r="N200" s="1"/>
      <c r="O200" s="1"/>
      <c r="P200" s="1"/>
      <c r="Q200" s="1"/>
      <c r="R200" s="1"/>
      <c r="S200" s="1"/>
      <c r="T200" s="1"/>
      <c r="U200" s="1"/>
      <c r="V200" s="1"/>
      <c r="W200" s="1"/>
      <c r="X200" s="1"/>
      <c r="Y200" s="1"/>
      <c r="Z200" s="1"/>
      <c r="AA200" s="1"/>
      <c r="AB200" s="1"/>
      <c r="AC200" s="1"/>
    </row>
    <row r="201">
      <c r="A201" s="1"/>
      <c r="B201" s="1"/>
      <c r="C201" s="1"/>
      <c r="D201" s="1"/>
      <c r="E201" s="1"/>
      <c r="F201" s="2"/>
      <c r="G201" s="2"/>
      <c r="H201" s="1"/>
      <c r="I201" s="1"/>
      <c r="J201" s="1"/>
      <c r="K201" s="3"/>
      <c r="L201" s="1"/>
      <c r="M201" s="1"/>
      <c r="N201" s="1"/>
      <c r="O201" s="1"/>
      <c r="P201" s="1"/>
      <c r="Q201" s="1"/>
      <c r="R201" s="1"/>
      <c r="S201" s="1"/>
      <c r="T201" s="1"/>
      <c r="U201" s="1"/>
      <c r="V201" s="1"/>
      <c r="W201" s="1"/>
      <c r="X201" s="1"/>
      <c r="Y201" s="1"/>
      <c r="Z201" s="1"/>
      <c r="AA201" s="1"/>
      <c r="AB201" s="1"/>
      <c r="AC201" s="1"/>
    </row>
    <row r="202">
      <c r="A202" s="1"/>
      <c r="B202" s="1"/>
      <c r="C202" s="1"/>
      <c r="D202" s="1"/>
      <c r="E202" s="1"/>
      <c r="F202" s="2"/>
      <c r="G202" s="2"/>
      <c r="H202" s="1"/>
      <c r="I202" s="1"/>
      <c r="J202" s="1"/>
      <c r="K202" s="3"/>
      <c r="L202" s="1"/>
      <c r="M202" s="1"/>
      <c r="N202" s="1"/>
      <c r="O202" s="1"/>
      <c r="P202" s="1"/>
      <c r="Q202" s="1"/>
      <c r="R202" s="1"/>
      <c r="S202" s="1"/>
      <c r="T202" s="1"/>
      <c r="U202" s="1"/>
      <c r="V202" s="1"/>
      <c r="W202" s="1"/>
      <c r="X202" s="1"/>
      <c r="Y202" s="1"/>
      <c r="Z202" s="1"/>
      <c r="AA202" s="1"/>
      <c r="AB202" s="1"/>
      <c r="AC202" s="1"/>
    </row>
    <row r="203">
      <c r="A203" s="1"/>
      <c r="B203" s="1"/>
      <c r="C203" s="1"/>
      <c r="D203" s="1"/>
      <c r="E203" s="1"/>
      <c r="F203" s="2"/>
      <c r="G203" s="2"/>
      <c r="H203" s="1"/>
      <c r="I203" s="1"/>
      <c r="J203" s="1"/>
      <c r="K203" s="3"/>
      <c r="L203" s="1"/>
      <c r="M203" s="1"/>
      <c r="N203" s="1"/>
      <c r="O203" s="1"/>
      <c r="P203" s="1"/>
      <c r="Q203" s="1"/>
      <c r="R203" s="1"/>
      <c r="S203" s="1"/>
      <c r="T203" s="1"/>
      <c r="U203" s="1"/>
      <c r="V203" s="1"/>
      <c r="W203" s="1"/>
      <c r="X203" s="1"/>
      <c r="Y203" s="1"/>
      <c r="Z203" s="1"/>
      <c r="AA203" s="1"/>
      <c r="AB203" s="1"/>
      <c r="AC203" s="1"/>
    </row>
    <row r="204">
      <c r="A204" s="1"/>
      <c r="B204" s="1"/>
      <c r="C204" s="1"/>
      <c r="D204" s="1"/>
      <c r="E204" s="1"/>
      <c r="F204" s="2"/>
      <c r="G204" s="2"/>
      <c r="H204" s="1"/>
      <c r="I204" s="1"/>
      <c r="J204" s="1"/>
      <c r="K204" s="3"/>
      <c r="L204" s="1"/>
      <c r="M204" s="1"/>
      <c r="N204" s="1"/>
      <c r="O204" s="1"/>
      <c r="P204" s="1"/>
      <c r="Q204" s="1"/>
      <c r="R204" s="1"/>
      <c r="S204" s="1"/>
      <c r="T204" s="1"/>
      <c r="U204" s="1"/>
      <c r="V204" s="1"/>
      <c r="W204" s="1"/>
      <c r="X204" s="1"/>
      <c r="Y204" s="1"/>
      <c r="Z204" s="1"/>
      <c r="AA204" s="1"/>
      <c r="AB204" s="1"/>
      <c r="AC204" s="1"/>
    </row>
    <row r="205">
      <c r="A205" s="1"/>
      <c r="B205" s="1"/>
      <c r="C205" s="1"/>
      <c r="D205" s="1"/>
      <c r="E205" s="1"/>
      <c r="F205" s="2"/>
      <c r="G205" s="2"/>
      <c r="H205" s="1"/>
      <c r="I205" s="1"/>
      <c r="J205" s="1"/>
      <c r="K205" s="3"/>
      <c r="L205" s="1"/>
      <c r="M205" s="1"/>
      <c r="N205" s="1"/>
      <c r="O205" s="1"/>
      <c r="P205" s="1"/>
      <c r="Q205" s="1"/>
      <c r="R205" s="1"/>
      <c r="S205" s="1"/>
      <c r="T205" s="1"/>
      <c r="U205" s="1"/>
      <c r="V205" s="1"/>
      <c r="W205" s="1"/>
      <c r="X205" s="1"/>
      <c r="Y205" s="1"/>
      <c r="Z205" s="1"/>
      <c r="AA205" s="1"/>
      <c r="AB205" s="1"/>
      <c r="AC205" s="1"/>
    </row>
    <row r="206">
      <c r="A206" s="1"/>
      <c r="B206" s="1"/>
      <c r="C206" s="1"/>
      <c r="D206" s="1"/>
      <c r="E206" s="1"/>
      <c r="F206" s="2"/>
      <c r="G206" s="2"/>
      <c r="H206" s="1"/>
      <c r="I206" s="1"/>
      <c r="J206" s="1"/>
      <c r="K206" s="3"/>
      <c r="L206" s="1"/>
      <c r="M206" s="1"/>
      <c r="N206" s="1"/>
      <c r="O206" s="1"/>
      <c r="P206" s="1"/>
      <c r="Q206" s="1"/>
      <c r="R206" s="1"/>
      <c r="S206" s="1"/>
      <c r="T206" s="1"/>
      <c r="U206" s="1"/>
      <c r="V206" s="1"/>
      <c r="W206" s="1"/>
      <c r="X206" s="1"/>
      <c r="Y206" s="1"/>
      <c r="Z206" s="1"/>
      <c r="AA206" s="1"/>
      <c r="AB206" s="1"/>
      <c r="AC206" s="1"/>
    </row>
    <row r="207">
      <c r="A207" s="1"/>
      <c r="B207" s="1"/>
      <c r="C207" s="1"/>
      <c r="D207" s="1"/>
      <c r="E207" s="1"/>
      <c r="F207" s="2"/>
      <c r="G207" s="2"/>
      <c r="H207" s="1"/>
      <c r="I207" s="1"/>
      <c r="J207" s="1"/>
      <c r="K207" s="3"/>
      <c r="L207" s="1"/>
      <c r="M207" s="1"/>
      <c r="N207" s="1"/>
      <c r="O207" s="1"/>
      <c r="P207" s="1"/>
      <c r="Q207" s="1"/>
      <c r="R207" s="1"/>
      <c r="S207" s="1"/>
      <c r="T207" s="1"/>
      <c r="U207" s="1"/>
      <c r="V207" s="1"/>
      <c r="W207" s="1"/>
      <c r="X207" s="1"/>
      <c r="Y207" s="1"/>
      <c r="Z207" s="1"/>
      <c r="AA207" s="1"/>
      <c r="AB207" s="1"/>
      <c r="AC207" s="1"/>
    </row>
    <row r="208">
      <c r="A208" s="1"/>
      <c r="B208" s="1"/>
      <c r="C208" s="1"/>
      <c r="D208" s="1"/>
      <c r="E208" s="1"/>
      <c r="F208" s="2"/>
      <c r="G208" s="2"/>
      <c r="H208" s="1"/>
      <c r="I208" s="1"/>
      <c r="J208" s="1"/>
      <c r="K208" s="3"/>
      <c r="L208" s="1"/>
      <c r="M208" s="1"/>
      <c r="N208" s="1"/>
      <c r="O208" s="1"/>
      <c r="P208" s="1"/>
      <c r="Q208" s="1"/>
      <c r="R208" s="1"/>
      <c r="S208" s="1"/>
      <c r="T208" s="1"/>
      <c r="U208" s="1"/>
      <c r="V208" s="1"/>
      <c r="W208" s="1"/>
      <c r="X208" s="1"/>
      <c r="Y208" s="1"/>
      <c r="Z208" s="1"/>
      <c r="AA208" s="1"/>
      <c r="AB208" s="1"/>
      <c r="AC208" s="1"/>
    </row>
    <row r="209">
      <c r="A209" s="1"/>
      <c r="B209" s="1"/>
      <c r="C209" s="1"/>
      <c r="D209" s="1"/>
      <c r="E209" s="1"/>
      <c r="F209" s="2"/>
      <c r="G209" s="2"/>
      <c r="H209" s="1"/>
      <c r="I209" s="1"/>
      <c r="J209" s="1"/>
      <c r="K209" s="3"/>
      <c r="L209" s="1"/>
      <c r="M209" s="1"/>
      <c r="N209" s="1"/>
      <c r="O209" s="1"/>
      <c r="P209" s="1"/>
      <c r="Q209" s="1"/>
      <c r="R209" s="1"/>
      <c r="S209" s="1"/>
      <c r="T209" s="1"/>
      <c r="U209" s="1"/>
      <c r="V209" s="1"/>
      <c r="W209" s="1"/>
      <c r="X209" s="1"/>
      <c r="Y209" s="1"/>
      <c r="Z209" s="1"/>
      <c r="AA209" s="1"/>
      <c r="AB209" s="1"/>
      <c r="AC209" s="1"/>
    </row>
    <row r="210">
      <c r="A210" s="1"/>
      <c r="B210" s="1"/>
      <c r="C210" s="1"/>
      <c r="D210" s="1"/>
      <c r="E210" s="1"/>
      <c r="F210" s="2"/>
      <c r="G210" s="2"/>
      <c r="H210" s="1"/>
      <c r="I210" s="1"/>
      <c r="J210" s="1"/>
      <c r="K210" s="3"/>
      <c r="L210" s="1"/>
      <c r="M210" s="1"/>
      <c r="N210" s="1"/>
      <c r="O210" s="1"/>
      <c r="P210" s="1"/>
      <c r="Q210" s="1"/>
      <c r="R210" s="1"/>
      <c r="S210" s="1"/>
      <c r="T210" s="1"/>
      <c r="U210" s="1"/>
      <c r="V210" s="1"/>
      <c r="W210" s="1"/>
      <c r="X210" s="1"/>
      <c r="Y210" s="1"/>
      <c r="Z210" s="1"/>
      <c r="AA210" s="1"/>
      <c r="AB210" s="1"/>
      <c r="AC210" s="1"/>
    </row>
    <row r="211">
      <c r="A211" s="1"/>
      <c r="B211" s="1"/>
      <c r="C211" s="1"/>
      <c r="D211" s="1"/>
      <c r="E211" s="1"/>
      <c r="F211" s="2"/>
      <c r="G211" s="2"/>
      <c r="H211" s="1"/>
      <c r="I211" s="1"/>
      <c r="J211" s="1"/>
      <c r="K211" s="3"/>
      <c r="L211" s="1"/>
      <c r="M211" s="1"/>
      <c r="N211" s="1"/>
      <c r="O211" s="1"/>
      <c r="P211" s="1"/>
      <c r="Q211" s="1"/>
      <c r="R211" s="1"/>
      <c r="S211" s="1"/>
      <c r="T211" s="1"/>
      <c r="U211" s="1"/>
      <c r="V211" s="1"/>
      <c r="W211" s="1"/>
      <c r="X211" s="1"/>
      <c r="Y211" s="1"/>
      <c r="Z211" s="1"/>
      <c r="AA211" s="1"/>
      <c r="AB211" s="1"/>
      <c r="AC211" s="1"/>
    </row>
    <row r="212">
      <c r="A212" s="1"/>
      <c r="B212" s="1"/>
      <c r="C212" s="1"/>
      <c r="D212" s="1"/>
      <c r="E212" s="1"/>
      <c r="F212" s="2"/>
      <c r="G212" s="2"/>
      <c r="H212" s="1"/>
      <c r="I212" s="1"/>
      <c r="J212" s="1"/>
      <c r="K212" s="3"/>
      <c r="L212" s="1"/>
      <c r="M212" s="1"/>
      <c r="N212" s="1"/>
      <c r="O212" s="1"/>
      <c r="P212" s="1"/>
      <c r="Q212" s="1"/>
      <c r="R212" s="1"/>
      <c r="S212" s="1"/>
      <c r="T212" s="1"/>
      <c r="U212" s="1"/>
      <c r="V212" s="1"/>
      <c r="W212" s="1"/>
      <c r="X212" s="1"/>
      <c r="Y212" s="1"/>
      <c r="Z212" s="1"/>
      <c r="AA212" s="1"/>
      <c r="AB212" s="1"/>
      <c r="AC212" s="1"/>
    </row>
    <row r="213">
      <c r="A213" s="1"/>
      <c r="B213" s="1"/>
      <c r="C213" s="1"/>
      <c r="D213" s="1"/>
      <c r="E213" s="1"/>
      <c r="F213" s="2"/>
      <c r="G213" s="2"/>
      <c r="H213" s="1"/>
      <c r="I213" s="1"/>
      <c r="J213" s="1"/>
      <c r="K213" s="3"/>
      <c r="L213" s="1"/>
      <c r="M213" s="1"/>
      <c r="N213" s="1"/>
      <c r="O213" s="1"/>
      <c r="P213" s="1"/>
      <c r="Q213" s="1"/>
      <c r="R213" s="1"/>
      <c r="S213" s="1"/>
      <c r="T213" s="1"/>
      <c r="U213" s="1"/>
      <c r="V213" s="1"/>
      <c r="W213" s="1"/>
      <c r="X213" s="1"/>
      <c r="Y213" s="1"/>
      <c r="Z213" s="1"/>
      <c r="AA213" s="1"/>
      <c r="AB213" s="1"/>
      <c r="AC213" s="1"/>
    </row>
    <row r="214">
      <c r="A214" s="1"/>
      <c r="B214" s="1"/>
      <c r="C214" s="1"/>
      <c r="D214" s="1"/>
      <c r="E214" s="1"/>
      <c r="F214" s="2"/>
      <c r="G214" s="2"/>
      <c r="H214" s="1"/>
      <c r="I214" s="1"/>
      <c r="J214" s="1"/>
      <c r="K214" s="3"/>
      <c r="L214" s="1"/>
      <c r="M214" s="1"/>
      <c r="N214" s="1"/>
      <c r="O214" s="1"/>
      <c r="P214" s="1"/>
      <c r="Q214" s="1"/>
      <c r="R214" s="1"/>
      <c r="S214" s="1"/>
      <c r="T214" s="1"/>
      <c r="U214" s="1"/>
      <c r="V214" s="1"/>
      <c r="W214" s="1"/>
      <c r="X214" s="1"/>
      <c r="Y214" s="1"/>
      <c r="Z214" s="1"/>
      <c r="AA214" s="1"/>
      <c r="AB214" s="1"/>
      <c r="AC214" s="1"/>
    </row>
    <row r="215">
      <c r="A215" s="1"/>
      <c r="B215" s="1"/>
      <c r="C215" s="1"/>
      <c r="D215" s="1"/>
      <c r="E215" s="1"/>
      <c r="F215" s="2"/>
      <c r="G215" s="2"/>
      <c r="H215" s="1"/>
      <c r="I215" s="1"/>
      <c r="J215" s="1"/>
      <c r="K215" s="3"/>
      <c r="L215" s="1"/>
      <c r="M215" s="1"/>
      <c r="N215" s="1"/>
      <c r="O215" s="1"/>
      <c r="P215" s="1"/>
      <c r="Q215" s="1"/>
      <c r="R215" s="1"/>
      <c r="S215" s="1"/>
      <c r="T215" s="1"/>
      <c r="U215" s="1"/>
      <c r="V215" s="1"/>
      <c r="W215" s="1"/>
      <c r="X215" s="1"/>
      <c r="Y215" s="1"/>
      <c r="Z215" s="1"/>
      <c r="AA215" s="1"/>
      <c r="AB215" s="1"/>
      <c r="AC215" s="1"/>
    </row>
    <row r="216">
      <c r="A216" s="1"/>
      <c r="B216" s="1"/>
      <c r="C216" s="1"/>
      <c r="D216" s="1"/>
      <c r="E216" s="1"/>
      <c r="F216" s="2"/>
      <c r="G216" s="2"/>
      <c r="H216" s="1"/>
      <c r="I216" s="1"/>
      <c r="J216" s="1"/>
      <c r="K216" s="3"/>
      <c r="L216" s="1"/>
      <c r="M216" s="1"/>
      <c r="N216" s="1"/>
      <c r="O216" s="1"/>
      <c r="P216" s="1"/>
      <c r="Q216" s="1"/>
      <c r="R216" s="1"/>
      <c r="S216" s="1"/>
      <c r="T216" s="1"/>
      <c r="U216" s="1"/>
      <c r="V216" s="1"/>
      <c r="W216" s="1"/>
      <c r="X216" s="1"/>
      <c r="Y216" s="1"/>
      <c r="Z216" s="1"/>
      <c r="AA216" s="1"/>
      <c r="AB216" s="1"/>
      <c r="AC216" s="1"/>
    </row>
    <row r="217">
      <c r="A217" s="1"/>
      <c r="B217" s="1"/>
      <c r="C217" s="1"/>
      <c r="D217" s="1"/>
      <c r="E217" s="1"/>
      <c r="F217" s="2"/>
      <c r="G217" s="2"/>
      <c r="H217" s="1"/>
      <c r="I217" s="1"/>
      <c r="J217" s="1"/>
      <c r="K217" s="3"/>
      <c r="L217" s="1"/>
      <c r="M217" s="1"/>
      <c r="N217" s="1"/>
      <c r="O217" s="1"/>
      <c r="P217" s="1"/>
      <c r="Q217" s="1"/>
      <c r="R217" s="1"/>
      <c r="S217" s="1"/>
      <c r="T217" s="1"/>
      <c r="U217" s="1"/>
      <c r="V217" s="1"/>
      <c r="W217" s="1"/>
      <c r="X217" s="1"/>
      <c r="Y217" s="1"/>
      <c r="Z217" s="1"/>
      <c r="AA217" s="1"/>
      <c r="AB217" s="1"/>
      <c r="AC217" s="1"/>
    </row>
    <row r="218">
      <c r="A218" s="1"/>
      <c r="B218" s="1"/>
      <c r="C218" s="1"/>
      <c r="D218" s="1"/>
      <c r="E218" s="1"/>
      <c r="F218" s="2"/>
      <c r="G218" s="2"/>
      <c r="H218" s="1"/>
      <c r="I218" s="1"/>
      <c r="J218" s="1"/>
      <c r="K218" s="3"/>
      <c r="L218" s="1"/>
      <c r="M218" s="1"/>
      <c r="N218" s="1"/>
      <c r="O218" s="1"/>
      <c r="P218" s="1"/>
      <c r="Q218" s="1"/>
      <c r="R218" s="1"/>
      <c r="S218" s="1"/>
      <c r="T218" s="1"/>
      <c r="U218" s="1"/>
      <c r="V218" s="1"/>
      <c r="W218" s="1"/>
      <c r="X218" s="1"/>
      <c r="Y218" s="1"/>
      <c r="Z218" s="1"/>
      <c r="AA218" s="1"/>
      <c r="AB218" s="1"/>
      <c r="AC218" s="1"/>
    </row>
    <row r="219">
      <c r="A219" s="1"/>
      <c r="B219" s="1"/>
      <c r="C219" s="1"/>
      <c r="D219" s="1"/>
      <c r="E219" s="1"/>
      <c r="F219" s="2"/>
      <c r="G219" s="2"/>
      <c r="H219" s="1"/>
      <c r="I219" s="1"/>
      <c r="J219" s="1"/>
      <c r="K219" s="3"/>
      <c r="L219" s="1"/>
      <c r="M219" s="1"/>
      <c r="N219" s="1"/>
      <c r="O219" s="1"/>
      <c r="P219" s="1"/>
      <c r="Q219" s="1"/>
      <c r="R219" s="1"/>
      <c r="S219" s="1"/>
      <c r="T219" s="1"/>
      <c r="U219" s="1"/>
      <c r="V219" s="1"/>
      <c r="W219" s="1"/>
      <c r="X219" s="1"/>
      <c r="Y219" s="1"/>
      <c r="Z219" s="1"/>
      <c r="AA219" s="1"/>
      <c r="AB219" s="1"/>
      <c r="AC219" s="1"/>
    </row>
    <row r="220">
      <c r="A220" s="1"/>
      <c r="B220" s="1"/>
      <c r="C220" s="1"/>
      <c r="D220" s="1"/>
      <c r="E220" s="1"/>
      <c r="F220" s="2"/>
      <c r="G220" s="2"/>
      <c r="H220" s="1"/>
      <c r="I220" s="1"/>
      <c r="J220" s="1"/>
      <c r="K220" s="3"/>
      <c r="L220" s="1"/>
      <c r="M220" s="1"/>
      <c r="N220" s="1"/>
      <c r="O220" s="1"/>
      <c r="P220" s="1"/>
      <c r="Q220" s="1"/>
      <c r="R220" s="1"/>
      <c r="S220" s="1"/>
      <c r="T220" s="1"/>
      <c r="U220" s="1"/>
      <c r="V220" s="1"/>
      <c r="W220" s="1"/>
      <c r="X220" s="1"/>
      <c r="Y220" s="1"/>
      <c r="Z220" s="1"/>
      <c r="AA220" s="1"/>
      <c r="AB220" s="1"/>
      <c r="AC220" s="1"/>
    </row>
    <row r="221">
      <c r="A221" s="1"/>
      <c r="B221" s="1"/>
      <c r="C221" s="1"/>
      <c r="D221" s="1"/>
      <c r="E221" s="1"/>
      <c r="F221" s="2"/>
      <c r="G221" s="2"/>
      <c r="H221" s="1"/>
      <c r="I221" s="1"/>
      <c r="J221" s="1"/>
      <c r="K221" s="3"/>
      <c r="L221" s="1"/>
      <c r="M221" s="1"/>
      <c r="N221" s="1"/>
      <c r="O221" s="1"/>
      <c r="P221" s="1"/>
      <c r="Q221" s="1"/>
      <c r="R221" s="1"/>
      <c r="S221" s="1"/>
      <c r="T221" s="1"/>
      <c r="U221" s="1"/>
      <c r="V221" s="1"/>
      <c r="W221" s="1"/>
      <c r="X221" s="1"/>
      <c r="Y221" s="1"/>
      <c r="Z221" s="1"/>
      <c r="AA221" s="1"/>
      <c r="AB221" s="1"/>
      <c r="AC221" s="1"/>
    </row>
    <row r="222">
      <c r="A222" s="1"/>
      <c r="B222" s="1"/>
      <c r="C222" s="1"/>
      <c r="D222" s="1"/>
      <c r="E222" s="1"/>
      <c r="F222" s="2"/>
      <c r="G222" s="2"/>
      <c r="H222" s="1"/>
      <c r="I222" s="1"/>
      <c r="J222" s="1"/>
      <c r="K222" s="3"/>
      <c r="L222" s="1"/>
      <c r="M222" s="1"/>
      <c r="N222" s="1"/>
      <c r="O222" s="1"/>
      <c r="P222" s="1"/>
      <c r="Q222" s="1"/>
      <c r="R222" s="1"/>
      <c r="S222" s="1"/>
      <c r="T222" s="1"/>
      <c r="U222" s="1"/>
      <c r="V222" s="1"/>
      <c r="W222" s="1"/>
      <c r="X222" s="1"/>
      <c r="Y222" s="1"/>
      <c r="Z222" s="1"/>
      <c r="AA222" s="1"/>
      <c r="AB222" s="1"/>
      <c r="AC222" s="1"/>
    </row>
    <row r="223">
      <c r="A223" s="1"/>
      <c r="B223" s="1"/>
      <c r="C223" s="1"/>
      <c r="D223" s="1"/>
      <c r="E223" s="1"/>
      <c r="F223" s="2"/>
      <c r="G223" s="2"/>
      <c r="H223" s="1"/>
      <c r="I223" s="1"/>
      <c r="J223" s="1"/>
      <c r="K223" s="3"/>
      <c r="L223" s="1"/>
      <c r="M223" s="1"/>
      <c r="N223" s="1"/>
      <c r="O223" s="1"/>
      <c r="P223" s="1"/>
      <c r="Q223" s="1"/>
      <c r="R223" s="1"/>
      <c r="S223" s="1"/>
      <c r="T223" s="1"/>
      <c r="U223" s="1"/>
      <c r="V223" s="1"/>
      <c r="W223" s="1"/>
      <c r="X223" s="1"/>
      <c r="Y223" s="1"/>
      <c r="Z223" s="1"/>
      <c r="AA223" s="1"/>
      <c r="AB223" s="1"/>
      <c r="AC223" s="1"/>
    </row>
    <row r="224">
      <c r="A224" s="1"/>
      <c r="B224" s="1"/>
      <c r="C224" s="1"/>
      <c r="D224" s="1"/>
      <c r="E224" s="1"/>
      <c r="F224" s="2"/>
      <c r="G224" s="2"/>
      <c r="H224" s="1"/>
      <c r="I224" s="1"/>
      <c r="J224" s="1"/>
      <c r="K224" s="3"/>
      <c r="L224" s="1"/>
      <c r="M224" s="1"/>
      <c r="N224" s="1"/>
      <c r="O224" s="1"/>
      <c r="P224" s="1"/>
      <c r="Q224" s="1"/>
      <c r="R224" s="1"/>
      <c r="S224" s="1"/>
      <c r="T224" s="1"/>
      <c r="U224" s="1"/>
      <c r="V224" s="1"/>
      <c r="W224" s="1"/>
      <c r="X224" s="1"/>
      <c r="Y224" s="1"/>
      <c r="Z224" s="1"/>
      <c r="AA224" s="1"/>
      <c r="AB224" s="1"/>
      <c r="AC224" s="1"/>
    </row>
    <row r="225">
      <c r="A225" s="1"/>
      <c r="B225" s="1"/>
      <c r="C225" s="1"/>
      <c r="D225" s="1"/>
      <c r="E225" s="1"/>
      <c r="F225" s="2"/>
      <c r="G225" s="2"/>
      <c r="H225" s="1"/>
      <c r="I225" s="1"/>
      <c r="J225" s="1"/>
      <c r="K225" s="3"/>
      <c r="L225" s="1"/>
      <c r="M225" s="1"/>
      <c r="N225" s="1"/>
      <c r="O225" s="1"/>
      <c r="P225" s="1"/>
      <c r="Q225" s="1"/>
      <c r="R225" s="1"/>
      <c r="S225" s="1"/>
      <c r="T225" s="1"/>
      <c r="U225" s="1"/>
      <c r="V225" s="1"/>
      <c r="W225" s="1"/>
      <c r="X225" s="1"/>
      <c r="Y225" s="1"/>
      <c r="Z225" s="1"/>
      <c r="AA225" s="1"/>
      <c r="AB225" s="1"/>
      <c r="AC225" s="1"/>
    </row>
    <row r="226">
      <c r="A226" s="1"/>
      <c r="B226" s="1"/>
      <c r="C226" s="1"/>
      <c r="D226" s="1"/>
      <c r="E226" s="1"/>
      <c r="F226" s="2"/>
      <c r="G226" s="2"/>
      <c r="H226" s="1"/>
      <c r="I226" s="1"/>
      <c r="J226" s="1"/>
      <c r="K226" s="3"/>
      <c r="L226" s="1"/>
      <c r="M226" s="1"/>
      <c r="N226" s="1"/>
      <c r="O226" s="1"/>
      <c r="P226" s="1"/>
      <c r="Q226" s="1"/>
      <c r="R226" s="1"/>
      <c r="S226" s="1"/>
      <c r="T226" s="1"/>
      <c r="U226" s="1"/>
      <c r="V226" s="1"/>
      <c r="W226" s="1"/>
      <c r="X226" s="1"/>
      <c r="Y226" s="1"/>
      <c r="Z226" s="1"/>
      <c r="AA226" s="1"/>
      <c r="AB226" s="1"/>
      <c r="AC226" s="1"/>
    </row>
    <row r="227">
      <c r="A227" s="1"/>
      <c r="B227" s="1"/>
      <c r="C227" s="1"/>
      <c r="D227" s="1"/>
      <c r="E227" s="1"/>
      <c r="F227" s="2"/>
      <c r="G227" s="2"/>
      <c r="H227" s="1"/>
      <c r="I227" s="1"/>
      <c r="J227" s="1"/>
      <c r="K227" s="3"/>
      <c r="L227" s="1"/>
      <c r="M227" s="1"/>
      <c r="N227" s="1"/>
      <c r="O227" s="1"/>
      <c r="P227" s="1"/>
      <c r="Q227" s="1"/>
      <c r="R227" s="1"/>
      <c r="S227" s="1"/>
      <c r="T227" s="1"/>
      <c r="U227" s="1"/>
      <c r="V227" s="1"/>
      <c r="W227" s="1"/>
      <c r="X227" s="1"/>
      <c r="Y227" s="1"/>
      <c r="Z227" s="1"/>
      <c r="AA227" s="1"/>
      <c r="AB227" s="1"/>
      <c r="AC227" s="1"/>
    </row>
    <row r="228">
      <c r="A228" s="1"/>
      <c r="B228" s="1"/>
      <c r="C228" s="1"/>
      <c r="D228" s="1"/>
      <c r="E228" s="1"/>
      <c r="F228" s="2"/>
      <c r="G228" s="2"/>
      <c r="H228" s="1"/>
      <c r="I228" s="1"/>
      <c r="J228" s="1"/>
      <c r="K228" s="3"/>
      <c r="L228" s="1"/>
      <c r="M228" s="1"/>
      <c r="N228" s="1"/>
      <c r="O228" s="1"/>
      <c r="P228" s="1"/>
      <c r="Q228" s="1"/>
      <c r="R228" s="1"/>
      <c r="S228" s="1"/>
      <c r="T228" s="1"/>
      <c r="U228" s="1"/>
      <c r="V228" s="1"/>
      <c r="W228" s="1"/>
      <c r="X228" s="1"/>
      <c r="Y228" s="1"/>
      <c r="Z228" s="1"/>
      <c r="AA228" s="1"/>
      <c r="AB228" s="1"/>
      <c r="AC228" s="1"/>
    </row>
    <row r="229">
      <c r="A229" s="1"/>
      <c r="B229" s="1"/>
      <c r="C229" s="1"/>
      <c r="D229" s="1"/>
      <c r="E229" s="1"/>
      <c r="F229" s="2"/>
      <c r="G229" s="2"/>
      <c r="H229" s="1"/>
      <c r="I229" s="1"/>
      <c r="J229" s="1"/>
      <c r="K229" s="3"/>
      <c r="L229" s="1"/>
      <c r="M229" s="1"/>
      <c r="N229" s="1"/>
      <c r="O229" s="1"/>
      <c r="P229" s="1"/>
      <c r="Q229" s="1"/>
      <c r="R229" s="1"/>
      <c r="S229" s="1"/>
      <c r="T229" s="1"/>
      <c r="U229" s="1"/>
      <c r="V229" s="1"/>
      <c r="W229" s="1"/>
      <c r="X229" s="1"/>
      <c r="Y229" s="1"/>
      <c r="Z229" s="1"/>
      <c r="AA229" s="1"/>
      <c r="AB229" s="1"/>
      <c r="AC229" s="1"/>
    </row>
    <row r="230">
      <c r="A230" s="1"/>
      <c r="B230" s="1"/>
      <c r="C230" s="1"/>
      <c r="D230" s="1"/>
      <c r="E230" s="1"/>
      <c r="F230" s="2"/>
      <c r="G230" s="2"/>
      <c r="H230" s="1"/>
      <c r="I230" s="1"/>
      <c r="J230" s="1"/>
      <c r="K230" s="3"/>
      <c r="L230" s="1"/>
      <c r="M230" s="1"/>
      <c r="N230" s="1"/>
      <c r="O230" s="1"/>
      <c r="P230" s="1"/>
      <c r="Q230" s="1"/>
      <c r="R230" s="1"/>
      <c r="S230" s="1"/>
      <c r="T230" s="1"/>
      <c r="U230" s="1"/>
      <c r="V230" s="1"/>
      <c r="W230" s="1"/>
      <c r="X230" s="1"/>
      <c r="Y230" s="1"/>
      <c r="Z230" s="1"/>
      <c r="AA230" s="1"/>
      <c r="AB230" s="1"/>
      <c r="AC230" s="1"/>
    </row>
    <row r="231">
      <c r="A231" s="1"/>
      <c r="B231" s="1"/>
      <c r="C231" s="1"/>
      <c r="D231" s="1"/>
      <c r="E231" s="1"/>
      <c r="F231" s="2"/>
      <c r="G231" s="2"/>
      <c r="H231" s="1"/>
      <c r="I231" s="1"/>
      <c r="J231" s="1"/>
      <c r="K231" s="3"/>
      <c r="L231" s="1"/>
      <c r="M231" s="1"/>
      <c r="N231" s="1"/>
      <c r="O231" s="1"/>
      <c r="P231" s="1"/>
      <c r="Q231" s="1"/>
      <c r="R231" s="1"/>
      <c r="S231" s="1"/>
      <c r="T231" s="1"/>
      <c r="U231" s="1"/>
      <c r="V231" s="1"/>
      <c r="W231" s="1"/>
      <c r="X231" s="1"/>
      <c r="Y231" s="1"/>
      <c r="Z231" s="1"/>
      <c r="AA231" s="1"/>
      <c r="AB231" s="1"/>
      <c r="AC231" s="1"/>
    </row>
    <row r="232">
      <c r="A232" s="1"/>
      <c r="B232" s="1"/>
      <c r="C232" s="1"/>
      <c r="D232" s="1"/>
      <c r="E232" s="1"/>
      <c r="F232" s="2"/>
      <c r="G232" s="2"/>
      <c r="H232" s="1"/>
      <c r="I232" s="1"/>
      <c r="J232" s="1"/>
      <c r="K232" s="3"/>
      <c r="L232" s="1"/>
      <c r="M232" s="1"/>
      <c r="N232" s="1"/>
      <c r="O232" s="1"/>
      <c r="P232" s="1"/>
      <c r="Q232" s="1"/>
      <c r="R232" s="1"/>
      <c r="S232" s="1"/>
      <c r="T232" s="1"/>
      <c r="U232" s="1"/>
      <c r="V232" s="1"/>
      <c r="W232" s="1"/>
      <c r="X232" s="1"/>
      <c r="Y232" s="1"/>
      <c r="Z232" s="1"/>
      <c r="AA232" s="1"/>
      <c r="AB232" s="1"/>
      <c r="AC232" s="1"/>
    </row>
    <row r="233">
      <c r="A233" s="1"/>
      <c r="B233" s="1"/>
      <c r="C233" s="1"/>
      <c r="D233" s="1"/>
      <c r="E233" s="1"/>
      <c r="F233" s="2"/>
      <c r="G233" s="2"/>
      <c r="H233" s="1"/>
      <c r="I233" s="1"/>
      <c r="J233" s="1"/>
      <c r="K233" s="3"/>
      <c r="L233" s="1"/>
      <c r="M233" s="1"/>
      <c r="N233" s="1"/>
      <c r="O233" s="1"/>
      <c r="P233" s="1"/>
      <c r="Q233" s="1"/>
      <c r="R233" s="1"/>
      <c r="S233" s="1"/>
      <c r="T233" s="1"/>
      <c r="U233" s="1"/>
      <c r="V233" s="1"/>
      <c r="W233" s="1"/>
      <c r="X233" s="1"/>
      <c r="Y233" s="1"/>
      <c r="Z233" s="1"/>
      <c r="AA233" s="1"/>
      <c r="AB233" s="1"/>
      <c r="AC233" s="1"/>
    </row>
    <row r="234">
      <c r="A234" s="1"/>
      <c r="B234" s="1"/>
      <c r="C234" s="1"/>
      <c r="D234" s="1"/>
      <c r="E234" s="1"/>
      <c r="F234" s="2"/>
      <c r="G234" s="2"/>
      <c r="H234" s="1"/>
      <c r="I234" s="1"/>
      <c r="J234" s="1"/>
      <c r="K234" s="3"/>
      <c r="L234" s="1"/>
      <c r="M234" s="1"/>
      <c r="N234" s="1"/>
      <c r="O234" s="1"/>
      <c r="P234" s="1"/>
      <c r="Q234" s="1"/>
      <c r="R234" s="1"/>
      <c r="S234" s="1"/>
      <c r="T234" s="1"/>
      <c r="U234" s="1"/>
      <c r="V234" s="1"/>
      <c r="W234" s="1"/>
      <c r="X234" s="1"/>
      <c r="Y234" s="1"/>
      <c r="Z234" s="1"/>
      <c r="AA234" s="1"/>
      <c r="AB234" s="1"/>
      <c r="AC234" s="1"/>
    </row>
    <row r="235">
      <c r="A235" s="1"/>
      <c r="B235" s="1"/>
      <c r="C235" s="1"/>
      <c r="D235" s="1"/>
      <c r="E235" s="1"/>
      <c r="F235" s="2"/>
      <c r="G235" s="2"/>
      <c r="H235" s="1"/>
      <c r="I235" s="1"/>
      <c r="J235" s="1"/>
      <c r="K235" s="3"/>
      <c r="L235" s="1"/>
      <c r="M235" s="1"/>
      <c r="N235" s="1"/>
      <c r="O235" s="1"/>
      <c r="P235" s="1"/>
      <c r="Q235" s="1"/>
      <c r="R235" s="1"/>
      <c r="S235" s="1"/>
      <c r="T235" s="1"/>
      <c r="U235" s="1"/>
      <c r="V235" s="1"/>
      <c r="W235" s="1"/>
      <c r="X235" s="1"/>
      <c r="Y235" s="1"/>
      <c r="Z235" s="1"/>
      <c r="AA235" s="1"/>
      <c r="AB235" s="1"/>
      <c r="AC235" s="1"/>
    </row>
    <row r="236">
      <c r="A236" s="1"/>
      <c r="B236" s="1"/>
      <c r="C236" s="1"/>
      <c r="D236" s="1"/>
      <c r="E236" s="1"/>
      <c r="F236" s="2"/>
      <c r="G236" s="2"/>
      <c r="H236" s="1"/>
      <c r="I236" s="1"/>
      <c r="J236" s="1"/>
      <c r="K236" s="3"/>
      <c r="L236" s="1"/>
      <c r="M236" s="1"/>
      <c r="N236" s="1"/>
      <c r="O236" s="1"/>
      <c r="P236" s="1"/>
      <c r="Q236" s="1"/>
      <c r="R236" s="1"/>
      <c r="S236" s="1"/>
      <c r="T236" s="1"/>
      <c r="U236" s="1"/>
      <c r="V236" s="1"/>
      <c r="W236" s="1"/>
      <c r="X236" s="1"/>
      <c r="Y236" s="1"/>
      <c r="Z236" s="1"/>
      <c r="AA236" s="1"/>
      <c r="AB236" s="1"/>
      <c r="AC236" s="1"/>
    </row>
    <row r="237">
      <c r="A237" s="1"/>
      <c r="B237" s="1"/>
      <c r="C237" s="1"/>
      <c r="D237" s="1"/>
      <c r="E237" s="1"/>
      <c r="F237" s="2"/>
      <c r="G237" s="2"/>
      <c r="H237" s="1"/>
      <c r="I237" s="1"/>
      <c r="J237" s="1"/>
      <c r="K237" s="3"/>
      <c r="L237" s="1"/>
      <c r="M237" s="1"/>
      <c r="N237" s="1"/>
      <c r="O237" s="1"/>
      <c r="P237" s="1"/>
      <c r="Q237" s="1"/>
      <c r="R237" s="1"/>
      <c r="S237" s="1"/>
      <c r="T237" s="1"/>
      <c r="U237" s="1"/>
      <c r="V237" s="1"/>
      <c r="W237" s="1"/>
      <c r="X237" s="1"/>
      <c r="Y237" s="1"/>
      <c r="Z237" s="1"/>
      <c r="AA237" s="1"/>
      <c r="AB237" s="1"/>
      <c r="AC237" s="1"/>
    </row>
    <row r="238">
      <c r="A238" s="1"/>
      <c r="B238" s="1"/>
      <c r="C238" s="1"/>
      <c r="D238" s="1"/>
      <c r="E238" s="1"/>
      <c r="F238" s="2"/>
      <c r="G238" s="2"/>
      <c r="H238" s="1"/>
      <c r="I238" s="1"/>
      <c r="J238" s="1"/>
      <c r="K238" s="3"/>
      <c r="L238" s="1"/>
      <c r="M238" s="1"/>
      <c r="N238" s="1"/>
      <c r="O238" s="1"/>
      <c r="P238" s="1"/>
      <c r="Q238" s="1"/>
      <c r="R238" s="1"/>
      <c r="S238" s="1"/>
      <c r="T238" s="1"/>
      <c r="U238" s="1"/>
      <c r="V238" s="1"/>
      <c r="W238" s="1"/>
      <c r="X238" s="1"/>
      <c r="Y238" s="1"/>
      <c r="Z238" s="1"/>
      <c r="AA238" s="1"/>
      <c r="AB238" s="1"/>
      <c r="AC238" s="1"/>
    </row>
    <row r="239">
      <c r="A239" s="1"/>
      <c r="B239" s="1"/>
      <c r="C239" s="1"/>
      <c r="D239" s="1"/>
      <c r="E239" s="1"/>
      <c r="F239" s="2"/>
      <c r="G239" s="2"/>
      <c r="H239" s="1"/>
      <c r="I239" s="1"/>
      <c r="J239" s="1"/>
      <c r="K239" s="3"/>
      <c r="L239" s="1"/>
      <c r="M239" s="1"/>
      <c r="N239" s="1"/>
      <c r="O239" s="1"/>
      <c r="P239" s="1"/>
      <c r="Q239" s="1"/>
      <c r="R239" s="1"/>
      <c r="S239" s="1"/>
      <c r="T239" s="1"/>
      <c r="U239" s="1"/>
      <c r="V239" s="1"/>
      <c r="W239" s="1"/>
      <c r="X239" s="1"/>
      <c r="Y239" s="1"/>
      <c r="Z239" s="1"/>
      <c r="AA239" s="1"/>
      <c r="AB239" s="1"/>
      <c r="AC239" s="1"/>
    </row>
    <row r="240">
      <c r="A240" s="1"/>
      <c r="B240" s="1"/>
      <c r="C240" s="1"/>
      <c r="D240" s="1"/>
      <c r="E240" s="1"/>
      <c r="F240" s="2"/>
      <c r="G240" s="2"/>
      <c r="H240" s="1"/>
      <c r="I240" s="1"/>
      <c r="J240" s="1"/>
      <c r="K240" s="3"/>
      <c r="L240" s="1"/>
      <c r="M240" s="1"/>
      <c r="N240" s="1"/>
      <c r="O240" s="1"/>
      <c r="P240" s="1"/>
      <c r="Q240" s="1"/>
      <c r="R240" s="1"/>
      <c r="S240" s="1"/>
      <c r="T240" s="1"/>
      <c r="U240" s="1"/>
      <c r="V240" s="1"/>
      <c r="W240" s="1"/>
      <c r="X240" s="1"/>
      <c r="Y240" s="1"/>
      <c r="Z240" s="1"/>
      <c r="AA240" s="1"/>
      <c r="AB240" s="1"/>
      <c r="AC240" s="1"/>
    </row>
    <row r="241">
      <c r="A241" s="1"/>
      <c r="B241" s="1"/>
      <c r="C241" s="1"/>
      <c r="D241" s="1"/>
      <c r="E241" s="1"/>
      <c r="F241" s="2"/>
      <c r="G241" s="2"/>
      <c r="H241" s="1"/>
      <c r="I241" s="1"/>
      <c r="J241" s="1"/>
      <c r="K241" s="3"/>
      <c r="L241" s="1"/>
      <c r="M241" s="1"/>
      <c r="N241" s="1"/>
      <c r="O241" s="1"/>
      <c r="P241" s="1"/>
      <c r="Q241" s="1"/>
      <c r="R241" s="1"/>
      <c r="S241" s="1"/>
      <c r="T241" s="1"/>
      <c r="U241" s="1"/>
      <c r="V241" s="1"/>
      <c r="W241" s="1"/>
      <c r="X241" s="1"/>
      <c r="Y241" s="1"/>
      <c r="Z241" s="1"/>
      <c r="AA241" s="1"/>
      <c r="AB241" s="1"/>
      <c r="AC241" s="1"/>
    </row>
    <row r="242">
      <c r="A242" s="1"/>
      <c r="B242" s="1"/>
      <c r="C242" s="1"/>
      <c r="D242" s="1"/>
      <c r="E242" s="1"/>
      <c r="F242" s="2"/>
      <c r="G242" s="2"/>
      <c r="H242" s="1"/>
      <c r="I242" s="1"/>
      <c r="J242" s="1"/>
      <c r="K242" s="3"/>
      <c r="L242" s="1"/>
      <c r="M242" s="1"/>
      <c r="N242" s="1"/>
      <c r="O242" s="1"/>
      <c r="P242" s="1"/>
      <c r="Q242" s="1"/>
      <c r="R242" s="1"/>
      <c r="S242" s="1"/>
      <c r="T242" s="1"/>
      <c r="U242" s="1"/>
      <c r="V242" s="1"/>
      <c r="W242" s="1"/>
      <c r="X242" s="1"/>
      <c r="Y242" s="1"/>
      <c r="Z242" s="1"/>
      <c r="AA242" s="1"/>
      <c r="AB242" s="1"/>
      <c r="AC242" s="1"/>
    </row>
    <row r="243">
      <c r="A243" s="1"/>
      <c r="B243" s="1"/>
      <c r="C243" s="1"/>
      <c r="D243" s="1"/>
      <c r="E243" s="1"/>
      <c r="F243" s="2"/>
      <c r="G243" s="2"/>
      <c r="H243" s="1"/>
      <c r="I243" s="1"/>
      <c r="J243" s="1"/>
      <c r="K243" s="3"/>
      <c r="L243" s="1"/>
      <c r="M243" s="1"/>
      <c r="N243" s="1"/>
      <c r="O243" s="1"/>
      <c r="P243" s="1"/>
      <c r="Q243" s="1"/>
      <c r="R243" s="1"/>
      <c r="S243" s="1"/>
      <c r="T243" s="1"/>
      <c r="U243" s="1"/>
      <c r="V243" s="1"/>
      <c r="W243" s="1"/>
      <c r="X243" s="1"/>
      <c r="Y243" s="1"/>
      <c r="Z243" s="1"/>
      <c r="AA243" s="1"/>
      <c r="AB243" s="1"/>
      <c r="AC243" s="1"/>
    </row>
    <row r="244">
      <c r="A244" s="1"/>
      <c r="B244" s="1"/>
      <c r="C244" s="1"/>
      <c r="D244" s="1"/>
      <c r="E244" s="1"/>
      <c r="F244" s="2"/>
      <c r="G244" s="2"/>
      <c r="H244" s="1"/>
      <c r="I244" s="1"/>
      <c r="J244" s="1"/>
      <c r="K244" s="3"/>
      <c r="L244" s="1"/>
      <c r="M244" s="1"/>
      <c r="N244" s="1"/>
      <c r="O244" s="1"/>
      <c r="P244" s="1"/>
      <c r="Q244" s="1"/>
      <c r="R244" s="1"/>
      <c r="S244" s="1"/>
      <c r="T244" s="1"/>
      <c r="U244" s="1"/>
      <c r="V244" s="1"/>
      <c r="W244" s="1"/>
      <c r="X244" s="1"/>
      <c r="Y244" s="1"/>
      <c r="Z244" s="1"/>
      <c r="AA244" s="1"/>
      <c r="AB244" s="1"/>
      <c r="AC244" s="1"/>
    </row>
    <row r="245">
      <c r="A245" s="1"/>
      <c r="B245" s="1"/>
      <c r="C245" s="1"/>
      <c r="D245" s="1"/>
      <c r="E245" s="1"/>
      <c r="F245" s="2"/>
      <c r="G245" s="2"/>
      <c r="H245" s="1"/>
      <c r="I245" s="1"/>
      <c r="J245" s="1"/>
      <c r="K245" s="3"/>
      <c r="L245" s="1"/>
      <c r="M245" s="1"/>
      <c r="N245" s="1"/>
      <c r="O245" s="1"/>
      <c r="P245" s="1"/>
      <c r="Q245" s="1"/>
      <c r="R245" s="1"/>
      <c r="S245" s="1"/>
      <c r="T245" s="1"/>
      <c r="U245" s="1"/>
      <c r="V245" s="1"/>
      <c r="W245" s="1"/>
      <c r="X245" s="1"/>
      <c r="Y245" s="1"/>
      <c r="Z245" s="1"/>
      <c r="AA245" s="1"/>
      <c r="AB245" s="1"/>
      <c r="AC245" s="1"/>
    </row>
    <row r="246">
      <c r="A246" s="1"/>
      <c r="B246" s="1"/>
      <c r="C246" s="1"/>
      <c r="D246" s="1"/>
      <c r="E246" s="1"/>
      <c r="F246" s="2"/>
      <c r="G246" s="2"/>
      <c r="H246" s="1"/>
      <c r="I246" s="1"/>
      <c r="J246" s="1"/>
      <c r="K246" s="3"/>
      <c r="L246" s="1"/>
      <c r="M246" s="1"/>
      <c r="N246" s="1"/>
      <c r="O246" s="1"/>
      <c r="P246" s="1"/>
      <c r="Q246" s="1"/>
      <c r="R246" s="1"/>
      <c r="S246" s="1"/>
      <c r="T246" s="1"/>
      <c r="U246" s="1"/>
      <c r="V246" s="1"/>
      <c r="W246" s="1"/>
      <c r="X246" s="1"/>
      <c r="Y246" s="1"/>
      <c r="Z246" s="1"/>
      <c r="AA246" s="1"/>
      <c r="AB246" s="1"/>
      <c r="AC246" s="1"/>
    </row>
    <row r="247">
      <c r="A247" s="1"/>
      <c r="B247" s="1"/>
      <c r="C247" s="1"/>
      <c r="D247" s="1"/>
      <c r="E247" s="1"/>
      <c r="F247" s="2"/>
      <c r="G247" s="2"/>
      <c r="H247" s="1"/>
      <c r="I247" s="1"/>
      <c r="J247" s="1"/>
      <c r="K247" s="3"/>
      <c r="L247" s="1"/>
      <c r="M247" s="1"/>
      <c r="N247" s="1"/>
      <c r="O247" s="1"/>
      <c r="P247" s="1"/>
      <c r="Q247" s="1"/>
      <c r="R247" s="1"/>
      <c r="S247" s="1"/>
      <c r="T247" s="1"/>
      <c r="U247" s="1"/>
      <c r="V247" s="1"/>
      <c r="W247" s="1"/>
      <c r="X247" s="1"/>
      <c r="Y247" s="1"/>
      <c r="Z247" s="1"/>
      <c r="AA247" s="1"/>
      <c r="AB247" s="1"/>
      <c r="AC247" s="1"/>
    </row>
    <row r="248">
      <c r="A248" s="1"/>
      <c r="B248" s="1"/>
      <c r="C248" s="1"/>
      <c r="D248" s="1"/>
      <c r="E248" s="1"/>
      <c r="F248" s="2"/>
      <c r="G248" s="2"/>
      <c r="H248" s="1"/>
      <c r="I248" s="1"/>
      <c r="J248" s="1"/>
      <c r="K248" s="3"/>
      <c r="L248" s="1"/>
      <c r="M248" s="1"/>
      <c r="N248" s="1"/>
      <c r="O248" s="1"/>
      <c r="P248" s="1"/>
      <c r="Q248" s="1"/>
      <c r="R248" s="1"/>
      <c r="S248" s="1"/>
      <c r="T248" s="1"/>
      <c r="U248" s="1"/>
      <c r="V248" s="1"/>
      <c r="W248" s="1"/>
      <c r="X248" s="1"/>
      <c r="Y248" s="1"/>
      <c r="Z248" s="1"/>
      <c r="AA248" s="1"/>
      <c r="AB248" s="1"/>
      <c r="AC248" s="1"/>
    </row>
    <row r="249">
      <c r="A249" s="1"/>
      <c r="B249" s="1"/>
      <c r="C249" s="1"/>
      <c r="D249" s="1"/>
      <c r="E249" s="1"/>
      <c r="F249" s="2"/>
      <c r="G249" s="2"/>
      <c r="H249" s="1"/>
      <c r="I249" s="1"/>
      <c r="J249" s="1"/>
      <c r="K249" s="3"/>
      <c r="L249" s="1"/>
      <c r="M249" s="1"/>
      <c r="N249" s="1"/>
      <c r="O249" s="1"/>
      <c r="P249" s="1"/>
      <c r="Q249" s="1"/>
      <c r="R249" s="1"/>
      <c r="S249" s="1"/>
      <c r="T249" s="1"/>
      <c r="U249" s="1"/>
      <c r="V249" s="1"/>
      <c r="W249" s="1"/>
      <c r="X249" s="1"/>
      <c r="Y249" s="1"/>
      <c r="Z249" s="1"/>
      <c r="AA249" s="1"/>
      <c r="AB249" s="1"/>
      <c r="AC249" s="1"/>
    </row>
    <row r="250">
      <c r="A250" s="1"/>
      <c r="B250" s="1"/>
      <c r="C250" s="1"/>
      <c r="D250" s="1"/>
      <c r="E250" s="1"/>
      <c r="F250" s="2"/>
      <c r="G250" s="2"/>
      <c r="H250" s="1"/>
      <c r="I250" s="1"/>
      <c r="J250" s="1"/>
      <c r="K250" s="3"/>
      <c r="L250" s="1"/>
      <c r="M250" s="1"/>
      <c r="N250" s="1"/>
      <c r="O250" s="1"/>
      <c r="P250" s="1"/>
      <c r="Q250" s="1"/>
      <c r="R250" s="1"/>
      <c r="S250" s="1"/>
      <c r="T250" s="1"/>
      <c r="U250" s="1"/>
      <c r="V250" s="1"/>
      <c r="W250" s="1"/>
      <c r="X250" s="1"/>
      <c r="Y250" s="1"/>
      <c r="Z250" s="1"/>
      <c r="AA250" s="1"/>
      <c r="AB250" s="1"/>
      <c r="AC250" s="1"/>
    </row>
    <row r="251">
      <c r="A251" s="1"/>
      <c r="B251" s="1"/>
      <c r="C251" s="1"/>
      <c r="D251" s="1"/>
      <c r="E251" s="1"/>
      <c r="F251" s="2"/>
      <c r="G251" s="2"/>
      <c r="H251" s="1"/>
      <c r="I251" s="1"/>
      <c r="J251" s="1"/>
      <c r="K251" s="3"/>
      <c r="L251" s="1"/>
      <c r="M251" s="1"/>
      <c r="N251" s="1"/>
      <c r="O251" s="1"/>
      <c r="P251" s="1"/>
      <c r="Q251" s="1"/>
      <c r="R251" s="1"/>
      <c r="S251" s="1"/>
      <c r="T251" s="1"/>
      <c r="U251" s="1"/>
      <c r="V251" s="1"/>
      <c r="W251" s="1"/>
      <c r="X251" s="1"/>
      <c r="Y251" s="1"/>
      <c r="Z251" s="1"/>
      <c r="AA251" s="1"/>
      <c r="AB251" s="1"/>
      <c r="AC251" s="1"/>
    </row>
    <row r="252">
      <c r="A252" s="1"/>
      <c r="B252" s="1"/>
      <c r="C252" s="1"/>
      <c r="D252" s="1"/>
      <c r="E252" s="1"/>
      <c r="F252" s="2"/>
      <c r="G252" s="2"/>
      <c r="H252" s="1"/>
      <c r="I252" s="1"/>
      <c r="J252" s="1"/>
      <c r="K252" s="3"/>
      <c r="L252" s="1"/>
      <c r="M252" s="1"/>
      <c r="N252" s="1"/>
      <c r="O252" s="1"/>
      <c r="P252" s="1"/>
      <c r="Q252" s="1"/>
      <c r="R252" s="1"/>
      <c r="S252" s="1"/>
      <c r="T252" s="1"/>
      <c r="U252" s="1"/>
      <c r="V252" s="1"/>
      <c r="W252" s="1"/>
      <c r="X252" s="1"/>
      <c r="Y252" s="1"/>
      <c r="Z252" s="1"/>
      <c r="AA252" s="1"/>
      <c r="AB252" s="1"/>
      <c r="AC252" s="1"/>
    </row>
    <row r="253">
      <c r="A253" s="1"/>
      <c r="B253" s="1"/>
      <c r="C253" s="1"/>
      <c r="D253" s="1"/>
      <c r="E253" s="1"/>
      <c r="F253" s="2"/>
      <c r="G253" s="2"/>
      <c r="H253" s="1"/>
      <c r="I253" s="1"/>
      <c r="J253" s="1"/>
      <c r="K253" s="3"/>
      <c r="L253" s="1"/>
      <c r="M253" s="1"/>
      <c r="N253" s="1"/>
      <c r="O253" s="1"/>
      <c r="P253" s="1"/>
      <c r="Q253" s="1"/>
      <c r="R253" s="1"/>
      <c r="S253" s="1"/>
      <c r="T253" s="1"/>
      <c r="U253" s="1"/>
      <c r="V253" s="1"/>
      <c r="W253" s="1"/>
      <c r="X253" s="1"/>
      <c r="Y253" s="1"/>
      <c r="Z253" s="1"/>
      <c r="AA253" s="1"/>
      <c r="AB253" s="1"/>
      <c r="AC253" s="1"/>
    </row>
    <row r="254">
      <c r="A254" s="1"/>
      <c r="B254" s="1"/>
      <c r="C254" s="1"/>
      <c r="D254" s="1"/>
      <c r="E254" s="1"/>
      <c r="F254" s="2"/>
      <c r="G254" s="2"/>
      <c r="H254" s="1"/>
      <c r="I254" s="1"/>
      <c r="J254" s="1"/>
      <c r="K254" s="3"/>
      <c r="L254" s="1"/>
      <c r="M254" s="1"/>
      <c r="N254" s="1"/>
      <c r="O254" s="1"/>
      <c r="P254" s="1"/>
      <c r="Q254" s="1"/>
      <c r="R254" s="1"/>
      <c r="S254" s="1"/>
      <c r="T254" s="1"/>
      <c r="U254" s="1"/>
      <c r="V254" s="1"/>
      <c r="W254" s="1"/>
      <c r="X254" s="1"/>
      <c r="Y254" s="1"/>
      <c r="Z254" s="1"/>
      <c r="AA254" s="1"/>
      <c r="AB254" s="1"/>
      <c r="AC254" s="1"/>
    </row>
    <row r="255">
      <c r="A255" s="1"/>
      <c r="B255" s="1"/>
      <c r="C255" s="1"/>
      <c r="D255" s="1"/>
      <c r="E255" s="1"/>
      <c r="F255" s="2"/>
      <c r="G255" s="2"/>
      <c r="H255" s="1"/>
      <c r="I255" s="1"/>
      <c r="J255" s="1"/>
      <c r="K255" s="3"/>
      <c r="L255" s="1"/>
      <c r="M255" s="1"/>
      <c r="N255" s="1"/>
      <c r="O255" s="1"/>
      <c r="P255" s="1"/>
      <c r="Q255" s="1"/>
      <c r="R255" s="1"/>
      <c r="S255" s="1"/>
      <c r="T255" s="1"/>
      <c r="U255" s="1"/>
      <c r="V255" s="1"/>
      <c r="W255" s="1"/>
      <c r="X255" s="1"/>
      <c r="Y255" s="1"/>
      <c r="Z255" s="1"/>
      <c r="AA255" s="1"/>
      <c r="AB255" s="1"/>
      <c r="AC255" s="1"/>
    </row>
    <row r="256">
      <c r="A256" s="1"/>
      <c r="B256" s="1"/>
      <c r="C256" s="1"/>
      <c r="D256" s="1"/>
      <c r="E256" s="1"/>
      <c r="F256" s="2"/>
      <c r="G256" s="2"/>
      <c r="H256" s="1"/>
      <c r="I256" s="1"/>
      <c r="J256" s="1"/>
      <c r="K256" s="3"/>
      <c r="L256" s="1"/>
      <c r="M256" s="1"/>
      <c r="N256" s="1"/>
      <c r="O256" s="1"/>
      <c r="P256" s="1"/>
      <c r="Q256" s="1"/>
      <c r="R256" s="1"/>
      <c r="S256" s="1"/>
      <c r="T256" s="1"/>
      <c r="U256" s="1"/>
      <c r="V256" s="1"/>
      <c r="W256" s="1"/>
      <c r="X256" s="1"/>
      <c r="Y256" s="1"/>
      <c r="Z256" s="1"/>
      <c r="AA256" s="1"/>
      <c r="AB256" s="1"/>
      <c r="AC256" s="1"/>
    </row>
    <row r="257">
      <c r="A257" s="1"/>
      <c r="B257" s="1"/>
      <c r="C257" s="1"/>
      <c r="D257" s="1"/>
      <c r="E257" s="1"/>
      <c r="F257" s="2"/>
      <c r="G257" s="2"/>
      <c r="H257" s="1"/>
      <c r="I257" s="1"/>
      <c r="J257" s="1"/>
      <c r="K257" s="3"/>
      <c r="L257" s="1"/>
      <c r="M257" s="1"/>
      <c r="N257" s="1"/>
      <c r="O257" s="1"/>
      <c r="P257" s="1"/>
      <c r="Q257" s="1"/>
      <c r="R257" s="1"/>
      <c r="S257" s="1"/>
      <c r="T257" s="1"/>
      <c r="U257" s="1"/>
      <c r="V257" s="1"/>
      <c r="W257" s="1"/>
      <c r="X257" s="1"/>
      <c r="Y257" s="1"/>
      <c r="Z257" s="1"/>
      <c r="AA257" s="1"/>
      <c r="AB257" s="1"/>
      <c r="AC257" s="1"/>
    </row>
    <row r="258">
      <c r="A258" s="1"/>
      <c r="B258" s="1"/>
      <c r="C258" s="1"/>
      <c r="D258" s="1"/>
      <c r="E258" s="1"/>
      <c r="F258" s="2"/>
      <c r="G258" s="2"/>
      <c r="H258" s="1"/>
      <c r="I258" s="1"/>
      <c r="J258" s="1"/>
      <c r="K258" s="3"/>
      <c r="L258" s="1"/>
      <c r="M258" s="1"/>
      <c r="N258" s="1"/>
      <c r="O258" s="1"/>
      <c r="P258" s="1"/>
      <c r="Q258" s="1"/>
      <c r="R258" s="1"/>
      <c r="S258" s="1"/>
      <c r="T258" s="1"/>
      <c r="U258" s="1"/>
      <c r="V258" s="1"/>
      <c r="W258" s="1"/>
      <c r="X258" s="1"/>
      <c r="Y258" s="1"/>
      <c r="Z258" s="1"/>
      <c r="AA258" s="1"/>
      <c r="AB258" s="1"/>
      <c r="AC258" s="1"/>
    </row>
    <row r="259">
      <c r="A259" s="1"/>
      <c r="B259" s="1"/>
      <c r="C259" s="1"/>
      <c r="D259" s="1"/>
      <c r="E259" s="1"/>
      <c r="F259" s="2"/>
      <c r="G259" s="2"/>
      <c r="H259" s="1"/>
      <c r="I259" s="1"/>
      <c r="J259" s="1"/>
      <c r="K259" s="3"/>
      <c r="L259" s="1"/>
      <c r="M259" s="1"/>
      <c r="N259" s="1"/>
      <c r="O259" s="1"/>
      <c r="P259" s="1"/>
      <c r="Q259" s="1"/>
      <c r="R259" s="1"/>
      <c r="S259" s="1"/>
      <c r="T259" s="1"/>
      <c r="U259" s="1"/>
      <c r="V259" s="1"/>
      <c r="W259" s="1"/>
      <c r="X259" s="1"/>
      <c r="Y259" s="1"/>
      <c r="Z259" s="1"/>
      <c r="AA259" s="1"/>
      <c r="AB259" s="1"/>
      <c r="AC259" s="1"/>
    </row>
    <row r="260">
      <c r="A260" s="1"/>
      <c r="B260" s="1"/>
      <c r="C260" s="1"/>
      <c r="D260" s="1"/>
      <c r="E260" s="1"/>
      <c r="F260" s="2"/>
      <c r="G260" s="2"/>
      <c r="H260" s="1"/>
      <c r="I260" s="1"/>
      <c r="J260" s="1"/>
      <c r="K260" s="3"/>
      <c r="L260" s="1"/>
      <c r="M260" s="1"/>
      <c r="N260" s="1"/>
      <c r="O260" s="1"/>
      <c r="P260" s="1"/>
      <c r="Q260" s="1"/>
      <c r="R260" s="1"/>
      <c r="S260" s="1"/>
      <c r="T260" s="1"/>
      <c r="U260" s="1"/>
      <c r="V260" s="1"/>
      <c r="W260" s="1"/>
      <c r="X260" s="1"/>
      <c r="Y260" s="1"/>
      <c r="Z260" s="1"/>
      <c r="AA260" s="1"/>
      <c r="AB260" s="1"/>
      <c r="AC260" s="1"/>
    </row>
    <row r="261">
      <c r="A261" s="1"/>
      <c r="B261" s="1"/>
      <c r="C261" s="1"/>
      <c r="D261" s="1"/>
      <c r="E261" s="1"/>
      <c r="F261" s="2"/>
      <c r="G261" s="2"/>
      <c r="H261" s="1"/>
      <c r="I261" s="1"/>
      <c r="J261" s="1"/>
      <c r="K261" s="3"/>
      <c r="L261" s="1"/>
      <c r="M261" s="1"/>
      <c r="N261" s="1"/>
      <c r="O261" s="1"/>
      <c r="P261" s="1"/>
      <c r="Q261" s="1"/>
      <c r="R261" s="1"/>
      <c r="S261" s="1"/>
      <c r="T261" s="1"/>
      <c r="U261" s="1"/>
      <c r="V261" s="1"/>
      <c r="W261" s="1"/>
      <c r="X261" s="1"/>
      <c r="Y261" s="1"/>
      <c r="Z261" s="1"/>
      <c r="AA261" s="1"/>
      <c r="AB261" s="1"/>
      <c r="AC261" s="1"/>
    </row>
    <row r="262">
      <c r="A262" s="1"/>
      <c r="B262" s="1"/>
      <c r="C262" s="1"/>
      <c r="D262" s="1"/>
      <c r="E262" s="1"/>
      <c r="F262" s="2"/>
      <c r="G262" s="2"/>
      <c r="H262" s="1"/>
      <c r="I262" s="1"/>
      <c r="J262" s="1"/>
      <c r="K262" s="3"/>
      <c r="L262" s="1"/>
      <c r="M262" s="1"/>
      <c r="N262" s="1"/>
      <c r="O262" s="1"/>
      <c r="P262" s="1"/>
      <c r="Q262" s="1"/>
      <c r="R262" s="1"/>
      <c r="S262" s="1"/>
      <c r="T262" s="1"/>
      <c r="U262" s="1"/>
      <c r="V262" s="1"/>
      <c r="W262" s="1"/>
      <c r="X262" s="1"/>
      <c r="Y262" s="1"/>
      <c r="Z262" s="1"/>
      <c r="AA262" s="1"/>
      <c r="AB262" s="1"/>
      <c r="AC262" s="1"/>
    </row>
    <row r="263">
      <c r="A263" s="1"/>
      <c r="B263" s="1"/>
      <c r="C263" s="1"/>
      <c r="D263" s="1"/>
      <c r="E263" s="1"/>
      <c r="F263" s="2"/>
      <c r="G263" s="2"/>
      <c r="H263" s="1"/>
      <c r="I263" s="1"/>
      <c r="J263" s="1"/>
      <c r="K263" s="3"/>
      <c r="L263" s="1"/>
      <c r="M263" s="1"/>
      <c r="N263" s="1"/>
      <c r="O263" s="1"/>
      <c r="P263" s="1"/>
      <c r="Q263" s="1"/>
      <c r="R263" s="1"/>
      <c r="S263" s="1"/>
      <c r="T263" s="1"/>
      <c r="U263" s="1"/>
      <c r="V263" s="1"/>
      <c r="W263" s="1"/>
      <c r="X263" s="1"/>
      <c r="Y263" s="1"/>
      <c r="Z263" s="1"/>
      <c r="AA263" s="1"/>
      <c r="AB263" s="1"/>
      <c r="AC263" s="1"/>
    </row>
    <row r="264">
      <c r="A264" s="1"/>
      <c r="B264" s="1"/>
      <c r="C264" s="1"/>
      <c r="D264" s="1"/>
      <c r="E264" s="1"/>
      <c r="F264" s="2"/>
      <c r="G264" s="2"/>
      <c r="H264" s="1"/>
      <c r="I264" s="1"/>
      <c r="J264" s="1"/>
      <c r="K264" s="3"/>
      <c r="L264" s="1"/>
      <c r="M264" s="1"/>
      <c r="N264" s="1"/>
      <c r="O264" s="1"/>
      <c r="P264" s="1"/>
      <c r="Q264" s="1"/>
      <c r="R264" s="1"/>
      <c r="S264" s="1"/>
      <c r="T264" s="1"/>
      <c r="U264" s="1"/>
      <c r="V264" s="1"/>
      <c r="W264" s="1"/>
      <c r="X264" s="1"/>
      <c r="Y264" s="1"/>
      <c r="Z264" s="1"/>
      <c r="AA264" s="1"/>
      <c r="AB264" s="1"/>
      <c r="AC264" s="1"/>
    </row>
    <row r="265">
      <c r="A265" s="1"/>
      <c r="B265" s="1"/>
      <c r="C265" s="1"/>
      <c r="D265" s="1"/>
      <c r="E265" s="1"/>
      <c r="F265" s="2"/>
      <c r="G265" s="2"/>
      <c r="H265" s="1"/>
      <c r="I265" s="1"/>
      <c r="J265" s="1"/>
      <c r="K265" s="3"/>
      <c r="L265" s="1"/>
      <c r="M265" s="1"/>
      <c r="N265" s="1"/>
      <c r="O265" s="1"/>
      <c r="P265" s="1"/>
      <c r="Q265" s="1"/>
      <c r="R265" s="1"/>
      <c r="S265" s="1"/>
      <c r="T265" s="1"/>
      <c r="U265" s="1"/>
      <c r="V265" s="1"/>
      <c r="W265" s="1"/>
      <c r="X265" s="1"/>
      <c r="Y265" s="1"/>
      <c r="Z265" s="1"/>
      <c r="AA265" s="1"/>
      <c r="AB265" s="1"/>
      <c r="AC265" s="1"/>
    </row>
    <row r="266">
      <c r="A266" s="1"/>
      <c r="B266" s="1"/>
      <c r="C266" s="1"/>
      <c r="D266" s="1"/>
      <c r="E266" s="1"/>
      <c r="F266" s="2"/>
      <c r="G266" s="2"/>
      <c r="H266" s="1"/>
      <c r="I266" s="1"/>
      <c r="J266" s="1"/>
      <c r="K266" s="3"/>
      <c r="L266" s="1"/>
      <c r="M266" s="1"/>
      <c r="N266" s="1"/>
      <c r="O266" s="1"/>
      <c r="P266" s="1"/>
      <c r="Q266" s="1"/>
      <c r="R266" s="1"/>
      <c r="S266" s="1"/>
      <c r="T266" s="1"/>
      <c r="U266" s="1"/>
      <c r="V266" s="1"/>
      <c r="W266" s="1"/>
      <c r="X266" s="1"/>
      <c r="Y266" s="1"/>
      <c r="Z266" s="1"/>
      <c r="AA266" s="1"/>
      <c r="AB266" s="1"/>
      <c r="AC266" s="1"/>
    </row>
    <row r="267">
      <c r="A267" s="1"/>
      <c r="B267" s="1"/>
      <c r="C267" s="1"/>
      <c r="D267" s="1"/>
      <c r="E267" s="1"/>
      <c r="F267" s="2"/>
      <c r="G267" s="2"/>
      <c r="H267" s="1"/>
      <c r="I267" s="1"/>
      <c r="J267" s="1"/>
      <c r="K267" s="3"/>
      <c r="L267" s="1"/>
      <c r="M267" s="1"/>
      <c r="N267" s="1"/>
      <c r="O267" s="1"/>
      <c r="P267" s="1"/>
      <c r="Q267" s="1"/>
      <c r="R267" s="1"/>
      <c r="S267" s="1"/>
      <c r="T267" s="1"/>
      <c r="U267" s="1"/>
      <c r="V267" s="1"/>
      <c r="W267" s="1"/>
      <c r="X267" s="1"/>
      <c r="Y267" s="1"/>
      <c r="Z267" s="1"/>
      <c r="AA267" s="1"/>
      <c r="AB267" s="1"/>
      <c r="AC267" s="1"/>
    </row>
    <row r="268">
      <c r="A268" s="1"/>
      <c r="B268" s="1"/>
      <c r="C268" s="1"/>
      <c r="D268" s="1"/>
      <c r="E268" s="1"/>
      <c r="F268" s="2"/>
      <c r="G268" s="2"/>
      <c r="H268" s="1"/>
      <c r="I268" s="1"/>
      <c r="J268" s="1"/>
      <c r="K268" s="3"/>
      <c r="L268" s="1"/>
      <c r="M268" s="1"/>
      <c r="N268" s="1"/>
      <c r="O268" s="1"/>
      <c r="P268" s="1"/>
      <c r="Q268" s="1"/>
      <c r="R268" s="1"/>
      <c r="S268" s="1"/>
      <c r="T268" s="1"/>
      <c r="U268" s="1"/>
      <c r="V268" s="1"/>
      <c r="W268" s="1"/>
      <c r="X268" s="1"/>
      <c r="Y268" s="1"/>
      <c r="Z268" s="1"/>
      <c r="AA268" s="1"/>
      <c r="AB268" s="1"/>
      <c r="AC268" s="1"/>
    </row>
    <row r="269">
      <c r="A269" s="1"/>
      <c r="B269" s="1"/>
      <c r="C269" s="1"/>
      <c r="D269" s="1"/>
      <c r="E269" s="1"/>
      <c r="F269" s="2"/>
      <c r="G269" s="2"/>
      <c r="H269" s="1"/>
      <c r="I269" s="1"/>
      <c r="J269" s="1"/>
      <c r="K269" s="3"/>
      <c r="L269" s="1"/>
      <c r="M269" s="1"/>
      <c r="N269" s="1"/>
      <c r="O269" s="1"/>
      <c r="P269" s="1"/>
      <c r="Q269" s="1"/>
      <c r="R269" s="1"/>
      <c r="S269" s="1"/>
      <c r="T269" s="1"/>
      <c r="U269" s="1"/>
      <c r="V269" s="1"/>
      <c r="W269" s="1"/>
      <c r="X269" s="1"/>
      <c r="Y269" s="1"/>
      <c r="Z269" s="1"/>
      <c r="AA269" s="1"/>
      <c r="AB269" s="1"/>
      <c r="AC269" s="1"/>
    </row>
    <row r="270">
      <c r="A270" s="1"/>
      <c r="B270" s="1"/>
      <c r="C270" s="1"/>
      <c r="D270" s="1"/>
      <c r="E270" s="1"/>
      <c r="F270" s="2"/>
      <c r="G270" s="2"/>
      <c r="H270" s="1"/>
      <c r="I270" s="1"/>
      <c r="J270" s="1"/>
      <c r="K270" s="3"/>
      <c r="L270" s="1"/>
      <c r="M270" s="1"/>
      <c r="N270" s="1"/>
      <c r="O270" s="1"/>
      <c r="P270" s="1"/>
      <c r="Q270" s="1"/>
      <c r="R270" s="1"/>
      <c r="S270" s="1"/>
      <c r="T270" s="1"/>
      <c r="U270" s="1"/>
      <c r="V270" s="1"/>
      <c r="W270" s="1"/>
      <c r="X270" s="1"/>
      <c r="Y270" s="1"/>
      <c r="Z270" s="1"/>
      <c r="AA270" s="1"/>
      <c r="AB270" s="1"/>
      <c r="AC270" s="1"/>
    </row>
    <row r="271">
      <c r="A271" s="1"/>
      <c r="B271" s="1"/>
      <c r="C271" s="1"/>
      <c r="D271" s="1"/>
      <c r="E271" s="1"/>
      <c r="F271" s="2"/>
      <c r="G271" s="2"/>
      <c r="H271" s="1"/>
      <c r="I271" s="1"/>
      <c r="J271" s="1"/>
      <c r="K271" s="3"/>
      <c r="L271" s="1"/>
      <c r="M271" s="1"/>
      <c r="N271" s="1"/>
      <c r="O271" s="1"/>
      <c r="P271" s="1"/>
      <c r="Q271" s="1"/>
      <c r="R271" s="1"/>
      <c r="S271" s="1"/>
      <c r="T271" s="1"/>
      <c r="U271" s="1"/>
      <c r="V271" s="1"/>
      <c r="W271" s="1"/>
      <c r="X271" s="1"/>
      <c r="Y271" s="1"/>
      <c r="Z271" s="1"/>
      <c r="AA271" s="1"/>
      <c r="AB271" s="1"/>
      <c r="AC271" s="1"/>
    </row>
    <row r="272">
      <c r="A272" s="1"/>
      <c r="B272" s="1"/>
      <c r="C272" s="1"/>
      <c r="D272" s="1"/>
      <c r="E272" s="1"/>
      <c r="F272" s="2"/>
      <c r="G272" s="2"/>
      <c r="H272" s="1"/>
      <c r="I272" s="1"/>
      <c r="J272" s="1"/>
      <c r="K272" s="3"/>
      <c r="L272" s="1"/>
      <c r="M272" s="1"/>
      <c r="N272" s="1"/>
      <c r="O272" s="1"/>
      <c r="P272" s="1"/>
      <c r="Q272" s="1"/>
      <c r="R272" s="1"/>
      <c r="S272" s="1"/>
      <c r="T272" s="1"/>
      <c r="U272" s="1"/>
      <c r="V272" s="1"/>
      <c r="W272" s="1"/>
      <c r="X272" s="1"/>
      <c r="Y272" s="1"/>
      <c r="Z272" s="1"/>
      <c r="AA272" s="1"/>
      <c r="AB272" s="1"/>
      <c r="AC272" s="1"/>
    </row>
    <row r="273">
      <c r="A273" s="1"/>
      <c r="B273" s="1"/>
      <c r="C273" s="1"/>
      <c r="D273" s="1"/>
      <c r="E273" s="1"/>
      <c r="F273" s="2"/>
      <c r="G273" s="2"/>
      <c r="H273" s="1"/>
      <c r="I273" s="1"/>
      <c r="J273" s="1"/>
      <c r="K273" s="3"/>
      <c r="L273" s="1"/>
      <c r="M273" s="1"/>
      <c r="N273" s="1"/>
      <c r="O273" s="1"/>
      <c r="P273" s="1"/>
      <c r="Q273" s="1"/>
      <c r="R273" s="1"/>
      <c r="S273" s="1"/>
      <c r="T273" s="1"/>
      <c r="U273" s="1"/>
      <c r="V273" s="1"/>
      <c r="W273" s="1"/>
      <c r="X273" s="1"/>
      <c r="Y273" s="1"/>
      <c r="Z273" s="1"/>
      <c r="AA273" s="1"/>
      <c r="AB273" s="1"/>
      <c r="AC273" s="1"/>
    </row>
    <row r="274">
      <c r="A274" s="1"/>
      <c r="B274" s="1"/>
      <c r="C274" s="1"/>
      <c r="D274" s="1"/>
      <c r="E274" s="1"/>
      <c r="F274" s="2"/>
      <c r="G274" s="2"/>
      <c r="H274" s="1"/>
      <c r="I274" s="1"/>
      <c r="J274" s="1"/>
      <c r="K274" s="3"/>
      <c r="L274" s="1"/>
      <c r="M274" s="1"/>
      <c r="N274" s="1"/>
      <c r="O274" s="1"/>
      <c r="P274" s="1"/>
      <c r="Q274" s="1"/>
      <c r="R274" s="1"/>
      <c r="S274" s="1"/>
      <c r="T274" s="1"/>
      <c r="U274" s="1"/>
      <c r="V274" s="1"/>
      <c r="W274" s="1"/>
      <c r="X274" s="1"/>
      <c r="Y274" s="1"/>
      <c r="Z274" s="1"/>
      <c r="AA274" s="1"/>
      <c r="AB274" s="1"/>
      <c r="AC274" s="1"/>
    </row>
    <row r="275">
      <c r="A275" s="1"/>
      <c r="B275" s="1"/>
      <c r="C275" s="1"/>
      <c r="D275" s="1"/>
      <c r="E275" s="1"/>
      <c r="F275" s="2"/>
      <c r="G275" s="2"/>
      <c r="H275" s="1"/>
      <c r="I275" s="1"/>
      <c r="J275" s="1"/>
      <c r="K275" s="3"/>
      <c r="L275" s="1"/>
      <c r="M275" s="1"/>
      <c r="N275" s="1"/>
      <c r="O275" s="1"/>
      <c r="P275" s="1"/>
      <c r="Q275" s="1"/>
      <c r="R275" s="1"/>
      <c r="S275" s="1"/>
      <c r="T275" s="1"/>
      <c r="U275" s="1"/>
      <c r="V275" s="1"/>
      <c r="W275" s="1"/>
      <c r="X275" s="1"/>
      <c r="Y275" s="1"/>
      <c r="Z275" s="1"/>
      <c r="AA275" s="1"/>
      <c r="AB275" s="1"/>
      <c r="AC275" s="1"/>
    </row>
    <row r="276">
      <c r="A276" s="1"/>
      <c r="B276" s="1"/>
      <c r="C276" s="1"/>
      <c r="D276" s="1"/>
      <c r="E276" s="1"/>
      <c r="F276" s="2"/>
      <c r="G276" s="2"/>
      <c r="H276" s="1"/>
      <c r="I276" s="1"/>
      <c r="J276" s="1"/>
      <c r="K276" s="3"/>
      <c r="L276" s="1"/>
      <c r="M276" s="1"/>
      <c r="N276" s="1"/>
      <c r="O276" s="1"/>
      <c r="P276" s="1"/>
      <c r="Q276" s="1"/>
      <c r="R276" s="1"/>
      <c r="S276" s="1"/>
      <c r="T276" s="1"/>
      <c r="U276" s="1"/>
      <c r="V276" s="1"/>
      <c r="W276" s="1"/>
      <c r="X276" s="1"/>
      <c r="Y276" s="1"/>
      <c r="Z276" s="1"/>
      <c r="AA276" s="1"/>
      <c r="AB276" s="1"/>
      <c r="AC276" s="1"/>
    </row>
    <row r="277">
      <c r="A277" s="1"/>
      <c r="B277" s="1"/>
      <c r="C277" s="1"/>
      <c r="D277" s="1"/>
      <c r="E277" s="1"/>
      <c r="F277" s="2"/>
      <c r="G277" s="2"/>
      <c r="H277" s="1"/>
      <c r="I277" s="1"/>
      <c r="J277" s="1"/>
      <c r="K277" s="3"/>
      <c r="L277" s="1"/>
      <c r="M277" s="1"/>
      <c r="N277" s="1"/>
      <c r="O277" s="1"/>
      <c r="P277" s="1"/>
      <c r="Q277" s="1"/>
      <c r="R277" s="1"/>
      <c r="S277" s="1"/>
      <c r="T277" s="1"/>
      <c r="U277" s="1"/>
      <c r="V277" s="1"/>
      <c r="W277" s="1"/>
      <c r="X277" s="1"/>
      <c r="Y277" s="1"/>
      <c r="Z277" s="1"/>
      <c r="AA277" s="1"/>
      <c r="AB277" s="1"/>
      <c r="AC277" s="1"/>
    </row>
    <row r="278">
      <c r="A278" s="1"/>
      <c r="B278" s="1"/>
      <c r="C278" s="1"/>
      <c r="D278" s="1"/>
      <c r="E278" s="1"/>
      <c r="F278" s="2"/>
      <c r="G278" s="2"/>
      <c r="H278" s="1"/>
      <c r="I278" s="1"/>
      <c r="J278" s="1"/>
      <c r="K278" s="3"/>
      <c r="L278" s="1"/>
      <c r="M278" s="1"/>
      <c r="N278" s="1"/>
      <c r="O278" s="1"/>
      <c r="P278" s="1"/>
      <c r="Q278" s="1"/>
      <c r="R278" s="1"/>
      <c r="S278" s="1"/>
      <c r="T278" s="1"/>
      <c r="U278" s="1"/>
      <c r="V278" s="1"/>
      <c r="W278" s="1"/>
      <c r="X278" s="1"/>
      <c r="Y278" s="1"/>
      <c r="Z278" s="1"/>
      <c r="AA278" s="1"/>
      <c r="AB278" s="1"/>
      <c r="AC278" s="1"/>
    </row>
    <row r="279">
      <c r="A279" s="1"/>
      <c r="B279" s="1"/>
      <c r="C279" s="1"/>
      <c r="D279" s="1"/>
      <c r="E279" s="1"/>
      <c r="F279" s="2"/>
      <c r="G279" s="2"/>
      <c r="H279" s="1"/>
      <c r="I279" s="1"/>
      <c r="J279" s="1"/>
      <c r="K279" s="3"/>
      <c r="L279" s="1"/>
      <c r="M279" s="1"/>
      <c r="N279" s="1"/>
      <c r="O279" s="1"/>
      <c r="P279" s="1"/>
      <c r="Q279" s="1"/>
      <c r="R279" s="1"/>
      <c r="S279" s="1"/>
      <c r="T279" s="1"/>
      <c r="U279" s="1"/>
      <c r="V279" s="1"/>
      <c r="W279" s="1"/>
      <c r="X279" s="1"/>
      <c r="Y279" s="1"/>
      <c r="Z279" s="1"/>
      <c r="AA279" s="1"/>
      <c r="AB279" s="1"/>
      <c r="AC279" s="1"/>
    </row>
    <row r="280">
      <c r="A280" s="1"/>
      <c r="B280" s="1"/>
      <c r="C280" s="1"/>
      <c r="D280" s="1"/>
      <c r="E280" s="1"/>
      <c r="F280" s="2"/>
      <c r="G280" s="2"/>
      <c r="H280" s="1"/>
      <c r="I280" s="1"/>
      <c r="J280" s="1"/>
      <c r="K280" s="3"/>
      <c r="L280" s="1"/>
      <c r="M280" s="1"/>
      <c r="N280" s="1"/>
      <c r="O280" s="1"/>
      <c r="P280" s="1"/>
      <c r="Q280" s="1"/>
      <c r="R280" s="1"/>
      <c r="S280" s="1"/>
      <c r="T280" s="1"/>
      <c r="U280" s="1"/>
      <c r="V280" s="1"/>
      <c r="W280" s="1"/>
      <c r="X280" s="1"/>
      <c r="Y280" s="1"/>
      <c r="Z280" s="1"/>
      <c r="AA280" s="1"/>
      <c r="AB280" s="1"/>
      <c r="AC280" s="1"/>
    </row>
    <row r="281">
      <c r="A281" s="1"/>
      <c r="B281" s="1"/>
      <c r="C281" s="1"/>
      <c r="D281" s="1"/>
      <c r="E281" s="1"/>
      <c r="F281" s="2"/>
      <c r="G281" s="2"/>
      <c r="H281" s="1"/>
      <c r="I281" s="1"/>
      <c r="J281" s="1"/>
      <c r="K281" s="3"/>
      <c r="L281" s="1"/>
      <c r="M281" s="1"/>
      <c r="N281" s="1"/>
      <c r="O281" s="1"/>
      <c r="P281" s="1"/>
      <c r="Q281" s="1"/>
      <c r="R281" s="1"/>
      <c r="S281" s="1"/>
      <c r="T281" s="1"/>
      <c r="U281" s="1"/>
      <c r="V281" s="1"/>
      <c r="W281" s="1"/>
      <c r="X281" s="1"/>
      <c r="Y281" s="1"/>
      <c r="Z281" s="1"/>
      <c r="AA281" s="1"/>
      <c r="AB281" s="1"/>
      <c r="AC281" s="1"/>
    </row>
    <row r="282">
      <c r="A282" s="1"/>
      <c r="B282" s="1"/>
      <c r="C282" s="1"/>
      <c r="D282" s="1"/>
      <c r="E282" s="1"/>
      <c r="F282" s="2"/>
      <c r="G282" s="2"/>
      <c r="H282" s="1"/>
      <c r="I282" s="1"/>
      <c r="J282" s="1"/>
      <c r="K282" s="3"/>
      <c r="L282" s="1"/>
      <c r="M282" s="1"/>
      <c r="N282" s="1"/>
      <c r="O282" s="1"/>
      <c r="P282" s="1"/>
      <c r="Q282" s="1"/>
      <c r="R282" s="1"/>
      <c r="S282" s="1"/>
      <c r="T282" s="1"/>
      <c r="U282" s="1"/>
      <c r="V282" s="1"/>
      <c r="W282" s="1"/>
      <c r="X282" s="1"/>
      <c r="Y282" s="1"/>
      <c r="Z282" s="1"/>
      <c r="AA282" s="1"/>
      <c r="AB282" s="1"/>
      <c r="AC282" s="1"/>
    </row>
    <row r="283">
      <c r="A283" s="1"/>
      <c r="B283" s="1"/>
      <c r="C283" s="1"/>
      <c r="D283" s="1"/>
      <c r="E283" s="1"/>
      <c r="F283" s="2"/>
      <c r="G283" s="2"/>
      <c r="H283" s="1"/>
      <c r="I283" s="1"/>
      <c r="J283" s="1"/>
      <c r="K283" s="3"/>
      <c r="L283" s="1"/>
      <c r="M283" s="1"/>
      <c r="N283" s="1"/>
      <c r="O283" s="1"/>
      <c r="P283" s="1"/>
      <c r="Q283" s="1"/>
      <c r="R283" s="1"/>
      <c r="S283" s="1"/>
      <c r="T283" s="1"/>
      <c r="U283" s="1"/>
      <c r="V283" s="1"/>
      <c r="W283" s="1"/>
      <c r="X283" s="1"/>
      <c r="Y283" s="1"/>
      <c r="Z283" s="1"/>
      <c r="AA283" s="1"/>
      <c r="AB283" s="1"/>
      <c r="AC283" s="1"/>
    </row>
    <row r="284">
      <c r="A284" s="1"/>
      <c r="B284" s="1"/>
      <c r="C284" s="1"/>
      <c r="D284" s="1"/>
      <c r="E284" s="1"/>
      <c r="F284" s="2"/>
      <c r="G284" s="2"/>
      <c r="H284" s="1"/>
      <c r="I284" s="1"/>
      <c r="J284" s="1"/>
      <c r="K284" s="3"/>
      <c r="L284" s="1"/>
      <c r="M284" s="1"/>
      <c r="N284" s="1"/>
      <c r="O284" s="1"/>
      <c r="P284" s="1"/>
      <c r="Q284" s="1"/>
      <c r="R284" s="1"/>
      <c r="S284" s="1"/>
      <c r="T284" s="1"/>
      <c r="U284" s="1"/>
      <c r="V284" s="1"/>
      <c r="W284" s="1"/>
      <c r="X284" s="1"/>
      <c r="Y284" s="1"/>
      <c r="Z284" s="1"/>
      <c r="AA284" s="1"/>
      <c r="AB284" s="1"/>
      <c r="AC284" s="1"/>
    </row>
    <row r="285">
      <c r="A285" s="1"/>
      <c r="B285" s="1"/>
      <c r="C285" s="1"/>
      <c r="D285" s="1"/>
      <c r="E285" s="1"/>
      <c r="F285" s="2"/>
      <c r="G285" s="2"/>
      <c r="H285" s="1"/>
      <c r="I285" s="1"/>
      <c r="J285" s="1"/>
      <c r="K285" s="3"/>
      <c r="L285" s="1"/>
      <c r="M285" s="1"/>
      <c r="N285" s="1"/>
      <c r="O285" s="1"/>
      <c r="P285" s="1"/>
      <c r="Q285" s="1"/>
      <c r="R285" s="1"/>
      <c r="S285" s="1"/>
      <c r="T285" s="1"/>
      <c r="U285" s="1"/>
      <c r="V285" s="1"/>
      <c r="W285" s="1"/>
      <c r="X285" s="1"/>
      <c r="Y285" s="1"/>
      <c r="Z285" s="1"/>
      <c r="AA285" s="1"/>
      <c r="AB285" s="1"/>
      <c r="AC285" s="1"/>
    </row>
    <row r="286">
      <c r="A286" s="1"/>
      <c r="B286" s="1"/>
      <c r="C286" s="1"/>
      <c r="D286" s="1"/>
      <c r="E286" s="1"/>
      <c r="F286" s="2"/>
      <c r="G286" s="2"/>
      <c r="H286" s="1"/>
      <c r="I286" s="1"/>
      <c r="J286" s="1"/>
      <c r="K286" s="3"/>
      <c r="L286" s="1"/>
      <c r="M286" s="1"/>
      <c r="N286" s="1"/>
      <c r="O286" s="1"/>
      <c r="P286" s="1"/>
      <c r="Q286" s="1"/>
      <c r="R286" s="1"/>
      <c r="S286" s="1"/>
      <c r="T286" s="1"/>
      <c r="U286" s="1"/>
      <c r="V286" s="1"/>
      <c r="W286" s="1"/>
      <c r="X286" s="1"/>
      <c r="Y286" s="1"/>
      <c r="Z286" s="1"/>
      <c r="AA286" s="1"/>
      <c r="AB286" s="1"/>
      <c r="AC286" s="1"/>
    </row>
    <row r="287">
      <c r="A287" s="1"/>
      <c r="B287" s="1"/>
      <c r="C287" s="1"/>
      <c r="D287" s="1"/>
      <c r="E287" s="1"/>
      <c r="F287" s="2"/>
      <c r="G287" s="2"/>
      <c r="H287" s="1"/>
      <c r="I287" s="1"/>
      <c r="J287" s="1"/>
      <c r="K287" s="3"/>
      <c r="L287" s="1"/>
      <c r="M287" s="1"/>
      <c r="N287" s="1"/>
      <c r="O287" s="1"/>
      <c r="P287" s="1"/>
      <c r="Q287" s="1"/>
      <c r="R287" s="1"/>
      <c r="S287" s="1"/>
      <c r="T287" s="1"/>
      <c r="U287" s="1"/>
      <c r="V287" s="1"/>
      <c r="W287" s="1"/>
      <c r="X287" s="1"/>
      <c r="Y287" s="1"/>
      <c r="Z287" s="1"/>
      <c r="AA287" s="1"/>
      <c r="AB287" s="1"/>
      <c r="AC287" s="1"/>
    </row>
    <row r="288">
      <c r="A288" s="1"/>
      <c r="B288" s="1"/>
      <c r="C288" s="1"/>
      <c r="D288" s="1"/>
      <c r="E288" s="1"/>
      <c r="F288" s="2"/>
      <c r="G288" s="2"/>
      <c r="H288" s="1"/>
      <c r="I288" s="1"/>
      <c r="J288" s="1"/>
      <c r="K288" s="3"/>
      <c r="L288" s="1"/>
      <c r="M288" s="1"/>
      <c r="N288" s="1"/>
      <c r="O288" s="1"/>
      <c r="P288" s="1"/>
      <c r="Q288" s="1"/>
      <c r="R288" s="1"/>
      <c r="S288" s="1"/>
      <c r="T288" s="1"/>
      <c r="U288" s="1"/>
      <c r="V288" s="1"/>
      <c r="W288" s="1"/>
      <c r="X288" s="1"/>
      <c r="Y288" s="1"/>
      <c r="Z288" s="1"/>
      <c r="AA288" s="1"/>
      <c r="AB288" s="1"/>
      <c r="AC288" s="1"/>
    </row>
    <row r="289">
      <c r="A289" s="1"/>
      <c r="B289" s="1"/>
      <c r="C289" s="1"/>
      <c r="D289" s="1"/>
      <c r="E289" s="1"/>
      <c r="F289" s="2"/>
      <c r="G289" s="2"/>
      <c r="H289" s="1"/>
      <c r="I289" s="1"/>
      <c r="J289" s="1"/>
      <c r="K289" s="3"/>
      <c r="L289" s="1"/>
      <c r="M289" s="1"/>
      <c r="N289" s="1"/>
      <c r="O289" s="1"/>
      <c r="P289" s="1"/>
      <c r="Q289" s="1"/>
      <c r="R289" s="1"/>
      <c r="S289" s="1"/>
      <c r="T289" s="1"/>
      <c r="U289" s="1"/>
      <c r="V289" s="1"/>
      <c r="W289" s="1"/>
      <c r="X289" s="1"/>
      <c r="Y289" s="1"/>
      <c r="Z289" s="1"/>
      <c r="AA289" s="1"/>
      <c r="AB289" s="1"/>
      <c r="AC289" s="1"/>
    </row>
    <row r="290">
      <c r="A290" s="1"/>
      <c r="B290" s="1"/>
      <c r="C290" s="1"/>
      <c r="D290" s="1"/>
      <c r="E290" s="1"/>
      <c r="F290" s="2"/>
      <c r="G290" s="2"/>
      <c r="H290" s="1"/>
      <c r="I290" s="1"/>
      <c r="J290" s="1"/>
      <c r="K290" s="3"/>
      <c r="L290" s="1"/>
      <c r="M290" s="1"/>
      <c r="N290" s="1"/>
      <c r="O290" s="1"/>
      <c r="P290" s="1"/>
      <c r="Q290" s="1"/>
      <c r="R290" s="1"/>
      <c r="S290" s="1"/>
      <c r="T290" s="1"/>
      <c r="U290" s="1"/>
      <c r="V290" s="1"/>
      <c r="W290" s="1"/>
      <c r="X290" s="1"/>
      <c r="Y290" s="1"/>
      <c r="Z290" s="1"/>
      <c r="AA290" s="1"/>
      <c r="AB290" s="1"/>
      <c r="AC290" s="1"/>
    </row>
    <row r="291">
      <c r="A291" s="1"/>
      <c r="B291" s="1"/>
      <c r="C291" s="1"/>
      <c r="D291" s="1"/>
      <c r="E291" s="1"/>
      <c r="F291" s="2"/>
      <c r="G291" s="2"/>
      <c r="H291" s="1"/>
      <c r="I291" s="1"/>
      <c r="J291" s="1"/>
      <c r="K291" s="3"/>
      <c r="L291" s="1"/>
      <c r="M291" s="1"/>
      <c r="N291" s="1"/>
      <c r="O291" s="1"/>
      <c r="P291" s="1"/>
      <c r="Q291" s="1"/>
      <c r="R291" s="1"/>
      <c r="S291" s="1"/>
      <c r="T291" s="1"/>
      <c r="U291" s="1"/>
      <c r="V291" s="1"/>
      <c r="W291" s="1"/>
      <c r="X291" s="1"/>
      <c r="Y291" s="1"/>
      <c r="Z291" s="1"/>
      <c r="AA291" s="1"/>
      <c r="AB291" s="1"/>
      <c r="AC291" s="1"/>
    </row>
    <row r="292">
      <c r="A292" s="1"/>
      <c r="B292" s="1"/>
      <c r="C292" s="1"/>
      <c r="D292" s="1"/>
      <c r="E292" s="1"/>
      <c r="F292" s="2"/>
      <c r="G292" s="2"/>
      <c r="H292" s="1"/>
      <c r="I292" s="1"/>
      <c r="J292" s="1"/>
      <c r="K292" s="3"/>
      <c r="L292" s="1"/>
      <c r="M292" s="1"/>
      <c r="N292" s="1"/>
      <c r="O292" s="1"/>
      <c r="P292" s="1"/>
      <c r="Q292" s="1"/>
      <c r="R292" s="1"/>
      <c r="S292" s="1"/>
      <c r="T292" s="1"/>
      <c r="U292" s="1"/>
      <c r="V292" s="1"/>
      <c r="W292" s="1"/>
      <c r="X292" s="1"/>
      <c r="Y292" s="1"/>
      <c r="Z292" s="1"/>
      <c r="AA292" s="1"/>
      <c r="AB292" s="1"/>
      <c r="AC292" s="1"/>
    </row>
    <row r="293">
      <c r="A293" s="1"/>
      <c r="B293" s="1"/>
      <c r="C293" s="1"/>
      <c r="D293" s="1"/>
      <c r="E293" s="1"/>
      <c r="F293" s="2"/>
      <c r="G293" s="2"/>
      <c r="H293" s="1"/>
      <c r="I293" s="1"/>
      <c r="J293" s="1"/>
      <c r="K293" s="3"/>
      <c r="L293" s="1"/>
      <c r="M293" s="1"/>
      <c r="N293" s="1"/>
      <c r="O293" s="1"/>
      <c r="P293" s="1"/>
      <c r="Q293" s="1"/>
      <c r="R293" s="1"/>
      <c r="S293" s="1"/>
      <c r="T293" s="1"/>
      <c r="U293" s="1"/>
      <c r="V293" s="1"/>
      <c r="W293" s="1"/>
      <c r="X293" s="1"/>
      <c r="Y293" s="1"/>
      <c r="Z293" s="1"/>
      <c r="AA293" s="1"/>
      <c r="AB293" s="1"/>
      <c r="AC293" s="1"/>
    </row>
    <row r="294">
      <c r="A294" s="1"/>
      <c r="B294" s="1"/>
      <c r="C294" s="1"/>
      <c r="D294" s="1"/>
      <c r="E294" s="1"/>
      <c r="F294" s="2"/>
      <c r="G294" s="2"/>
      <c r="H294" s="1"/>
      <c r="I294" s="1"/>
      <c r="J294" s="1"/>
      <c r="K294" s="3"/>
      <c r="L294" s="1"/>
      <c r="M294" s="1"/>
      <c r="N294" s="1"/>
      <c r="O294" s="1"/>
      <c r="P294" s="1"/>
      <c r="Q294" s="1"/>
      <c r="R294" s="1"/>
      <c r="S294" s="1"/>
      <c r="T294" s="1"/>
      <c r="U294" s="1"/>
      <c r="V294" s="1"/>
      <c r="W294" s="1"/>
      <c r="X294" s="1"/>
      <c r="Y294" s="1"/>
      <c r="Z294" s="1"/>
      <c r="AA294" s="1"/>
      <c r="AB294" s="1"/>
      <c r="AC294" s="1"/>
    </row>
    <row r="295">
      <c r="A295" s="1"/>
      <c r="B295" s="1"/>
      <c r="C295" s="1"/>
      <c r="D295" s="1"/>
      <c r="E295" s="1"/>
      <c r="F295" s="2"/>
      <c r="G295" s="2"/>
      <c r="H295" s="1"/>
      <c r="I295" s="1"/>
      <c r="J295" s="1"/>
      <c r="K295" s="3"/>
      <c r="L295" s="1"/>
      <c r="M295" s="1"/>
      <c r="N295" s="1"/>
      <c r="O295" s="1"/>
      <c r="P295" s="1"/>
      <c r="Q295" s="1"/>
      <c r="R295" s="1"/>
      <c r="S295" s="1"/>
      <c r="T295" s="1"/>
      <c r="U295" s="1"/>
      <c r="V295" s="1"/>
      <c r="W295" s="1"/>
      <c r="X295" s="1"/>
      <c r="Y295" s="1"/>
      <c r="Z295" s="1"/>
      <c r="AA295" s="1"/>
      <c r="AB295" s="1"/>
      <c r="AC295" s="1"/>
    </row>
    <row r="296">
      <c r="A296" s="1"/>
      <c r="B296" s="1"/>
      <c r="C296" s="1"/>
      <c r="D296" s="1"/>
      <c r="E296" s="1"/>
      <c r="F296" s="2"/>
      <c r="G296" s="2"/>
      <c r="H296" s="1"/>
      <c r="I296" s="1"/>
      <c r="J296" s="1"/>
      <c r="K296" s="3"/>
      <c r="L296" s="1"/>
      <c r="M296" s="1"/>
      <c r="N296" s="1"/>
      <c r="O296" s="1"/>
      <c r="P296" s="1"/>
      <c r="Q296" s="1"/>
      <c r="R296" s="1"/>
      <c r="S296" s="1"/>
      <c r="T296" s="1"/>
      <c r="U296" s="1"/>
      <c r="V296" s="1"/>
      <c r="W296" s="1"/>
      <c r="X296" s="1"/>
      <c r="Y296" s="1"/>
      <c r="Z296" s="1"/>
      <c r="AA296" s="1"/>
      <c r="AB296" s="1"/>
      <c r="AC296" s="1"/>
    </row>
    <row r="297">
      <c r="A297" s="1"/>
      <c r="B297" s="1"/>
      <c r="C297" s="1"/>
      <c r="D297" s="1"/>
      <c r="E297" s="1"/>
      <c r="F297" s="2"/>
      <c r="G297" s="2"/>
      <c r="H297" s="1"/>
      <c r="I297" s="1"/>
      <c r="J297" s="1"/>
      <c r="K297" s="3"/>
      <c r="L297" s="1"/>
      <c r="M297" s="1"/>
      <c r="N297" s="1"/>
      <c r="O297" s="1"/>
      <c r="P297" s="1"/>
      <c r="Q297" s="1"/>
      <c r="R297" s="1"/>
      <c r="S297" s="1"/>
      <c r="T297" s="1"/>
      <c r="U297" s="1"/>
      <c r="V297" s="1"/>
      <c r="W297" s="1"/>
      <c r="X297" s="1"/>
      <c r="Y297" s="1"/>
      <c r="Z297" s="1"/>
      <c r="AA297" s="1"/>
      <c r="AB297" s="1"/>
      <c r="AC297" s="1"/>
    </row>
    <row r="298">
      <c r="A298" s="1"/>
      <c r="B298" s="1"/>
      <c r="C298" s="1"/>
      <c r="D298" s="1"/>
      <c r="E298" s="1"/>
      <c r="F298" s="2"/>
      <c r="G298" s="2"/>
      <c r="H298" s="1"/>
      <c r="I298" s="1"/>
      <c r="J298" s="1"/>
      <c r="K298" s="3"/>
      <c r="L298" s="1"/>
      <c r="M298" s="1"/>
      <c r="N298" s="1"/>
      <c r="O298" s="1"/>
      <c r="P298" s="1"/>
      <c r="Q298" s="1"/>
      <c r="R298" s="1"/>
      <c r="S298" s="1"/>
      <c r="T298" s="1"/>
      <c r="U298" s="1"/>
      <c r="V298" s="1"/>
      <c r="W298" s="1"/>
      <c r="X298" s="1"/>
      <c r="Y298" s="1"/>
      <c r="Z298" s="1"/>
      <c r="AA298" s="1"/>
      <c r="AB298" s="1"/>
      <c r="AC298" s="1"/>
    </row>
    <row r="299">
      <c r="A299" s="1"/>
      <c r="B299" s="1"/>
      <c r="C299" s="1"/>
      <c r="D299" s="1"/>
      <c r="E299" s="1"/>
      <c r="F299" s="2"/>
      <c r="G299" s="2"/>
      <c r="H299" s="1"/>
      <c r="I299" s="1"/>
      <c r="J299" s="1"/>
      <c r="K299" s="3"/>
      <c r="L299" s="1"/>
      <c r="M299" s="1"/>
      <c r="N299" s="1"/>
      <c r="O299" s="1"/>
      <c r="P299" s="1"/>
      <c r="Q299" s="1"/>
      <c r="R299" s="1"/>
      <c r="S299" s="1"/>
      <c r="T299" s="1"/>
      <c r="U299" s="1"/>
      <c r="V299" s="1"/>
      <c r="W299" s="1"/>
      <c r="X299" s="1"/>
      <c r="Y299" s="1"/>
      <c r="Z299" s="1"/>
      <c r="AA299" s="1"/>
      <c r="AB299" s="1"/>
      <c r="AC299" s="1"/>
    </row>
    <row r="300">
      <c r="A300" s="1"/>
      <c r="B300" s="1"/>
      <c r="C300" s="1"/>
      <c r="D300" s="1"/>
      <c r="E300" s="1"/>
      <c r="F300" s="2"/>
      <c r="G300" s="2"/>
      <c r="H300" s="1"/>
      <c r="I300" s="1"/>
      <c r="J300" s="1"/>
      <c r="K300" s="3"/>
      <c r="L300" s="1"/>
      <c r="M300" s="1"/>
      <c r="N300" s="1"/>
      <c r="O300" s="1"/>
      <c r="P300" s="1"/>
      <c r="Q300" s="1"/>
      <c r="R300" s="1"/>
      <c r="S300" s="1"/>
      <c r="T300" s="1"/>
      <c r="U300" s="1"/>
      <c r="V300" s="1"/>
      <c r="W300" s="1"/>
      <c r="X300" s="1"/>
      <c r="Y300" s="1"/>
      <c r="Z300" s="1"/>
      <c r="AA300" s="1"/>
      <c r="AB300" s="1"/>
      <c r="AC300" s="1"/>
    </row>
    <row r="301">
      <c r="A301" s="1"/>
      <c r="B301" s="1"/>
      <c r="C301" s="1"/>
      <c r="D301" s="1"/>
      <c r="E301" s="1"/>
      <c r="F301" s="2"/>
      <c r="G301" s="2"/>
      <c r="H301" s="1"/>
      <c r="I301" s="1"/>
      <c r="J301" s="1"/>
      <c r="K301" s="3"/>
      <c r="L301" s="1"/>
      <c r="M301" s="1"/>
      <c r="N301" s="1"/>
      <c r="O301" s="1"/>
      <c r="P301" s="1"/>
      <c r="Q301" s="1"/>
      <c r="R301" s="1"/>
      <c r="S301" s="1"/>
      <c r="T301" s="1"/>
      <c r="U301" s="1"/>
      <c r="V301" s="1"/>
      <c r="W301" s="1"/>
      <c r="X301" s="1"/>
      <c r="Y301" s="1"/>
      <c r="Z301" s="1"/>
      <c r="AA301" s="1"/>
      <c r="AB301" s="1"/>
      <c r="AC301" s="1"/>
    </row>
    <row r="302">
      <c r="A302" s="1"/>
      <c r="B302" s="1"/>
      <c r="C302" s="1"/>
      <c r="D302" s="1"/>
      <c r="E302" s="1"/>
      <c r="F302" s="2"/>
      <c r="G302" s="2"/>
      <c r="H302" s="1"/>
      <c r="I302" s="1"/>
      <c r="J302" s="1"/>
      <c r="K302" s="3"/>
      <c r="L302" s="1"/>
      <c r="M302" s="1"/>
      <c r="N302" s="1"/>
      <c r="O302" s="1"/>
      <c r="P302" s="1"/>
      <c r="Q302" s="1"/>
      <c r="R302" s="1"/>
      <c r="S302" s="1"/>
      <c r="T302" s="1"/>
      <c r="U302" s="1"/>
      <c r="V302" s="1"/>
      <c r="W302" s="1"/>
      <c r="X302" s="1"/>
      <c r="Y302" s="1"/>
      <c r="Z302" s="1"/>
      <c r="AA302" s="1"/>
      <c r="AB302" s="1"/>
      <c r="AC302" s="1"/>
    </row>
    <row r="303">
      <c r="A303" s="1"/>
      <c r="B303" s="1"/>
      <c r="C303" s="1"/>
      <c r="D303" s="1"/>
      <c r="E303" s="1"/>
      <c r="F303" s="2"/>
      <c r="G303" s="2"/>
      <c r="H303" s="1"/>
      <c r="I303" s="1"/>
      <c r="J303" s="1"/>
      <c r="K303" s="3"/>
      <c r="L303" s="1"/>
      <c r="M303" s="1"/>
      <c r="N303" s="1"/>
      <c r="O303" s="1"/>
      <c r="P303" s="1"/>
      <c r="Q303" s="1"/>
      <c r="R303" s="1"/>
      <c r="S303" s="1"/>
      <c r="T303" s="1"/>
      <c r="U303" s="1"/>
      <c r="V303" s="1"/>
      <c r="W303" s="1"/>
      <c r="X303" s="1"/>
      <c r="Y303" s="1"/>
      <c r="Z303" s="1"/>
      <c r="AA303" s="1"/>
      <c r="AB303" s="1"/>
      <c r="AC303" s="1"/>
    </row>
    <row r="304">
      <c r="A304" s="1"/>
      <c r="B304" s="1"/>
      <c r="C304" s="1"/>
      <c r="D304" s="1"/>
      <c r="E304" s="1"/>
      <c r="F304" s="2"/>
      <c r="G304" s="2"/>
      <c r="H304" s="1"/>
      <c r="I304" s="1"/>
      <c r="J304" s="1"/>
      <c r="K304" s="3"/>
      <c r="L304" s="1"/>
      <c r="M304" s="1"/>
      <c r="N304" s="1"/>
      <c r="O304" s="1"/>
      <c r="P304" s="1"/>
      <c r="Q304" s="1"/>
      <c r="R304" s="1"/>
      <c r="S304" s="1"/>
      <c r="T304" s="1"/>
      <c r="U304" s="1"/>
      <c r="V304" s="1"/>
      <c r="W304" s="1"/>
      <c r="X304" s="1"/>
      <c r="Y304" s="1"/>
      <c r="Z304" s="1"/>
      <c r="AA304" s="1"/>
      <c r="AB304" s="1"/>
      <c r="AC304" s="1"/>
    </row>
    <row r="305">
      <c r="A305" s="1"/>
      <c r="B305" s="1"/>
      <c r="C305" s="1"/>
      <c r="D305" s="1"/>
      <c r="E305" s="1"/>
      <c r="F305" s="2"/>
      <c r="G305" s="2"/>
      <c r="H305" s="1"/>
      <c r="I305" s="1"/>
      <c r="J305" s="1"/>
      <c r="K305" s="3"/>
      <c r="L305" s="1"/>
      <c r="M305" s="1"/>
      <c r="N305" s="1"/>
      <c r="O305" s="1"/>
      <c r="P305" s="1"/>
      <c r="Q305" s="1"/>
      <c r="R305" s="1"/>
      <c r="S305" s="1"/>
      <c r="T305" s="1"/>
      <c r="U305" s="1"/>
      <c r="V305" s="1"/>
      <c r="W305" s="1"/>
      <c r="X305" s="1"/>
      <c r="Y305" s="1"/>
      <c r="Z305" s="1"/>
      <c r="AA305" s="1"/>
      <c r="AB305" s="1"/>
      <c r="AC305" s="1"/>
    </row>
    <row r="306">
      <c r="A306" s="1"/>
      <c r="B306" s="1"/>
      <c r="C306" s="1"/>
      <c r="D306" s="1"/>
      <c r="E306" s="1"/>
      <c r="F306" s="2"/>
      <c r="G306" s="2"/>
      <c r="H306" s="1"/>
      <c r="I306" s="1"/>
      <c r="J306" s="1"/>
      <c r="K306" s="3"/>
      <c r="L306" s="1"/>
      <c r="M306" s="1"/>
      <c r="N306" s="1"/>
      <c r="O306" s="1"/>
      <c r="P306" s="1"/>
      <c r="Q306" s="1"/>
      <c r="R306" s="1"/>
      <c r="S306" s="1"/>
      <c r="T306" s="1"/>
      <c r="U306" s="1"/>
      <c r="V306" s="1"/>
      <c r="W306" s="1"/>
      <c r="X306" s="1"/>
      <c r="Y306" s="1"/>
      <c r="Z306" s="1"/>
      <c r="AA306" s="1"/>
      <c r="AB306" s="1"/>
      <c r="AC306" s="1"/>
    </row>
    <row r="307">
      <c r="A307" s="1"/>
      <c r="B307" s="1"/>
      <c r="C307" s="1"/>
      <c r="D307" s="1"/>
      <c r="E307" s="1"/>
      <c r="F307" s="2"/>
      <c r="G307" s="2"/>
      <c r="H307" s="1"/>
      <c r="I307" s="1"/>
      <c r="J307" s="1"/>
      <c r="K307" s="3"/>
      <c r="L307" s="1"/>
      <c r="M307" s="1"/>
      <c r="N307" s="1"/>
      <c r="O307" s="1"/>
      <c r="P307" s="1"/>
      <c r="Q307" s="1"/>
      <c r="R307" s="1"/>
      <c r="S307" s="1"/>
      <c r="T307" s="1"/>
      <c r="U307" s="1"/>
      <c r="V307" s="1"/>
      <c r="W307" s="1"/>
      <c r="X307" s="1"/>
      <c r="Y307" s="1"/>
      <c r="Z307" s="1"/>
      <c r="AA307" s="1"/>
      <c r="AB307" s="1"/>
      <c r="AC307" s="1"/>
    </row>
    <row r="308">
      <c r="A308" s="1"/>
      <c r="B308" s="1"/>
      <c r="C308" s="1"/>
      <c r="D308" s="1"/>
      <c r="E308" s="1"/>
      <c r="F308" s="2"/>
      <c r="G308" s="2"/>
      <c r="H308" s="1"/>
      <c r="I308" s="1"/>
      <c r="J308" s="1"/>
      <c r="K308" s="3"/>
      <c r="L308" s="1"/>
      <c r="M308" s="1"/>
      <c r="N308" s="1"/>
      <c r="O308" s="1"/>
      <c r="P308" s="1"/>
      <c r="Q308" s="1"/>
      <c r="R308" s="1"/>
      <c r="S308" s="1"/>
      <c r="T308" s="1"/>
      <c r="U308" s="1"/>
      <c r="V308" s="1"/>
      <c r="W308" s="1"/>
      <c r="X308" s="1"/>
      <c r="Y308" s="1"/>
      <c r="Z308" s="1"/>
      <c r="AA308" s="1"/>
      <c r="AB308" s="1"/>
      <c r="AC308" s="1"/>
    </row>
    <row r="309">
      <c r="A309" s="1"/>
      <c r="B309" s="1"/>
      <c r="C309" s="1"/>
      <c r="D309" s="1"/>
      <c r="E309" s="1"/>
      <c r="F309" s="2"/>
      <c r="G309" s="2"/>
      <c r="H309" s="1"/>
      <c r="I309" s="1"/>
      <c r="J309" s="1"/>
      <c r="K309" s="3"/>
      <c r="L309" s="1"/>
      <c r="M309" s="1"/>
      <c r="N309" s="1"/>
      <c r="O309" s="1"/>
      <c r="P309" s="1"/>
      <c r="Q309" s="1"/>
      <c r="R309" s="1"/>
      <c r="S309" s="1"/>
      <c r="T309" s="1"/>
      <c r="U309" s="1"/>
      <c r="V309" s="1"/>
      <c r="W309" s="1"/>
      <c r="X309" s="1"/>
      <c r="Y309" s="1"/>
      <c r="Z309" s="1"/>
      <c r="AA309" s="1"/>
      <c r="AB309" s="1"/>
      <c r="AC309" s="1"/>
    </row>
    <row r="310">
      <c r="A310" s="1"/>
      <c r="B310" s="1"/>
      <c r="C310" s="1"/>
      <c r="D310" s="1"/>
      <c r="E310" s="1"/>
      <c r="F310" s="2"/>
      <c r="G310" s="2"/>
      <c r="H310" s="1"/>
      <c r="I310" s="1"/>
      <c r="J310" s="1"/>
      <c r="K310" s="3"/>
      <c r="L310" s="1"/>
      <c r="M310" s="1"/>
      <c r="N310" s="1"/>
      <c r="O310" s="1"/>
      <c r="P310" s="1"/>
      <c r="Q310" s="1"/>
      <c r="R310" s="1"/>
      <c r="S310" s="1"/>
      <c r="T310" s="1"/>
      <c r="U310" s="1"/>
      <c r="V310" s="1"/>
      <c r="W310" s="1"/>
      <c r="X310" s="1"/>
      <c r="Y310" s="1"/>
      <c r="Z310" s="1"/>
      <c r="AA310" s="1"/>
      <c r="AB310" s="1"/>
      <c r="AC310" s="1"/>
    </row>
    <row r="311">
      <c r="A311" s="1"/>
      <c r="B311" s="1"/>
      <c r="C311" s="1"/>
      <c r="D311" s="1"/>
      <c r="E311" s="1"/>
      <c r="F311" s="2"/>
      <c r="G311" s="2"/>
      <c r="H311" s="1"/>
      <c r="I311" s="1"/>
      <c r="J311" s="1"/>
      <c r="K311" s="3"/>
      <c r="L311" s="1"/>
      <c r="M311" s="1"/>
      <c r="N311" s="1"/>
      <c r="O311" s="1"/>
      <c r="P311" s="1"/>
      <c r="Q311" s="1"/>
      <c r="R311" s="1"/>
      <c r="S311" s="1"/>
      <c r="T311" s="1"/>
      <c r="U311" s="1"/>
      <c r="V311" s="1"/>
      <c r="W311" s="1"/>
      <c r="X311" s="1"/>
      <c r="Y311" s="1"/>
      <c r="Z311" s="1"/>
      <c r="AA311" s="1"/>
      <c r="AB311" s="1"/>
      <c r="AC311" s="1"/>
    </row>
    <row r="312">
      <c r="A312" s="1"/>
      <c r="B312" s="1"/>
      <c r="C312" s="1"/>
      <c r="D312" s="1"/>
      <c r="E312" s="1"/>
      <c r="F312" s="2"/>
      <c r="G312" s="2"/>
      <c r="H312" s="1"/>
      <c r="I312" s="1"/>
      <c r="J312" s="1"/>
      <c r="K312" s="3"/>
      <c r="L312" s="1"/>
      <c r="M312" s="1"/>
      <c r="N312" s="1"/>
      <c r="O312" s="1"/>
      <c r="P312" s="1"/>
      <c r="Q312" s="1"/>
      <c r="R312" s="1"/>
      <c r="S312" s="1"/>
      <c r="T312" s="1"/>
      <c r="U312" s="1"/>
      <c r="V312" s="1"/>
      <c r="W312" s="1"/>
      <c r="X312" s="1"/>
      <c r="Y312" s="1"/>
      <c r="Z312" s="1"/>
      <c r="AA312" s="1"/>
      <c r="AB312" s="1"/>
      <c r="AC312" s="1"/>
    </row>
    <row r="313">
      <c r="A313" s="1"/>
      <c r="B313" s="1"/>
      <c r="C313" s="1"/>
      <c r="D313" s="1"/>
      <c r="E313" s="1"/>
      <c r="F313" s="2"/>
      <c r="G313" s="2"/>
      <c r="H313" s="1"/>
      <c r="I313" s="1"/>
      <c r="J313" s="1"/>
      <c r="K313" s="3"/>
      <c r="L313" s="1"/>
      <c r="M313" s="1"/>
      <c r="N313" s="1"/>
      <c r="O313" s="1"/>
      <c r="P313" s="1"/>
      <c r="Q313" s="1"/>
      <c r="R313" s="1"/>
      <c r="S313" s="1"/>
      <c r="T313" s="1"/>
      <c r="U313" s="1"/>
      <c r="V313" s="1"/>
      <c r="W313" s="1"/>
      <c r="X313" s="1"/>
      <c r="Y313" s="1"/>
      <c r="Z313" s="1"/>
      <c r="AA313" s="1"/>
      <c r="AB313" s="1"/>
      <c r="AC313" s="1"/>
    </row>
    <row r="314">
      <c r="A314" s="1"/>
      <c r="B314" s="1"/>
      <c r="C314" s="1"/>
      <c r="D314" s="1"/>
      <c r="E314" s="1"/>
      <c r="F314" s="2"/>
      <c r="G314" s="2"/>
      <c r="H314" s="1"/>
      <c r="I314" s="1"/>
      <c r="J314" s="1"/>
      <c r="K314" s="3"/>
      <c r="L314" s="1"/>
      <c r="M314" s="1"/>
      <c r="N314" s="1"/>
      <c r="O314" s="1"/>
      <c r="P314" s="1"/>
      <c r="Q314" s="1"/>
      <c r="R314" s="1"/>
      <c r="S314" s="1"/>
      <c r="T314" s="1"/>
      <c r="U314" s="1"/>
      <c r="V314" s="1"/>
      <c r="W314" s="1"/>
      <c r="X314" s="1"/>
      <c r="Y314" s="1"/>
      <c r="Z314" s="1"/>
      <c r="AA314" s="1"/>
      <c r="AB314" s="1"/>
      <c r="AC314" s="1"/>
    </row>
    <row r="315">
      <c r="A315" s="1"/>
      <c r="B315" s="1"/>
      <c r="C315" s="1"/>
      <c r="D315" s="1"/>
      <c r="E315" s="1"/>
      <c r="F315" s="2"/>
      <c r="G315" s="2"/>
      <c r="H315" s="1"/>
      <c r="I315" s="1"/>
      <c r="J315" s="1"/>
      <c r="K315" s="3"/>
      <c r="L315" s="1"/>
      <c r="M315" s="1"/>
      <c r="N315" s="1"/>
      <c r="O315" s="1"/>
      <c r="P315" s="1"/>
      <c r="Q315" s="1"/>
      <c r="R315" s="1"/>
      <c r="S315" s="1"/>
      <c r="T315" s="1"/>
      <c r="U315" s="1"/>
      <c r="V315" s="1"/>
      <c r="W315" s="1"/>
      <c r="X315" s="1"/>
      <c r="Y315" s="1"/>
      <c r="Z315" s="1"/>
      <c r="AA315" s="1"/>
      <c r="AB315" s="1"/>
      <c r="AC315" s="1"/>
    </row>
    <row r="316">
      <c r="A316" s="1"/>
      <c r="B316" s="1"/>
      <c r="C316" s="1"/>
      <c r="D316" s="1"/>
      <c r="E316" s="1"/>
      <c r="F316" s="2"/>
      <c r="G316" s="2"/>
      <c r="H316" s="1"/>
      <c r="I316" s="1"/>
      <c r="J316" s="1"/>
      <c r="K316" s="3"/>
      <c r="L316" s="1"/>
      <c r="M316" s="1"/>
      <c r="N316" s="1"/>
      <c r="O316" s="1"/>
      <c r="P316" s="1"/>
      <c r="Q316" s="1"/>
      <c r="R316" s="1"/>
      <c r="S316" s="1"/>
      <c r="T316" s="1"/>
      <c r="U316" s="1"/>
      <c r="V316" s="1"/>
      <c r="W316" s="1"/>
      <c r="X316" s="1"/>
      <c r="Y316" s="1"/>
      <c r="Z316" s="1"/>
      <c r="AA316" s="1"/>
      <c r="AB316" s="1"/>
      <c r="AC316" s="1"/>
    </row>
    <row r="317">
      <c r="A317" s="1"/>
      <c r="B317" s="1"/>
      <c r="C317" s="1"/>
      <c r="D317" s="1"/>
      <c r="E317" s="1"/>
      <c r="F317" s="2"/>
      <c r="G317" s="2"/>
      <c r="H317" s="1"/>
      <c r="I317" s="1"/>
      <c r="J317" s="1"/>
      <c r="K317" s="3"/>
      <c r="L317" s="1"/>
      <c r="M317" s="1"/>
      <c r="N317" s="1"/>
      <c r="O317" s="1"/>
      <c r="P317" s="1"/>
      <c r="Q317" s="1"/>
      <c r="R317" s="1"/>
      <c r="S317" s="1"/>
      <c r="T317" s="1"/>
      <c r="U317" s="1"/>
      <c r="V317" s="1"/>
      <c r="W317" s="1"/>
      <c r="X317" s="1"/>
      <c r="Y317" s="1"/>
      <c r="Z317" s="1"/>
      <c r="AA317" s="1"/>
      <c r="AB317" s="1"/>
      <c r="AC317" s="1"/>
    </row>
    <row r="318">
      <c r="A318" s="1"/>
      <c r="B318" s="1"/>
      <c r="C318" s="1"/>
      <c r="D318" s="1"/>
      <c r="E318" s="1"/>
      <c r="F318" s="2"/>
      <c r="G318" s="2"/>
      <c r="H318" s="1"/>
      <c r="I318" s="1"/>
      <c r="J318" s="1"/>
      <c r="K318" s="3"/>
      <c r="L318" s="1"/>
      <c r="M318" s="1"/>
      <c r="N318" s="1"/>
      <c r="O318" s="1"/>
      <c r="P318" s="1"/>
      <c r="Q318" s="1"/>
      <c r="R318" s="1"/>
      <c r="S318" s="1"/>
      <c r="T318" s="1"/>
      <c r="U318" s="1"/>
      <c r="V318" s="1"/>
      <c r="W318" s="1"/>
      <c r="X318" s="1"/>
      <c r="Y318" s="1"/>
      <c r="Z318" s="1"/>
      <c r="AA318" s="1"/>
      <c r="AB318" s="1"/>
      <c r="AC318" s="1"/>
    </row>
    <row r="319">
      <c r="A319" s="1"/>
      <c r="B319" s="1"/>
      <c r="C319" s="1"/>
      <c r="D319" s="1"/>
      <c r="E319" s="1"/>
      <c r="F319" s="2"/>
      <c r="G319" s="2"/>
      <c r="H319" s="1"/>
      <c r="I319" s="1"/>
      <c r="J319" s="1"/>
      <c r="K319" s="3"/>
      <c r="L319" s="1"/>
      <c r="M319" s="1"/>
      <c r="N319" s="1"/>
      <c r="O319" s="1"/>
      <c r="P319" s="1"/>
      <c r="Q319" s="1"/>
      <c r="R319" s="1"/>
      <c r="S319" s="1"/>
      <c r="T319" s="1"/>
      <c r="U319" s="1"/>
      <c r="V319" s="1"/>
      <c r="W319" s="1"/>
      <c r="X319" s="1"/>
      <c r="Y319" s="1"/>
      <c r="Z319" s="1"/>
      <c r="AA319" s="1"/>
      <c r="AB319" s="1"/>
      <c r="AC319" s="1"/>
    </row>
    <row r="320">
      <c r="A320" s="1"/>
      <c r="B320" s="1"/>
      <c r="C320" s="1"/>
      <c r="D320" s="1"/>
      <c r="E320" s="1"/>
      <c r="F320" s="2"/>
      <c r="G320" s="2"/>
      <c r="H320" s="1"/>
      <c r="I320" s="1"/>
      <c r="J320" s="1"/>
      <c r="K320" s="3"/>
      <c r="L320" s="1"/>
      <c r="M320" s="1"/>
      <c r="N320" s="1"/>
      <c r="O320" s="1"/>
      <c r="P320" s="1"/>
      <c r="Q320" s="1"/>
      <c r="R320" s="1"/>
      <c r="S320" s="1"/>
      <c r="T320" s="1"/>
      <c r="U320" s="1"/>
      <c r="V320" s="1"/>
      <c r="W320" s="1"/>
      <c r="X320" s="1"/>
      <c r="Y320" s="1"/>
      <c r="Z320" s="1"/>
      <c r="AA320" s="1"/>
      <c r="AB320" s="1"/>
      <c r="AC320" s="1"/>
    </row>
    <row r="321">
      <c r="A321" s="1"/>
      <c r="B321" s="1"/>
      <c r="C321" s="1"/>
      <c r="D321" s="1"/>
      <c r="E321" s="1"/>
      <c r="F321" s="2"/>
      <c r="G321" s="2"/>
      <c r="H321" s="1"/>
      <c r="I321" s="1"/>
      <c r="J321" s="1"/>
      <c r="K321" s="3"/>
      <c r="L321" s="1"/>
      <c r="M321" s="1"/>
      <c r="N321" s="1"/>
      <c r="O321" s="1"/>
      <c r="P321" s="1"/>
      <c r="Q321" s="1"/>
      <c r="R321" s="1"/>
      <c r="S321" s="1"/>
      <c r="T321" s="1"/>
      <c r="U321" s="1"/>
      <c r="V321" s="1"/>
      <c r="W321" s="1"/>
      <c r="X321" s="1"/>
      <c r="Y321" s="1"/>
      <c r="Z321" s="1"/>
      <c r="AA321" s="1"/>
      <c r="AB321" s="1"/>
      <c r="AC321" s="1"/>
    </row>
    <row r="322">
      <c r="A322" s="1"/>
      <c r="B322" s="1"/>
      <c r="C322" s="1"/>
      <c r="D322" s="1"/>
      <c r="E322" s="1"/>
      <c r="F322" s="2"/>
      <c r="G322" s="2"/>
      <c r="H322" s="1"/>
      <c r="I322" s="1"/>
      <c r="J322" s="1"/>
      <c r="K322" s="3"/>
      <c r="L322" s="1"/>
      <c r="M322" s="1"/>
      <c r="N322" s="1"/>
      <c r="O322" s="1"/>
      <c r="P322" s="1"/>
      <c r="Q322" s="1"/>
      <c r="R322" s="1"/>
      <c r="S322" s="1"/>
      <c r="T322" s="1"/>
      <c r="U322" s="1"/>
      <c r="V322" s="1"/>
      <c r="W322" s="1"/>
      <c r="X322" s="1"/>
      <c r="Y322" s="1"/>
      <c r="Z322" s="1"/>
      <c r="AA322" s="1"/>
      <c r="AB322" s="1"/>
      <c r="AC322" s="1"/>
    </row>
    <row r="323">
      <c r="A323" s="1"/>
      <c r="B323" s="1"/>
      <c r="C323" s="1"/>
      <c r="D323" s="1"/>
      <c r="E323" s="1"/>
      <c r="F323" s="2"/>
      <c r="G323" s="2"/>
      <c r="H323" s="1"/>
      <c r="I323" s="1"/>
      <c r="J323" s="1"/>
      <c r="K323" s="3"/>
      <c r="L323" s="1"/>
      <c r="M323" s="1"/>
      <c r="N323" s="1"/>
      <c r="O323" s="1"/>
      <c r="P323" s="1"/>
      <c r="Q323" s="1"/>
      <c r="R323" s="1"/>
      <c r="S323" s="1"/>
      <c r="T323" s="1"/>
      <c r="U323" s="1"/>
      <c r="V323" s="1"/>
      <c r="W323" s="1"/>
      <c r="X323" s="1"/>
      <c r="Y323" s="1"/>
      <c r="Z323" s="1"/>
      <c r="AA323" s="1"/>
      <c r="AB323" s="1"/>
      <c r="AC323" s="1"/>
    </row>
    <row r="324">
      <c r="A324" s="1"/>
      <c r="B324" s="1"/>
      <c r="C324" s="1"/>
      <c r="D324" s="1"/>
      <c r="E324" s="1"/>
      <c r="F324" s="2"/>
      <c r="G324" s="2"/>
      <c r="H324" s="1"/>
      <c r="I324" s="1"/>
      <c r="J324" s="1"/>
      <c r="K324" s="3"/>
      <c r="L324" s="1"/>
      <c r="M324" s="1"/>
      <c r="N324" s="1"/>
      <c r="O324" s="1"/>
      <c r="P324" s="1"/>
      <c r="Q324" s="1"/>
      <c r="R324" s="1"/>
      <c r="S324" s="1"/>
      <c r="T324" s="1"/>
      <c r="U324" s="1"/>
      <c r="V324" s="1"/>
      <c r="W324" s="1"/>
      <c r="X324" s="1"/>
      <c r="Y324" s="1"/>
      <c r="Z324" s="1"/>
      <c r="AA324" s="1"/>
      <c r="AB324" s="1"/>
      <c r="AC324" s="1"/>
    </row>
    <row r="325">
      <c r="A325" s="1"/>
      <c r="B325" s="1"/>
      <c r="C325" s="1"/>
      <c r="D325" s="1"/>
      <c r="E325" s="1"/>
      <c r="F325" s="2"/>
      <c r="G325" s="2"/>
      <c r="H325" s="1"/>
      <c r="I325" s="1"/>
      <c r="J325" s="1"/>
      <c r="K325" s="3"/>
      <c r="L325" s="1"/>
      <c r="M325" s="1"/>
      <c r="N325" s="1"/>
      <c r="O325" s="1"/>
      <c r="P325" s="1"/>
      <c r="Q325" s="1"/>
      <c r="R325" s="1"/>
      <c r="S325" s="1"/>
      <c r="T325" s="1"/>
      <c r="U325" s="1"/>
      <c r="V325" s="1"/>
      <c r="W325" s="1"/>
      <c r="X325" s="1"/>
      <c r="Y325" s="1"/>
      <c r="Z325" s="1"/>
      <c r="AA325" s="1"/>
      <c r="AB325" s="1"/>
      <c r="AC325" s="1"/>
    </row>
    <row r="326">
      <c r="A326" s="1"/>
      <c r="B326" s="1"/>
      <c r="C326" s="1"/>
      <c r="D326" s="1"/>
      <c r="E326" s="1"/>
      <c r="F326" s="2"/>
      <c r="G326" s="2"/>
      <c r="H326" s="1"/>
      <c r="I326" s="1"/>
      <c r="J326" s="1"/>
      <c r="K326" s="3"/>
      <c r="L326" s="1"/>
      <c r="M326" s="1"/>
      <c r="N326" s="1"/>
      <c r="O326" s="1"/>
      <c r="P326" s="1"/>
      <c r="Q326" s="1"/>
      <c r="R326" s="1"/>
      <c r="S326" s="1"/>
      <c r="T326" s="1"/>
      <c r="U326" s="1"/>
      <c r="V326" s="1"/>
      <c r="W326" s="1"/>
      <c r="X326" s="1"/>
      <c r="Y326" s="1"/>
      <c r="Z326" s="1"/>
      <c r="AA326" s="1"/>
      <c r="AB326" s="1"/>
      <c r="AC326" s="1"/>
    </row>
    <row r="327">
      <c r="A327" s="1"/>
      <c r="B327" s="1"/>
      <c r="C327" s="1"/>
      <c r="D327" s="1"/>
      <c r="E327" s="1"/>
      <c r="F327" s="2"/>
      <c r="G327" s="2"/>
      <c r="H327" s="1"/>
      <c r="I327" s="1"/>
      <c r="J327" s="1"/>
      <c r="K327" s="3"/>
      <c r="L327" s="1"/>
      <c r="M327" s="1"/>
      <c r="N327" s="1"/>
      <c r="O327" s="1"/>
      <c r="P327" s="1"/>
      <c r="Q327" s="1"/>
      <c r="R327" s="1"/>
      <c r="S327" s="1"/>
      <c r="T327" s="1"/>
      <c r="U327" s="1"/>
      <c r="V327" s="1"/>
      <c r="W327" s="1"/>
      <c r="X327" s="1"/>
      <c r="Y327" s="1"/>
      <c r="Z327" s="1"/>
      <c r="AA327" s="1"/>
      <c r="AB327" s="1"/>
      <c r="AC327" s="1"/>
    </row>
    <row r="328">
      <c r="A328" s="1"/>
      <c r="B328" s="1"/>
      <c r="C328" s="1"/>
      <c r="D328" s="1"/>
      <c r="E328" s="1"/>
      <c r="F328" s="2"/>
      <c r="G328" s="2"/>
      <c r="H328" s="1"/>
      <c r="I328" s="1"/>
      <c r="J328" s="1"/>
      <c r="K328" s="3"/>
      <c r="L328" s="1"/>
      <c r="M328" s="1"/>
      <c r="N328" s="1"/>
      <c r="O328" s="1"/>
      <c r="P328" s="1"/>
      <c r="Q328" s="1"/>
      <c r="R328" s="1"/>
      <c r="S328" s="1"/>
      <c r="T328" s="1"/>
      <c r="U328" s="1"/>
      <c r="V328" s="1"/>
      <c r="W328" s="1"/>
      <c r="X328" s="1"/>
      <c r="Y328" s="1"/>
      <c r="Z328" s="1"/>
      <c r="AA328" s="1"/>
      <c r="AB328" s="1"/>
      <c r="AC328" s="1"/>
    </row>
    <row r="329">
      <c r="A329" s="1"/>
      <c r="B329" s="1"/>
      <c r="C329" s="1"/>
      <c r="D329" s="1"/>
      <c r="E329" s="1"/>
      <c r="F329" s="2"/>
      <c r="G329" s="2"/>
      <c r="H329" s="1"/>
      <c r="I329" s="1"/>
      <c r="J329" s="1"/>
      <c r="K329" s="3"/>
      <c r="L329" s="1"/>
      <c r="M329" s="1"/>
      <c r="N329" s="1"/>
      <c r="O329" s="1"/>
      <c r="P329" s="1"/>
      <c r="Q329" s="1"/>
      <c r="R329" s="1"/>
      <c r="S329" s="1"/>
      <c r="T329" s="1"/>
      <c r="U329" s="1"/>
      <c r="V329" s="1"/>
      <c r="W329" s="1"/>
      <c r="X329" s="1"/>
      <c r="Y329" s="1"/>
      <c r="Z329" s="1"/>
      <c r="AA329" s="1"/>
      <c r="AB329" s="1"/>
      <c r="AC329" s="1"/>
    </row>
    <row r="330">
      <c r="A330" s="1"/>
      <c r="B330" s="1"/>
      <c r="C330" s="1"/>
      <c r="D330" s="1"/>
      <c r="E330" s="1"/>
      <c r="F330" s="2"/>
      <c r="G330" s="2"/>
      <c r="H330" s="1"/>
      <c r="I330" s="1"/>
      <c r="J330" s="1"/>
      <c r="K330" s="3"/>
      <c r="L330" s="1"/>
      <c r="M330" s="1"/>
      <c r="N330" s="1"/>
      <c r="O330" s="1"/>
      <c r="P330" s="1"/>
      <c r="Q330" s="1"/>
      <c r="R330" s="1"/>
      <c r="S330" s="1"/>
      <c r="T330" s="1"/>
      <c r="U330" s="1"/>
      <c r="V330" s="1"/>
      <c r="W330" s="1"/>
      <c r="X330" s="1"/>
      <c r="Y330" s="1"/>
      <c r="Z330" s="1"/>
      <c r="AA330" s="1"/>
      <c r="AB330" s="1"/>
      <c r="AC330" s="1"/>
    </row>
    <row r="331">
      <c r="A331" s="1"/>
      <c r="B331" s="1"/>
      <c r="C331" s="1"/>
      <c r="D331" s="1"/>
      <c r="E331" s="1"/>
      <c r="F331" s="2"/>
      <c r="G331" s="2"/>
      <c r="H331" s="1"/>
      <c r="I331" s="1"/>
      <c r="J331" s="1"/>
      <c r="K331" s="3"/>
      <c r="L331" s="1"/>
      <c r="M331" s="1"/>
      <c r="N331" s="1"/>
      <c r="O331" s="1"/>
      <c r="P331" s="1"/>
      <c r="Q331" s="1"/>
      <c r="R331" s="1"/>
      <c r="S331" s="1"/>
      <c r="T331" s="1"/>
      <c r="U331" s="1"/>
      <c r="V331" s="1"/>
      <c r="W331" s="1"/>
      <c r="X331" s="1"/>
      <c r="Y331" s="1"/>
      <c r="Z331" s="1"/>
      <c r="AA331" s="1"/>
      <c r="AB331" s="1"/>
      <c r="AC331" s="1"/>
    </row>
    <row r="332">
      <c r="A332" s="1"/>
      <c r="B332" s="1"/>
      <c r="C332" s="1"/>
      <c r="D332" s="1"/>
      <c r="E332" s="1"/>
      <c r="F332" s="2"/>
      <c r="G332" s="2"/>
      <c r="H332" s="1"/>
      <c r="I332" s="1"/>
      <c r="J332" s="1"/>
      <c r="K332" s="3"/>
      <c r="L332" s="1"/>
      <c r="M332" s="1"/>
      <c r="N332" s="1"/>
      <c r="O332" s="1"/>
      <c r="P332" s="1"/>
      <c r="Q332" s="1"/>
      <c r="R332" s="1"/>
      <c r="S332" s="1"/>
      <c r="T332" s="1"/>
      <c r="U332" s="1"/>
      <c r="V332" s="1"/>
      <c r="W332" s="1"/>
      <c r="X332" s="1"/>
      <c r="Y332" s="1"/>
      <c r="Z332" s="1"/>
      <c r="AA332" s="1"/>
      <c r="AB332" s="1"/>
      <c r="AC332" s="1"/>
    </row>
    <row r="333">
      <c r="A333" s="1"/>
      <c r="B333" s="1"/>
      <c r="C333" s="1"/>
      <c r="D333" s="1"/>
      <c r="E333" s="1"/>
      <c r="F333" s="2"/>
      <c r="G333" s="2"/>
      <c r="H333" s="1"/>
      <c r="I333" s="1"/>
      <c r="J333" s="1"/>
      <c r="K333" s="3"/>
      <c r="L333" s="1"/>
      <c r="M333" s="1"/>
      <c r="N333" s="1"/>
      <c r="O333" s="1"/>
      <c r="P333" s="1"/>
      <c r="Q333" s="1"/>
      <c r="R333" s="1"/>
      <c r="S333" s="1"/>
      <c r="T333" s="1"/>
      <c r="U333" s="1"/>
      <c r="V333" s="1"/>
      <c r="W333" s="1"/>
      <c r="X333" s="1"/>
      <c r="Y333" s="1"/>
      <c r="Z333" s="1"/>
      <c r="AA333" s="1"/>
      <c r="AB333" s="1"/>
      <c r="AC333" s="1"/>
    </row>
    <row r="334">
      <c r="A334" s="1"/>
      <c r="B334" s="1"/>
      <c r="C334" s="1"/>
      <c r="D334" s="1"/>
      <c r="E334" s="1"/>
      <c r="F334" s="2"/>
      <c r="G334" s="2"/>
      <c r="H334" s="1"/>
      <c r="I334" s="1"/>
      <c r="J334" s="1"/>
      <c r="K334" s="3"/>
      <c r="L334" s="1"/>
      <c r="M334" s="1"/>
      <c r="N334" s="1"/>
      <c r="O334" s="1"/>
      <c r="P334" s="1"/>
      <c r="Q334" s="1"/>
      <c r="R334" s="1"/>
      <c r="S334" s="1"/>
      <c r="T334" s="1"/>
      <c r="U334" s="1"/>
      <c r="V334" s="1"/>
      <c r="W334" s="1"/>
      <c r="X334" s="1"/>
      <c r="Y334" s="1"/>
      <c r="Z334" s="1"/>
      <c r="AA334" s="1"/>
      <c r="AB334" s="1"/>
      <c r="AC334" s="1"/>
    </row>
    <row r="335">
      <c r="A335" s="1"/>
      <c r="B335" s="1"/>
      <c r="C335" s="1"/>
      <c r="D335" s="1"/>
      <c r="E335" s="1"/>
      <c r="F335" s="2"/>
      <c r="G335" s="2"/>
      <c r="H335" s="1"/>
      <c r="I335" s="1"/>
      <c r="J335" s="1"/>
      <c r="K335" s="3"/>
      <c r="L335" s="1"/>
      <c r="M335" s="1"/>
      <c r="N335" s="1"/>
      <c r="O335" s="1"/>
      <c r="P335" s="1"/>
      <c r="Q335" s="1"/>
      <c r="R335" s="1"/>
      <c r="S335" s="1"/>
      <c r="T335" s="1"/>
      <c r="U335" s="1"/>
      <c r="V335" s="1"/>
      <c r="W335" s="1"/>
      <c r="X335" s="1"/>
      <c r="Y335" s="1"/>
      <c r="Z335" s="1"/>
      <c r="AA335" s="1"/>
      <c r="AB335" s="1"/>
      <c r="AC335" s="1"/>
    </row>
    <row r="336">
      <c r="A336" s="1"/>
      <c r="B336" s="1"/>
      <c r="C336" s="1"/>
      <c r="D336" s="1"/>
      <c r="E336" s="1"/>
      <c r="F336" s="2"/>
      <c r="G336" s="2"/>
      <c r="H336" s="1"/>
      <c r="I336" s="1"/>
      <c r="J336" s="1"/>
      <c r="K336" s="3"/>
      <c r="L336" s="1"/>
      <c r="M336" s="1"/>
      <c r="N336" s="1"/>
      <c r="O336" s="1"/>
      <c r="P336" s="1"/>
      <c r="Q336" s="1"/>
      <c r="R336" s="1"/>
      <c r="S336" s="1"/>
      <c r="T336" s="1"/>
      <c r="U336" s="1"/>
      <c r="V336" s="1"/>
      <c r="W336" s="1"/>
      <c r="X336" s="1"/>
      <c r="Y336" s="1"/>
      <c r="Z336" s="1"/>
      <c r="AA336" s="1"/>
      <c r="AB336" s="1"/>
      <c r="AC336" s="1"/>
    </row>
    <row r="337">
      <c r="A337" s="1"/>
      <c r="B337" s="1"/>
      <c r="C337" s="1"/>
      <c r="D337" s="1"/>
      <c r="E337" s="1"/>
      <c r="F337" s="2"/>
      <c r="G337" s="2"/>
      <c r="H337" s="1"/>
      <c r="I337" s="1"/>
      <c r="J337" s="1"/>
      <c r="K337" s="3"/>
      <c r="L337" s="1"/>
      <c r="M337" s="1"/>
      <c r="N337" s="1"/>
      <c r="O337" s="1"/>
      <c r="P337" s="1"/>
      <c r="Q337" s="1"/>
      <c r="R337" s="1"/>
      <c r="S337" s="1"/>
      <c r="T337" s="1"/>
      <c r="U337" s="1"/>
      <c r="V337" s="1"/>
      <c r="W337" s="1"/>
      <c r="X337" s="1"/>
      <c r="Y337" s="1"/>
      <c r="Z337" s="1"/>
      <c r="AA337" s="1"/>
      <c r="AB337" s="1"/>
      <c r="AC337" s="1"/>
    </row>
    <row r="338">
      <c r="A338" s="1"/>
      <c r="B338" s="1"/>
      <c r="C338" s="1"/>
      <c r="D338" s="1"/>
      <c r="E338" s="1"/>
      <c r="F338" s="2"/>
      <c r="G338" s="2"/>
      <c r="H338" s="1"/>
      <c r="I338" s="1"/>
      <c r="J338" s="1"/>
      <c r="K338" s="3"/>
      <c r="L338" s="1"/>
      <c r="M338" s="1"/>
      <c r="N338" s="1"/>
      <c r="O338" s="1"/>
      <c r="P338" s="1"/>
      <c r="Q338" s="1"/>
      <c r="R338" s="1"/>
      <c r="S338" s="1"/>
      <c r="T338" s="1"/>
      <c r="U338" s="1"/>
      <c r="V338" s="1"/>
      <c r="W338" s="1"/>
      <c r="X338" s="1"/>
      <c r="Y338" s="1"/>
      <c r="Z338" s="1"/>
      <c r="AA338" s="1"/>
      <c r="AB338" s="1"/>
      <c r="AC338" s="1"/>
    </row>
    <row r="339">
      <c r="A339" s="1"/>
      <c r="B339" s="1"/>
      <c r="C339" s="1"/>
      <c r="D339" s="1"/>
      <c r="E339" s="1"/>
      <c r="F339" s="2"/>
      <c r="G339" s="2"/>
      <c r="H339" s="1"/>
      <c r="I339" s="1"/>
      <c r="J339" s="1"/>
      <c r="K339" s="3"/>
      <c r="L339" s="1"/>
      <c r="M339" s="1"/>
      <c r="N339" s="1"/>
      <c r="O339" s="1"/>
      <c r="P339" s="1"/>
      <c r="Q339" s="1"/>
      <c r="R339" s="1"/>
      <c r="S339" s="1"/>
      <c r="T339" s="1"/>
      <c r="U339" s="1"/>
      <c r="V339" s="1"/>
      <c r="W339" s="1"/>
      <c r="X339" s="1"/>
      <c r="Y339" s="1"/>
      <c r="Z339" s="1"/>
      <c r="AA339" s="1"/>
      <c r="AB339" s="1"/>
      <c r="AC339" s="1"/>
    </row>
    <row r="340">
      <c r="A340" s="1"/>
      <c r="B340" s="1"/>
      <c r="C340" s="1"/>
      <c r="D340" s="1"/>
      <c r="E340" s="1"/>
      <c r="F340" s="2"/>
      <c r="G340" s="2"/>
      <c r="H340" s="1"/>
      <c r="I340" s="1"/>
      <c r="J340" s="1"/>
      <c r="K340" s="3"/>
      <c r="L340" s="1"/>
      <c r="M340" s="1"/>
      <c r="N340" s="1"/>
      <c r="O340" s="1"/>
      <c r="P340" s="1"/>
      <c r="Q340" s="1"/>
      <c r="R340" s="1"/>
      <c r="S340" s="1"/>
      <c r="T340" s="1"/>
      <c r="U340" s="1"/>
      <c r="V340" s="1"/>
      <c r="W340" s="1"/>
      <c r="X340" s="1"/>
      <c r="Y340" s="1"/>
      <c r="Z340" s="1"/>
      <c r="AA340" s="1"/>
      <c r="AB340" s="1"/>
      <c r="AC340" s="1"/>
    </row>
    <row r="341">
      <c r="A341" s="1"/>
      <c r="B341" s="1"/>
      <c r="C341" s="1"/>
      <c r="D341" s="1"/>
      <c r="E341" s="1"/>
      <c r="F341" s="2"/>
      <c r="G341" s="2"/>
      <c r="H341" s="1"/>
      <c r="I341" s="1"/>
      <c r="J341" s="1"/>
      <c r="K341" s="3"/>
      <c r="L341" s="1"/>
      <c r="M341" s="1"/>
      <c r="N341" s="1"/>
      <c r="O341" s="1"/>
      <c r="P341" s="1"/>
      <c r="Q341" s="1"/>
      <c r="R341" s="1"/>
      <c r="S341" s="1"/>
      <c r="T341" s="1"/>
      <c r="U341" s="1"/>
      <c r="V341" s="1"/>
      <c r="W341" s="1"/>
      <c r="X341" s="1"/>
      <c r="Y341" s="1"/>
      <c r="Z341" s="1"/>
      <c r="AA341" s="1"/>
      <c r="AB341" s="1"/>
      <c r="AC341" s="1"/>
    </row>
    <row r="342">
      <c r="A342" s="1"/>
      <c r="B342" s="1"/>
      <c r="C342" s="1"/>
      <c r="D342" s="1"/>
      <c r="E342" s="1"/>
      <c r="F342" s="2"/>
      <c r="G342" s="2"/>
      <c r="H342" s="1"/>
      <c r="I342" s="1"/>
      <c r="J342" s="1"/>
      <c r="K342" s="3"/>
      <c r="L342" s="1"/>
      <c r="M342" s="1"/>
      <c r="N342" s="1"/>
      <c r="O342" s="1"/>
      <c r="P342" s="1"/>
      <c r="Q342" s="1"/>
      <c r="R342" s="1"/>
      <c r="S342" s="1"/>
      <c r="T342" s="1"/>
      <c r="U342" s="1"/>
      <c r="V342" s="1"/>
      <c r="W342" s="1"/>
      <c r="X342" s="1"/>
      <c r="Y342" s="1"/>
      <c r="Z342" s="1"/>
      <c r="AA342" s="1"/>
      <c r="AB342" s="1"/>
      <c r="AC342" s="1"/>
    </row>
    <row r="343">
      <c r="A343" s="1"/>
      <c r="B343" s="1"/>
      <c r="C343" s="1"/>
      <c r="D343" s="1"/>
      <c r="E343" s="1"/>
      <c r="F343" s="2"/>
      <c r="G343" s="2"/>
      <c r="H343" s="1"/>
      <c r="I343" s="1"/>
      <c r="J343" s="1"/>
      <c r="K343" s="3"/>
      <c r="L343" s="1"/>
      <c r="M343" s="1"/>
      <c r="N343" s="1"/>
      <c r="O343" s="1"/>
      <c r="P343" s="1"/>
      <c r="Q343" s="1"/>
      <c r="R343" s="1"/>
      <c r="S343" s="1"/>
      <c r="T343" s="1"/>
      <c r="U343" s="1"/>
      <c r="V343" s="1"/>
      <c r="W343" s="1"/>
      <c r="X343" s="1"/>
      <c r="Y343" s="1"/>
      <c r="Z343" s="1"/>
      <c r="AA343" s="1"/>
      <c r="AB343" s="1"/>
      <c r="AC343" s="1"/>
    </row>
    <row r="344">
      <c r="A344" s="1"/>
      <c r="B344" s="1"/>
      <c r="C344" s="1"/>
      <c r="D344" s="1"/>
      <c r="E344" s="1"/>
      <c r="F344" s="2"/>
      <c r="G344" s="2"/>
      <c r="H344" s="1"/>
      <c r="I344" s="1"/>
      <c r="J344" s="1"/>
      <c r="K344" s="3"/>
      <c r="L344" s="1"/>
      <c r="M344" s="1"/>
      <c r="N344" s="1"/>
      <c r="O344" s="1"/>
      <c r="P344" s="1"/>
      <c r="Q344" s="1"/>
      <c r="R344" s="1"/>
      <c r="S344" s="1"/>
      <c r="T344" s="1"/>
      <c r="U344" s="1"/>
      <c r="V344" s="1"/>
      <c r="W344" s="1"/>
      <c r="X344" s="1"/>
      <c r="Y344" s="1"/>
      <c r="Z344" s="1"/>
      <c r="AA344" s="1"/>
      <c r="AB344" s="1"/>
      <c r="AC344" s="1"/>
    </row>
    <row r="345">
      <c r="A345" s="1"/>
      <c r="B345" s="1"/>
      <c r="C345" s="1"/>
      <c r="D345" s="1"/>
      <c r="E345" s="1"/>
      <c r="F345" s="2"/>
      <c r="G345" s="2"/>
      <c r="H345" s="1"/>
      <c r="I345" s="1"/>
      <c r="J345" s="1"/>
      <c r="K345" s="3"/>
      <c r="L345" s="1"/>
      <c r="M345" s="1"/>
      <c r="N345" s="1"/>
      <c r="O345" s="1"/>
      <c r="P345" s="1"/>
      <c r="Q345" s="1"/>
      <c r="R345" s="1"/>
      <c r="S345" s="1"/>
      <c r="T345" s="1"/>
      <c r="U345" s="1"/>
      <c r="V345" s="1"/>
      <c r="W345" s="1"/>
      <c r="X345" s="1"/>
      <c r="Y345" s="1"/>
      <c r="Z345" s="1"/>
      <c r="AA345" s="1"/>
      <c r="AB345" s="1"/>
      <c r="AC345" s="1"/>
    </row>
    <row r="346">
      <c r="A346" s="1"/>
      <c r="B346" s="1"/>
      <c r="C346" s="1"/>
      <c r="D346" s="1"/>
      <c r="E346" s="1"/>
      <c r="F346" s="2"/>
      <c r="G346" s="2"/>
      <c r="H346" s="1"/>
      <c r="I346" s="1"/>
      <c r="J346" s="1"/>
      <c r="K346" s="3"/>
      <c r="L346" s="1"/>
      <c r="M346" s="1"/>
      <c r="N346" s="1"/>
      <c r="O346" s="1"/>
      <c r="P346" s="1"/>
      <c r="Q346" s="1"/>
      <c r="R346" s="1"/>
      <c r="S346" s="1"/>
      <c r="T346" s="1"/>
      <c r="U346" s="1"/>
      <c r="V346" s="1"/>
      <c r="W346" s="1"/>
      <c r="X346" s="1"/>
      <c r="Y346" s="1"/>
      <c r="Z346" s="1"/>
      <c r="AA346" s="1"/>
      <c r="AB346" s="1"/>
      <c r="AC346" s="1"/>
    </row>
    <row r="347">
      <c r="A347" s="1"/>
      <c r="B347" s="1"/>
      <c r="C347" s="1"/>
      <c r="D347" s="1"/>
      <c r="E347" s="1"/>
      <c r="F347" s="2"/>
      <c r="G347" s="2"/>
      <c r="H347" s="1"/>
      <c r="I347" s="1"/>
      <c r="J347" s="1"/>
      <c r="K347" s="3"/>
      <c r="L347" s="1"/>
      <c r="M347" s="1"/>
      <c r="N347" s="1"/>
      <c r="O347" s="1"/>
      <c r="P347" s="1"/>
      <c r="Q347" s="1"/>
      <c r="R347" s="1"/>
      <c r="S347" s="1"/>
      <c r="T347" s="1"/>
      <c r="U347" s="1"/>
      <c r="V347" s="1"/>
      <c r="W347" s="1"/>
      <c r="X347" s="1"/>
      <c r="Y347" s="1"/>
      <c r="Z347" s="1"/>
      <c r="AA347" s="1"/>
      <c r="AB347" s="1"/>
      <c r="AC347" s="1"/>
    </row>
    <row r="348">
      <c r="A348" s="1"/>
      <c r="B348" s="1"/>
      <c r="C348" s="1"/>
      <c r="D348" s="1"/>
      <c r="E348" s="1"/>
      <c r="F348" s="2"/>
      <c r="G348" s="2"/>
      <c r="H348" s="1"/>
      <c r="I348" s="1"/>
      <c r="J348" s="1"/>
      <c r="K348" s="3"/>
      <c r="L348" s="1"/>
      <c r="M348" s="1"/>
      <c r="N348" s="1"/>
      <c r="O348" s="1"/>
      <c r="P348" s="1"/>
      <c r="Q348" s="1"/>
      <c r="R348" s="1"/>
      <c r="S348" s="1"/>
      <c r="T348" s="1"/>
      <c r="U348" s="1"/>
      <c r="V348" s="1"/>
      <c r="W348" s="1"/>
      <c r="X348" s="1"/>
      <c r="Y348" s="1"/>
      <c r="Z348" s="1"/>
      <c r="AA348" s="1"/>
      <c r="AB348" s="1"/>
      <c r="AC348" s="1"/>
    </row>
    <row r="349">
      <c r="A349" s="1"/>
      <c r="B349" s="1"/>
      <c r="C349" s="1"/>
      <c r="D349" s="1"/>
      <c r="E349" s="1"/>
      <c r="F349" s="2"/>
      <c r="G349" s="2"/>
      <c r="H349" s="1"/>
      <c r="I349" s="1"/>
      <c r="J349" s="1"/>
      <c r="K349" s="3"/>
      <c r="L349" s="1"/>
      <c r="M349" s="1"/>
      <c r="N349" s="1"/>
      <c r="O349" s="1"/>
      <c r="P349" s="1"/>
      <c r="Q349" s="1"/>
      <c r="R349" s="1"/>
      <c r="S349" s="1"/>
      <c r="T349" s="1"/>
      <c r="U349" s="1"/>
      <c r="V349" s="1"/>
      <c r="W349" s="1"/>
      <c r="X349" s="1"/>
      <c r="Y349" s="1"/>
      <c r="Z349" s="1"/>
      <c r="AA349" s="1"/>
      <c r="AB349" s="1"/>
      <c r="AC349" s="1"/>
    </row>
    <row r="350">
      <c r="A350" s="1"/>
      <c r="B350" s="1"/>
      <c r="C350" s="1"/>
      <c r="D350" s="1"/>
      <c r="E350" s="1"/>
      <c r="F350" s="2"/>
      <c r="G350" s="2"/>
      <c r="H350" s="1"/>
      <c r="I350" s="1"/>
      <c r="J350" s="1"/>
      <c r="K350" s="3"/>
      <c r="L350" s="1"/>
      <c r="M350" s="1"/>
      <c r="N350" s="1"/>
      <c r="O350" s="1"/>
      <c r="P350" s="1"/>
      <c r="Q350" s="1"/>
      <c r="R350" s="1"/>
      <c r="S350" s="1"/>
      <c r="T350" s="1"/>
      <c r="U350" s="1"/>
      <c r="V350" s="1"/>
      <c r="W350" s="1"/>
      <c r="X350" s="1"/>
      <c r="Y350" s="1"/>
      <c r="Z350" s="1"/>
      <c r="AA350" s="1"/>
      <c r="AB350" s="1"/>
      <c r="AC350" s="1"/>
    </row>
    <row r="351">
      <c r="A351" s="1"/>
      <c r="B351" s="1"/>
      <c r="C351" s="1"/>
      <c r="D351" s="1"/>
      <c r="E351" s="1"/>
      <c r="F351" s="2"/>
      <c r="G351" s="2"/>
      <c r="H351" s="1"/>
      <c r="I351" s="1"/>
      <c r="J351" s="1"/>
      <c r="K351" s="3"/>
      <c r="L351" s="1"/>
      <c r="M351" s="1"/>
      <c r="N351" s="1"/>
      <c r="O351" s="1"/>
      <c r="P351" s="1"/>
      <c r="Q351" s="1"/>
      <c r="R351" s="1"/>
      <c r="S351" s="1"/>
      <c r="T351" s="1"/>
      <c r="U351" s="1"/>
      <c r="V351" s="1"/>
      <c r="W351" s="1"/>
      <c r="X351" s="1"/>
      <c r="Y351" s="1"/>
      <c r="Z351" s="1"/>
      <c r="AA351" s="1"/>
      <c r="AB351" s="1"/>
      <c r="AC351" s="1"/>
    </row>
    <row r="352">
      <c r="A352" s="1"/>
      <c r="B352" s="1"/>
      <c r="C352" s="1"/>
      <c r="D352" s="1"/>
      <c r="E352" s="1"/>
      <c r="F352" s="2"/>
      <c r="G352" s="2"/>
      <c r="H352" s="1"/>
      <c r="I352" s="1"/>
      <c r="J352" s="1"/>
      <c r="K352" s="3"/>
      <c r="L352" s="1"/>
      <c r="M352" s="1"/>
      <c r="N352" s="1"/>
      <c r="O352" s="1"/>
      <c r="P352" s="1"/>
      <c r="Q352" s="1"/>
      <c r="R352" s="1"/>
      <c r="S352" s="1"/>
      <c r="T352" s="1"/>
      <c r="U352" s="1"/>
      <c r="V352" s="1"/>
      <c r="W352" s="1"/>
      <c r="X352" s="1"/>
      <c r="Y352" s="1"/>
      <c r="Z352" s="1"/>
      <c r="AA352" s="1"/>
      <c r="AB352" s="1"/>
      <c r="AC352" s="1"/>
    </row>
    <row r="353">
      <c r="A353" s="1"/>
      <c r="B353" s="1"/>
      <c r="C353" s="1"/>
      <c r="D353" s="1"/>
      <c r="E353" s="1"/>
      <c r="F353" s="2"/>
      <c r="G353" s="2"/>
      <c r="H353" s="1"/>
      <c r="I353" s="1"/>
      <c r="J353" s="1"/>
      <c r="K353" s="3"/>
      <c r="L353" s="1"/>
      <c r="M353" s="1"/>
      <c r="N353" s="1"/>
      <c r="O353" s="1"/>
      <c r="P353" s="1"/>
      <c r="Q353" s="1"/>
      <c r="R353" s="1"/>
      <c r="S353" s="1"/>
      <c r="T353" s="1"/>
      <c r="U353" s="1"/>
      <c r="V353" s="1"/>
      <c r="W353" s="1"/>
      <c r="X353" s="1"/>
      <c r="Y353" s="1"/>
      <c r="Z353" s="1"/>
      <c r="AA353" s="1"/>
      <c r="AB353" s="1"/>
      <c r="AC353" s="1"/>
    </row>
    <row r="354">
      <c r="A354" s="1"/>
      <c r="B354" s="1"/>
      <c r="C354" s="1"/>
      <c r="D354" s="1"/>
      <c r="E354" s="1"/>
      <c r="F354" s="2"/>
      <c r="G354" s="2"/>
      <c r="H354" s="1"/>
      <c r="I354" s="1"/>
      <c r="J354" s="1"/>
      <c r="K354" s="3"/>
      <c r="L354" s="1"/>
      <c r="M354" s="1"/>
      <c r="N354" s="1"/>
      <c r="O354" s="1"/>
      <c r="P354" s="1"/>
      <c r="Q354" s="1"/>
      <c r="R354" s="1"/>
      <c r="S354" s="1"/>
      <c r="T354" s="1"/>
      <c r="U354" s="1"/>
      <c r="V354" s="1"/>
      <c r="W354" s="1"/>
      <c r="X354" s="1"/>
      <c r="Y354" s="1"/>
      <c r="Z354" s="1"/>
      <c r="AA354" s="1"/>
      <c r="AB354" s="1"/>
      <c r="AC354" s="1"/>
    </row>
    <row r="355">
      <c r="A355" s="1"/>
      <c r="B355" s="1"/>
      <c r="C355" s="1"/>
      <c r="D355" s="1"/>
      <c r="E355" s="1"/>
      <c r="F355" s="2"/>
      <c r="G355" s="2"/>
      <c r="H355" s="1"/>
      <c r="I355" s="1"/>
      <c r="J355" s="1"/>
      <c r="K355" s="3"/>
      <c r="L355" s="1"/>
      <c r="M355" s="1"/>
      <c r="N355" s="1"/>
      <c r="O355" s="1"/>
      <c r="P355" s="1"/>
      <c r="Q355" s="1"/>
      <c r="R355" s="1"/>
      <c r="S355" s="1"/>
      <c r="T355" s="1"/>
      <c r="U355" s="1"/>
      <c r="V355" s="1"/>
      <c r="W355" s="1"/>
      <c r="X355" s="1"/>
      <c r="Y355" s="1"/>
      <c r="Z355" s="1"/>
      <c r="AA355" s="1"/>
      <c r="AB355" s="1"/>
      <c r="AC355" s="1"/>
    </row>
    <row r="356">
      <c r="A356" s="1"/>
      <c r="B356" s="1"/>
      <c r="C356" s="1"/>
      <c r="D356" s="1"/>
      <c r="E356" s="1"/>
      <c r="F356" s="2"/>
      <c r="G356" s="2"/>
      <c r="H356" s="1"/>
      <c r="I356" s="1"/>
      <c r="J356" s="1"/>
      <c r="K356" s="3"/>
      <c r="L356" s="1"/>
      <c r="M356" s="1"/>
      <c r="N356" s="1"/>
      <c r="O356" s="1"/>
      <c r="P356" s="1"/>
      <c r="Q356" s="1"/>
      <c r="R356" s="1"/>
      <c r="S356" s="1"/>
      <c r="T356" s="1"/>
      <c r="U356" s="1"/>
      <c r="V356" s="1"/>
      <c r="W356" s="1"/>
      <c r="X356" s="1"/>
      <c r="Y356" s="1"/>
      <c r="Z356" s="1"/>
      <c r="AA356" s="1"/>
      <c r="AB356" s="1"/>
      <c r="AC356" s="1"/>
    </row>
    <row r="357">
      <c r="A357" s="1"/>
      <c r="B357" s="1"/>
      <c r="C357" s="1"/>
      <c r="D357" s="1"/>
      <c r="E357" s="1"/>
      <c r="F357" s="2"/>
      <c r="G357" s="2"/>
      <c r="H357" s="1"/>
      <c r="I357" s="1"/>
      <c r="J357" s="1"/>
      <c r="K357" s="3"/>
      <c r="L357" s="1"/>
      <c r="M357" s="1"/>
      <c r="N357" s="1"/>
      <c r="O357" s="1"/>
      <c r="P357" s="1"/>
      <c r="Q357" s="1"/>
      <c r="R357" s="1"/>
      <c r="S357" s="1"/>
      <c r="T357" s="1"/>
      <c r="U357" s="1"/>
      <c r="V357" s="1"/>
      <c r="W357" s="1"/>
      <c r="X357" s="1"/>
      <c r="Y357" s="1"/>
      <c r="Z357" s="1"/>
      <c r="AA357" s="1"/>
      <c r="AB357" s="1"/>
      <c r="AC357" s="1"/>
    </row>
    <row r="358">
      <c r="A358" s="1"/>
      <c r="B358" s="1"/>
      <c r="C358" s="1"/>
      <c r="D358" s="1"/>
      <c r="E358" s="1"/>
      <c r="F358" s="2"/>
      <c r="G358" s="2"/>
      <c r="H358" s="1"/>
      <c r="I358" s="1"/>
      <c r="J358" s="1"/>
      <c r="K358" s="3"/>
      <c r="L358" s="1"/>
      <c r="M358" s="1"/>
      <c r="N358" s="1"/>
      <c r="O358" s="1"/>
      <c r="P358" s="1"/>
      <c r="Q358" s="1"/>
      <c r="R358" s="1"/>
      <c r="S358" s="1"/>
      <c r="T358" s="1"/>
      <c r="U358" s="1"/>
      <c r="V358" s="1"/>
      <c r="W358" s="1"/>
      <c r="X358" s="1"/>
      <c r="Y358" s="1"/>
      <c r="Z358" s="1"/>
      <c r="AA358" s="1"/>
      <c r="AB358" s="1"/>
      <c r="AC358" s="1"/>
    </row>
    <row r="359">
      <c r="A359" s="1"/>
      <c r="B359" s="1"/>
      <c r="C359" s="1"/>
      <c r="D359" s="1"/>
      <c r="E359" s="1"/>
      <c r="F359" s="2"/>
      <c r="G359" s="2"/>
      <c r="H359" s="1"/>
      <c r="I359" s="1"/>
      <c r="J359" s="1"/>
      <c r="K359" s="3"/>
      <c r="L359" s="1"/>
      <c r="M359" s="1"/>
      <c r="N359" s="1"/>
      <c r="O359" s="1"/>
      <c r="P359" s="1"/>
      <c r="Q359" s="1"/>
      <c r="R359" s="1"/>
      <c r="S359" s="1"/>
      <c r="T359" s="1"/>
      <c r="U359" s="1"/>
      <c r="V359" s="1"/>
      <c r="W359" s="1"/>
      <c r="X359" s="1"/>
      <c r="Y359" s="1"/>
      <c r="Z359" s="1"/>
      <c r="AA359" s="1"/>
      <c r="AB359" s="1"/>
      <c r="AC359" s="1"/>
    </row>
    <row r="360">
      <c r="A360" s="1"/>
      <c r="B360" s="1"/>
      <c r="C360" s="1"/>
      <c r="D360" s="1"/>
      <c r="E360" s="1"/>
      <c r="F360" s="2"/>
      <c r="G360" s="2"/>
      <c r="H360" s="1"/>
      <c r="I360" s="1"/>
      <c r="J360" s="1"/>
      <c r="K360" s="3"/>
      <c r="L360" s="1"/>
      <c r="M360" s="1"/>
      <c r="N360" s="1"/>
      <c r="O360" s="1"/>
      <c r="P360" s="1"/>
      <c r="Q360" s="1"/>
      <c r="R360" s="1"/>
      <c r="S360" s="1"/>
      <c r="T360" s="1"/>
      <c r="U360" s="1"/>
      <c r="V360" s="1"/>
      <c r="W360" s="1"/>
      <c r="X360" s="1"/>
      <c r="Y360" s="1"/>
      <c r="Z360" s="1"/>
      <c r="AA360" s="1"/>
      <c r="AB360" s="1"/>
      <c r="AC360" s="1"/>
    </row>
    <row r="361">
      <c r="A361" s="1"/>
      <c r="B361" s="1"/>
      <c r="C361" s="1"/>
      <c r="D361" s="1"/>
      <c r="E361" s="1"/>
      <c r="F361" s="2"/>
      <c r="G361" s="2"/>
      <c r="H361" s="1"/>
      <c r="I361" s="1"/>
      <c r="J361" s="1"/>
      <c r="K361" s="3"/>
      <c r="L361" s="1"/>
      <c r="M361" s="1"/>
      <c r="N361" s="1"/>
      <c r="O361" s="1"/>
      <c r="P361" s="1"/>
      <c r="Q361" s="1"/>
      <c r="R361" s="1"/>
      <c r="S361" s="1"/>
      <c r="T361" s="1"/>
      <c r="U361" s="1"/>
      <c r="V361" s="1"/>
      <c r="W361" s="1"/>
      <c r="X361" s="1"/>
      <c r="Y361" s="1"/>
      <c r="Z361" s="1"/>
      <c r="AA361" s="1"/>
      <c r="AB361" s="1"/>
      <c r="AC361" s="1"/>
    </row>
    <row r="362">
      <c r="A362" s="1"/>
      <c r="B362" s="1"/>
      <c r="C362" s="1"/>
      <c r="D362" s="1"/>
      <c r="E362" s="1"/>
      <c r="F362" s="2"/>
      <c r="G362" s="2"/>
      <c r="H362" s="1"/>
      <c r="I362" s="1"/>
      <c r="J362" s="1"/>
      <c r="K362" s="3"/>
      <c r="L362" s="1"/>
      <c r="M362" s="1"/>
      <c r="N362" s="1"/>
      <c r="O362" s="1"/>
      <c r="P362" s="1"/>
      <c r="Q362" s="1"/>
      <c r="R362" s="1"/>
      <c r="S362" s="1"/>
      <c r="T362" s="1"/>
      <c r="U362" s="1"/>
      <c r="V362" s="1"/>
      <c r="W362" s="1"/>
      <c r="X362" s="1"/>
      <c r="Y362" s="1"/>
      <c r="Z362" s="1"/>
      <c r="AA362" s="1"/>
      <c r="AB362" s="1"/>
      <c r="AC362" s="1"/>
    </row>
    <row r="363">
      <c r="A363" s="1"/>
      <c r="B363" s="1"/>
      <c r="C363" s="1"/>
      <c r="D363" s="1"/>
      <c r="E363" s="1"/>
      <c r="F363" s="2"/>
      <c r="G363" s="2"/>
      <c r="H363" s="1"/>
      <c r="I363" s="1"/>
      <c r="J363" s="1"/>
      <c r="K363" s="3"/>
      <c r="L363" s="1"/>
      <c r="M363" s="1"/>
      <c r="N363" s="1"/>
      <c r="O363" s="1"/>
      <c r="P363" s="1"/>
      <c r="Q363" s="1"/>
      <c r="R363" s="1"/>
      <c r="S363" s="1"/>
      <c r="T363" s="1"/>
      <c r="U363" s="1"/>
      <c r="V363" s="1"/>
      <c r="W363" s="1"/>
      <c r="X363" s="1"/>
      <c r="Y363" s="1"/>
      <c r="Z363" s="1"/>
      <c r="AA363" s="1"/>
      <c r="AB363" s="1"/>
      <c r="AC363" s="1"/>
    </row>
    <row r="364">
      <c r="A364" s="1"/>
      <c r="B364" s="1"/>
      <c r="C364" s="1"/>
      <c r="D364" s="1"/>
      <c r="E364" s="1"/>
      <c r="F364" s="2"/>
      <c r="G364" s="2"/>
      <c r="H364" s="1"/>
      <c r="I364" s="1"/>
      <c r="J364" s="1"/>
      <c r="K364" s="3"/>
      <c r="L364" s="1"/>
      <c r="M364" s="1"/>
      <c r="N364" s="1"/>
      <c r="O364" s="1"/>
      <c r="P364" s="1"/>
      <c r="Q364" s="1"/>
      <c r="R364" s="1"/>
      <c r="S364" s="1"/>
      <c r="T364" s="1"/>
      <c r="U364" s="1"/>
      <c r="V364" s="1"/>
      <c r="W364" s="1"/>
      <c r="X364" s="1"/>
      <c r="Y364" s="1"/>
      <c r="Z364" s="1"/>
      <c r="AA364" s="1"/>
      <c r="AB364" s="1"/>
      <c r="AC364" s="1"/>
    </row>
    <row r="365">
      <c r="A365" s="1"/>
      <c r="B365" s="1"/>
      <c r="C365" s="1"/>
      <c r="D365" s="1"/>
      <c r="E365" s="1"/>
      <c r="F365" s="2"/>
      <c r="G365" s="2"/>
      <c r="H365" s="1"/>
      <c r="I365" s="1"/>
      <c r="J365" s="1"/>
      <c r="K365" s="3"/>
      <c r="L365" s="1"/>
      <c r="M365" s="1"/>
      <c r="N365" s="1"/>
      <c r="O365" s="1"/>
      <c r="P365" s="1"/>
      <c r="Q365" s="1"/>
      <c r="R365" s="1"/>
      <c r="S365" s="1"/>
      <c r="T365" s="1"/>
      <c r="U365" s="1"/>
      <c r="V365" s="1"/>
      <c r="W365" s="1"/>
      <c r="X365" s="1"/>
      <c r="Y365" s="1"/>
      <c r="Z365" s="1"/>
      <c r="AA365" s="1"/>
      <c r="AB365" s="1"/>
      <c r="AC365" s="1"/>
    </row>
    <row r="366">
      <c r="A366" s="1"/>
      <c r="B366" s="1"/>
      <c r="C366" s="1"/>
      <c r="D366" s="1"/>
      <c r="E366" s="1"/>
      <c r="F366" s="2"/>
      <c r="G366" s="2"/>
      <c r="H366" s="1"/>
      <c r="I366" s="1"/>
      <c r="J366" s="1"/>
      <c r="K366" s="3"/>
      <c r="L366" s="1"/>
      <c r="M366" s="1"/>
      <c r="N366" s="1"/>
      <c r="O366" s="1"/>
      <c r="P366" s="1"/>
      <c r="Q366" s="1"/>
      <c r="R366" s="1"/>
      <c r="S366" s="1"/>
      <c r="T366" s="1"/>
      <c r="U366" s="1"/>
      <c r="V366" s="1"/>
      <c r="W366" s="1"/>
      <c r="X366" s="1"/>
      <c r="Y366" s="1"/>
      <c r="Z366" s="1"/>
      <c r="AA366" s="1"/>
      <c r="AB366" s="1"/>
      <c r="AC366" s="1"/>
    </row>
    <row r="367">
      <c r="A367" s="1"/>
      <c r="B367" s="1"/>
      <c r="C367" s="1"/>
      <c r="D367" s="1"/>
      <c r="E367" s="1"/>
      <c r="F367" s="2"/>
      <c r="G367" s="2"/>
      <c r="H367" s="1"/>
      <c r="I367" s="1"/>
      <c r="J367" s="1"/>
      <c r="K367" s="3"/>
      <c r="L367" s="1"/>
      <c r="M367" s="1"/>
      <c r="N367" s="1"/>
      <c r="O367" s="1"/>
      <c r="P367" s="1"/>
      <c r="Q367" s="1"/>
      <c r="R367" s="1"/>
      <c r="S367" s="1"/>
      <c r="T367" s="1"/>
      <c r="U367" s="1"/>
      <c r="V367" s="1"/>
      <c r="W367" s="1"/>
      <c r="X367" s="1"/>
      <c r="Y367" s="1"/>
      <c r="Z367" s="1"/>
      <c r="AA367" s="1"/>
      <c r="AB367" s="1"/>
      <c r="AC367" s="1"/>
    </row>
    <row r="368">
      <c r="A368" s="1"/>
      <c r="B368" s="1"/>
      <c r="C368" s="1"/>
      <c r="D368" s="1"/>
      <c r="E368" s="1"/>
      <c r="F368" s="2"/>
      <c r="G368" s="2"/>
      <c r="H368" s="1"/>
      <c r="I368" s="1"/>
      <c r="J368" s="1"/>
      <c r="K368" s="3"/>
      <c r="L368" s="1"/>
      <c r="M368" s="1"/>
      <c r="N368" s="1"/>
      <c r="O368" s="1"/>
      <c r="P368" s="1"/>
      <c r="Q368" s="1"/>
      <c r="R368" s="1"/>
      <c r="S368" s="1"/>
      <c r="T368" s="1"/>
      <c r="U368" s="1"/>
      <c r="V368" s="1"/>
      <c r="W368" s="1"/>
      <c r="X368" s="1"/>
      <c r="Y368" s="1"/>
      <c r="Z368" s="1"/>
      <c r="AA368" s="1"/>
      <c r="AB368" s="1"/>
      <c r="AC368" s="1"/>
    </row>
    <row r="369">
      <c r="A369" s="1"/>
      <c r="B369" s="1"/>
      <c r="C369" s="1"/>
      <c r="D369" s="1"/>
      <c r="E369" s="1"/>
      <c r="F369" s="2"/>
      <c r="G369" s="2"/>
      <c r="H369" s="1"/>
      <c r="I369" s="1"/>
      <c r="J369" s="1"/>
      <c r="K369" s="3"/>
      <c r="L369" s="1"/>
      <c r="M369" s="1"/>
      <c r="N369" s="1"/>
      <c r="O369" s="1"/>
      <c r="P369" s="1"/>
      <c r="Q369" s="1"/>
      <c r="R369" s="1"/>
      <c r="S369" s="1"/>
      <c r="T369" s="1"/>
      <c r="U369" s="1"/>
      <c r="V369" s="1"/>
      <c r="W369" s="1"/>
      <c r="X369" s="1"/>
      <c r="Y369" s="1"/>
      <c r="Z369" s="1"/>
      <c r="AA369" s="1"/>
      <c r="AB369" s="1"/>
      <c r="AC369" s="1"/>
    </row>
    <row r="370">
      <c r="A370" s="1"/>
      <c r="B370" s="1"/>
      <c r="C370" s="1"/>
      <c r="D370" s="1"/>
      <c r="E370" s="1"/>
      <c r="F370" s="2"/>
      <c r="G370" s="2"/>
      <c r="H370" s="1"/>
      <c r="I370" s="1"/>
      <c r="J370" s="1"/>
      <c r="K370" s="3"/>
      <c r="L370" s="1"/>
      <c r="M370" s="1"/>
      <c r="N370" s="1"/>
      <c r="O370" s="1"/>
      <c r="P370" s="1"/>
      <c r="Q370" s="1"/>
      <c r="R370" s="1"/>
      <c r="S370" s="1"/>
      <c r="T370" s="1"/>
      <c r="U370" s="1"/>
      <c r="V370" s="1"/>
      <c r="W370" s="1"/>
      <c r="X370" s="1"/>
      <c r="Y370" s="1"/>
      <c r="Z370" s="1"/>
      <c r="AA370" s="1"/>
      <c r="AB370" s="1"/>
      <c r="AC370" s="1"/>
    </row>
    <row r="371">
      <c r="A371" s="1"/>
      <c r="B371" s="1"/>
      <c r="C371" s="1"/>
      <c r="D371" s="1"/>
      <c r="E371" s="1"/>
      <c r="F371" s="2"/>
      <c r="G371" s="2"/>
      <c r="H371" s="1"/>
      <c r="I371" s="1"/>
      <c r="J371" s="1"/>
      <c r="K371" s="3"/>
      <c r="L371" s="1"/>
      <c r="M371" s="1"/>
      <c r="N371" s="1"/>
      <c r="O371" s="1"/>
      <c r="P371" s="1"/>
      <c r="Q371" s="1"/>
      <c r="R371" s="1"/>
      <c r="S371" s="1"/>
      <c r="T371" s="1"/>
      <c r="U371" s="1"/>
      <c r="V371" s="1"/>
      <c r="W371" s="1"/>
      <c r="X371" s="1"/>
      <c r="Y371" s="1"/>
      <c r="Z371" s="1"/>
      <c r="AA371" s="1"/>
      <c r="AB371" s="1"/>
      <c r="AC371" s="1"/>
    </row>
    <row r="372">
      <c r="A372" s="1"/>
      <c r="B372" s="1"/>
      <c r="C372" s="1"/>
      <c r="D372" s="1"/>
      <c r="E372" s="1"/>
      <c r="F372" s="2"/>
      <c r="G372" s="2"/>
      <c r="H372" s="1"/>
      <c r="I372" s="1"/>
      <c r="J372" s="1"/>
      <c r="K372" s="3"/>
      <c r="L372" s="1"/>
      <c r="M372" s="1"/>
      <c r="N372" s="1"/>
      <c r="O372" s="1"/>
      <c r="P372" s="1"/>
      <c r="Q372" s="1"/>
      <c r="R372" s="1"/>
      <c r="S372" s="1"/>
      <c r="T372" s="1"/>
      <c r="U372" s="1"/>
      <c r="V372" s="1"/>
      <c r="W372" s="1"/>
      <c r="X372" s="1"/>
      <c r="Y372" s="1"/>
      <c r="Z372" s="1"/>
      <c r="AA372" s="1"/>
      <c r="AB372" s="1"/>
      <c r="AC372" s="1"/>
    </row>
    <row r="373">
      <c r="A373" s="1"/>
      <c r="B373" s="1"/>
      <c r="C373" s="1"/>
      <c r="D373" s="1"/>
      <c r="E373" s="1"/>
      <c r="F373" s="2"/>
      <c r="G373" s="2"/>
      <c r="H373" s="1"/>
      <c r="I373" s="1"/>
      <c r="J373" s="1"/>
      <c r="K373" s="3"/>
      <c r="L373" s="1"/>
      <c r="M373" s="1"/>
      <c r="N373" s="1"/>
      <c r="O373" s="1"/>
      <c r="P373" s="1"/>
      <c r="Q373" s="1"/>
      <c r="R373" s="1"/>
      <c r="S373" s="1"/>
      <c r="T373" s="1"/>
      <c r="U373" s="1"/>
      <c r="V373" s="1"/>
      <c r="W373" s="1"/>
      <c r="X373" s="1"/>
      <c r="Y373" s="1"/>
      <c r="Z373" s="1"/>
      <c r="AA373" s="1"/>
      <c r="AB373" s="1"/>
      <c r="AC373" s="1"/>
    </row>
    <row r="374">
      <c r="A374" s="1"/>
      <c r="B374" s="1"/>
      <c r="C374" s="1"/>
      <c r="D374" s="1"/>
      <c r="E374" s="1"/>
      <c r="F374" s="2"/>
      <c r="G374" s="2"/>
      <c r="H374" s="1"/>
      <c r="I374" s="1"/>
      <c r="J374" s="1"/>
      <c r="K374" s="3"/>
      <c r="L374" s="1"/>
      <c r="M374" s="1"/>
      <c r="N374" s="1"/>
      <c r="O374" s="1"/>
      <c r="P374" s="1"/>
      <c r="Q374" s="1"/>
      <c r="R374" s="1"/>
      <c r="S374" s="1"/>
      <c r="T374" s="1"/>
      <c r="U374" s="1"/>
      <c r="V374" s="1"/>
      <c r="W374" s="1"/>
      <c r="X374" s="1"/>
      <c r="Y374" s="1"/>
      <c r="Z374" s="1"/>
      <c r="AA374" s="1"/>
      <c r="AB374" s="1"/>
      <c r="AC374" s="1"/>
    </row>
    <row r="375">
      <c r="A375" s="1"/>
      <c r="B375" s="1"/>
      <c r="C375" s="1"/>
      <c r="D375" s="1"/>
      <c r="E375" s="1"/>
      <c r="F375" s="2"/>
      <c r="G375" s="2"/>
      <c r="H375" s="1"/>
      <c r="I375" s="1"/>
      <c r="J375" s="1"/>
      <c r="K375" s="3"/>
      <c r="L375" s="1"/>
      <c r="M375" s="1"/>
      <c r="N375" s="1"/>
      <c r="O375" s="1"/>
      <c r="P375" s="1"/>
      <c r="Q375" s="1"/>
      <c r="R375" s="1"/>
      <c r="S375" s="1"/>
      <c r="T375" s="1"/>
      <c r="U375" s="1"/>
      <c r="V375" s="1"/>
      <c r="W375" s="1"/>
      <c r="X375" s="1"/>
      <c r="Y375" s="1"/>
      <c r="Z375" s="1"/>
      <c r="AA375" s="1"/>
      <c r="AB375" s="1"/>
      <c r="AC375" s="1"/>
    </row>
    <row r="376">
      <c r="A376" s="1"/>
      <c r="B376" s="1"/>
      <c r="C376" s="1"/>
      <c r="D376" s="1"/>
      <c r="E376" s="1"/>
      <c r="F376" s="2"/>
      <c r="G376" s="2"/>
      <c r="H376" s="1"/>
      <c r="I376" s="1"/>
      <c r="J376" s="1"/>
      <c r="K376" s="3"/>
      <c r="L376" s="1"/>
      <c r="M376" s="1"/>
      <c r="N376" s="1"/>
      <c r="O376" s="1"/>
      <c r="P376" s="1"/>
      <c r="Q376" s="1"/>
      <c r="R376" s="1"/>
      <c r="S376" s="1"/>
      <c r="T376" s="1"/>
      <c r="U376" s="1"/>
      <c r="V376" s="1"/>
      <c r="W376" s="1"/>
      <c r="X376" s="1"/>
      <c r="Y376" s="1"/>
      <c r="Z376" s="1"/>
      <c r="AA376" s="1"/>
      <c r="AB376" s="1"/>
      <c r="AC376" s="1"/>
    </row>
    <row r="377">
      <c r="A377" s="1"/>
      <c r="B377" s="1"/>
      <c r="C377" s="1"/>
      <c r="D377" s="1"/>
      <c r="E377" s="1"/>
      <c r="F377" s="2"/>
      <c r="G377" s="2"/>
      <c r="H377" s="1"/>
      <c r="I377" s="1"/>
      <c r="J377" s="1"/>
      <c r="K377" s="3"/>
      <c r="L377" s="1"/>
      <c r="M377" s="1"/>
      <c r="N377" s="1"/>
      <c r="O377" s="1"/>
      <c r="P377" s="1"/>
      <c r="Q377" s="1"/>
      <c r="R377" s="1"/>
      <c r="S377" s="1"/>
      <c r="T377" s="1"/>
      <c r="U377" s="1"/>
      <c r="V377" s="1"/>
      <c r="W377" s="1"/>
      <c r="X377" s="1"/>
      <c r="Y377" s="1"/>
      <c r="Z377" s="1"/>
      <c r="AA377" s="1"/>
      <c r="AB377" s="1"/>
      <c r="AC377" s="1"/>
    </row>
    <row r="378">
      <c r="A378" s="1"/>
      <c r="B378" s="1"/>
      <c r="C378" s="1"/>
      <c r="D378" s="1"/>
      <c r="E378" s="1"/>
      <c r="F378" s="2"/>
      <c r="G378" s="2"/>
      <c r="H378" s="1"/>
      <c r="I378" s="1"/>
      <c r="J378" s="1"/>
      <c r="K378" s="3"/>
      <c r="L378" s="1"/>
      <c r="M378" s="1"/>
      <c r="N378" s="1"/>
      <c r="O378" s="1"/>
      <c r="P378" s="1"/>
      <c r="Q378" s="1"/>
      <c r="R378" s="1"/>
      <c r="S378" s="1"/>
      <c r="T378" s="1"/>
      <c r="U378" s="1"/>
      <c r="V378" s="1"/>
      <c r="W378" s="1"/>
      <c r="X378" s="1"/>
      <c r="Y378" s="1"/>
      <c r="Z378" s="1"/>
      <c r="AA378" s="1"/>
      <c r="AB378" s="1"/>
      <c r="AC378" s="1"/>
    </row>
    <row r="379">
      <c r="A379" s="1"/>
      <c r="B379" s="1"/>
      <c r="C379" s="1"/>
      <c r="D379" s="1"/>
      <c r="E379" s="1"/>
      <c r="F379" s="2"/>
      <c r="G379" s="2"/>
      <c r="H379" s="1"/>
      <c r="I379" s="1"/>
      <c r="J379" s="1"/>
      <c r="K379" s="3"/>
      <c r="L379" s="1"/>
      <c r="M379" s="1"/>
      <c r="N379" s="1"/>
      <c r="O379" s="1"/>
      <c r="P379" s="1"/>
      <c r="Q379" s="1"/>
      <c r="R379" s="1"/>
      <c r="S379" s="1"/>
      <c r="T379" s="1"/>
      <c r="U379" s="1"/>
      <c r="V379" s="1"/>
      <c r="W379" s="1"/>
      <c r="X379" s="1"/>
      <c r="Y379" s="1"/>
      <c r="Z379" s="1"/>
      <c r="AA379" s="1"/>
      <c r="AB379" s="1"/>
      <c r="AC379" s="1"/>
    </row>
    <row r="380">
      <c r="A380" s="1"/>
      <c r="B380" s="1"/>
      <c r="C380" s="1"/>
      <c r="D380" s="1"/>
      <c r="E380" s="1"/>
      <c r="F380" s="2"/>
      <c r="G380" s="2"/>
      <c r="H380" s="1"/>
      <c r="I380" s="1"/>
      <c r="J380" s="1"/>
      <c r="K380" s="3"/>
      <c r="L380" s="1"/>
      <c r="M380" s="1"/>
      <c r="N380" s="1"/>
      <c r="O380" s="1"/>
      <c r="P380" s="1"/>
      <c r="Q380" s="1"/>
      <c r="R380" s="1"/>
      <c r="S380" s="1"/>
      <c r="T380" s="1"/>
      <c r="U380" s="1"/>
      <c r="V380" s="1"/>
      <c r="W380" s="1"/>
      <c r="X380" s="1"/>
      <c r="Y380" s="1"/>
      <c r="Z380" s="1"/>
      <c r="AA380" s="1"/>
      <c r="AB380" s="1"/>
      <c r="AC380" s="1"/>
    </row>
    <row r="381">
      <c r="A381" s="1"/>
      <c r="B381" s="1"/>
      <c r="C381" s="1"/>
      <c r="D381" s="1"/>
      <c r="E381" s="1"/>
      <c r="F381" s="2"/>
      <c r="G381" s="2"/>
      <c r="H381" s="1"/>
      <c r="I381" s="1"/>
      <c r="J381" s="1"/>
      <c r="K381" s="3"/>
      <c r="L381" s="1"/>
      <c r="M381" s="1"/>
      <c r="N381" s="1"/>
      <c r="O381" s="1"/>
      <c r="P381" s="1"/>
      <c r="Q381" s="1"/>
      <c r="R381" s="1"/>
      <c r="S381" s="1"/>
      <c r="T381" s="1"/>
      <c r="U381" s="1"/>
      <c r="V381" s="1"/>
      <c r="W381" s="1"/>
      <c r="X381" s="1"/>
      <c r="Y381" s="1"/>
      <c r="Z381" s="1"/>
      <c r="AA381" s="1"/>
      <c r="AB381" s="1"/>
      <c r="AC381" s="1"/>
    </row>
    <row r="382">
      <c r="A382" s="1"/>
      <c r="B382" s="1"/>
      <c r="C382" s="1"/>
      <c r="D382" s="1"/>
      <c r="E382" s="1"/>
      <c r="F382" s="2"/>
      <c r="G382" s="2"/>
      <c r="H382" s="1"/>
      <c r="I382" s="1"/>
      <c r="J382" s="1"/>
      <c r="K382" s="3"/>
      <c r="L382" s="1"/>
      <c r="M382" s="1"/>
      <c r="N382" s="1"/>
      <c r="O382" s="1"/>
      <c r="P382" s="1"/>
      <c r="Q382" s="1"/>
      <c r="R382" s="1"/>
      <c r="S382" s="1"/>
      <c r="T382" s="1"/>
      <c r="U382" s="1"/>
      <c r="V382" s="1"/>
      <c r="W382" s="1"/>
      <c r="X382" s="1"/>
      <c r="Y382" s="1"/>
      <c r="Z382" s="1"/>
      <c r="AA382" s="1"/>
      <c r="AB382" s="1"/>
      <c r="AC382" s="1"/>
    </row>
    <row r="383">
      <c r="A383" s="1"/>
      <c r="B383" s="1"/>
      <c r="C383" s="1"/>
      <c r="D383" s="1"/>
      <c r="E383" s="1"/>
      <c r="F383" s="2"/>
      <c r="G383" s="2"/>
      <c r="H383" s="1"/>
      <c r="I383" s="1"/>
      <c r="J383" s="1"/>
      <c r="K383" s="3"/>
      <c r="L383" s="1"/>
      <c r="M383" s="1"/>
      <c r="N383" s="1"/>
      <c r="O383" s="1"/>
      <c r="P383" s="1"/>
      <c r="Q383" s="1"/>
      <c r="R383" s="1"/>
      <c r="S383" s="1"/>
      <c r="T383" s="1"/>
      <c r="U383" s="1"/>
      <c r="V383" s="1"/>
      <c r="W383" s="1"/>
      <c r="X383" s="1"/>
      <c r="Y383" s="1"/>
      <c r="Z383" s="1"/>
      <c r="AA383" s="1"/>
      <c r="AB383" s="1"/>
      <c r="AC383" s="1"/>
    </row>
    <row r="384">
      <c r="A384" s="1"/>
      <c r="B384" s="1"/>
      <c r="C384" s="1"/>
      <c r="D384" s="1"/>
      <c r="E384" s="1"/>
      <c r="F384" s="2"/>
      <c r="G384" s="2"/>
      <c r="H384" s="1"/>
      <c r="I384" s="1"/>
      <c r="J384" s="1"/>
      <c r="K384" s="3"/>
      <c r="L384" s="1"/>
      <c r="M384" s="1"/>
      <c r="N384" s="1"/>
      <c r="O384" s="1"/>
      <c r="P384" s="1"/>
      <c r="Q384" s="1"/>
      <c r="R384" s="1"/>
      <c r="S384" s="1"/>
      <c r="T384" s="1"/>
      <c r="U384" s="1"/>
      <c r="V384" s="1"/>
      <c r="W384" s="1"/>
      <c r="X384" s="1"/>
      <c r="Y384" s="1"/>
      <c r="Z384" s="1"/>
      <c r="AA384" s="1"/>
      <c r="AB384" s="1"/>
      <c r="AC384" s="1"/>
    </row>
    <row r="385">
      <c r="A385" s="1"/>
      <c r="B385" s="1"/>
      <c r="C385" s="1"/>
      <c r="D385" s="1"/>
      <c r="E385" s="1"/>
      <c r="F385" s="2"/>
      <c r="G385" s="2"/>
      <c r="H385" s="1"/>
      <c r="I385" s="1"/>
      <c r="J385" s="1"/>
      <c r="K385" s="3"/>
      <c r="L385" s="1"/>
      <c r="M385" s="1"/>
      <c r="N385" s="1"/>
      <c r="O385" s="1"/>
      <c r="P385" s="1"/>
      <c r="Q385" s="1"/>
      <c r="R385" s="1"/>
      <c r="S385" s="1"/>
      <c r="T385" s="1"/>
      <c r="U385" s="1"/>
      <c r="V385" s="1"/>
      <c r="W385" s="1"/>
      <c r="X385" s="1"/>
      <c r="Y385" s="1"/>
      <c r="Z385" s="1"/>
      <c r="AA385" s="1"/>
      <c r="AB385" s="1"/>
      <c r="AC385" s="1"/>
    </row>
    <row r="386">
      <c r="A386" s="1"/>
      <c r="B386" s="1"/>
      <c r="C386" s="1"/>
      <c r="D386" s="1"/>
      <c r="E386" s="1"/>
      <c r="F386" s="2"/>
      <c r="G386" s="2"/>
      <c r="H386" s="1"/>
      <c r="I386" s="1"/>
      <c r="J386" s="1"/>
      <c r="K386" s="3"/>
      <c r="L386" s="1"/>
      <c r="M386" s="1"/>
      <c r="N386" s="1"/>
      <c r="O386" s="1"/>
      <c r="P386" s="1"/>
      <c r="Q386" s="1"/>
      <c r="R386" s="1"/>
      <c r="S386" s="1"/>
      <c r="T386" s="1"/>
      <c r="U386" s="1"/>
      <c r="V386" s="1"/>
      <c r="W386" s="1"/>
      <c r="X386" s="1"/>
      <c r="Y386" s="1"/>
      <c r="Z386" s="1"/>
      <c r="AA386" s="1"/>
      <c r="AB386" s="1"/>
      <c r="AC386" s="1"/>
    </row>
    <row r="387">
      <c r="A387" s="1"/>
      <c r="B387" s="1"/>
      <c r="C387" s="1"/>
      <c r="D387" s="1"/>
      <c r="E387" s="1"/>
      <c r="F387" s="2"/>
      <c r="G387" s="2"/>
      <c r="H387" s="1"/>
      <c r="I387" s="1"/>
      <c r="J387" s="1"/>
      <c r="K387" s="3"/>
      <c r="L387" s="1"/>
      <c r="M387" s="1"/>
      <c r="N387" s="1"/>
      <c r="O387" s="1"/>
      <c r="P387" s="1"/>
      <c r="Q387" s="1"/>
      <c r="R387" s="1"/>
      <c r="S387" s="1"/>
      <c r="T387" s="1"/>
      <c r="U387" s="1"/>
      <c r="V387" s="1"/>
      <c r="W387" s="1"/>
      <c r="X387" s="1"/>
      <c r="Y387" s="1"/>
      <c r="Z387" s="1"/>
      <c r="AA387" s="1"/>
      <c r="AB387" s="1"/>
      <c r="AC387" s="1"/>
    </row>
    <row r="388">
      <c r="A388" s="1"/>
      <c r="B388" s="1"/>
      <c r="C388" s="1"/>
      <c r="D388" s="1"/>
      <c r="E388" s="1"/>
      <c r="F388" s="2"/>
      <c r="G388" s="2"/>
      <c r="H388" s="1"/>
      <c r="I388" s="1"/>
      <c r="J388" s="1"/>
      <c r="K388" s="3"/>
      <c r="L388" s="1"/>
      <c r="M388" s="1"/>
      <c r="N388" s="1"/>
      <c r="O388" s="1"/>
      <c r="P388" s="1"/>
      <c r="Q388" s="1"/>
      <c r="R388" s="1"/>
      <c r="S388" s="1"/>
      <c r="T388" s="1"/>
      <c r="U388" s="1"/>
      <c r="V388" s="1"/>
      <c r="W388" s="1"/>
      <c r="X388" s="1"/>
      <c r="Y388" s="1"/>
      <c r="Z388" s="1"/>
      <c r="AA388" s="1"/>
      <c r="AB388" s="1"/>
      <c r="AC388" s="1"/>
    </row>
    <row r="389">
      <c r="A389" s="1"/>
      <c r="B389" s="1"/>
      <c r="C389" s="1"/>
      <c r="D389" s="1"/>
      <c r="E389" s="1"/>
      <c r="F389" s="2"/>
      <c r="G389" s="2"/>
      <c r="H389" s="1"/>
      <c r="I389" s="1"/>
      <c r="J389" s="1"/>
      <c r="K389" s="3"/>
      <c r="L389" s="1"/>
      <c r="M389" s="1"/>
      <c r="N389" s="1"/>
      <c r="O389" s="1"/>
      <c r="P389" s="1"/>
      <c r="Q389" s="1"/>
      <c r="R389" s="1"/>
      <c r="S389" s="1"/>
      <c r="T389" s="1"/>
      <c r="U389" s="1"/>
      <c r="V389" s="1"/>
      <c r="W389" s="1"/>
      <c r="X389" s="1"/>
      <c r="Y389" s="1"/>
      <c r="Z389" s="1"/>
      <c r="AA389" s="1"/>
      <c r="AB389" s="1"/>
      <c r="AC389" s="1"/>
    </row>
    <row r="390">
      <c r="A390" s="1"/>
      <c r="B390" s="1"/>
      <c r="C390" s="1"/>
      <c r="D390" s="1"/>
      <c r="E390" s="1"/>
      <c r="F390" s="2"/>
      <c r="G390" s="2"/>
      <c r="H390" s="1"/>
      <c r="I390" s="1"/>
      <c r="J390" s="1"/>
      <c r="K390" s="3"/>
      <c r="L390" s="1"/>
      <c r="M390" s="1"/>
      <c r="N390" s="1"/>
      <c r="O390" s="1"/>
      <c r="P390" s="1"/>
      <c r="Q390" s="1"/>
      <c r="R390" s="1"/>
      <c r="S390" s="1"/>
      <c r="T390" s="1"/>
      <c r="U390" s="1"/>
      <c r="V390" s="1"/>
      <c r="W390" s="1"/>
      <c r="X390" s="1"/>
      <c r="Y390" s="1"/>
      <c r="Z390" s="1"/>
      <c r="AA390" s="1"/>
      <c r="AB390" s="1"/>
      <c r="AC390" s="1"/>
    </row>
    <row r="391">
      <c r="A391" s="1"/>
      <c r="B391" s="1"/>
      <c r="C391" s="1"/>
      <c r="D391" s="1"/>
      <c r="E391" s="1"/>
      <c r="F391" s="2"/>
      <c r="G391" s="2"/>
      <c r="H391" s="1"/>
      <c r="I391" s="1"/>
      <c r="J391" s="1"/>
      <c r="K391" s="3"/>
      <c r="L391" s="1"/>
      <c r="M391" s="1"/>
      <c r="N391" s="1"/>
      <c r="O391" s="1"/>
      <c r="P391" s="1"/>
      <c r="Q391" s="1"/>
      <c r="R391" s="1"/>
      <c r="S391" s="1"/>
      <c r="T391" s="1"/>
      <c r="U391" s="1"/>
      <c r="V391" s="1"/>
      <c r="W391" s="1"/>
      <c r="X391" s="1"/>
      <c r="Y391" s="1"/>
      <c r="Z391" s="1"/>
      <c r="AA391" s="1"/>
      <c r="AB391" s="1"/>
      <c r="AC391" s="1"/>
    </row>
    <row r="392">
      <c r="A392" s="1"/>
      <c r="B392" s="1"/>
      <c r="C392" s="1"/>
      <c r="D392" s="1"/>
      <c r="E392" s="1"/>
      <c r="F392" s="2"/>
      <c r="G392" s="2"/>
      <c r="H392" s="1"/>
      <c r="I392" s="1"/>
      <c r="J392" s="1"/>
      <c r="K392" s="3"/>
      <c r="L392" s="1"/>
      <c r="M392" s="1"/>
      <c r="N392" s="1"/>
      <c r="O392" s="1"/>
      <c r="P392" s="1"/>
      <c r="Q392" s="1"/>
      <c r="R392" s="1"/>
      <c r="S392" s="1"/>
      <c r="T392" s="1"/>
      <c r="U392" s="1"/>
      <c r="V392" s="1"/>
      <c r="W392" s="1"/>
      <c r="X392" s="1"/>
      <c r="Y392" s="1"/>
      <c r="Z392" s="1"/>
      <c r="AA392" s="1"/>
      <c r="AB392" s="1"/>
      <c r="AC392" s="1"/>
    </row>
    <row r="393">
      <c r="A393" s="1"/>
      <c r="B393" s="1"/>
      <c r="C393" s="1"/>
      <c r="D393" s="1"/>
      <c r="E393" s="1"/>
      <c r="F393" s="2"/>
      <c r="G393" s="2"/>
      <c r="H393" s="1"/>
      <c r="I393" s="1"/>
      <c r="J393" s="1"/>
      <c r="K393" s="3"/>
      <c r="L393" s="1"/>
      <c r="M393" s="1"/>
      <c r="N393" s="1"/>
      <c r="O393" s="1"/>
      <c r="P393" s="1"/>
      <c r="Q393" s="1"/>
      <c r="R393" s="1"/>
      <c r="S393" s="1"/>
      <c r="T393" s="1"/>
      <c r="U393" s="1"/>
      <c r="V393" s="1"/>
      <c r="W393" s="1"/>
      <c r="X393" s="1"/>
      <c r="Y393" s="1"/>
      <c r="Z393" s="1"/>
      <c r="AA393" s="1"/>
      <c r="AB393" s="1"/>
      <c r="AC393" s="1"/>
    </row>
    <row r="394">
      <c r="A394" s="1"/>
      <c r="B394" s="1"/>
      <c r="C394" s="1"/>
      <c r="D394" s="1"/>
      <c r="E394" s="1"/>
      <c r="F394" s="2"/>
      <c r="G394" s="2"/>
      <c r="H394" s="1"/>
      <c r="I394" s="1"/>
      <c r="J394" s="1"/>
      <c r="K394" s="3"/>
      <c r="L394" s="1"/>
      <c r="M394" s="1"/>
      <c r="N394" s="1"/>
      <c r="O394" s="1"/>
      <c r="P394" s="1"/>
      <c r="Q394" s="1"/>
      <c r="R394" s="1"/>
      <c r="S394" s="1"/>
      <c r="T394" s="1"/>
      <c r="U394" s="1"/>
      <c r="V394" s="1"/>
      <c r="W394" s="1"/>
      <c r="X394" s="1"/>
      <c r="Y394" s="1"/>
      <c r="Z394" s="1"/>
      <c r="AA394" s="1"/>
      <c r="AB394" s="1"/>
      <c r="AC394" s="1"/>
    </row>
    <row r="395">
      <c r="A395" s="1"/>
      <c r="B395" s="1"/>
      <c r="C395" s="1"/>
      <c r="D395" s="1"/>
      <c r="E395" s="1"/>
      <c r="F395" s="2"/>
      <c r="G395" s="2"/>
      <c r="H395" s="1"/>
      <c r="I395" s="1"/>
      <c r="J395" s="1"/>
      <c r="K395" s="3"/>
      <c r="L395" s="1"/>
      <c r="M395" s="1"/>
      <c r="N395" s="1"/>
      <c r="O395" s="1"/>
      <c r="P395" s="1"/>
      <c r="Q395" s="1"/>
      <c r="R395" s="1"/>
      <c r="S395" s="1"/>
      <c r="T395" s="1"/>
      <c r="U395" s="1"/>
      <c r="V395" s="1"/>
      <c r="W395" s="1"/>
      <c r="X395" s="1"/>
      <c r="Y395" s="1"/>
      <c r="Z395" s="1"/>
      <c r="AA395" s="1"/>
      <c r="AB395" s="1"/>
      <c r="AC395" s="1"/>
    </row>
    <row r="396">
      <c r="A396" s="1"/>
      <c r="B396" s="1"/>
      <c r="C396" s="1"/>
      <c r="D396" s="1"/>
      <c r="E396" s="1"/>
      <c r="F396" s="2"/>
      <c r="G396" s="2"/>
      <c r="H396" s="1"/>
      <c r="I396" s="1"/>
      <c r="J396" s="1"/>
      <c r="K396" s="3"/>
      <c r="L396" s="1"/>
      <c r="M396" s="1"/>
      <c r="N396" s="1"/>
      <c r="O396" s="1"/>
      <c r="P396" s="1"/>
      <c r="Q396" s="1"/>
      <c r="R396" s="1"/>
      <c r="S396" s="1"/>
      <c r="T396" s="1"/>
      <c r="U396" s="1"/>
      <c r="V396" s="1"/>
      <c r="W396" s="1"/>
      <c r="X396" s="1"/>
      <c r="Y396" s="1"/>
      <c r="Z396" s="1"/>
      <c r="AA396" s="1"/>
      <c r="AB396" s="1"/>
      <c r="AC396" s="1"/>
    </row>
    <row r="397">
      <c r="A397" s="1"/>
      <c r="B397" s="1"/>
      <c r="C397" s="1"/>
      <c r="D397" s="1"/>
      <c r="E397" s="1"/>
      <c r="F397" s="2"/>
      <c r="G397" s="2"/>
      <c r="H397" s="1"/>
      <c r="I397" s="1"/>
      <c r="J397" s="1"/>
      <c r="K397" s="3"/>
      <c r="L397" s="1"/>
      <c r="M397" s="1"/>
      <c r="N397" s="1"/>
      <c r="O397" s="1"/>
      <c r="P397" s="1"/>
      <c r="Q397" s="1"/>
      <c r="R397" s="1"/>
      <c r="S397" s="1"/>
      <c r="T397" s="1"/>
      <c r="U397" s="1"/>
      <c r="V397" s="1"/>
      <c r="W397" s="1"/>
      <c r="X397" s="1"/>
      <c r="Y397" s="1"/>
      <c r="Z397" s="1"/>
      <c r="AA397" s="1"/>
      <c r="AB397" s="1"/>
      <c r="AC397" s="1"/>
    </row>
    <row r="398">
      <c r="A398" s="1"/>
      <c r="B398" s="1"/>
      <c r="C398" s="1"/>
      <c r="D398" s="1"/>
      <c r="E398" s="1"/>
      <c r="F398" s="2"/>
      <c r="G398" s="2"/>
      <c r="H398" s="1"/>
      <c r="I398" s="1"/>
      <c r="J398" s="1"/>
      <c r="K398" s="3"/>
      <c r="L398" s="1"/>
      <c r="M398" s="1"/>
      <c r="N398" s="1"/>
      <c r="O398" s="1"/>
      <c r="P398" s="1"/>
      <c r="Q398" s="1"/>
      <c r="R398" s="1"/>
      <c r="S398" s="1"/>
      <c r="T398" s="1"/>
      <c r="U398" s="1"/>
      <c r="V398" s="1"/>
      <c r="W398" s="1"/>
      <c r="X398" s="1"/>
      <c r="Y398" s="1"/>
      <c r="Z398" s="1"/>
      <c r="AA398" s="1"/>
      <c r="AB398" s="1"/>
      <c r="AC398" s="1"/>
    </row>
    <row r="399">
      <c r="A399" s="1"/>
      <c r="B399" s="1"/>
      <c r="C399" s="1"/>
      <c r="D399" s="1"/>
      <c r="E399" s="1"/>
      <c r="F399" s="2"/>
      <c r="G399" s="2"/>
      <c r="H399" s="1"/>
      <c r="I399" s="1"/>
      <c r="J399" s="1"/>
      <c r="K399" s="3"/>
      <c r="L399" s="1"/>
      <c r="M399" s="1"/>
      <c r="N399" s="1"/>
      <c r="O399" s="1"/>
      <c r="P399" s="1"/>
      <c r="Q399" s="1"/>
      <c r="R399" s="1"/>
      <c r="S399" s="1"/>
      <c r="T399" s="1"/>
      <c r="U399" s="1"/>
      <c r="V399" s="1"/>
      <c r="W399" s="1"/>
      <c r="X399" s="1"/>
      <c r="Y399" s="1"/>
      <c r="Z399" s="1"/>
      <c r="AA399" s="1"/>
      <c r="AB399" s="1"/>
      <c r="AC399" s="1"/>
    </row>
    <row r="400">
      <c r="A400" s="1"/>
      <c r="B400" s="1"/>
      <c r="C400" s="1"/>
      <c r="D400" s="1"/>
      <c r="E400" s="1"/>
      <c r="F400" s="2"/>
      <c r="G400" s="2"/>
      <c r="H400" s="1"/>
      <c r="I400" s="1"/>
      <c r="J400" s="1"/>
      <c r="K400" s="3"/>
      <c r="L400" s="1"/>
      <c r="M400" s="1"/>
      <c r="N400" s="1"/>
      <c r="O400" s="1"/>
      <c r="P400" s="1"/>
      <c r="Q400" s="1"/>
      <c r="R400" s="1"/>
      <c r="S400" s="1"/>
      <c r="T400" s="1"/>
      <c r="U400" s="1"/>
      <c r="V400" s="1"/>
      <c r="W400" s="1"/>
      <c r="X400" s="1"/>
      <c r="Y400" s="1"/>
      <c r="Z400" s="1"/>
      <c r="AA400" s="1"/>
      <c r="AB400" s="1"/>
      <c r="AC400" s="1"/>
    </row>
    <row r="401">
      <c r="A401" s="1"/>
      <c r="B401" s="1"/>
      <c r="C401" s="1"/>
      <c r="D401" s="1"/>
      <c r="E401" s="1"/>
      <c r="F401" s="2"/>
      <c r="G401" s="2"/>
      <c r="H401" s="1"/>
      <c r="I401" s="1"/>
      <c r="J401" s="1"/>
      <c r="K401" s="3"/>
      <c r="L401" s="1"/>
      <c r="M401" s="1"/>
      <c r="N401" s="1"/>
      <c r="O401" s="1"/>
      <c r="P401" s="1"/>
      <c r="Q401" s="1"/>
      <c r="R401" s="1"/>
      <c r="S401" s="1"/>
      <c r="T401" s="1"/>
      <c r="U401" s="1"/>
      <c r="V401" s="1"/>
      <c r="W401" s="1"/>
      <c r="X401" s="1"/>
      <c r="Y401" s="1"/>
      <c r="Z401" s="1"/>
      <c r="AA401" s="1"/>
      <c r="AB401" s="1"/>
      <c r="AC401" s="1"/>
    </row>
    <row r="402">
      <c r="A402" s="1"/>
      <c r="B402" s="1"/>
      <c r="C402" s="1"/>
      <c r="D402" s="1"/>
      <c r="E402" s="1"/>
      <c r="F402" s="2"/>
      <c r="G402" s="2"/>
      <c r="H402" s="1"/>
      <c r="I402" s="1"/>
      <c r="J402" s="1"/>
      <c r="K402" s="3"/>
      <c r="L402" s="1"/>
      <c r="M402" s="1"/>
      <c r="N402" s="1"/>
      <c r="O402" s="1"/>
      <c r="P402" s="1"/>
      <c r="Q402" s="1"/>
      <c r="R402" s="1"/>
      <c r="S402" s="1"/>
      <c r="T402" s="1"/>
      <c r="U402" s="1"/>
      <c r="V402" s="1"/>
      <c r="W402" s="1"/>
      <c r="X402" s="1"/>
      <c r="Y402" s="1"/>
      <c r="Z402" s="1"/>
      <c r="AA402" s="1"/>
      <c r="AB402" s="1"/>
      <c r="AC402" s="1"/>
    </row>
    <row r="403">
      <c r="A403" s="1"/>
      <c r="B403" s="1"/>
      <c r="C403" s="1"/>
      <c r="D403" s="1"/>
      <c r="E403" s="1"/>
      <c r="F403" s="2"/>
      <c r="G403" s="2"/>
      <c r="H403" s="1"/>
      <c r="I403" s="1"/>
      <c r="J403" s="1"/>
      <c r="K403" s="3"/>
      <c r="L403" s="1"/>
      <c r="M403" s="1"/>
      <c r="N403" s="1"/>
      <c r="O403" s="1"/>
      <c r="P403" s="1"/>
      <c r="Q403" s="1"/>
      <c r="R403" s="1"/>
      <c r="S403" s="1"/>
      <c r="T403" s="1"/>
      <c r="U403" s="1"/>
      <c r="V403" s="1"/>
      <c r="W403" s="1"/>
      <c r="X403" s="1"/>
      <c r="Y403" s="1"/>
      <c r="Z403" s="1"/>
      <c r="AA403" s="1"/>
      <c r="AB403" s="1"/>
      <c r="AC403" s="1"/>
    </row>
    <row r="404">
      <c r="A404" s="1"/>
      <c r="B404" s="1"/>
      <c r="C404" s="1"/>
      <c r="D404" s="1"/>
      <c r="E404" s="1"/>
      <c r="F404" s="2"/>
      <c r="G404" s="2"/>
      <c r="H404" s="1"/>
      <c r="I404" s="1"/>
      <c r="J404" s="1"/>
      <c r="K404" s="3"/>
      <c r="L404" s="1"/>
      <c r="M404" s="1"/>
      <c r="N404" s="1"/>
      <c r="O404" s="1"/>
      <c r="P404" s="1"/>
      <c r="Q404" s="1"/>
      <c r="R404" s="1"/>
      <c r="S404" s="1"/>
      <c r="T404" s="1"/>
      <c r="U404" s="1"/>
      <c r="V404" s="1"/>
      <c r="W404" s="1"/>
      <c r="X404" s="1"/>
      <c r="Y404" s="1"/>
      <c r="Z404" s="1"/>
      <c r="AA404" s="1"/>
      <c r="AB404" s="1"/>
      <c r="AC404" s="1"/>
    </row>
    <row r="405">
      <c r="A405" s="1"/>
      <c r="B405" s="1"/>
      <c r="C405" s="1"/>
      <c r="D405" s="1"/>
      <c r="E405" s="1"/>
      <c r="F405" s="2"/>
      <c r="G405" s="2"/>
      <c r="H405" s="1"/>
      <c r="I405" s="1"/>
      <c r="J405" s="1"/>
      <c r="K405" s="3"/>
      <c r="L405" s="1"/>
      <c r="M405" s="1"/>
      <c r="N405" s="1"/>
      <c r="O405" s="1"/>
      <c r="P405" s="1"/>
      <c r="Q405" s="1"/>
      <c r="R405" s="1"/>
      <c r="S405" s="1"/>
      <c r="T405" s="1"/>
      <c r="U405" s="1"/>
      <c r="V405" s="1"/>
      <c r="W405" s="1"/>
      <c r="X405" s="1"/>
      <c r="Y405" s="1"/>
      <c r="Z405" s="1"/>
      <c r="AA405" s="1"/>
      <c r="AB405" s="1"/>
      <c r="AC405" s="1"/>
    </row>
    <row r="406">
      <c r="A406" s="1"/>
      <c r="B406" s="1"/>
      <c r="C406" s="1"/>
      <c r="D406" s="1"/>
      <c r="E406" s="1"/>
      <c r="F406" s="2"/>
      <c r="G406" s="2"/>
      <c r="H406" s="1"/>
      <c r="I406" s="1"/>
      <c r="J406" s="1"/>
      <c r="K406" s="3"/>
      <c r="L406" s="1"/>
      <c r="M406" s="1"/>
      <c r="N406" s="1"/>
      <c r="O406" s="1"/>
      <c r="P406" s="1"/>
      <c r="Q406" s="1"/>
      <c r="R406" s="1"/>
      <c r="S406" s="1"/>
      <c r="T406" s="1"/>
      <c r="U406" s="1"/>
      <c r="V406" s="1"/>
      <c r="W406" s="1"/>
      <c r="X406" s="1"/>
      <c r="Y406" s="1"/>
      <c r="Z406" s="1"/>
      <c r="AA406" s="1"/>
      <c r="AB406" s="1"/>
      <c r="AC406" s="1"/>
    </row>
    <row r="407">
      <c r="A407" s="1"/>
      <c r="B407" s="1"/>
      <c r="C407" s="1"/>
      <c r="D407" s="1"/>
      <c r="E407" s="1"/>
      <c r="F407" s="2"/>
      <c r="G407" s="2"/>
      <c r="H407" s="1"/>
      <c r="I407" s="1"/>
      <c r="J407" s="1"/>
      <c r="K407" s="3"/>
      <c r="L407" s="1"/>
      <c r="M407" s="1"/>
      <c r="N407" s="1"/>
      <c r="O407" s="1"/>
      <c r="P407" s="1"/>
      <c r="Q407" s="1"/>
      <c r="R407" s="1"/>
      <c r="S407" s="1"/>
      <c r="T407" s="1"/>
      <c r="U407" s="1"/>
      <c r="V407" s="1"/>
      <c r="W407" s="1"/>
      <c r="X407" s="1"/>
      <c r="Y407" s="1"/>
      <c r="Z407" s="1"/>
      <c r="AA407" s="1"/>
      <c r="AB407" s="1"/>
      <c r="AC407" s="1"/>
    </row>
    <row r="408">
      <c r="A408" s="1"/>
      <c r="B408" s="1"/>
      <c r="C408" s="1"/>
      <c r="D408" s="1"/>
      <c r="E408" s="1"/>
      <c r="F408" s="2"/>
      <c r="G408" s="2"/>
      <c r="H408" s="1"/>
      <c r="I408" s="1"/>
      <c r="J408" s="1"/>
      <c r="K408" s="3"/>
      <c r="L408" s="1"/>
      <c r="M408" s="1"/>
      <c r="N408" s="1"/>
      <c r="O408" s="1"/>
      <c r="P408" s="1"/>
      <c r="Q408" s="1"/>
      <c r="R408" s="1"/>
      <c r="S408" s="1"/>
      <c r="T408" s="1"/>
      <c r="U408" s="1"/>
      <c r="V408" s="1"/>
      <c r="W408" s="1"/>
      <c r="X408" s="1"/>
      <c r="Y408" s="1"/>
      <c r="Z408" s="1"/>
      <c r="AA408" s="1"/>
      <c r="AB408" s="1"/>
      <c r="AC408" s="1"/>
    </row>
    <row r="409">
      <c r="A409" s="1"/>
      <c r="B409" s="1"/>
      <c r="C409" s="1"/>
      <c r="D409" s="1"/>
      <c r="E409" s="1"/>
      <c r="F409" s="2"/>
      <c r="G409" s="2"/>
      <c r="H409" s="1"/>
      <c r="I409" s="1"/>
      <c r="J409" s="1"/>
      <c r="K409" s="3"/>
      <c r="L409" s="1"/>
      <c r="M409" s="1"/>
      <c r="N409" s="1"/>
      <c r="O409" s="1"/>
      <c r="P409" s="1"/>
      <c r="Q409" s="1"/>
      <c r="R409" s="1"/>
      <c r="S409" s="1"/>
      <c r="T409" s="1"/>
      <c r="U409" s="1"/>
      <c r="V409" s="1"/>
      <c r="W409" s="1"/>
      <c r="X409" s="1"/>
      <c r="Y409" s="1"/>
      <c r="Z409" s="1"/>
      <c r="AA409" s="1"/>
      <c r="AB409" s="1"/>
      <c r="AC409" s="1"/>
    </row>
    <row r="410">
      <c r="A410" s="1"/>
      <c r="B410" s="1"/>
      <c r="C410" s="1"/>
      <c r="D410" s="1"/>
      <c r="E410" s="1"/>
      <c r="F410" s="2"/>
      <c r="G410" s="2"/>
      <c r="H410" s="1"/>
      <c r="I410" s="1"/>
      <c r="J410" s="1"/>
      <c r="K410" s="3"/>
      <c r="L410" s="1"/>
      <c r="M410" s="1"/>
      <c r="N410" s="1"/>
      <c r="O410" s="1"/>
      <c r="P410" s="1"/>
      <c r="Q410" s="1"/>
      <c r="R410" s="1"/>
      <c r="S410" s="1"/>
      <c r="T410" s="1"/>
      <c r="U410" s="1"/>
      <c r="V410" s="1"/>
      <c r="W410" s="1"/>
      <c r="X410" s="1"/>
      <c r="Y410" s="1"/>
      <c r="Z410" s="1"/>
      <c r="AA410" s="1"/>
      <c r="AB410" s="1"/>
      <c r="AC410" s="1"/>
    </row>
    <row r="411">
      <c r="A411" s="1"/>
      <c r="B411" s="1"/>
      <c r="C411" s="1"/>
      <c r="D411" s="1"/>
      <c r="E411" s="1"/>
      <c r="F411" s="2"/>
      <c r="G411" s="2"/>
      <c r="H411" s="1"/>
      <c r="I411" s="1"/>
      <c r="J411" s="1"/>
      <c r="K411" s="3"/>
      <c r="L411" s="1"/>
      <c r="M411" s="1"/>
      <c r="N411" s="1"/>
      <c r="O411" s="1"/>
      <c r="P411" s="1"/>
      <c r="Q411" s="1"/>
      <c r="R411" s="1"/>
      <c r="S411" s="1"/>
      <c r="T411" s="1"/>
      <c r="U411" s="1"/>
      <c r="V411" s="1"/>
      <c r="W411" s="1"/>
      <c r="X411" s="1"/>
      <c r="Y411" s="1"/>
      <c r="Z411" s="1"/>
      <c r="AA411" s="1"/>
      <c r="AB411" s="1"/>
      <c r="AC411" s="1"/>
    </row>
    <row r="412">
      <c r="A412" s="1"/>
      <c r="B412" s="1"/>
      <c r="C412" s="1"/>
      <c r="D412" s="1"/>
      <c r="E412" s="1"/>
      <c r="F412" s="2"/>
      <c r="G412" s="2"/>
      <c r="H412" s="1"/>
      <c r="I412" s="1"/>
      <c r="J412" s="1"/>
      <c r="K412" s="3"/>
      <c r="L412" s="1"/>
      <c r="M412" s="1"/>
      <c r="N412" s="1"/>
      <c r="O412" s="1"/>
      <c r="P412" s="1"/>
      <c r="Q412" s="1"/>
      <c r="R412" s="1"/>
      <c r="S412" s="1"/>
      <c r="T412" s="1"/>
      <c r="U412" s="1"/>
      <c r="V412" s="1"/>
      <c r="W412" s="1"/>
      <c r="X412" s="1"/>
      <c r="Y412" s="1"/>
      <c r="Z412" s="1"/>
      <c r="AA412" s="1"/>
      <c r="AB412" s="1"/>
      <c r="AC412" s="1"/>
    </row>
    <row r="413">
      <c r="A413" s="1"/>
      <c r="B413" s="1"/>
      <c r="C413" s="1"/>
      <c r="D413" s="1"/>
      <c r="E413" s="1"/>
      <c r="F413" s="2"/>
      <c r="G413" s="2"/>
      <c r="H413" s="1"/>
      <c r="I413" s="1"/>
      <c r="J413" s="1"/>
      <c r="K413" s="3"/>
      <c r="L413" s="1"/>
      <c r="M413" s="1"/>
      <c r="N413" s="1"/>
      <c r="O413" s="1"/>
      <c r="P413" s="1"/>
      <c r="Q413" s="1"/>
      <c r="R413" s="1"/>
      <c r="S413" s="1"/>
      <c r="T413" s="1"/>
      <c r="U413" s="1"/>
      <c r="V413" s="1"/>
      <c r="W413" s="1"/>
      <c r="X413" s="1"/>
      <c r="Y413" s="1"/>
      <c r="Z413" s="1"/>
      <c r="AA413" s="1"/>
      <c r="AB413" s="1"/>
      <c r="AC413" s="1"/>
    </row>
    <row r="414">
      <c r="A414" s="1"/>
      <c r="B414" s="1"/>
      <c r="C414" s="1"/>
      <c r="D414" s="1"/>
      <c r="E414" s="1"/>
      <c r="F414" s="2"/>
      <c r="G414" s="2"/>
      <c r="H414" s="1"/>
      <c r="I414" s="1"/>
      <c r="J414" s="1"/>
      <c r="K414" s="3"/>
      <c r="L414" s="1"/>
      <c r="M414" s="1"/>
      <c r="N414" s="1"/>
      <c r="O414" s="1"/>
      <c r="P414" s="1"/>
      <c r="Q414" s="1"/>
      <c r="R414" s="1"/>
      <c r="S414" s="1"/>
      <c r="T414" s="1"/>
      <c r="U414" s="1"/>
      <c r="V414" s="1"/>
      <c r="W414" s="1"/>
      <c r="X414" s="1"/>
      <c r="Y414" s="1"/>
      <c r="Z414" s="1"/>
      <c r="AA414" s="1"/>
      <c r="AB414" s="1"/>
      <c r="AC414" s="1"/>
    </row>
    <row r="415">
      <c r="A415" s="1"/>
      <c r="B415" s="1"/>
      <c r="C415" s="1"/>
      <c r="D415" s="1"/>
      <c r="E415" s="1"/>
      <c r="F415" s="2"/>
      <c r="G415" s="2"/>
      <c r="H415" s="1"/>
      <c r="I415" s="1"/>
      <c r="J415" s="1"/>
      <c r="K415" s="3"/>
      <c r="L415" s="1"/>
      <c r="M415" s="1"/>
      <c r="N415" s="1"/>
      <c r="O415" s="1"/>
      <c r="P415" s="1"/>
      <c r="Q415" s="1"/>
      <c r="R415" s="1"/>
      <c r="S415" s="1"/>
      <c r="T415" s="1"/>
      <c r="U415" s="1"/>
      <c r="V415" s="1"/>
      <c r="W415" s="1"/>
      <c r="X415" s="1"/>
      <c r="Y415" s="1"/>
      <c r="Z415" s="1"/>
      <c r="AA415" s="1"/>
      <c r="AB415" s="1"/>
      <c r="AC415" s="1"/>
    </row>
    <row r="416">
      <c r="A416" s="1"/>
      <c r="B416" s="1"/>
      <c r="C416" s="1"/>
      <c r="D416" s="1"/>
      <c r="E416" s="1"/>
      <c r="F416" s="2"/>
      <c r="G416" s="2"/>
      <c r="H416" s="1"/>
      <c r="I416" s="1"/>
      <c r="J416" s="1"/>
      <c r="K416" s="3"/>
      <c r="L416" s="1"/>
      <c r="M416" s="1"/>
      <c r="N416" s="1"/>
      <c r="O416" s="1"/>
      <c r="P416" s="1"/>
      <c r="Q416" s="1"/>
      <c r="R416" s="1"/>
      <c r="S416" s="1"/>
      <c r="T416" s="1"/>
      <c r="U416" s="1"/>
      <c r="V416" s="1"/>
      <c r="W416" s="1"/>
      <c r="X416" s="1"/>
      <c r="Y416" s="1"/>
      <c r="Z416" s="1"/>
      <c r="AA416" s="1"/>
      <c r="AB416" s="1"/>
      <c r="AC416" s="1"/>
    </row>
    <row r="417">
      <c r="A417" s="1"/>
      <c r="B417" s="1"/>
      <c r="C417" s="1"/>
      <c r="D417" s="1"/>
      <c r="E417" s="1"/>
      <c r="F417" s="2"/>
      <c r="G417" s="2"/>
      <c r="H417" s="1"/>
      <c r="I417" s="1"/>
      <c r="J417" s="1"/>
      <c r="K417" s="3"/>
      <c r="L417" s="1"/>
      <c r="M417" s="1"/>
      <c r="N417" s="1"/>
      <c r="O417" s="1"/>
      <c r="P417" s="1"/>
      <c r="Q417" s="1"/>
      <c r="R417" s="1"/>
      <c r="S417" s="1"/>
      <c r="T417" s="1"/>
      <c r="U417" s="1"/>
      <c r="V417" s="1"/>
      <c r="W417" s="1"/>
      <c r="X417" s="1"/>
      <c r="Y417" s="1"/>
      <c r="Z417" s="1"/>
      <c r="AA417" s="1"/>
      <c r="AB417" s="1"/>
      <c r="AC417" s="1"/>
    </row>
    <row r="418">
      <c r="A418" s="1"/>
      <c r="B418" s="1"/>
      <c r="C418" s="1"/>
      <c r="D418" s="1"/>
      <c r="E418" s="1"/>
      <c r="F418" s="2"/>
      <c r="G418" s="2"/>
      <c r="H418" s="1"/>
      <c r="I418" s="1"/>
      <c r="J418" s="1"/>
      <c r="K418" s="3"/>
      <c r="L418" s="1"/>
      <c r="M418" s="1"/>
      <c r="N418" s="1"/>
      <c r="O418" s="1"/>
      <c r="P418" s="1"/>
      <c r="Q418" s="1"/>
      <c r="R418" s="1"/>
      <c r="S418" s="1"/>
      <c r="T418" s="1"/>
      <c r="U418" s="1"/>
      <c r="V418" s="1"/>
      <c r="W418" s="1"/>
      <c r="X418" s="1"/>
      <c r="Y418" s="1"/>
      <c r="Z418" s="1"/>
      <c r="AA418" s="1"/>
      <c r="AB418" s="1"/>
      <c r="AC418" s="1"/>
    </row>
    <row r="419">
      <c r="A419" s="1"/>
      <c r="B419" s="1"/>
      <c r="C419" s="1"/>
      <c r="D419" s="1"/>
      <c r="E419" s="1"/>
      <c r="F419" s="2"/>
      <c r="G419" s="2"/>
      <c r="H419" s="1"/>
      <c r="I419" s="1"/>
      <c r="J419" s="1"/>
      <c r="K419" s="3"/>
      <c r="L419" s="1"/>
      <c r="M419" s="1"/>
      <c r="N419" s="1"/>
      <c r="O419" s="1"/>
      <c r="P419" s="1"/>
      <c r="Q419" s="1"/>
      <c r="R419" s="1"/>
      <c r="S419" s="1"/>
      <c r="T419" s="1"/>
      <c r="U419" s="1"/>
      <c r="V419" s="1"/>
      <c r="W419" s="1"/>
      <c r="X419" s="1"/>
      <c r="Y419" s="1"/>
      <c r="Z419" s="1"/>
      <c r="AA419" s="1"/>
      <c r="AB419" s="1"/>
      <c r="AC419" s="1"/>
    </row>
    <row r="420">
      <c r="A420" s="1"/>
      <c r="B420" s="1"/>
      <c r="C420" s="1"/>
      <c r="D420" s="1"/>
      <c r="E420" s="1"/>
      <c r="F420" s="2"/>
      <c r="G420" s="2"/>
      <c r="H420" s="1"/>
      <c r="I420" s="1"/>
      <c r="J420" s="1"/>
      <c r="K420" s="3"/>
      <c r="L420" s="1"/>
      <c r="M420" s="1"/>
      <c r="N420" s="1"/>
      <c r="O420" s="1"/>
      <c r="P420" s="1"/>
      <c r="Q420" s="1"/>
      <c r="R420" s="1"/>
      <c r="S420" s="1"/>
      <c r="T420" s="1"/>
      <c r="U420" s="1"/>
      <c r="V420" s="1"/>
      <c r="W420" s="1"/>
      <c r="X420" s="1"/>
      <c r="Y420" s="1"/>
      <c r="Z420" s="1"/>
      <c r="AA420" s="1"/>
      <c r="AB420" s="1"/>
      <c r="AC420" s="1"/>
    </row>
    <row r="421">
      <c r="A421" s="1"/>
      <c r="B421" s="1"/>
      <c r="C421" s="1"/>
      <c r="D421" s="1"/>
      <c r="E421" s="1"/>
      <c r="F421" s="2"/>
      <c r="G421" s="2"/>
      <c r="H421" s="1"/>
      <c r="I421" s="1"/>
      <c r="J421" s="1"/>
      <c r="K421" s="3"/>
      <c r="L421" s="1"/>
      <c r="M421" s="1"/>
      <c r="N421" s="1"/>
      <c r="O421" s="1"/>
      <c r="P421" s="1"/>
      <c r="Q421" s="1"/>
      <c r="R421" s="1"/>
      <c r="S421" s="1"/>
      <c r="T421" s="1"/>
      <c r="U421" s="1"/>
      <c r="V421" s="1"/>
      <c r="W421" s="1"/>
      <c r="X421" s="1"/>
      <c r="Y421" s="1"/>
      <c r="Z421" s="1"/>
      <c r="AA421" s="1"/>
      <c r="AB421" s="1"/>
      <c r="AC421" s="1"/>
    </row>
    <row r="422">
      <c r="A422" s="1"/>
      <c r="B422" s="1"/>
      <c r="C422" s="1"/>
      <c r="D422" s="1"/>
      <c r="E422" s="1"/>
      <c r="F422" s="2"/>
      <c r="G422" s="2"/>
      <c r="H422" s="1"/>
      <c r="I422" s="1"/>
      <c r="J422" s="1"/>
      <c r="K422" s="3"/>
      <c r="L422" s="1"/>
      <c r="M422" s="1"/>
      <c r="N422" s="1"/>
      <c r="O422" s="1"/>
      <c r="P422" s="1"/>
      <c r="Q422" s="1"/>
      <c r="R422" s="1"/>
      <c r="S422" s="1"/>
      <c r="T422" s="1"/>
      <c r="U422" s="1"/>
      <c r="V422" s="1"/>
      <c r="W422" s="1"/>
      <c r="X422" s="1"/>
      <c r="Y422" s="1"/>
      <c r="Z422" s="1"/>
      <c r="AA422" s="1"/>
      <c r="AB422" s="1"/>
      <c r="AC422" s="1"/>
    </row>
    <row r="423">
      <c r="A423" s="1"/>
      <c r="B423" s="1"/>
      <c r="C423" s="1"/>
      <c r="D423" s="1"/>
      <c r="E423" s="1"/>
      <c r="F423" s="2"/>
      <c r="G423" s="2"/>
      <c r="H423" s="1"/>
      <c r="I423" s="1"/>
      <c r="J423" s="1"/>
      <c r="K423" s="3"/>
      <c r="L423" s="1"/>
      <c r="M423" s="1"/>
      <c r="N423" s="1"/>
      <c r="O423" s="1"/>
      <c r="P423" s="1"/>
      <c r="Q423" s="1"/>
      <c r="R423" s="1"/>
      <c r="S423" s="1"/>
      <c r="T423" s="1"/>
      <c r="U423" s="1"/>
      <c r="V423" s="1"/>
      <c r="W423" s="1"/>
      <c r="X423" s="1"/>
      <c r="Y423" s="1"/>
      <c r="Z423" s="1"/>
      <c r="AA423" s="1"/>
      <c r="AB423" s="1"/>
      <c r="AC423" s="1"/>
    </row>
    <row r="424">
      <c r="A424" s="1"/>
      <c r="B424" s="1"/>
      <c r="C424" s="1"/>
      <c r="D424" s="1"/>
      <c r="E424" s="1"/>
      <c r="F424" s="2"/>
      <c r="G424" s="2"/>
      <c r="H424" s="1"/>
      <c r="I424" s="1"/>
      <c r="J424" s="1"/>
      <c r="K424" s="3"/>
      <c r="L424" s="1"/>
      <c r="M424" s="1"/>
      <c r="N424" s="1"/>
      <c r="O424" s="1"/>
      <c r="P424" s="1"/>
      <c r="Q424" s="1"/>
      <c r="R424" s="1"/>
      <c r="S424" s="1"/>
      <c r="T424" s="1"/>
      <c r="U424" s="1"/>
      <c r="V424" s="1"/>
      <c r="W424" s="1"/>
      <c r="X424" s="1"/>
      <c r="Y424" s="1"/>
      <c r="Z424" s="1"/>
      <c r="AA424" s="1"/>
      <c r="AB424" s="1"/>
      <c r="AC424" s="1"/>
    </row>
    <row r="425">
      <c r="A425" s="1"/>
      <c r="B425" s="1"/>
      <c r="C425" s="1"/>
      <c r="D425" s="1"/>
      <c r="E425" s="1"/>
      <c r="F425" s="2"/>
      <c r="G425" s="2"/>
      <c r="H425" s="1"/>
      <c r="I425" s="1"/>
      <c r="J425" s="1"/>
      <c r="K425" s="3"/>
      <c r="L425" s="1"/>
      <c r="M425" s="1"/>
      <c r="N425" s="1"/>
      <c r="O425" s="1"/>
      <c r="P425" s="1"/>
      <c r="Q425" s="1"/>
      <c r="R425" s="1"/>
      <c r="S425" s="1"/>
      <c r="T425" s="1"/>
      <c r="U425" s="1"/>
      <c r="V425" s="1"/>
      <c r="W425" s="1"/>
      <c r="X425" s="1"/>
      <c r="Y425" s="1"/>
      <c r="Z425" s="1"/>
      <c r="AA425" s="1"/>
      <c r="AB425" s="1"/>
      <c r="AC425" s="1"/>
    </row>
    <row r="426">
      <c r="A426" s="1"/>
      <c r="B426" s="1"/>
      <c r="C426" s="1"/>
      <c r="D426" s="1"/>
      <c r="E426" s="1"/>
      <c r="F426" s="2"/>
      <c r="G426" s="2"/>
      <c r="H426" s="1"/>
      <c r="I426" s="1"/>
      <c r="J426" s="1"/>
      <c r="K426" s="3"/>
      <c r="L426" s="1"/>
      <c r="M426" s="1"/>
      <c r="N426" s="1"/>
      <c r="O426" s="1"/>
      <c r="P426" s="1"/>
      <c r="Q426" s="1"/>
      <c r="R426" s="1"/>
      <c r="S426" s="1"/>
      <c r="T426" s="1"/>
      <c r="U426" s="1"/>
      <c r="V426" s="1"/>
      <c r="W426" s="1"/>
      <c r="X426" s="1"/>
      <c r="Y426" s="1"/>
      <c r="Z426" s="1"/>
      <c r="AA426" s="1"/>
      <c r="AB426" s="1"/>
      <c r="AC426" s="1"/>
    </row>
    <row r="427">
      <c r="A427" s="1"/>
      <c r="B427" s="1"/>
      <c r="C427" s="1"/>
      <c r="D427" s="1"/>
      <c r="E427" s="1"/>
      <c r="F427" s="2"/>
      <c r="G427" s="2"/>
      <c r="H427" s="1"/>
      <c r="I427" s="1"/>
      <c r="J427" s="1"/>
      <c r="K427" s="3"/>
      <c r="L427" s="1"/>
      <c r="M427" s="1"/>
      <c r="N427" s="1"/>
      <c r="O427" s="1"/>
      <c r="P427" s="1"/>
      <c r="Q427" s="1"/>
      <c r="R427" s="1"/>
      <c r="S427" s="1"/>
      <c r="T427" s="1"/>
      <c r="U427" s="1"/>
      <c r="V427" s="1"/>
      <c r="W427" s="1"/>
      <c r="X427" s="1"/>
      <c r="Y427" s="1"/>
      <c r="Z427" s="1"/>
      <c r="AA427" s="1"/>
      <c r="AB427" s="1"/>
      <c r="AC427" s="1"/>
    </row>
    <row r="428">
      <c r="A428" s="1"/>
      <c r="B428" s="1"/>
      <c r="C428" s="1"/>
      <c r="D428" s="1"/>
      <c r="E428" s="1"/>
      <c r="F428" s="2"/>
      <c r="G428" s="2"/>
      <c r="H428" s="1"/>
      <c r="I428" s="1"/>
      <c r="J428" s="1"/>
      <c r="K428" s="3"/>
      <c r="L428" s="1"/>
      <c r="M428" s="1"/>
      <c r="N428" s="1"/>
      <c r="O428" s="1"/>
      <c r="P428" s="1"/>
      <c r="Q428" s="1"/>
      <c r="R428" s="1"/>
      <c r="S428" s="1"/>
      <c r="T428" s="1"/>
      <c r="U428" s="1"/>
      <c r="V428" s="1"/>
      <c r="W428" s="1"/>
      <c r="X428" s="1"/>
      <c r="Y428" s="1"/>
      <c r="Z428" s="1"/>
      <c r="AA428" s="1"/>
      <c r="AB428" s="1"/>
      <c r="AC428" s="1"/>
    </row>
    <row r="429">
      <c r="A429" s="1"/>
      <c r="B429" s="1"/>
      <c r="C429" s="1"/>
      <c r="D429" s="1"/>
      <c r="E429" s="1"/>
      <c r="F429" s="2"/>
      <c r="G429" s="2"/>
      <c r="H429" s="1"/>
      <c r="I429" s="1"/>
      <c r="J429" s="1"/>
      <c r="K429" s="3"/>
      <c r="L429" s="1"/>
      <c r="M429" s="1"/>
      <c r="N429" s="1"/>
      <c r="O429" s="1"/>
      <c r="P429" s="1"/>
      <c r="Q429" s="1"/>
      <c r="R429" s="1"/>
      <c r="S429" s="1"/>
      <c r="T429" s="1"/>
      <c r="U429" s="1"/>
      <c r="V429" s="1"/>
      <c r="W429" s="1"/>
      <c r="X429" s="1"/>
      <c r="Y429" s="1"/>
      <c r="Z429" s="1"/>
      <c r="AA429" s="1"/>
      <c r="AB429" s="1"/>
      <c r="AC429" s="1"/>
    </row>
    <row r="430">
      <c r="A430" s="1"/>
      <c r="B430" s="1"/>
      <c r="C430" s="1"/>
      <c r="D430" s="1"/>
      <c r="E430" s="1"/>
      <c r="F430" s="2"/>
      <c r="G430" s="2"/>
      <c r="H430" s="1"/>
      <c r="I430" s="1"/>
      <c r="J430" s="1"/>
      <c r="K430" s="3"/>
      <c r="L430" s="1"/>
      <c r="M430" s="1"/>
      <c r="N430" s="1"/>
      <c r="O430" s="1"/>
      <c r="P430" s="1"/>
      <c r="Q430" s="1"/>
      <c r="R430" s="1"/>
      <c r="S430" s="1"/>
      <c r="T430" s="1"/>
      <c r="U430" s="1"/>
      <c r="V430" s="1"/>
      <c r="W430" s="1"/>
      <c r="X430" s="1"/>
      <c r="Y430" s="1"/>
      <c r="Z430" s="1"/>
      <c r="AA430" s="1"/>
      <c r="AB430" s="1"/>
      <c r="AC430" s="1"/>
    </row>
    <row r="431">
      <c r="A431" s="1"/>
      <c r="B431" s="1"/>
      <c r="C431" s="1"/>
      <c r="D431" s="1"/>
      <c r="E431" s="1"/>
      <c r="F431" s="2"/>
      <c r="G431" s="2"/>
      <c r="H431" s="1"/>
      <c r="I431" s="1"/>
      <c r="J431" s="1"/>
      <c r="K431" s="3"/>
      <c r="L431" s="1"/>
      <c r="M431" s="1"/>
      <c r="N431" s="1"/>
      <c r="O431" s="1"/>
      <c r="P431" s="1"/>
      <c r="Q431" s="1"/>
      <c r="R431" s="1"/>
      <c r="S431" s="1"/>
      <c r="T431" s="1"/>
      <c r="U431" s="1"/>
      <c r="V431" s="1"/>
      <c r="W431" s="1"/>
      <c r="X431" s="1"/>
      <c r="Y431" s="1"/>
      <c r="Z431" s="1"/>
      <c r="AA431" s="1"/>
      <c r="AB431" s="1"/>
      <c r="AC431" s="1"/>
    </row>
    <row r="432">
      <c r="A432" s="1"/>
      <c r="B432" s="1"/>
      <c r="C432" s="1"/>
      <c r="D432" s="1"/>
      <c r="E432" s="1"/>
      <c r="F432" s="2"/>
      <c r="G432" s="2"/>
      <c r="H432" s="1"/>
      <c r="I432" s="1"/>
      <c r="J432" s="1"/>
      <c r="K432" s="3"/>
      <c r="L432" s="1"/>
      <c r="M432" s="1"/>
      <c r="N432" s="1"/>
      <c r="O432" s="1"/>
      <c r="P432" s="1"/>
      <c r="Q432" s="1"/>
      <c r="R432" s="1"/>
      <c r="S432" s="1"/>
      <c r="T432" s="1"/>
      <c r="U432" s="1"/>
      <c r="V432" s="1"/>
      <c r="W432" s="1"/>
      <c r="X432" s="1"/>
      <c r="Y432" s="1"/>
      <c r="Z432" s="1"/>
      <c r="AA432" s="1"/>
      <c r="AB432" s="1"/>
      <c r="AC432" s="1"/>
    </row>
    <row r="433">
      <c r="A433" s="1"/>
      <c r="B433" s="1"/>
      <c r="C433" s="1"/>
      <c r="D433" s="1"/>
      <c r="E433" s="1"/>
      <c r="F433" s="2"/>
      <c r="G433" s="2"/>
      <c r="H433" s="1"/>
      <c r="I433" s="1"/>
      <c r="J433" s="1"/>
      <c r="K433" s="3"/>
      <c r="L433" s="1"/>
      <c r="M433" s="1"/>
      <c r="N433" s="1"/>
      <c r="O433" s="1"/>
      <c r="P433" s="1"/>
      <c r="Q433" s="1"/>
      <c r="R433" s="1"/>
      <c r="S433" s="1"/>
      <c r="T433" s="1"/>
      <c r="U433" s="1"/>
      <c r="V433" s="1"/>
      <c r="W433" s="1"/>
      <c r="X433" s="1"/>
      <c r="Y433" s="1"/>
      <c r="Z433" s="1"/>
      <c r="AA433" s="1"/>
      <c r="AB433" s="1"/>
      <c r="AC433" s="1"/>
    </row>
    <row r="434">
      <c r="A434" s="1"/>
      <c r="B434" s="1"/>
      <c r="C434" s="1"/>
      <c r="D434" s="1"/>
      <c r="E434" s="1"/>
      <c r="F434" s="2"/>
      <c r="G434" s="2"/>
      <c r="H434" s="1"/>
      <c r="I434" s="1"/>
      <c r="J434" s="1"/>
      <c r="K434" s="3"/>
      <c r="L434" s="1"/>
      <c r="M434" s="1"/>
      <c r="N434" s="1"/>
      <c r="O434" s="1"/>
      <c r="P434" s="1"/>
      <c r="Q434" s="1"/>
      <c r="R434" s="1"/>
      <c r="S434" s="1"/>
      <c r="T434" s="1"/>
      <c r="U434" s="1"/>
      <c r="V434" s="1"/>
      <c r="W434" s="1"/>
      <c r="X434" s="1"/>
      <c r="Y434" s="1"/>
      <c r="Z434" s="1"/>
      <c r="AA434" s="1"/>
      <c r="AB434" s="1"/>
      <c r="AC434" s="1"/>
    </row>
    <row r="435">
      <c r="A435" s="1"/>
      <c r="B435" s="1"/>
      <c r="C435" s="1"/>
      <c r="D435" s="1"/>
      <c r="E435" s="1"/>
      <c r="F435" s="2"/>
      <c r="G435" s="2"/>
      <c r="H435" s="1"/>
      <c r="I435" s="1"/>
      <c r="J435" s="1"/>
      <c r="K435" s="3"/>
      <c r="L435" s="1"/>
      <c r="M435" s="1"/>
      <c r="N435" s="1"/>
      <c r="O435" s="1"/>
      <c r="P435" s="1"/>
      <c r="Q435" s="1"/>
      <c r="R435" s="1"/>
      <c r="S435" s="1"/>
      <c r="T435" s="1"/>
      <c r="U435" s="1"/>
      <c r="V435" s="1"/>
      <c r="W435" s="1"/>
      <c r="X435" s="1"/>
      <c r="Y435" s="1"/>
      <c r="Z435" s="1"/>
      <c r="AA435" s="1"/>
      <c r="AB435" s="1"/>
      <c r="AC435" s="1"/>
    </row>
    <row r="436">
      <c r="A436" s="1"/>
      <c r="B436" s="1"/>
      <c r="C436" s="1"/>
      <c r="D436" s="1"/>
      <c r="E436" s="1"/>
      <c r="F436" s="2"/>
      <c r="G436" s="2"/>
      <c r="H436" s="1"/>
      <c r="I436" s="1"/>
      <c r="J436" s="1"/>
      <c r="K436" s="3"/>
      <c r="L436" s="1"/>
      <c r="M436" s="1"/>
      <c r="N436" s="1"/>
      <c r="O436" s="1"/>
      <c r="P436" s="1"/>
      <c r="Q436" s="1"/>
      <c r="R436" s="1"/>
      <c r="S436" s="1"/>
      <c r="T436" s="1"/>
      <c r="U436" s="1"/>
      <c r="V436" s="1"/>
      <c r="W436" s="1"/>
      <c r="X436" s="1"/>
      <c r="Y436" s="1"/>
      <c r="Z436" s="1"/>
      <c r="AA436" s="1"/>
      <c r="AB436" s="1"/>
      <c r="AC436" s="1"/>
    </row>
    <row r="437">
      <c r="A437" s="1"/>
      <c r="B437" s="1"/>
      <c r="C437" s="1"/>
      <c r="D437" s="1"/>
      <c r="E437" s="1"/>
      <c r="F437" s="2"/>
      <c r="G437" s="2"/>
      <c r="H437" s="1"/>
      <c r="I437" s="1"/>
      <c r="J437" s="1"/>
      <c r="K437" s="3"/>
      <c r="L437" s="1"/>
      <c r="M437" s="1"/>
      <c r="N437" s="1"/>
      <c r="O437" s="1"/>
      <c r="P437" s="1"/>
      <c r="Q437" s="1"/>
      <c r="R437" s="1"/>
      <c r="S437" s="1"/>
      <c r="T437" s="1"/>
      <c r="U437" s="1"/>
      <c r="V437" s="1"/>
      <c r="W437" s="1"/>
      <c r="X437" s="1"/>
      <c r="Y437" s="1"/>
      <c r="Z437" s="1"/>
      <c r="AA437" s="1"/>
      <c r="AB437" s="1"/>
      <c r="AC437" s="1"/>
    </row>
    <row r="438">
      <c r="A438" s="1"/>
      <c r="B438" s="1"/>
      <c r="C438" s="1"/>
      <c r="D438" s="1"/>
      <c r="E438" s="1"/>
      <c r="F438" s="2"/>
      <c r="G438" s="2"/>
      <c r="H438" s="1"/>
      <c r="I438" s="1"/>
      <c r="J438" s="1"/>
      <c r="K438" s="3"/>
      <c r="L438" s="1"/>
      <c r="M438" s="1"/>
      <c r="N438" s="1"/>
      <c r="O438" s="1"/>
      <c r="P438" s="1"/>
      <c r="Q438" s="1"/>
      <c r="R438" s="1"/>
      <c r="S438" s="1"/>
      <c r="T438" s="1"/>
      <c r="U438" s="1"/>
      <c r="V438" s="1"/>
      <c r="W438" s="1"/>
      <c r="X438" s="1"/>
      <c r="Y438" s="1"/>
      <c r="Z438" s="1"/>
      <c r="AA438" s="1"/>
      <c r="AB438" s="1"/>
      <c r="AC438" s="1"/>
    </row>
    <row r="439">
      <c r="A439" s="1"/>
      <c r="B439" s="1"/>
      <c r="C439" s="1"/>
      <c r="D439" s="1"/>
      <c r="E439" s="1"/>
      <c r="F439" s="2"/>
      <c r="G439" s="2"/>
      <c r="H439" s="1"/>
      <c r="I439" s="1"/>
      <c r="J439" s="1"/>
      <c r="K439" s="3"/>
      <c r="L439" s="1"/>
      <c r="M439" s="1"/>
      <c r="N439" s="1"/>
      <c r="O439" s="1"/>
      <c r="P439" s="1"/>
      <c r="Q439" s="1"/>
      <c r="R439" s="1"/>
      <c r="S439" s="1"/>
      <c r="T439" s="1"/>
      <c r="U439" s="1"/>
      <c r="V439" s="1"/>
      <c r="W439" s="1"/>
      <c r="X439" s="1"/>
      <c r="Y439" s="1"/>
      <c r="Z439" s="1"/>
      <c r="AA439" s="1"/>
      <c r="AB439" s="1"/>
      <c r="AC439" s="1"/>
    </row>
    <row r="440">
      <c r="A440" s="1"/>
      <c r="B440" s="1"/>
      <c r="C440" s="1"/>
      <c r="D440" s="1"/>
      <c r="E440" s="1"/>
      <c r="F440" s="2"/>
      <c r="G440" s="2"/>
      <c r="H440" s="1"/>
      <c r="I440" s="1"/>
      <c r="J440" s="1"/>
      <c r="K440" s="3"/>
      <c r="L440" s="1"/>
      <c r="M440" s="1"/>
      <c r="N440" s="1"/>
      <c r="O440" s="1"/>
      <c r="P440" s="1"/>
      <c r="Q440" s="1"/>
      <c r="R440" s="1"/>
      <c r="S440" s="1"/>
      <c r="T440" s="1"/>
      <c r="U440" s="1"/>
      <c r="V440" s="1"/>
      <c r="W440" s="1"/>
      <c r="X440" s="1"/>
      <c r="Y440" s="1"/>
      <c r="Z440" s="1"/>
      <c r="AA440" s="1"/>
      <c r="AB440" s="1"/>
      <c r="AC440" s="1"/>
    </row>
    <row r="441">
      <c r="A441" s="1"/>
      <c r="B441" s="1"/>
      <c r="C441" s="1"/>
      <c r="D441" s="1"/>
      <c r="E441" s="1"/>
      <c r="F441" s="2"/>
      <c r="G441" s="2"/>
      <c r="H441" s="1"/>
      <c r="I441" s="1"/>
      <c r="J441" s="1"/>
      <c r="K441" s="3"/>
      <c r="L441" s="1"/>
      <c r="M441" s="1"/>
      <c r="N441" s="1"/>
      <c r="O441" s="1"/>
      <c r="P441" s="1"/>
      <c r="Q441" s="1"/>
      <c r="R441" s="1"/>
      <c r="S441" s="1"/>
      <c r="T441" s="1"/>
      <c r="U441" s="1"/>
      <c r="V441" s="1"/>
      <c r="W441" s="1"/>
      <c r="X441" s="1"/>
      <c r="Y441" s="1"/>
      <c r="Z441" s="1"/>
      <c r="AA441" s="1"/>
      <c r="AB441" s="1"/>
      <c r="AC441" s="1"/>
    </row>
    <row r="442">
      <c r="A442" s="1"/>
      <c r="B442" s="1"/>
      <c r="C442" s="1"/>
      <c r="D442" s="1"/>
      <c r="E442" s="1"/>
      <c r="F442" s="2"/>
      <c r="G442" s="2"/>
      <c r="H442" s="1"/>
      <c r="I442" s="1"/>
      <c r="J442" s="1"/>
      <c r="K442" s="3"/>
      <c r="L442" s="1"/>
      <c r="M442" s="1"/>
      <c r="N442" s="1"/>
      <c r="O442" s="1"/>
      <c r="P442" s="1"/>
      <c r="Q442" s="1"/>
      <c r="R442" s="1"/>
      <c r="S442" s="1"/>
      <c r="T442" s="1"/>
      <c r="U442" s="1"/>
      <c r="V442" s="1"/>
      <c r="W442" s="1"/>
      <c r="X442" s="1"/>
      <c r="Y442" s="1"/>
      <c r="Z442" s="1"/>
      <c r="AA442" s="1"/>
      <c r="AB442" s="1"/>
      <c r="AC442" s="1"/>
    </row>
    <row r="443">
      <c r="A443" s="1"/>
      <c r="B443" s="1"/>
      <c r="C443" s="1"/>
      <c r="D443" s="1"/>
      <c r="E443" s="1"/>
      <c r="F443" s="2"/>
      <c r="G443" s="2"/>
      <c r="H443" s="1"/>
      <c r="I443" s="1"/>
      <c r="J443" s="1"/>
      <c r="K443" s="3"/>
      <c r="L443" s="1"/>
      <c r="M443" s="1"/>
      <c r="N443" s="1"/>
      <c r="O443" s="1"/>
      <c r="P443" s="1"/>
      <c r="Q443" s="1"/>
      <c r="R443" s="1"/>
      <c r="S443" s="1"/>
      <c r="T443" s="1"/>
      <c r="U443" s="1"/>
      <c r="V443" s="1"/>
      <c r="W443" s="1"/>
      <c r="X443" s="1"/>
      <c r="Y443" s="1"/>
      <c r="Z443" s="1"/>
      <c r="AA443" s="1"/>
      <c r="AB443" s="1"/>
      <c r="AC443" s="1"/>
    </row>
    <row r="444">
      <c r="A444" s="1"/>
      <c r="B444" s="1"/>
      <c r="C444" s="1"/>
      <c r="D444" s="1"/>
      <c r="E444" s="1"/>
      <c r="F444" s="2"/>
      <c r="G444" s="2"/>
      <c r="H444" s="1"/>
      <c r="I444" s="1"/>
      <c r="J444" s="1"/>
      <c r="K444" s="3"/>
      <c r="L444" s="1"/>
      <c r="M444" s="1"/>
      <c r="N444" s="1"/>
      <c r="O444" s="1"/>
      <c r="P444" s="1"/>
      <c r="Q444" s="1"/>
      <c r="R444" s="1"/>
      <c r="S444" s="1"/>
      <c r="T444" s="1"/>
      <c r="U444" s="1"/>
      <c r="V444" s="1"/>
      <c r="W444" s="1"/>
      <c r="X444" s="1"/>
      <c r="Y444" s="1"/>
      <c r="Z444" s="1"/>
      <c r="AA444" s="1"/>
      <c r="AB444" s="1"/>
      <c r="AC444" s="1"/>
    </row>
    <row r="445">
      <c r="A445" s="1"/>
      <c r="B445" s="1"/>
      <c r="C445" s="1"/>
      <c r="D445" s="1"/>
      <c r="E445" s="1"/>
      <c r="F445" s="2"/>
      <c r="G445" s="2"/>
      <c r="H445" s="1"/>
      <c r="I445" s="1"/>
      <c r="J445" s="1"/>
      <c r="K445" s="3"/>
      <c r="L445" s="1"/>
      <c r="M445" s="1"/>
      <c r="N445" s="1"/>
      <c r="O445" s="1"/>
      <c r="P445" s="1"/>
      <c r="Q445" s="1"/>
      <c r="R445" s="1"/>
      <c r="S445" s="1"/>
      <c r="T445" s="1"/>
      <c r="U445" s="1"/>
      <c r="V445" s="1"/>
      <c r="W445" s="1"/>
      <c r="X445" s="1"/>
      <c r="Y445" s="1"/>
      <c r="Z445" s="1"/>
      <c r="AA445" s="1"/>
      <c r="AB445" s="1"/>
      <c r="AC445" s="1"/>
    </row>
    <row r="446">
      <c r="A446" s="1"/>
      <c r="B446" s="1"/>
      <c r="C446" s="1"/>
      <c r="D446" s="1"/>
      <c r="E446" s="1"/>
      <c r="F446" s="2"/>
      <c r="G446" s="2"/>
      <c r="H446" s="1"/>
      <c r="I446" s="1"/>
      <c r="J446" s="1"/>
      <c r="K446" s="3"/>
      <c r="L446" s="1"/>
      <c r="M446" s="1"/>
      <c r="N446" s="1"/>
      <c r="O446" s="1"/>
      <c r="P446" s="1"/>
      <c r="Q446" s="1"/>
      <c r="R446" s="1"/>
      <c r="S446" s="1"/>
      <c r="T446" s="1"/>
      <c r="U446" s="1"/>
      <c r="V446" s="1"/>
      <c r="W446" s="1"/>
      <c r="X446" s="1"/>
      <c r="Y446" s="1"/>
      <c r="Z446" s="1"/>
      <c r="AA446" s="1"/>
      <c r="AB446" s="1"/>
      <c r="AC446" s="1"/>
    </row>
    <row r="447">
      <c r="A447" s="1"/>
      <c r="B447" s="1"/>
      <c r="C447" s="1"/>
      <c r="D447" s="1"/>
      <c r="E447" s="1"/>
      <c r="F447" s="2"/>
      <c r="G447" s="2"/>
      <c r="H447" s="1"/>
      <c r="I447" s="1"/>
      <c r="J447" s="1"/>
      <c r="K447" s="3"/>
      <c r="L447" s="1"/>
      <c r="M447" s="1"/>
      <c r="N447" s="1"/>
      <c r="O447" s="1"/>
      <c r="P447" s="1"/>
      <c r="Q447" s="1"/>
      <c r="R447" s="1"/>
      <c r="S447" s="1"/>
      <c r="T447" s="1"/>
      <c r="U447" s="1"/>
      <c r="V447" s="1"/>
      <c r="W447" s="1"/>
      <c r="X447" s="1"/>
      <c r="Y447" s="1"/>
      <c r="Z447" s="1"/>
      <c r="AA447" s="1"/>
      <c r="AB447" s="1"/>
      <c r="AC447" s="1"/>
    </row>
    <row r="448">
      <c r="A448" s="1"/>
      <c r="B448" s="1"/>
      <c r="C448" s="1"/>
      <c r="D448" s="1"/>
      <c r="E448" s="1"/>
      <c r="F448" s="2"/>
      <c r="G448" s="2"/>
      <c r="H448" s="1"/>
      <c r="I448" s="1"/>
      <c r="J448" s="1"/>
      <c r="K448" s="3"/>
      <c r="L448" s="1"/>
      <c r="M448" s="1"/>
      <c r="N448" s="1"/>
      <c r="O448" s="1"/>
      <c r="P448" s="1"/>
      <c r="Q448" s="1"/>
      <c r="R448" s="1"/>
      <c r="S448" s="1"/>
      <c r="T448" s="1"/>
      <c r="U448" s="1"/>
      <c r="V448" s="1"/>
      <c r="W448" s="1"/>
      <c r="X448" s="1"/>
      <c r="Y448" s="1"/>
      <c r="Z448" s="1"/>
      <c r="AA448" s="1"/>
      <c r="AB448" s="1"/>
      <c r="AC448" s="1"/>
    </row>
    <row r="449">
      <c r="A449" s="1"/>
      <c r="B449" s="1"/>
      <c r="C449" s="1"/>
      <c r="D449" s="1"/>
      <c r="E449" s="1"/>
      <c r="F449" s="2"/>
      <c r="G449" s="2"/>
      <c r="H449" s="1"/>
      <c r="I449" s="1"/>
      <c r="J449" s="1"/>
      <c r="K449" s="3"/>
      <c r="L449" s="1"/>
      <c r="M449" s="1"/>
      <c r="N449" s="1"/>
      <c r="O449" s="1"/>
      <c r="P449" s="1"/>
      <c r="Q449" s="1"/>
      <c r="R449" s="1"/>
      <c r="S449" s="1"/>
      <c r="T449" s="1"/>
      <c r="U449" s="1"/>
      <c r="V449" s="1"/>
      <c r="W449" s="1"/>
      <c r="X449" s="1"/>
      <c r="Y449" s="1"/>
      <c r="Z449" s="1"/>
      <c r="AA449" s="1"/>
      <c r="AB449" s="1"/>
      <c r="AC449" s="1"/>
    </row>
    <row r="450">
      <c r="A450" s="1"/>
      <c r="B450" s="1"/>
      <c r="C450" s="1"/>
      <c r="D450" s="1"/>
      <c r="E450" s="1"/>
      <c r="F450" s="2"/>
      <c r="G450" s="2"/>
      <c r="H450" s="1"/>
      <c r="I450" s="1"/>
      <c r="J450" s="1"/>
      <c r="K450" s="3"/>
      <c r="L450" s="1"/>
      <c r="M450" s="1"/>
      <c r="N450" s="1"/>
      <c r="O450" s="1"/>
      <c r="P450" s="1"/>
      <c r="Q450" s="1"/>
      <c r="R450" s="1"/>
      <c r="S450" s="1"/>
      <c r="T450" s="1"/>
      <c r="U450" s="1"/>
      <c r="V450" s="1"/>
      <c r="W450" s="1"/>
      <c r="X450" s="1"/>
      <c r="Y450" s="1"/>
      <c r="Z450" s="1"/>
      <c r="AA450" s="1"/>
      <c r="AB450" s="1"/>
      <c r="AC450" s="1"/>
    </row>
    <row r="451">
      <c r="A451" s="1"/>
      <c r="B451" s="1"/>
      <c r="C451" s="1"/>
      <c r="D451" s="1"/>
      <c r="E451" s="1"/>
      <c r="F451" s="2"/>
      <c r="G451" s="2"/>
      <c r="H451" s="1"/>
      <c r="I451" s="1"/>
      <c r="J451" s="1"/>
      <c r="K451" s="3"/>
      <c r="L451" s="1"/>
      <c r="M451" s="1"/>
      <c r="N451" s="1"/>
      <c r="O451" s="1"/>
      <c r="P451" s="1"/>
      <c r="Q451" s="1"/>
      <c r="R451" s="1"/>
      <c r="S451" s="1"/>
      <c r="T451" s="1"/>
      <c r="U451" s="1"/>
      <c r="V451" s="1"/>
      <c r="W451" s="1"/>
      <c r="X451" s="1"/>
      <c r="Y451" s="1"/>
      <c r="Z451" s="1"/>
      <c r="AA451" s="1"/>
      <c r="AB451" s="1"/>
      <c r="AC451" s="1"/>
    </row>
    <row r="452">
      <c r="A452" s="1"/>
      <c r="B452" s="1"/>
      <c r="C452" s="1"/>
      <c r="D452" s="1"/>
      <c r="E452" s="1"/>
      <c r="F452" s="2"/>
      <c r="G452" s="2"/>
      <c r="H452" s="1"/>
      <c r="I452" s="1"/>
      <c r="J452" s="1"/>
      <c r="K452" s="3"/>
      <c r="L452" s="1"/>
      <c r="M452" s="1"/>
      <c r="N452" s="1"/>
      <c r="O452" s="1"/>
      <c r="P452" s="1"/>
      <c r="Q452" s="1"/>
      <c r="R452" s="1"/>
      <c r="S452" s="1"/>
      <c r="T452" s="1"/>
      <c r="U452" s="1"/>
      <c r="V452" s="1"/>
      <c r="W452" s="1"/>
      <c r="X452" s="1"/>
      <c r="Y452" s="1"/>
      <c r="Z452" s="1"/>
      <c r="AA452" s="1"/>
      <c r="AB452" s="1"/>
      <c r="AC452" s="1"/>
    </row>
    <row r="453">
      <c r="A453" s="1"/>
      <c r="B453" s="1"/>
      <c r="C453" s="1"/>
      <c r="D453" s="1"/>
      <c r="E453" s="1"/>
      <c r="F453" s="2"/>
      <c r="G453" s="2"/>
      <c r="H453" s="1"/>
      <c r="I453" s="1"/>
      <c r="J453" s="1"/>
      <c r="K453" s="3"/>
      <c r="L453" s="1"/>
      <c r="M453" s="1"/>
      <c r="N453" s="1"/>
      <c r="O453" s="1"/>
      <c r="P453" s="1"/>
      <c r="Q453" s="1"/>
      <c r="R453" s="1"/>
      <c r="S453" s="1"/>
      <c r="T453" s="1"/>
      <c r="U453" s="1"/>
      <c r="V453" s="1"/>
      <c r="W453" s="1"/>
      <c r="X453" s="1"/>
      <c r="Y453" s="1"/>
      <c r="Z453" s="1"/>
      <c r="AA453" s="1"/>
      <c r="AB453" s="1"/>
      <c r="AC453" s="1"/>
    </row>
    <row r="454">
      <c r="A454" s="1"/>
      <c r="B454" s="1"/>
      <c r="C454" s="1"/>
      <c r="D454" s="1"/>
      <c r="E454" s="1"/>
      <c r="F454" s="2"/>
      <c r="G454" s="2"/>
      <c r="H454" s="1"/>
      <c r="I454" s="1"/>
      <c r="J454" s="1"/>
      <c r="K454" s="3"/>
      <c r="L454" s="1"/>
      <c r="M454" s="1"/>
      <c r="N454" s="1"/>
      <c r="O454" s="1"/>
      <c r="P454" s="1"/>
      <c r="Q454" s="1"/>
      <c r="R454" s="1"/>
      <c r="S454" s="1"/>
      <c r="T454" s="1"/>
      <c r="U454" s="1"/>
      <c r="V454" s="1"/>
      <c r="W454" s="1"/>
      <c r="X454" s="1"/>
      <c r="Y454" s="1"/>
      <c r="Z454" s="1"/>
      <c r="AA454" s="1"/>
      <c r="AB454" s="1"/>
      <c r="AC454" s="1"/>
    </row>
    <row r="455">
      <c r="A455" s="1"/>
      <c r="B455" s="1"/>
      <c r="C455" s="1"/>
      <c r="D455" s="1"/>
      <c r="E455" s="1"/>
      <c r="F455" s="2"/>
      <c r="G455" s="2"/>
      <c r="H455" s="1"/>
      <c r="I455" s="1"/>
      <c r="J455" s="1"/>
      <c r="K455" s="3"/>
      <c r="L455" s="1"/>
      <c r="M455" s="1"/>
      <c r="N455" s="1"/>
      <c r="O455" s="1"/>
      <c r="P455" s="1"/>
      <c r="Q455" s="1"/>
      <c r="R455" s="1"/>
      <c r="S455" s="1"/>
      <c r="T455" s="1"/>
      <c r="U455" s="1"/>
      <c r="V455" s="1"/>
      <c r="W455" s="1"/>
      <c r="X455" s="1"/>
      <c r="Y455" s="1"/>
      <c r="Z455" s="1"/>
      <c r="AA455" s="1"/>
      <c r="AB455" s="1"/>
      <c r="AC455" s="1"/>
    </row>
    <row r="456">
      <c r="A456" s="1"/>
      <c r="B456" s="1"/>
      <c r="C456" s="1"/>
      <c r="D456" s="1"/>
      <c r="E456" s="1"/>
      <c r="F456" s="2"/>
      <c r="G456" s="2"/>
      <c r="H456" s="1"/>
      <c r="I456" s="1"/>
      <c r="J456" s="1"/>
      <c r="K456" s="3"/>
      <c r="L456" s="1"/>
      <c r="M456" s="1"/>
      <c r="N456" s="1"/>
      <c r="O456" s="1"/>
      <c r="P456" s="1"/>
      <c r="Q456" s="1"/>
      <c r="R456" s="1"/>
      <c r="S456" s="1"/>
      <c r="T456" s="1"/>
      <c r="U456" s="1"/>
      <c r="V456" s="1"/>
      <c r="W456" s="1"/>
      <c r="X456" s="1"/>
      <c r="Y456" s="1"/>
      <c r="Z456" s="1"/>
      <c r="AA456" s="1"/>
      <c r="AB456" s="1"/>
      <c r="AC456" s="1"/>
    </row>
    <row r="457">
      <c r="A457" s="1"/>
      <c r="B457" s="1"/>
      <c r="C457" s="1"/>
      <c r="D457" s="1"/>
      <c r="E457" s="1"/>
      <c r="F457" s="2"/>
      <c r="G457" s="2"/>
      <c r="H457" s="1"/>
      <c r="I457" s="1"/>
      <c r="J457" s="1"/>
      <c r="K457" s="3"/>
      <c r="L457" s="1"/>
      <c r="M457" s="1"/>
      <c r="N457" s="1"/>
      <c r="O457" s="1"/>
      <c r="P457" s="1"/>
      <c r="Q457" s="1"/>
      <c r="R457" s="1"/>
      <c r="S457" s="1"/>
      <c r="T457" s="1"/>
      <c r="U457" s="1"/>
      <c r="V457" s="1"/>
      <c r="W457" s="1"/>
      <c r="X457" s="1"/>
      <c r="Y457" s="1"/>
      <c r="Z457" s="1"/>
      <c r="AA457" s="1"/>
      <c r="AB457" s="1"/>
      <c r="AC457" s="1"/>
    </row>
    <row r="458">
      <c r="A458" s="1"/>
      <c r="B458" s="1"/>
      <c r="C458" s="1"/>
      <c r="D458" s="1"/>
      <c r="E458" s="1"/>
      <c r="F458" s="2"/>
      <c r="G458" s="2"/>
      <c r="H458" s="1"/>
      <c r="I458" s="1"/>
      <c r="J458" s="1"/>
      <c r="K458" s="3"/>
      <c r="L458" s="1"/>
      <c r="M458" s="1"/>
      <c r="N458" s="1"/>
      <c r="O458" s="1"/>
      <c r="P458" s="1"/>
      <c r="Q458" s="1"/>
      <c r="R458" s="1"/>
      <c r="S458" s="1"/>
      <c r="T458" s="1"/>
      <c r="U458" s="1"/>
      <c r="V458" s="1"/>
      <c r="W458" s="1"/>
      <c r="X458" s="1"/>
      <c r="Y458" s="1"/>
      <c r="Z458" s="1"/>
      <c r="AA458" s="1"/>
      <c r="AB458" s="1"/>
      <c r="AC458" s="1"/>
    </row>
    <row r="459">
      <c r="A459" s="1"/>
      <c r="B459" s="1"/>
      <c r="C459" s="1"/>
      <c r="D459" s="1"/>
      <c r="E459" s="1"/>
      <c r="F459" s="2"/>
      <c r="G459" s="2"/>
      <c r="H459" s="1"/>
      <c r="I459" s="1"/>
      <c r="J459" s="1"/>
      <c r="K459" s="3"/>
      <c r="L459" s="1"/>
      <c r="M459" s="1"/>
      <c r="N459" s="1"/>
      <c r="O459" s="1"/>
      <c r="P459" s="1"/>
      <c r="Q459" s="1"/>
      <c r="R459" s="1"/>
      <c r="S459" s="1"/>
      <c r="T459" s="1"/>
      <c r="U459" s="1"/>
      <c r="V459" s="1"/>
      <c r="W459" s="1"/>
      <c r="X459" s="1"/>
      <c r="Y459" s="1"/>
      <c r="Z459" s="1"/>
      <c r="AA459" s="1"/>
      <c r="AB459" s="1"/>
      <c r="AC459" s="1"/>
    </row>
    <row r="460">
      <c r="A460" s="1"/>
      <c r="B460" s="1"/>
      <c r="C460" s="1"/>
      <c r="D460" s="1"/>
      <c r="E460" s="1"/>
      <c r="F460" s="2"/>
      <c r="G460" s="2"/>
      <c r="H460" s="1"/>
      <c r="I460" s="1"/>
      <c r="J460" s="1"/>
      <c r="K460" s="3"/>
      <c r="L460" s="1"/>
      <c r="M460" s="1"/>
      <c r="N460" s="1"/>
      <c r="O460" s="1"/>
      <c r="P460" s="1"/>
      <c r="Q460" s="1"/>
      <c r="R460" s="1"/>
      <c r="S460" s="1"/>
      <c r="T460" s="1"/>
      <c r="U460" s="1"/>
      <c r="V460" s="1"/>
      <c r="W460" s="1"/>
      <c r="X460" s="1"/>
      <c r="Y460" s="1"/>
      <c r="Z460" s="1"/>
      <c r="AA460" s="1"/>
      <c r="AB460" s="1"/>
      <c r="AC460" s="1"/>
    </row>
    <row r="461">
      <c r="A461" s="1"/>
      <c r="B461" s="1"/>
      <c r="C461" s="1"/>
      <c r="D461" s="1"/>
      <c r="E461" s="1"/>
      <c r="F461" s="2"/>
      <c r="G461" s="2"/>
      <c r="H461" s="1"/>
      <c r="I461" s="1"/>
      <c r="J461" s="1"/>
      <c r="K461" s="3"/>
      <c r="L461" s="1"/>
      <c r="M461" s="1"/>
      <c r="N461" s="1"/>
      <c r="O461" s="1"/>
      <c r="P461" s="1"/>
      <c r="Q461" s="1"/>
      <c r="R461" s="1"/>
      <c r="S461" s="1"/>
      <c r="T461" s="1"/>
      <c r="U461" s="1"/>
      <c r="V461" s="1"/>
      <c r="W461" s="1"/>
      <c r="X461" s="1"/>
      <c r="Y461" s="1"/>
      <c r="Z461" s="1"/>
      <c r="AA461" s="1"/>
      <c r="AB461" s="1"/>
      <c r="AC461" s="1"/>
    </row>
    <row r="462">
      <c r="A462" s="1"/>
      <c r="B462" s="1"/>
      <c r="C462" s="1"/>
      <c r="D462" s="1"/>
      <c r="E462" s="1"/>
      <c r="F462" s="2"/>
      <c r="G462" s="2"/>
      <c r="H462" s="1"/>
      <c r="I462" s="1"/>
      <c r="J462" s="1"/>
      <c r="K462" s="3"/>
      <c r="L462" s="1"/>
      <c r="M462" s="1"/>
      <c r="N462" s="1"/>
      <c r="O462" s="1"/>
      <c r="P462" s="1"/>
      <c r="Q462" s="1"/>
      <c r="R462" s="1"/>
      <c r="S462" s="1"/>
      <c r="T462" s="1"/>
      <c r="U462" s="1"/>
      <c r="V462" s="1"/>
      <c r="W462" s="1"/>
      <c r="X462" s="1"/>
      <c r="Y462" s="1"/>
      <c r="Z462" s="1"/>
      <c r="AA462" s="1"/>
      <c r="AB462" s="1"/>
      <c r="AC462" s="1"/>
    </row>
    <row r="463">
      <c r="A463" s="1"/>
      <c r="B463" s="1"/>
      <c r="C463" s="1"/>
      <c r="D463" s="1"/>
      <c r="E463" s="1"/>
      <c r="F463" s="2"/>
      <c r="G463" s="2"/>
      <c r="H463" s="1"/>
      <c r="I463" s="1"/>
      <c r="J463" s="1"/>
      <c r="K463" s="3"/>
      <c r="L463" s="1"/>
      <c r="M463" s="1"/>
      <c r="N463" s="1"/>
      <c r="O463" s="1"/>
      <c r="P463" s="1"/>
      <c r="Q463" s="1"/>
      <c r="R463" s="1"/>
      <c r="S463" s="1"/>
      <c r="T463" s="1"/>
      <c r="U463" s="1"/>
      <c r="V463" s="1"/>
      <c r="W463" s="1"/>
      <c r="X463" s="1"/>
      <c r="Y463" s="1"/>
      <c r="Z463" s="1"/>
      <c r="AA463" s="1"/>
      <c r="AB463" s="1"/>
      <c r="AC463" s="1"/>
    </row>
    <row r="464">
      <c r="A464" s="1"/>
      <c r="B464" s="1"/>
      <c r="C464" s="1"/>
      <c r="D464" s="1"/>
      <c r="E464" s="1"/>
      <c r="F464" s="2"/>
      <c r="G464" s="2"/>
      <c r="H464" s="1"/>
      <c r="I464" s="1"/>
      <c r="J464" s="1"/>
      <c r="K464" s="3"/>
      <c r="L464" s="1"/>
      <c r="M464" s="1"/>
      <c r="N464" s="1"/>
      <c r="O464" s="1"/>
      <c r="P464" s="1"/>
      <c r="Q464" s="1"/>
      <c r="R464" s="1"/>
      <c r="S464" s="1"/>
      <c r="T464" s="1"/>
      <c r="U464" s="1"/>
      <c r="V464" s="1"/>
      <c r="W464" s="1"/>
      <c r="X464" s="1"/>
      <c r="Y464" s="1"/>
      <c r="Z464" s="1"/>
      <c r="AA464" s="1"/>
      <c r="AB464" s="1"/>
      <c r="AC464" s="1"/>
    </row>
    <row r="465">
      <c r="A465" s="1"/>
      <c r="B465" s="1"/>
      <c r="C465" s="1"/>
      <c r="D465" s="1"/>
      <c r="E465" s="1"/>
      <c r="F465" s="2"/>
      <c r="G465" s="2"/>
      <c r="H465" s="1"/>
      <c r="I465" s="1"/>
      <c r="J465" s="1"/>
      <c r="K465" s="3"/>
      <c r="L465" s="1"/>
      <c r="M465" s="1"/>
      <c r="N465" s="1"/>
      <c r="O465" s="1"/>
      <c r="P465" s="1"/>
      <c r="Q465" s="1"/>
      <c r="R465" s="1"/>
      <c r="S465" s="1"/>
      <c r="T465" s="1"/>
      <c r="U465" s="1"/>
      <c r="V465" s="1"/>
      <c r="W465" s="1"/>
      <c r="X465" s="1"/>
      <c r="Y465" s="1"/>
      <c r="Z465" s="1"/>
      <c r="AA465" s="1"/>
      <c r="AB465" s="1"/>
      <c r="AC465" s="1"/>
    </row>
    <row r="466">
      <c r="A466" s="1"/>
      <c r="B466" s="1"/>
      <c r="C466" s="1"/>
      <c r="D466" s="1"/>
      <c r="E466" s="1"/>
      <c r="F466" s="2"/>
      <c r="G466" s="2"/>
      <c r="H466" s="1"/>
      <c r="I466" s="1"/>
      <c r="J466" s="1"/>
      <c r="K466" s="3"/>
      <c r="L466" s="1"/>
      <c r="M466" s="1"/>
      <c r="N466" s="1"/>
      <c r="O466" s="1"/>
      <c r="P466" s="1"/>
      <c r="Q466" s="1"/>
      <c r="R466" s="1"/>
      <c r="S466" s="1"/>
      <c r="T466" s="1"/>
      <c r="U466" s="1"/>
      <c r="V466" s="1"/>
      <c r="W466" s="1"/>
      <c r="X466" s="1"/>
      <c r="Y466" s="1"/>
      <c r="Z466" s="1"/>
      <c r="AA466" s="1"/>
      <c r="AB466" s="1"/>
      <c r="AC466" s="1"/>
    </row>
    <row r="467">
      <c r="A467" s="1"/>
      <c r="B467" s="1"/>
      <c r="C467" s="1"/>
      <c r="D467" s="1"/>
      <c r="E467" s="1"/>
      <c r="F467" s="2"/>
      <c r="G467" s="2"/>
      <c r="H467" s="1"/>
      <c r="I467" s="1"/>
      <c r="J467" s="1"/>
      <c r="K467" s="3"/>
      <c r="L467" s="1"/>
      <c r="M467" s="1"/>
      <c r="N467" s="1"/>
      <c r="O467" s="1"/>
      <c r="P467" s="1"/>
      <c r="Q467" s="1"/>
      <c r="R467" s="1"/>
      <c r="S467" s="1"/>
      <c r="T467" s="1"/>
      <c r="U467" s="1"/>
      <c r="V467" s="1"/>
      <c r="W467" s="1"/>
      <c r="X467" s="1"/>
      <c r="Y467" s="1"/>
      <c r="Z467" s="1"/>
      <c r="AA467" s="1"/>
      <c r="AB467" s="1"/>
      <c r="AC467" s="1"/>
    </row>
    <row r="468">
      <c r="A468" s="1"/>
      <c r="B468" s="1"/>
      <c r="C468" s="1"/>
      <c r="D468" s="1"/>
      <c r="E468" s="1"/>
      <c r="F468" s="2"/>
      <c r="G468" s="2"/>
      <c r="H468" s="1"/>
      <c r="I468" s="1"/>
      <c r="J468" s="1"/>
      <c r="K468" s="3"/>
      <c r="L468" s="1"/>
      <c r="M468" s="1"/>
      <c r="N468" s="1"/>
      <c r="O468" s="1"/>
      <c r="P468" s="1"/>
      <c r="Q468" s="1"/>
      <c r="R468" s="1"/>
      <c r="S468" s="1"/>
      <c r="T468" s="1"/>
      <c r="U468" s="1"/>
      <c r="V468" s="1"/>
      <c r="W468" s="1"/>
      <c r="X468" s="1"/>
      <c r="Y468" s="1"/>
      <c r="Z468" s="1"/>
      <c r="AA468" s="1"/>
      <c r="AB468" s="1"/>
      <c r="AC468" s="1"/>
    </row>
    <row r="469">
      <c r="A469" s="1"/>
      <c r="B469" s="1"/>
      <c r="C469" s="1"/>
      <c r="D469" s="1"/>
      <c r="E469" s="1"/>
      <c r="F469" s="2"/>
      <c r="G469" s="2"/>
      <c r="H469" s="1"/>
      <c r="I469" s="1"/>
      <c r="J469" s="1"/>
      <c r="K469" s="3"/>
      <c r="L469" s="1"/>
      <c r="M469" s="1"/>
      <c r="N469" s="1"/>
      <c r="O469" s="1"/>
      <c r="P469" s="1"/>
      <c r="Q469" s="1"/>
      <c r="R469" s="1"/>
      <c r="S469" s="1"/>
      <c r="T469" s="1"/>
      <c r="U469" s="1"/>
      <c r="V469" s="1"/>
      <c r="W469" s="1"/>
      <c r="X469" s="1"/>
      <c r="Y469" s="1"/>
      <c r="Z469" s="1"/>
      <c r="AA469" s="1"/>
      <c r="AB469" s="1"/>
      <c r="AC469" s="1"/>
    </row>
    <row r="470">
      <c r="A470" s="1"/>
      <c r="B470" s="1"/>
      <c r="C470" s="1"/>
      <c r="D470" s="1"/>
      <c r="E470" s="1"/>
      <c r="F470" s="2"/>
      <c r="G470" s="2"/>
      <c r="H470" s="1"/>
      <c r="I470" s="1"/>
      <c r="J470" s="1"/>
      <c r="K470" s="3"/>
      <c r="L470" s="1"/>
      <c r="M470" s="1"/>
      <c r="N470" s="1"/>
      <c r="O470" s="1"/>
      <c r="P470" s="1"/>
      <c r="Q470" s="1"/>
      <c r="R470" s="1"/>
      <c r="S470" s="1"/>
      <c r="T470" s="1"/>
      <c r="U470" s="1"/>
      <c r="V470" s="1"/>
      <c r="W470" s="1"/>
      <c r="X470" s="1"/>
      <c r="Y470" s="1"/>
      <c r="Z470" s="1"/>
      <c r="AA470" s="1"/>
      <c r="AB470" s="1"/>
      <c r="AC470" s="1"/>
    </row>
    <row r="471">
      <c r="A471" s="1"/>
      <c r="B471" s="1"/>
      <c r="C471" s="1"/>
      <c r="D471" s="1"/>
      <c r="E471" s="1"/>
      <c r="F471" s="2"/>
      <c r="G471" s="2"/>
      <c r="H471" s="1"/>
      <c r="I471" s="1"/>
      <c r="J471" s="1"/>
      <c r="K471" s="3"/>
      <c r="L471" s="1"/>
      <c r="M471" s="1"/>
      <c r="N471" s="1"/>
      <c r="O471" s="1"/>
      <c r="P471" s="1"/>
      <c r="Q471" s="1"/>
      <c r="R471" s="1"/>
      <c r="S471" s="1"/>
      <c r="T471" s="1"/>
      <c r="U471" s="1"/>
      <c r="V471" s="1"/>
      <c r="W471" s="1"/>
      <c r="X471" s="1"/>
      <c r="Y471" s="1"/>
      <c r="Z471" s="1"/>
      <c r="AA471" s="1"/>
      <c r="AB471" s="1"/>
      <c r="AC471" s="1"/>
    </row>
    <row r="472">
      <c r="A472" s="1"/>
      <c r="B472" s="1"/>
      <c r="C472" s="1"/>
      <c r="D472" s="1"/>
      <c r="E472" s="1"/>
      <c r="F472" s="2"/>
      <c r="G472" s="2"/>
      <c r="H472" s="1"/>
      <c r="I472" s="1"/>
      <c r="J472" s="1"/>
      <c r="K472" s="3"/>
      <c r="L472" s="1"/>
      <c r="M472" s="1"/>
      <c r="N472" s="1"/>
      <c r="O472" s="1"/>
      <c r="P472" s="1"/>
      <c r="Q472" s="1"/>
      <c r="R472" s="1"/>
      <c r="S472" s="1"/>
      <c r="T472" s="1"/>
      <c r="U472" s="1"/>
      <c r="V472" s="1"/>
      <c r="W472" s="1"/>
      <c r="X472" s="1"/>
      <c r="Y472" s="1"/>
      <c r="Z472" s="1"/>
      <c r="AA472" s="1"/>
      <c r="AB472" s="1"/>
      <c r="AC472" s="1"/>
    </row>
    <row r="473">
      <c r="A473" s="1"/>
      <c r="B473" s="1"/>
      <c r="C473" s="1"/>
      <c r="D473" s="1"/>
      <c r="E473" s="1"/>
      <c r="F473" s="2"/>
      <c r="G473" s="2"/>
      <c r="H473" s="1"/>
      <c r="I473" s="1"/>
      <c r="J473" s="1"/>
      <c r="K473" s="3"/>
      <c r="L473" s="1"/>
      <c r="M473" s="1"/>
      <c r="N473" s="1"/>
      <c r="O473" s="1"/>
      <c r="P473" s="1"/>
      <c r="Q473" s="1"/>
      <c r="R473" s="1"/>
      <c r="S473" s="1"/>
      <c r="T473" s="1"/>
      <c r="U473" s="1"/>
      <c r="V473" s="1"/>
      <c r="W473" s="1"/>
      <c r="X473" s="1"/>
      <c r="Y473" s="1"/>
      <c r="Z473" s="1"/>
      <c r="AA473" s="1"/>
      <c r="AB473" s="1"/>
      <c r="AC473" s="1"/>
    </row>
    <row r="474">
      <c r="A474" s="1"/>
      <c r="B474" s="1"/>
      <c r="C474" s="1"/>
      <c r="D474" s="1"/>
      <c r="E474" s="1"/>
      <c r="F474" s="2"/>
      <c r="G474" s="2"/>
      <c r="H474" s="1"/>
      <c r="I474" s="1"/>
      <c r="J474" s="1"/>
      <c r="K474" s="3"/>
      <c r="L474" s="1"/>
      <c r="M474" s="1"/>
      <c r="N474" s="1"/>
      <c r="O474" s="1"/>
      <c r="P474" s="1"/>
      <c r="Q474" s="1"/>
      <c r="R474" s="1"/>
      <c r="S474" s="1"/>
      <c r="T474" s="1"/>
      <c r="U474" s="1"/>
      <c r="V474" s="1"/>
      <c r="W474" s="1"/>
      <c r="X474" s="1"/>
      <c r="Y474" s="1"/>
      <c r="Z474" s="1"/>
      <c r="AA474" s="1"/>
      <c r="AB474" s="1"/>
      <c r="AC474" s="1"/>
    </row>
    <row r="475">
      <c r="A475" s="1"/>
      <c r="B475" s="1"/>
      <c r="C475" s="1"/>
      <c r="D475" s="1"/>
      <c r="E475" s="1"/>
      <c r="F475" s="2"/>
      <c r="G475" s="2"/>
      <c r="H475" s="1"/>
      <c r="I475" s="1"/>
      <c r="J475" s="1"/>
      <c r="K475" s="3"/>
      <c r="L475" s="1"/>
      <c r="M475" s="1"/>
      <c r="N475" s="1"/>
      <c r="O475" s="1"/>
      <c r="P475" s="1"/>
      <c r="Q475" s="1"/>
      <c r="R475" s="1"/>
      <c r="S475" s="1"/>
      <c r="T475" s="1"/>
      <c r="U475" s="1"/>
      <c r="V475" s="1"/>
      <c r="W475" s="1"/>
      <c r="X475" s="1"/>
      <c r="Y475" s="1"/>
      <c r="Z475" s="1"/>
      <c r="AA475" s="1"/>
      <c r="AB475" s="1"/>
      <c r="AC475" s="1"/>
    </row>
    <row r="476">
      <c r="A476" s="1"/>
      <c r="B476" s="1"/>
      <c r="C476" s="1"/>
      <c r="D476" s="1"/>
      <c r="E476" s="1"/>
      <c r="F476" s="2"/>
      <c r="G476" s="2"/>
      <c r="H476" s="1"/>
      <c r="I476" s="1"/>
      <c r="J476" s="1"/>
      <c r="K476" s="3"/>
      <c r="L476" s="1"/>
      <c r="M476" s="1"/>
      <c r="N476" s="1"/>
      <c r="O476" s="1"/>
      <c r="P476" s="1"/>
      <c r="Q476" s="1"/>
      <c r="R476" s="1"/>
      <c r="S476" s="1"/>
      <c r="T476" s="1"/>
      <c r="U476" s="1"/>
      <c r="V476" s="1"/>
      <c r="W476" s="1"/>
      <c r="X476" s="1"/>
      <c r="Y476" s="1"/>
      <c r="Z476" s="1"/>
      <c r="AA476" s="1"/>
      <c r="AB476" s="1"/>
      <c r="AC476" s="1"/>
    </row>
    <row r="477">
      <c r="A477" s="1"/>
      <c r="B477" s="1"/>
      <c r="C477" s="1"/>
      <c r="D477" s="1"/>
      <c r="E477" s="1"/>
      <c r="F477" s="2"/>
      <c r="G477" s="2"/>
      <c r="H477" s="1"/>
      <c r="I477" s="1"/>
      <c r="J477" s="1"/>
      <c r="K477" s="3"/>
      <c r="L477" s="1"/>
      <c r="M477" s="1"/>
      <c r="N477" s="1"/>
      <c r="O477" s="1"/>
      <c r="P477" s="1"/>
      <c r="Q477" s="1"/>
      <c r="R477" s="1"/>
      <c r="S477" s="1"/>
      <c r="T477" s="1"/>
      <c r="U477" s="1"/>
      <c r="V477" s="1"/>
      <c r="W477" s="1"/>
      <c r="X477" s="1"/>
      <c r="Y477" s="1"/>
      <c r="Z477" s="1"/>
      <c r="AA477" s="1"/>
      <c r="AB477" s="1"/>
      <c r="AC477" s="1"/>
    </row>
    <row r="478">
      <c r="A478" s="1"/>
      <c r="B478" s="1"/>
      <c r="C478" s="1"/>
      <c r="D478" s="1"/>
      <c r="E478" s="1"/>
      <c r="F478" s="2"/>
      <c r="G478" s="2"/>
      <c r="H478" s="1"/>
      <c r="I478" s="1"/>
      <c r="J478" s="1"/>
      <c r="K478" s="3"/>
      <c r="L478" s="1"/>
      <c r="M478" s="1"/>
      <c r="N478" s="1"/>
      <c r="O478" s="1"/>
      <c r="P478" s="1"/>
      <c r="Q478" s="1"/>
      <c r="R478" s="1"/>
      <c r="S478" s="1"/>
      <c r="T478" s="1"/>
      <c r="U478" s="1"/>
      <c r="V478" s="1"/>
      <c r="W478" s="1"/>
      <c r="X478" s="1"/>
      <c r="Y478" s="1"/>
      <c r="Z478" s="1"/>
      <c r="AA478" s="1"/>
      <c r="AB478" s="1"/>
      <c r="AC478" s="1"/>
    </row>
    <row r="479">
      <c r="A479" s="1"/>
      <c r="B479" s="1"/>
      <c r="C479" s="1"/>
      <c r="D479" s="1"/>
      <c r="E479" s="1"/>
      <c r="F479" s="2"/>
      <c r="G479" s="2"/>
      <c r="H479" s="1"/>
      <c r="I479" s="1"/>
      <c r="J479" s="1"/>
      <c r="K479" s="3"/>
      <c r="L479" s="1"/>
      <c r="M479" s="1"/>
      <c r="N479" s="1"/>
      <c r="O479" s="1"/>
      <c r="P479" s="1"/>
      <c r="Q479" s="1"/>
      <c r="R479" s="1"/>
      <c r="S479" s="1"/>
      <c r="T479" s="1"/>
      <c r="U479" s="1"/>
      <c r="V479" s="1"/>
      <c r="W479" s="1"/>
      <c r="X479" s="1"/>
      <c r="Y479" s="1"/>
      <c r="Z479" s="1"/>
      <c r="AA479" s="1"/>
      <c r="AB479" s="1"/>
      <c r="AC479" s="1"/>
    </row>
    <row r="480">
      <c r="A480" s="1"/>
      <c r="B480" s="1"/>
      <c r="C480" s="1"/>
      <c r="D480" s="1"/>
      <c r="E480" s="1"/>
      <c r="F480" s="2"/>
      <c r="G480" s="2"/>
      <c r="H480" s="1"/>
      <c r="I480" s="1"/>
      <c r="J480" s="1"/>
      <c r="K480" s="3"/>
      <c r="L480" s="1"/>
      <c r="M480" s="1"/>
      <c r="N480" s="1"/>
      <c r="O480" s="1"/>
      <c r="P480" s="1"/>
      <c r="Q480" s="1"/>
      <c r="R480" s="1"/>
      <c r="S480" s="1"/>
      <c r="T480" s="1"/>
      <c r="U480" s="1"/>
      <c r="V480" s="1"/>
      <c r="W480" s="1"/>
      <c r="X480" s="1"/>
      <c r="Y480" s="1"/>
      <c r="Z480" s="1"/>
      <c r="AA480" s="1"/>
      <c r="AB480" s="1"/>
      <c r="AC480" s="1"/>
    </row>
    <row r="481">
      <c r="A481" s="1"/>
      <c r="B481" s="1"/>
      <c r="C481" s="1"/>
      <c r="D481" s="1"/>
      <c r="E481" s="1"/>
      <c r="F481" s="2"/>
      <c r="G481" s="2"/>
      <c r="H481" s="1"/>
      <c r="I481" s="1"/>
      <c r="J481" s="1"/>
      <c r="K481" s="3"/>
      <c r="L481" s="1"/>
      <c r="M481" s="1"/>
      <c r="N481" s="1"/>
      <c r="O481" s="1"/>
      <c r="P481" s="1"/>
      <c r="Q481" s="1"/>
      <c r="R481" s="1"/>
      <c r="S481" s="1"/>
      <c r="T481" s="1"/>
      <c r="U481" s="1"/>
      <c r="V481" s="1"/>
      <c r="W481" s="1"/>
      <c r="X481" s="1"/>
      <c r="Y481" s="1"/>
      <c r="Z481" s="1"/>
      <c r="AA481" s="1"/>
      <c r="AB481" s="1"/>
      <c r="AC481" s="1"/>
    </row>
    <row r="482">
      <c r="A482" s="1"/>
      <c r="B482" s="1"/>
      <c r="C482" s="1"/>
      <c r="D482" s="1"/>
      <c r="E482" s="1"/>
      <c r="F482" s="2"/>
      <c r="G482" s="2"/>
      <c r="H482" s="1"/>
      <c r="I482" s="1"/>
      <c r="J482" s="1"/>
      <c r="K482" s="3"/>
      <c r="L482" s="1"/>
      <c r="M482" s="1"/>
      <c r="N482" s="1"/>
      <c r="O482" s="1"/>
      <c r="P482" s="1"/>
      <c r="Q482" s="1"/>
      <c r="R482" s="1"/>
      <c r="S482" s="1"/>
      <c r="T482" s="1"/>
      <c r="U482" s="1"/>
      <c r="V482" s="1"/>
      <c r="W482" s="1"/>
      <c r="X482" s="1"/>
      <c r="Y482" s="1"/>
      <c r="Z482" s="1"/>
      <c r="AA482" s="1"/>
      <c r="AB482" s="1"/>
      <c r="AC482" s="1"/>
    </row>
    <row r="483">
      <c r="A483" s="1"/>
      <c r="B483" s="1"/>
      <c r="C483" s="1"/>
      <c r="D483" s="1"/>
      <c r="E483" s="1"/>
      <c r="F483" s="2"/>
      <c r="G483" s="2"/>
      <c r="H483" s="1"/>
      <c r="I483" s="1"/>
      <c r="J483" s="1"/>
      <c r="K483" s="3"/>
      <c r="L483" s="1"/>
      <c r="M483" s="1"/>
      <c r="N483" s="1"/>
      <c r="O483" s="1"/>
      <c r="P483" s="1"/>
      <c r="Q483" s="1"/>
      <c r="R483" s="1"/>
      <c r="S483" s="1"/>
      <c r="T483" s="1"/>
      <c r="U483" s="1"/>
      <c r="V483" s="1"/>
      <c r="W483" s="1"/>
      <c r="X483" s="1"/>
      <c r="Y483" s="1"/>
      <c r="Z483" s="1"/>
      <c r="AA483" s="1"/>
      <c r="AB483" s="1"/>
      <c r="AC483" s="1"/>
    </row>
    <row r="484">
      <c r="A484" s="1"/>
      <c r="B484" s="1"/>
      <c r="C484" s="1"/>
      <c r="D484" s="1"/>
      <c r="E484" s="1"/>
      <c r="F484" s="2"/>
      <c r="G484" s="2"/>
      <c r="H484" s="1"/>
      <c r="I484" s="1"/>
      <c r="J484" s="1"/>
      <c r="K484" s="3"/>
      <c r="L484" s="1"/>
      <c r="M484" s="1"/>
      <c r="N484" s="1"/>
      <c r="O484" s="1"/>
      <c r="P484" s="1"/>
      <c r="Q484" s="1"/>
      <c r="R484" s="1"/>
      <c r="S484" s="1"/>
      <c r="T484" s="1"/>
      <c r="U484" s="1"/>
      <c r="V484" s="1"/>
      <c r="W484" s="1"/>
      <c r="X484" s="1"/>
      <c r="Y484" s="1"/>
      <c r="Z484" s="1"/>
      <c r="AA484" s="1"/>
      <c r="AB484" s="1"/>
      <c r="AC484" s="1"/>
    </row>
    <row r="485">
      <c r="A485" s="1"/>
      <c r="B485" s="1"/>
      <c r="C485" s="1"/>
      <c r="D485" s="1"/>
      <c r="E485" s="1"/>
      <c r="F485" s="2"/>
      <c r="G485" s="2"/>
      <c r="H485" s="1"/>
      <c r="I485" s="1"/>
      <c r="J485" s="1"/>
      <c r="K485" s="3"/>
      <c r="L485" s="1"/>
      <c r="M485" s="1"/>
      <c r="N485" s="1"/>
      <c r="O485" s="1"/>
      <c r="P485" s="1"/>
      <c r="Q485" s="1"/>
      <c r="R485" s="1"/>
      <c r="S485" s="1"/>
      <c r="T485" s="1"/>
      <c r="U485" s="1"/>
      <c r="V485" s="1"/>
      <c r="W485" s="1"/>
      <c r="X485" s="1"/>
      <c r="Y485" s="1"/>
      <c r="Z485" s="1"/>
      <c r="AA485" s="1"/>
      <c r="AB485" s="1"/>
      <c r="AC485" s="1"/>
    </row>
    <row r="486">
      <c r="A486" s="1"/>
      <c r="B486" s="1"/>
      <c r="C486" s="1"/>
      <c r="D486" s="1"/>
      <c r="E486" s="1"/>
      <c r="F486" s="2"/>
      <c r="G486" s="2"/>
      <c r="H486" s="1"/>
      <c r="I486" s="1"/>
      <c r="J486" s="1"/>
      <c r="K486" s="3"/>
      <c r="L486" s="1"/>
      <c r="M486" s="1"/>
      <c r="N486" s="1"/>
      <c r="O486" s="1"/>
      <c r="P486" s="1"/>
      <c r="Q486" s="1"/>
      <c r="R486" s="1"/>
      <c r="S486" s="1"/>
      <c r="T486" s="1"/>
      <c r="U486" s="1"/>
      <c r="V486" s="1"/>
      <c r="W486" s="1"/>
      <c r="X486" s="1"/>
      <c r="Y486" s="1"/>
      <c r="Z486" s="1"/>
      <c r="AA486" s="1"/>
      <c r="AB486" s="1"/>
      <c r="AC486" s="1"/>
    </row>
    <row r="487">
      <c r="A487" s="1"/>
      <c r="B487" s="1"/>
      <c r="C487" s="1"/>
      <c r="D487" s="1"/>
      <c r="E487" s="1"/>
      <c r="F487" s="2"/>
      <c r="G487" s="2"/>
      <c r="H487" s="1"/>
      <c r="I487" s="1"/>
      <c r="J487" s="1"/>
      <c r="K487" s="3"/>
      <c r="L487" s="1"/>
      <c r="M487" s="1"/>
      <c r="N487" s="1"/>
      <c r="O487" s="1"/>
      <c r="P487" s="1"/>
      <c r="Q487" s="1"/>
      <c r="R487" s="1"/>
      <c r="S487" s="1"/>
      <c r="T487" s="1"/>
      <c r="U487" s="1"/>
      <c r="V487" s="1"/>
      <c r="W487" s="1"/>
      <c r="X487" s="1"/>
      <c r="Y487" s="1"/>
      <c r="Z487" s="1"/>
      <c r="AA487" s="1"/>
      <c r="AB487" s="1"/>
      <c r="AC487" s="1"/>
    </row>
    <row r="488">
      <c r="A488" s="1"/>
      <c r="B488" s="1"/>
      <c r="C488" s="1"/>
      <c r="D488" s="1"/>
      <c r="E488" s="1"/>
      <c r="F488" s="2"/>
      <c r="G488" s="2"/>
      <c r="H488" s="1"/>
      <c r="I488" s="1"/>
      <c r="J488" s="1"/>
      <c r="K488" s="3"/>
      <c r="L488" s="1"/>
      <c r="M488" s="1"/>
      <c r="N488" s="1"/>
      <c r="O488" s="1"/>
      <c r="P488" s="1"/>
      <c r="Q488" s="1"/>
      <c r="R488" s="1"/>
      <c r="S488" s="1"/>
      <c r="T488" s="1"/>
      <c r="U488" s="1"/>
      <c r="V488" s="1"/>
      <c r="W488" s="1"/>
      <c r="X488" s="1"/>
      <c r="Y488" s="1"/>
      <c r="Z488" s="1"/>
      <c r="AA488" s="1"/>
      <c r="AB488" s="1"/>
      <c r="AC488" s="1"/>
    </row>
    <row r="489">
      <c r="A489" s="1"/>
      <c r="B489" s="1"/>
      <c r="C489" s="1"/>
      <c r="D489" s="1"/>
      <c r="E489" s="1"/>
      <c r="F489" s="2"/>
      <c r="G489" s="2"/>
      <c r="H489" s="1"/>
      <c r="I489" s="1"/>
      <c r="J489" s="1"/>
      <c r="K489" s="3"/>
      <c r="L489" s="1"/>
      <c r="M489" s="1"/>
      <c r="N489" s="1"/>
      <c r="O489" s="1"/>
      <c r="P489" s="1"/>
      <c r="Q489" s="1"/>
      <c r="R489" s="1"/>
      <c r="S489" s="1"/>
      <c r="T489" s="1"/>
      <c r="U489" s="1"/>
      <c r="V489" s="1"/>
      <c r="W489" s="1"/>
      <c r="X489" s="1"/>
      <c r="Y489" s="1"/>
      <c r="Z489" s="1"/>
      <c r="AA489" s="1"/>
      <c r="AB489" s="1"/>
      <c r="AC489" s="1"/>
    </row>
    <row r="490">
      <c r="A490" s="1"/>
      <c r="B490" s="1"/>
      <c r="C490" s="1"/>
      <c r="D490" s="1"/>
      <c r="E490" s="1"/>
      <c r="F490" s="2"/>
      <c r="G490" s="2"/>
      <c r="H490" s="1"/>
      <c r="I490" s="1"/>
      <c r="J490" s="1"/>
      <c r="K490" s="3"/>
      <c r="L490" s="1"/>
      <c r="M490" s="1"/>
      <c r="N490" s="1"/>
      <c r="O490" s="1"/>
      <c r="P490" s="1"/>
      <c r="Q490" s="1"/>
      <c r="R490" s="1"/>
      <c r="S490" s="1"/>
      <c r="T490" s="1"/>
      <c r="U490" s="1"/>
      <c r="V490" s="1"/>
      <c r="W490" s="1"/>
      <c r="X490" s="1"/>
      <c r="Y490" s="1"/>
      <c r="Z490" s="1"/>
      <c r="AA490" s="1"/>
      <c r="AB490" s="1"/>
      <c r="AC490" s="1"/>
    </row>
    <row r="491">
      <c r="A491" s="1"/>
      <c r="B491" s="1"/>
      <c r="C491" s="1"/>
      <c r="D491" s="1"/>
      <c r="E491" s="1"/>
      <c r="F491" s="2"/>
      <c r="G491" s="2"/>
      <c r="H491" s="1"/>
      <c r="I491" s="1"/>
      <c r="J491" s="1"/>
      <c r="K491" s="3"/>
      <c r="L491" s="1"/>
      <c r="M491" s="1"/>
      <c r="N491" s="1"/>
      <c r="O491" s="1"/>
      <c r="P491" s="1"/>
      <c r="Q491" s="1"/>
      <c r="R491" s="1"/>
      <c r="S491" s="1"/>
      <c r="T491" s="1"/>
      <c r="U491" s="1"/>
      <c r="V491" s="1"/>
      <c r="W491" s="1"/>
      <c r="X491" s="1"/>
      <c r="Y491" s="1"/>
      <c r="Z491" s="1"/>
      <c r="AA491" s="1"/>
      <c r="AB491" s="1"/>
      <c r="AC491" s="1"/>
    </row>
    <row r="492">
      <c r="A492" s="1"/>
      <c r="B492" s="1"/>
      <c r="C492" s="1"/>
      <c r="D492" s="1"/>
      <c r="E492" s="1"/>
      <c r="F492" s="2"/>
      <c r="G492" s="2"/>
      <c r="H492" s="1"/>
      <c r="I492" s="1"/>
      <c r="J492" s="1"/>
      <c r="K492" s="3"/>
      <c r="L492" s="1"/>
      <c r="M492" s="1"/>
      <c r="N492" s="1"/>
      <c r="O492" s="1"/>
      <c r="P492" s="1"/>
      <c r="Q492" s="1"/>
      <c r="R492" s="1"/>
      <c r="S492" s="1"/>
      <c r="T492" s="1"/>
      <c r="U492" s="1"/>
      <c r="V492" s="1"/>
      <c r="W492" s="1"/>
      <c r="X492" s="1"/>
      <c r="Y492" s="1"/>
      <c r="Z492" s="1"/>
      <c r="AA492" s="1"/>
      <c r="AB492" s="1"/>
      <c r="AC492" s="1"/>
    </row>
    <row r="493">
      <c r="A493" s="1"/>
      <c r="B493" s="1"/>
      <c r="C493" s="1"/>
      <c r="D493" s="1"/>
      <c r="E493" s="1"/>
      <c r="F493" s="2"/>
      <c r="G493" s="2"/>
      <c r="H493" s="1"/>
      <c r="I493" s="1"/>
      <c r="J493" s="1"/>
      <c r="K493" s="3"/>
      <c r="L493" s="1"/>
      <c r="M493" s="1"/>
      <c r="N493" s="1"/>
      <c r="O493" s="1"/>
      <c r="P493" s="1"/>
      <c r="Q493" s="1"/>
      <c r="R493" s="1"/>
      <c r="S493" s="1"/>
      <c r="T493" s="1"/>
      <c r="U493" s="1"/>
      <c r="V493" s="1"/>
      <c r="W493" s="1"/>
      <c r="X493" s="1"/>
      <c r="Y493" s="1"/>
      <c r="Z493" s="1"/>
      <c r="AA493" s="1"/>
      <c r="AB493" s="1"/>
      <c r="AC493" s="1"/>
    </row>
    <row r="494">
      <c r="A494" s="1"/>
      <c r="B494" s="1"/>
      <c r="C494" s="1"/>
      <c r="D494" s="1"/>
      <c r="E494" s="1"/>
      <c r="F494" s="2"/>
      <c r="G494" s="2"/>
      <c r="H494" s="1"/>
      <c r="I494" s="1"/>
      <c r="J494" s="1"/>
      <c r="K494" s="3"/>
      <c r="L494" s="1"/>
      <c r="M494" s="1"/>
      <c r="N494" s="1"/>
      <c r="O494" s="1"/>
      <c r="P494" s="1"/>
      <c r="Q494" s="1"/>
      <c r="R494" s="1"/>
      <c r="S494" s="1"/>
      <c r="T494" s="1"/>
      <c r="U494" s="1"/>
      <c r="V494" s="1"/>
      <c r="W494" s="1"/>
      <c r="X494" s="1"/>
      <c r="Y494" s="1"/>
      <c r="Z494" s="1"/>
      <c r="AA494" s="1"/>
      <c r="AB494" s="1"/>
      <c r="AC494" s="1"/>
    </row>
    <row r="495">
      <c r="A495" s="1"/>
      <c r="B495" s="1"/>
      <c r="C495" s="1"/>
      <c r="D495" s="1"/>
      <c r="E495" s="1"/>
      <c r="F495" s="2"/>
      <c r="G495" s="2"/>
      <c r="H495" s="1"/>
      <c r="I495" s="1"/>
      <c r="J495" s="1"/>
      <c r="K495" s="3"/>
      <c r="L495" s="1"/>
      <c r="M495" s="1"/>
      <c r="N495" s="1"/>
      <c r="O495" s="1"/>
      <c r="P495" s="1"/>
      <c r="Q495" s="1"/>
      <c r="R495" s="1"/>
      <c r="S495" s="1"/>
      <c r="T495" s="1"/>
      <c r="U495" s="1"/>
      <c r="V495" s="1"/>
      <c r="W495" s="1"/>
      <c r="X495" s="1"/>
      <c r="Y495" s="1"/>
      <c r="Z495" s="1"/>
      <c r="AA495" s="1"/>
      <c r="AB495" s="1"/>
      <c r="AC495" s="1"/>
    </row>
    <row r="496">
      <c r="A496" s="1"/>
      <c r="B496" s="1"/>
      <c r="C496" s="1"/>
      <c r="D496" s="1"/>
      <c r="E496" s="1"/>
      <c r="F496" s="2"/>
      <c r="G496" s="2"/>
      <c r="H496" s="1"/>
      <c r="I496" s="1"/>
      <c r="J496" s="1"/>
      <c r="K496" s="3"/>
      <c r="L496" s="1"/>
      <c r="M496" s="1"/>
      <c r="N496" s="1"/>
      <c r="O496" s="1"/>
      <c r="P496" s="1"/>
      <c r="Q496" s="1"/>
      <c r="R496" s="1"/>
      <c r="S496" s="1"/>
      <c r="T496" s="1"/>
      <c r="U496" s="1"/>
      <c r="V496" s="1"/>
      <c r="W496" s="1"/>
      <c r="X496" s="1"/>
      <c r="Y496" s="1"/>
      <c r="Z496" s="1"/>
      <c r="AA496" s="1"/>
      <c r="AB496" s="1"/>
      <c r="AC496" s="1"/>
    </row>
    <row r="497">
      <c r="A497" s="1"/>
      <c r="B497" s="1"/>
      <c r="C497" s="1"/>
      <c r="D497" s="1"/>
      <c r="E497" s="1"/>
      <c r="F497" s="2"/>
      <c r="G497" s="2"/>
      <c r="H497" s="1"/>
      <c r="I497" s="1"/>
      <c r="J497" s="1"/>
      <c r="K497" s="3"/>
      <c r="L497" s="1"/>
      <c r="M497" s="1"/>
      <c r="N497" s="1"/>
      <c r="O497" s="1"/>
      <c r="P497" s="1"/>
      <c r="Q497" s="1"/>
      <c r="R497" s="1"/>
      <c r="S497" s="1"/>
      <c r="T497" s="1"/>
      <c r="U497" s="1"/>
      <c r="V497" s="1"/>
      <c r="W497" s="1"/>
      <c r="X497" s="1"/>
      <c r="Y497" s="1"/>
      <c r="Z497" s="1"/>
      <c r="AA497" s="1"/>
      <c r="AB497" s="1"/>
      <c r="AC497" s="1"/>
    </row>
    <row r="498">
      <c r="A498" s="1"/>
      <c r="B498" s="1"/>
      <c r="C498" s="1"/>
      <c r="D498" s="1"/>
      <c r="E498" s="1"/>
      <c r="F498" s="2"/>
      <c r="G498" s="2"/>
      <c r="H498" s="1"/>
      <c r="I498" s="1"/>
      <c r="J498" s="1"/>
      <c r="K498" s="3"/>
      <c r="L498" s="1"/>
      <c r="M498" s="1"/>
      <c r="N498" s="1"/>
      <c r="O498" s="1"/>
      <c r="P498" s="1"/>
      <c r="Q498" s="1"/>
      <c r="R498" s="1"/>
      <c r="S498" s="1"/>
      <c r="T498" s="1"/>
      <c r="U498" s="1"/>
      <c r="V498" s="1"/>
      <c r="W498" s="1"/>
      <c r="X498" s="1"/>
      <c r="Y498" s="1"/>
      <c r="Z498" s="1"/>
      <c r="AA498" s="1"/>
      <c r="AB498" s="1"/>
      <c r="AC498" s="1"/>
    </row>
    <row r="499">
      <c r="A499" s="1"/>
      <c r="B499" s="1"/>
      <c r="C499" s="1"/>
      <c r="D499" s="1"/>
      <c r="E499" s="1"/>
      <c r="F499" s="2"/>
      <c r="G499" s="2"/>
      <c r="H499" s="1"/>
      <c r="I499" s="1"/>
      <c r="J499" s="1"/>
      <c r="K499" s="3"/>
      <c r="L499" s="1"/>
      <c r="M499" s="1"/>
      <c r="N499" s="1"/>
      <c r="O499" s="1"/>
      <c r="P499" s="1"/>
      <c r="Q499" s="1"/>
      <c r="R499" s="1"/>
      <c r="S499" s="1"/>
      <c r="T499" s="1"/>
      <c r="U499" s="1"/>
      <c r="V499" s="1"/>
      <c r="W499" s="1"/>
      <c r="X499" s="1"/>
      <c r="Y499" s="1"/>
      <c r="Z499" s="1"/>
      <c r="AA499" s="1"/>
      <c r="AB499" s="1"/>
      <c r="AC499" s="1"/>
    </row>
    <row r="500">
      <c r="A500" s="1"/>
      <c r="B500" s="1"/>
      <c r="C500" s="1"/>
      <c r="D500" s="1"/>
      <c r="E500" s="1"/>
      <c r="F500" s="2"/>
      <c r="G500" s="2"/>
      <c r="H500" s="1"/>
      <c r="I500" s="1"/>
      <c r="J500" s="1"/>
      <c r="K500" s="3"/>
      <c r="L500" s="1"/>
      <c r="M500" s="1"/>
      <c r="N500" s="1"/>
      <c r="O500" s="1"/>
      <c r="P500" s="1"/>
      <c r="Q500" s="1"/>
      <c r="R500" s="1"/>
      <c r="S500" s="1"/>
      <c r="T500" s="1"/>
      <c r="U500" s="1"/>
      <c r="V500" s="1"/>
      <c r="W500" s="1"/>
      <c r="X500" s="1"/>
      <c r="Y500" s="1"/>
      <c r="Z500" s="1"/>
      <c r="AA500" s="1"/>
      <c r="AB500" s="1"/>
      <c r="AC500" s="1"/>
    </row>
    <row r="501">
      <c r="A501" s="1"/>
      <c r="B501" s="1"/>
      <c r="C501" s="1"/>
      <c r="D501" s="1"/>
      <c r="E501" s="1"/>
      <c r="F501" s="2"/>
      <c r="G501" s="2"/>
      <c r="H501" s="1"/>
      <c r="I501" s="1"/>
      <c r="J501" s="1"/>
      <c r="K501" s="3"/>
      <c r="L501" s="1"/>
      <c r="M501" s="1"/>
      <c r="N501" s="1"/>
      <c r="O501" s="1"/>
      <c r="P501" s="1"/>
      <c r="Q501" s="1"/>
      <c r="R501" s="1"/>
      <c r="S501" s="1"/>
      <c r="T501" s="1"/>
      <c r="U501" s="1"/>
      <c r="V501" s="1"/>
      <c r="W501" s="1"/>
      <c r="X501" s="1"/>
      <c r="Y501" s="1"/>
      <c r="Z501" s="1"/>
      <c r="AA501" s="1"/>
      <c r="AB501" s="1"/>
      <c r="AC501" s="1"/>
    </row>
    <row r="502">
      <c r="A502" s="1"/>
      <c r="B502" s="1"/>
      <c r="C502" s="1"/>
      <c r="D502" s="1"/>
      <c r="E502" s="1"/>
      <c r="F502" s="2"/>
      <c r="G502" s="2"/>
      <c r="H502" s="1"/>
      <c r="I502" s="1"/>
      <c r="J502" s="1"/>
      <c r="K502" s="3"/>
      <c r="L502" s="1"/>
      <c r="M502" s="1"/>
      <c r="N502" s="1"/>
      <c r="O502" s="1"/>
      <c r="P502" s="1"/>
      <c r="Q502" s="1"/>
      <c r="R502" s="1"/>
      <c r="S502" s="1"/>
      <c r="T502" s="1"/>
      <c r="U502" s="1"/>
      <c r="V502" s="1"/>
      <c r="W502" s="1"/>
      <c r="X502" s="1"/>
      <c r="Y502" s="1"/>
      <c r="Z502" s="1"/>
      <c r="AA502" s="1"/>
      <c r="AB502" s="1"/>
      <c r="AC502" s="1"/>
    </row>
    <row r="503">
      <c r="A503" s="1"/>
      <c r="B503" s="1"/>
      <c r="C503" s="1"/>
      <c r="D503" s="1"/>
      <c r="E503" s="1"/>
      <c r="F503" s="2"/>
      <c r="G503" s="2"/>
      <c r="H503" s="1"/>
      <c r="I503" s="1"/>
      <c r="J503" s="1"/>
      <c r="K503" s="3"/>
      <c r="L503" s="1"/>
      <c r="M503" s="1"/>
      <c r="N503" s="1"/>
      <c r="O503" s="1"/>
      <c r="P503" s="1"/>
      <c r="Q503" s="1"/>
      <c r="R503" s="1"/>
      <c r="S503" s="1"/>
      <c r="T503" s="1"/>
      <c r="U503" s="1"/>
      <c r="V503" s="1"/>
      <c r="W503" s="1"/>
      <c r="X503" s="1"/>
      <c r="Y503" s="1"/>
      <c r="Z503" s="1"/>
      <c r="AA503" s="1"/>
      <c r="AB503" s="1"/>
      <c r="AC503" s="1"/>
    </row>
    <row r="504">
      <c r="A504" s="1"/>
      <c r="B504" s="1"/>
      <c r="C504" s="1"/>
      <c r="D504" s="1"/>
      <c r="E504" s="1"/>
      <c r="F504" s="2"/>
      <c r="G504" s="2"/>
      <c r="H504" s="1"/>
      <c r="I504" s="1"/>
      <c r="J504" s="1"/>
      <c r="K504" s="3"/>
      <c r="L504" s="1"/>
      <c r="M504" s="1"/>
      <c r="N504" s="1"/>
      <c r="O504" s="1"/>
      <c r="P504" s="1"/>
      <c r="Q504" s="1"/>
      <c r="R504" s="1"/>
      <c r="S504" s="1"/>
      <c r="T504" s="1"/>
      <c r="U504" s="1"/>
      <c r="V504" s="1"/>
      <c r="W504" s="1"/>
      <c r="X504" s="1"/>
      <c r="Y504" s="1"/>
      <c r="Z504" s="1"/>
      <c r="AA504" s="1"/>
      <c r="AB504" s="1"/>
      <c r="AC504" s="1"/>
    </row>
    <row r="505">
      <c r="A505" s="1"/>
      <c r="B505" s="1"/>
      <c r="C505" s="1"/>
      <c r="D505" s="1"/>
      <c r="E505" s="1"/>
      <c r="F505" s="2"/>
      <c r="G505" s="2"/>
      <c r="H505" s="1"/>
      <c r="I505" s="1"/>
      <c r="J505" s="1"/>
      <c r="K505" s="3"/>
      <c r="L505" s="1"/>
      <c r="M505" s="1"/>
      <c r="N505" s="1"/>
      <c r="O505" s="1"/>
      <c r="P505" s="1"/>
      <c r="Q505" s="1"/>
      <c r="R505" s="1"/>
      <c r="S505" s="1"/>
      <c r="T505" s="1"/>
      <c r="U505" s="1"/>
      <c r="V505" s="1"/>
      <c r="W505" s="1"/>
      <c r="X505" s="1"/>
      <c r="Y505" s="1"/>
      <c r="Z505" s="1"/>
      <c r="AA505" s="1"/>
      <c r="AB505" s="1"/>
      <c r="AC505" s="1"/>
    </row>
    <row r="506">
      <c r="A506" s="1"/>
      <c r="B506" s="1"/>
      <c r="C506" s="1"/>
      <c r="D506" s="1"/>
      <c r="E506" s="1"/>
      <c r="F506" s="2"/>
      <c r="G506" s="2"/>
      <c r="H506" s="1"/>
      <c r="I506" s="1"/>
      <c r="J506" s="1"/>
      <c r="K506" s="3"/>
      <c r="L506" s="1"/>
      <c r="M506" s="1"/>
      <c r="N506" s="1"/>
      <c r="O506" s="1"/>
      <c r="P506" s="1"/>
      <c r="Q506" s="1"/>
      <c r="R506" s="1"/>
      <c r="S506" s="1"/>
      <c r="T506" s="1"/>
      <c r="U506" s="1"/>
      <c r="V506" s="1"/>
      <c r="W506" s="1"/>
      <c r="X506" s="1"/>
      <c r="Y506" s="1"/>
      <c r="Z506" s="1"/>
      <c r="AA506" s="1"/>
      <c r="AB506" s="1"/>
      <c r="AC506" s="1"/>
    </row>
    <row r="507">
      <c r="A507" s="1"/>
      <c r="B507" s="1"/>
      <c r="C507" s="1"/>
      <c r="D507" s="1"/>
      <c r="E507" s="1"/>
      <c r="F507" s="2"/>
      <c r="G507" s="2"/>
      <c r="H507" s="1"/>
      <c r="I507" s="1"/>
      <c r="J507" s="1"/>
      <c r="K507" s="3"/>
      <c r="L507" s="1"/>
      <c r="M507" s="1"/>
      <c r="N507" s="1"/>
      <c r="O507" s="1"/>
      <c r="P507" s="1"/>
      <c r="Q507" s="1"/>
      <c r="R507" s="1"/>
      <c r="S507" s="1"/>
      <c r="T507" s="1"/>
      <c r="U507" s="1"/>
      <c r="V507" s="1"/>
      <c r="W507" s="1"/>
      <c r="X507" s="1"/>
      <c r="Y507" s="1"/>
      <c r="Z507" s="1"/>
      <c r="AA507" s="1"/>
      <c r="AB507" s="1"/>
      <c r="AC507" s="1"/>
    </row>
    <row r="508">
      <c r="A508" s="1"/>
      <c r="B508" s="1"/>
      <c r="C508" s="1"/>
      <c r="D508" s="1"/>
      <c r="E508" s="1"/>
      <c r="F508" s="2"/>
      <c r="G508" s="2"/>
      <c r="H508" s="1"/>
      <c r="I508" s="1"/>
      <c r="J508" s="1"/>
      <c r="K508" s="3"/>
      <c r="L508" s="1"/>
      <c r="M508" s="1"/>
      <c r="N508" s="1"/>
      <c r="O508" s="1"/>
      <c r="P508" s="1"/>
      <c r="Q508" s="1"/>
      <c r="R508" s="1"/>
      <c r="S508" s="1"/>
      <c r="T508" s="1"/>
      <c r="U508" s="1"/>
      <c r="V508" s="1"/>
      <c r="W508" s="1"/>
      <c r="X508" s="1"/>
      <c r="Y508" s="1"/>
      <c r="Z508" s="1"/>
      <c r="AA508" s="1"/>
      <c r="AB508" s="1"/>
      <c r="AC508" s="1"/>
    </row>
    <row r="509">
      <c r="A509" s="1"/>
      <c r="B509" s="1"/>
      <c r="C509" s="1"/>
      <c r="D509" s="1"/>
      <c r="E509" s="1"/>
      <c r="F509" s="2"/>
      <c r="G509" s="2"/>
      <c r="H509" s="1"/>
      <c r="I509" s="1"/>
      <c r="J509" s="1"/>
      <c r="K509" s="3"/>
      <c r="L509" s="1"/>
      <c r="M509" s="1"/>
      <c r="N509" s="1"/>
      <c r="O509" s="1"/>
      <c r="P509" s="1"/>
      <c r="Q509" s="1"/>
      <c r="R509" s="1"/>
      <c r="S509" s="1"/>
      <c r="T509" s="1"/>
      <c r="U509" s="1"/>
      <c r="V509" s="1"/>
      <c r="W509" s="1"/>
      <c r="X509" s="1"/>
      <c r="Y509" s="1"/>
      <c r="Z509" s="1"/>
      <c r="AA509" s="1"/>
      <c r="AB509" s="1"/>
      <c r="AC509" s="1"/>
    </row>
    <row r="510">
      <c r="A510" s="1"/>
      <c r="B510" s="1"/>
      <c r="C510" s="1"/>
      <c r="D510" s="1"/>
      <c r="E510" s="1"/>
      <c r="F510" s="2"/>
      <c r="G510" s="2"/>
      <c r="H510" s="1"/>
      <c r="I510" s="1"/>
      <c r="J510" s="1"/>
      <c r="K510" s="3"/>
      <c r="L510" s="1"/>
      <c r="M510" s="1"/>
      <c r="N510" s="1"/>
      <c r="O510" s="1"/>
      <c r="P510" s="1"/>
      <c r="Q510" s="1"/>
      <c r="R510" s="1"/>
      <c r="S510" s="1"/>
      <c r="T510" s="1"/>
      <c r="U510" s="1"/>
      <c r="V510" s="1"/>
      <c r="W510" s="1"/>
      <c r="X510" s="1"/>
      <c r="Y510" s="1"/>
      <c r="Z510" s="1"/>
      <c r="AA510" s="1"/>
      <c r="AB510" s="1"/>
      <c r="AC510" s="1"/>
    </row>
    <row r="511">
      <c r="A511" s="1"/>
      <c r="B511" s="1"/>
      <c r="C511" s="1"/>
      <c r="D511" s="1"/>
      <c r="E511" s="1"/>
      <c r="F511" s="2"/>
      <c r="G511" s="2"/>
      <c r="H511" s="1"/>
      <c r="I511" s="1"/>
      <c r="J511" s="1"/>
      <c r="K511" s="3"/>
      <c r="L511" s="1"/>
      <c r="M511" s="1"/>
      <c r="N511" s="1"/>
      <c r="O511" s="1"/>
      <c r="P511" s="1"/>
      <c r="Q511" s="1"/>
      <c r="R511" s="1"/>
      <c r="S511" s="1"/>
      <c r="T511" s="1"/>
      <c r="U511" s="1"/>
      <c r="V511" s="1"/>
      <c r="W511" s="1"/>
      <c r="X511" s="1"/>
      <c r="Y511" s="1"/>
      <c r="Z511" s="1"/>
      <c r="AA511" s="1"/>
      <c r="AB511" s="1"/>
      <c r="AC511" s="1"/>
    </row>
    <row r="512">
      <c r="A512" s="1"/>
      <c r="B512" s="1"/>
      <c r="C512" s="1"/>
      <c r="D512" s="1"/>
      <c r="E512" s="1"/>
      <c r="F512" s="2"/>
      <c r="G512" s="2"/>
      <c r="H512" s="1"/>
      <c r="I512" s="1"/>
      <c r="J512" s="1"/>
      <c r="K512" s="3"/>
      <c r="L512" s="1"/>
      <c r="M512" s="1"/>
      <c r="N512" s="1"/>
      <c r="O512" s="1"/>
      <c r="P512" s="1"/>
      <c r="Q512" s="1"/>
      <c r="R512" s="1"/>
      <c r="S512" s="1"/>
      <c r="T512" s="1"/>
      <c r="U512" s="1"/>
      <c r="V512" s="1"/>
      <c r="W512" s="1"/>
      <c r="X512" s="1"/>
      <c r="Y512" s="1"/>
      <c r="Z512" s="1"/>
      <c r="AA512" s="1"/>
      <c r="AB512" s="1"/>
      <c r="AC512" s="1"/>
    </row>
    <row r="513">
      <c r="A513" s="1"/>
      <c r="B513" s="1"/>
      <c r="C513" s="1"/>
      <c r="D513" s="1"/>
      <c r="E513" s="1"/>
      <c r="F513" s="2"/>
      <c r="G513" s="2"/>
      <c r="H513" s="1"/>
      <c r="I513" s="1"/>
      <c r="J513" s="1"/>
      <c r="K513" s="3"/>
      <c r="L513" s="1"/>
      <c r="M513" s="1"/>
      <c r="N513" s="1"/>
      <c r="O513" s="1"/>
      <c r="P513" s="1"/>
      <c r="Q513" s="1"/>
      <c r="R513" s="1"/>
      <c r="S513" s="1"/>
      <c r="T513" s="1"/>
      <c r="U513" s="1"/>
      <c r="V513" s="1"/>
      <c r="W513" s="1"/>
      <c r="X513" s="1"/>
      <c r="Y513" s="1"/>
      <c r="Z513" s="1"/>
      <c r="AA513" s="1"/>
      <c r="AB513" s="1"/>
      <c r="AC513" s="1"/>
    </row>
    <row r="514">
      <c r="A514" s="1"/>
      <c r="B514" s="1"/>
      <c r="C514" s="1"/>
      <c r="D514" s="1"/>
      <c r="E514" s="1"/>
      <c r="F514" s="2"/>
      <c r="G514" s="2"/>
      <c r="H514" s="1"/>
      <c r="I514" s="1"/>
      <c r="J514" s="1"/>
      <c r="K514" s="3"/>
      <c r="L514" s="1"/>
      <c r="M514" s="1"/>
      <c r="N514" s="1"/>
      <c r="O514" s="1"/>
      <c r="P514" s="1"/>
      <c r="Q514" s="1"/>
      <c r="R514" s="1"/>
      <c r="S514" s="1"/>
      <c r="T514" s="1"/>
      <c r="U514" s="1"/>
      <c r="V514" s="1"/>
      <c r="W514" s="1"/>
      <c r="X514" s="1"/>
      <c r="Y514" s="1"/>
      <c r="Z514" s="1"/>
      <c r="AA514" s="1"/>
      <c r="AB514" s="1"/>
      <c r="AC514" s="1"/>
    </row>
    <row r="515">
      <c r="A515" s="1"/>
      <c r="B515" s="1"/>
      <c r="C515" s="1"/>
      <c r="D515" s="1"/>
      <c r="E515" s="1"/>
      <c r="F515" s="2"/>
      <c r="G515" s="2"/>
      <c r="H515" s="1"/>
      <c r="I515" s="1"/>
      <c r="J515" s="1"/>
      <c r="K515" s="3"/>
      <c r="L515" s="1"/>
      <c r="M515" s="1"/>
      <c r="N515" s="1"/>
      <c r="O515" s="1"/>
      <c r="P515" s="1"/>
      <c r="Q515" s="1"/>
      <c r="R515" s="1"/>
      <c r="S515" s="1"/>
      <c r="T515" s="1"/>
      <c r="U515" s="1"/>
      <c r="V515" s="1"/>
      <c r="W515" s="1"/>
      <c r="X515" s="1"/>
      <c r="Y515" s="1"/>
      <c r="Z515" s="1"/>
      <c r="AA515" s="1"/>
      <c r="AB515" s="1"/>
      <c r="AC515" s="1"/>
    </row>
    <row r="516">
      <c r="A516" s="1"/>
      <c r="B516" s="1"/>
      <c r="C516" s="1"/>
      <c r="D516" s="1"/>
      <c r="E516" s="1"/>
      <c r="F516" s="2"/>
      <c r="G516" s="2"/>
      <c r="H516" s="1"/>
      <c r="I516" s="1"/>
      <c r="J516" s="1"/>
      <c r="K516" s="3"/>
      <c r="L516" s="1"/>
      <c r="M516" s="1"/>
      <c r="N516" s="1"/>
      <c r="O516" s="1"/>
      <c r="P516" s="1"/>
      <c r="Q516" s="1"/>
      <c r="R516" s="1"/>
      <c r="S516" s="1"/>
      <c r="T516" s="1"/>
      <c r="U516" s="1"/>
      <c r="V516" s="1"/>
      <c r="W516" s="1"/>
      <c r="X516" s="1"/>
      <c r="Y516" s="1"/>
      <c r="Z516" s="1"/>
      <c r="AA516" s="1"/>
      <c r="AB516" s="1"/>
      <c r="AC516" s="1"/>
    </row>
    <row r="517">
      <c r="A517" s="1"/>
      <c r="B517" s="1"/>
      <c r="C517" s="1"/>
      <c r="D517" s="1"/>
      <c r="E517" s="1"/>
      <c r="F517" s="2"/>
      <c r="G517" s="2"/>
      <c r="H517" s="1"/>
      <c r="I517" s="1"/>
      <c r="J517" s="1"/>
      <c r="K517" s="3"/>
      <c r="L517" s="1"/>
      <c r="M517" s="1"/>
      <c r="N517" s="1"/>
      <c r="O517" s="1"/>
      <c r="P517" s="1"/>
      <c r="Q517" s="1"/>
      <c r="R517" s="1"/>
      <c r="S517" s="1"/>
      <c r="T517" s="1"/>
      <c r="U517" s="1"/>
      <c r="V517" s="1"/>
      <c r="W517" s="1"/>
      <c r="X517" s="1"/>
      <c r="Y517" s="1"/>
      <c r="Z517" s="1"/>
      <c r="AA517" s="1"/>
      <c r="AB517" s="1"/>
      <c r="AC517" s="1"/>
    </row>
    <row r="518">
      <c r="A518" s="1"/>
      <c r="B518" s="1"/>
      <c r="C518" s="1"/>
      <c r="D518" s="1"/>
      <c r="E518" s="1"/>
      <c r="F518" s="2"/>
      <c r="G518" s="2"/>
      <c r="H518" s="1"/>
      <c r="I518" s="1"/>
      <c r="J518" s="1"/>
      <c r="K518" s="3"/>
      <c r="L518" s="1"/>
      <c r="M518" s="1"/>
      <c r="N518" s="1"/>
      <c r="O518" s="1"/>
      <c r="P518" s="1"/>
      <c r="Q518" s="1"/>
      <c r="R518" s="1"/>
      <c r="S518" s="1"/>
      <c r="T518" s="1"/>
      <c r="U518" s="1"/>
      <c r="V518" s="1"/>
      <c r="W518" s="1"/>
      <c r="X518" s="1"/>
      <c r="Y518" s="1"/>
      <c r="Z518" s="1"/>
      <c r="AA518" s="1"/>
      <c r="AB518" s="1"/>
      <c r="AC518" s="1"/>
    </row>
    <row r="519">
      <c r="A519" s="1"/>
      <c r="B519" s="1"/>
      <c r="C519" s="1"/>
      <c r="D519" s="1"/>
      <c r="E519" s="1"/>
      <c r="F519" s="2"/>
      <c r="G519" s="2"/>
      <c r="H519" s="1"/>
      <c r="I519" s="1"/>
      <c r="J519" s="1"/>
      <c r="K519" s="3"/>
      <c r="L519" s="1"/>
      <c r="M519" s="1"/>
      <c r="N519" s="1"/>
      <c r="O519" s="1"/>
      <c r="P519" s="1"/>
      <c r="Q519" s="1"/>
      <c r="R519" s="1"/>
      <c r="S519" s="1"/>
      <c r="T519" s="1"/>
      <c r="U519" s="1"/>
      <c r="V519" s="1"/>
      <c r="W519" s="1"/>
      <c r="X519" s="1"/>
      <c r="Y519" s="1"/>
      <c r="Z519" s="1"/>
      <c r="AA519" s="1"/>
      <c r="AB519" s="1"/>
      <c r="AC519" s="1"/>
    </row>
    <row r="520">
      <c r="A520" s="1"/>
      <c r="B520" s="1"/>
      <c r="C520" s="1"/>
      <c r="D520" s="1"/>
      <c r="E520" s="1"/>
      <c r="F520" s="2"/>
      <c r="G520" s="2"/>
      <c r="H520" s="1"/>
      <c r="I520" s="1"/>
      <c r="J520" s="1"/>
      <c r="K520" s="3"/>
      <c r="L520" s="1"/>
      <c r="M520" s="1"/>
      <c r="N520" s="1"/>
      <c r="O520" s="1"/>
      <c r="P520" s="1"/>
      <c r="Q520" s="1"/>
      <c r="R520" s="1"/>
      <c r="S520" s="1"/>
      <c r="T520" s="1"/>
      <c r="U520" s="1"/>
      <c r="V520" s="1"/>
      <c r="W520" s="1"/>
      <c r="X520" s="1"/>
      <c r="Y520" s="1"/>
      <c r="Z520" s="1"/>
      <c r="AA520" s="1"/>
      <c r="AB520" s="1"/>
      <c r="AC520" s="1"/>
    </row>
    <row r="521">
      <c r="A521" s="1"/>
      <c r="B521" s="1"/>
      <c r="C521" s="1"/>
      <c r="D521" s="1"/>
      <c r="E521" s="1"/>
      <c r="F521" s="2"/>
      <c r="G521" s="2"/>
      <c r="H521" s="1"/>
      <c r="I521" s="1"/>
      <c r="J521" s="1"/>
      <c r="K521" s="3"/>
      <c r="L521" s="1"/>
      <c r="M521" s="1"/>
      <c r="N521" s="1"/>
      <c r="O521" s="1"/>
      <c r="P521" s="1"/>
      <c r="Q521" s="1"/>
      <c r="R521" s="1"/>
      <c r="S521" s="1"/>
      <c r="T521" s="1"/>
      <c r="U521" s="1"/>
      <c r="V521" s="1"/>
      <c r="W521" s="1"/>
      <c r="X521" s="1"/>
      <c r="Y521" s="1"/>
      <c r="Z521" s="1"/>
      <c r="AA521" s="1"/>
      <c r="AB521" s="1"/>
      <c r="AC521" s="1"/>
    </row>
    <row r="522">
      <c r="A522" s="1"/>
      <c r="B522" s="1"/>
      <c r="C522" s="1"/>
      <c r="D522" s="1"/>
      <c r="E522" s="1"/>
      <c r="F522" s="2"/>
      <c r="G522" s="2"/>
      <c r="H522" s="1"/>
      <c r="I522" s="1"/>
      <c r="J522" s="1"/>
      <c r="K522" s="3"/>
      <c r="L522" s="1"/>
      <c r="M522" s="1"/>
      <c r="N522" s="1"/>
      <c r="O522" s="1"/>
      <c r="P522" s="1"/>
      <c r="Q522" s="1"/>
      <c r="R522" s="1"/>
      <c r="S522" s="1"/>
      <c r="T522" s="1"/>
      <c r="U522" s="1"/>
      <c r="V522" s="1"/>
      <c r="W522" s="1"/>
      <c r="X522" s="1"/>
      <c r="Y522" s="1"/>
      <c r="Z522" s="1"/>
      <c r="AA522" s="1"/>
      <c r="AB522" s="1"/>
      <c r="AC522" s="1"/>
    </row>
    <row r="523">
      <c r="A523" s="1"/>
      <c r="B523" s="1"/>
      <c r="C523" s="1"/>
      <c r="D523" s="1"/>
      <c r="E523" s="1"/>
      <c r="F523" s="2"/>
      <c r="G523" s="2"/>
      <c r="H523" s="1"/>
      <c r="I523" s="1"/>
      <c r="J523" s="1"/>
      <c r="K523" s="3"/>
      <c r="L523" s="1"/>
      <c r="M523" s="1"/>
      <c r="N523" s="1"/>
      <c r="O523" s="1"/>
      <c r="P523" s="1"/>
      <c r="Q523" s="1"/>
      <c r="R523" s="1"/>
      <c r="S523" s="1"/>
      <c r="T523" s="1"/>
      <c r="U523" s="1"/>
      <c r="V523" s="1"/>
      <c r="W523" s="1"/>
      <c r="X523" s="1"/>
      <c r="Y523" s="1"/>
      <c r="Z523" s="1"/>
      <c r="AA523" s="1"/>
      <c r="AB523" s="1"/>
      <c r="AC523" s="1"/>
    </row>
    <row r="524">
      <c r="A524" s="1"/>
      <c r="B524" s="1"/>
      <c r="C524" s="1"/>
      <c r="D524" s="1"/>
      <c r="E524" s="1"/>
      <c r="F524" s="2"/>
      <c r="G524" s="2"/>
      <c r="H524" s="1"/>
      <c r="I524" s="1"/>
      <c r="J524" s="1"/>
      <c r="K524" s="3"/>
      <c r="L524" s="1"/>
      <c r="M524" s="1"/>
      <c r="N524" s="1"/>
      <c r="O524" s="1"/>
      <c r="P524" s="1"/>
      <c r="Q524" s="1"/>
      <c r="R524" s="1"/>
      <c r="S524" s="1"/>
      <c r="T524" s="1"/>
      <c r="U524" s="1"/>
      <c r="V524" s="1"/>
      <c r="W524" s="1"/>
      <c r="X524" s="1"/>
      <c r="Y524" s="1"/>
      <c r="Z524" s="1"/>
      <c r="AA524" s="1"/>
      <c r="AB524" s="1"/>
      <c r="AC524" s="1"/>
    </row>
    <row r="525">
      <c r="A525" s="1"/>
      <c r="B525" s="1"/>
      <c r="C525" s="1"/>
      <c r="D525" s="1"/>
      <c r="E525" s="1"/>
      <c r="F525" s="2"/>
      <c r="G525" s="2"/>
      <c r="H525" s="1"/>
      <c r="I525" s="1"/>
      <c r="J525" s="1"/>
      <c r="K525" s="3"/>
      <c r="L525" s="1"/>
      <c r="M525" s="1"/>
      <c r="N525" s="1"/>
      <c r="O525" s="1"/>
      <c r="P525" s="1"/>
      <c r="Q525" s="1"/>
      <c r="R525" s="1"/>
      <c r="S525" s="1"/>
      <c r="T525" s="1"/>
      <c r="U525" s="1"/>
      <c r="V525" s="1"/>
      <c r="W525" s="1"/>
      <c r="X525" s="1"/>
      <c r="Y525" s="1"/>
      <c r="Z525" s="1"/>
      <c r="AA525" s="1"/>
      <c r="AB525" s="1"/>
      <c r="AC525" s="1"/>
    </row>
    <row r="526">
      <c r="A526" s="1"/>
      <c r="B526" s="1"/>
      <c r="C526" s="1"/>
      <c r="D526" s="1"/>
      <c r="E526" s="1"/>
      <c r="F526" s="2"/>
      <c r="G526" s="2"/>
      <c r="H526" s="1"/>
      <c r="I526" s="1"/>
      <c r="J526" s="1"/>
      <c r="K526" s="3"/>
      <c r="L526" s="1"/>
      <c r="M526" s="1"/>
      <c r="N526" s="1"/>
      <c r="O526" s="1"/>
      <c r="P526" s="1"/>
      <c r="Q526" s="1"/>
      <c r="R526" s="1"/>
      <c r="S526" s="1"/>
      <c r="T526" s="1"/>
      <c r="U526" s="1"/>
      <c r="V526" s="1"/>
      <c r="W526" s="1"/>
      <c r="X526" s="1"/>
      <c r="Y526" s="1"/>
      <c r="Z526" s="1"/>
      <c r="AA526" s="1"/>
      <c r="AB526" s="1"/>
      <c r="AC526" s="1"/>
    </row>
    <row r="527">
      <c r="A527" s="1"/>
      <c r="B527" s="1"/>
      <c r="C527" s="1"/>
      <c r="D527" s="1"/>
      <c r="E527" s="1"/>
      <c r="F527" s="2"/>
      <c r="G527" s="2"/>
      <c r="H527" s="1"/>
      <c r="I527" s="1"/>
      <c r="J527" s="1"/>
      <c r="K527" s="3"/>
      <c r="L527" s="1"/>
      <c r="M527" s="1"/>
      <c r="N527" s="1"/>
      <c r="O527" s="1"/>
      <c r="P527" s="1"/>
      <c r="Q527" s="1"/>
      <c r="R527" s="1"/>
      <c r="S527" s="1"/>
      <c r="T527" s="1"/>
      <c r="U527" s="1"/>
      <c r="V527" s="1"/>
      <c r="W527" s="1"/>
      <c r="X527" s="1"/>
      <c r="Y527" s="1"/>
      <c r="Z527" s="1"/>
      <c r="AA527" s="1"/>
      <c r="AB527" s="1"/>
      <c r="AC527" s="1"/>
    </row>
    <row r="528">
      <c r="A528" s="1"/>
      <c r="B528" s="1"/>
      <c r="C528" s="1"/>
      <c r="D528" s="1"/>
      <c r="E528" s="1"/>
      <c r="F528" s="2"/>
      <c r="G528" s="2"/>
      <c r="H528" s="1"/>
      <c r="I528" s="1"/>
      <c r="J528" s="1"/>
      <c r="K528" s="3"/>
      <c r="L528" s="1"/>
      <c r="M528" s="1"/>
      <c r="N528" s="1"/>
      <c r="O528" s="1"/>
      <c r="P528" s="1"/>
      <c r="Q528" s="1"/>
      <c r="R528" s="1"/>
      <c r="S528" s="1"/>
      <c r="T528" s="1"/>
      <c r="U528" s="1"/>
      <c r="V528" s="1"/>
      <c r="W528" s="1"/>
      <c r="X528" s="1"/>
      <c r="Y528" s="1"/>
      <c r="Z528" s="1"/>
      <c r="AA528" s="1"/>
      <c r="AB528" s="1"/>
      <c r="AC528" s="1"/>
    </row>
    <row r="529">
      <c r="A529" s="1"/>
      <c r="B529" s="1"/>
      <c r="C529" s="1"/>
      <c r="D529" s="1"/>
      <c r="E529" s="1"/>
      <c r="F529" s="2"/>
      <c r="G529" s="2"/>
      <c r="H529" s="1"/>
      <c r="I529" s="1"/>
      <c r="J529" s="1"/>
      <c r="K529" s="3"/>
      <c r="L529" s="1"/>
      <c r="M529" s="1"/>
      <c r="N529" s="1"/>
      <c r="O529" s="1"/>
      <c r="P529" s="1"/>
      <c r="Q529" s="1"/>
      <c r="R529" s="1"/>
      <c r="S529" s="1"/>
      <c r="T529" s="1"/>
      <c r="U529" s="1"/>
      <c r="V529" s="1"/>
      <c r="W529" s="1"/>
      <c r="X529" s="1"/>
      <c r="Y529" s="1"/>
      <c r="Z529" s="1"/>
      <c r="AA529" s="1"/>
      <c r="AB529" s="1"/>
      <c r="AC529" s="1"/>
    </row>
    <row r="530">
      <c r="A530" s="1"/>
      <c r="B530" s="1"/>
      <c r="C530" s="1"/>
      <c r="D530" s="1"/>
      <c r="E530" s="1"/>
      <c r="F530" s="2"/>
      <c r="G530" s="2"/>
      <c r="H530" s="1"/>
      <c r="I530" s="1"/>
      <c r="J530" s="1"/>
      <c r="K530" s="3"/>
      <c r="L530" s="1"/>
      <c r="M530" s="1"/>
      <c r="N530" s="1"/>
      <c r="O530" s="1"/>
      <c r="P530" s="1"/>
      <c r="Q530" s="1"/>
      <c r="R530" s="1"/>
      <c r="S530" s="1"/>
      <c r="T530" s="1"/>
      <c r="U530" s="1"/>
      <c r="V530" s="1"/>
      <c r="W530" s="1"/>
      <c r="X530" s="1"/>
      <c r="Y530" s="1"/>
      <c r="Z530" s="1"/>
      <c r="AA530" s="1"/>
      <c r="AB530" s="1"/>
      <c r="AC530" s="1"/>
    </row>
    <row r="531">
      <c r="A531" s="1"/>
      <c r="B531" s="1"/>
      <c r="C531" s="1"/>
      <c r="D531" s="1"/>
      <c r="E531" s="1"/>
      <c r="F531" s="2"/>
      <c r="G531" s="2"/>
      <c r="H531" s="1"/>
      <c r="I531" s="1"/>
      <c r="J531" s="1"/>
      <c r="K531" s="3"/>
      <c r="L531" s="1"/>
      <c r="M531" s="1"/>
      <c r="N531" s="1"/>
      <c r="O531" s="1"/>
      <c r="P531" s="1"/>
      <c r="Q531" s="1"/>
      <c r="R531" s="1"/>
      <c r="S531" s="1"/>
      <c r="T531" s="1"/>
      <c r="U531" s="1"/>
      <c r="V531" s="1"/>
      <c r="W531" s="1"/>
      <c r="X531" s="1"/>
      <c r="Y531" s="1"/>
      <c r="Z531" s="1"/>
      <c r="AA531" s="1"/>
      <c r="AB531" s="1"/>
      <c r="AC531" s="1"/>
    </row>
    <row r="532">
      <c r="A532" s="1"/>
      <c r="B532" s="1"/>
      <c r="C532" s="1"/>
      <c r="D532" s="1"/>
      <c r="E532" s="1"/>
      <c r="F532" s="2"/>
      <c r="G532" s="2"/>
      <c r="H532" s="1"/>
      <c r="I532" s="1"/>
      <c r="J532" s="1"/>
      <c r="K532" s="3"/>
      <c r="L532" s="1"/>
      <c r="M532" s="1"/>
      <c r="N532" s="1"/>
      <c r="O532" s="1"/>
      <c r="P532" s="1"/>
      <c r="Q532" s="1"/>
      <c r="R532" s="1"/>
      <c r="S532" s="1"/>
      <c r="T532" s="1"/>
      <c r="U532" s="1"/>
      <c r="V532" s="1"/>
      <c r="W532" s="1"/>
      <c r="X532" s="1"/>
      <c r="Y532" s="1"/>
      <c r="Z532" s="1"/>
      <c r="AA532" s="1"/>
      <c r="AB532" s="1"/>
      <c r="AC532" s="1"/>
    </row>
    <row r="533">
      <c r="A533" s="1"/>
      <c r="B533" s="1"/>
      <c r="C533" s="1"/>
      <c r="D533" s="1"/>
      <c r="E533" s="1"/>
      <c r="F533" s="2"/>
      <c r="G533" s="2"/>
      <c r="H533" s="1"/>
      <c r="I533" s="1"/>
      <c r="J533" s="1"/>
      <c r="K533" s="3"/>
      <c r="L533" s="1"/>
      <c r="M533" s="1"/>
      <c r="N533" s="1"/>
      <c r="O533" s="1"/>
      <c r="P533" s="1"/>
      <c r="Q533" s="1"/>
      <c r="R533" s="1"/>
      <c r="S533" s="1"/>
      <c r="T533" s="1"/>
      <c r="U533" s="1"/>
      <c r="V533" s="1"/>
      <c r="W533" s="1"/>
      <c r="X533" s="1"/>
      <c r="Y533" s="1"/>
      <c r="Z533" s="1"/>
      <c r="AA533" s="1"/>
      <c r="AB533" s="1"/>
      <c r="AC533" s="1"/>
    </row>
    <row r="534">
      <c r="A534" s="1"/>
      <c r="B534" s="1"/>
      <c r="C534" s="1"/>
      <c r="D534" s="1"/>
      <c r="E534" s="1"/>
      <c r="F534" s="2"/>
      <c r="G534" s="2"/>
      <c r="H534" s="1"/>
      <c r="I534" s="1"/>
      <c r="J534" s="1"/>
      <c r="K534" s="3"/>
      <c r="L534" s="1"/>
      <c r="M534" s="1"/>
      <c r="N534" s="1"/>
      <c r="O534" s="1"/>
      <c r="P534" s="1"/>
      <c r="Q534" s="1"/>
      <c r="R534" s="1"/>
      <c r="S534" s="1"/>
      <c r="T534" s="1"/>
      <c r="U534" s="1"/>
      <c r="V534" s="1"/>
      <c r="W534" s="1"/>
      <c r="X534" s="1"/>
      <c r="Y534" s="1"/>
      <c r="Z534" s="1"/>
      <c r="AA534" s="1"/>
      <c r="AB534" s="1"/>
      <c r="AC534" s="1"/>
    </row>
    <row r="535">
      <c r="A535" s="1"/>
      <c r="B535" s="1"/>
      <c r="C535" s="1"/>
      <c r="D535" s="1"/>
      <c r="E535" s="1"/>
      <c r="F535" s="2"/>
      <c r="G535" s="2"/>
      <c r="H535" s="1"/>
      <c r="I535" s="1"/>
      <c r="J535" s="1"/>
      <c r="K535" s="3"/>
      <c r="L535" s="1"/>
      <c r="M535" s="1"/>
      <c r="N535" s="1"/>
      <c r="O535" s="1"/>
      <c r="P535" s="1"/>
      <c r="Q535" s="1"/>
      <c r="R535" s="1"/>
      <c r="S535" s="1"/>
      <c r="T535" s="1"/>
      <c r="U535" s="1"/>
      <c r="V535" s="1"/>
      <c r="W535" s="1"/>
      <c r="X535" s="1"/>
      <c r="Y535" s="1"/>
      <c r="Z535" s="1"/>
      <c r="AA535" s="1"/>
      <c r="AB535" s="1"/>
      <c r="AC535" s="1"/>
    </row>
    <row r="536">
      <c r="A536" s="1"/>
      <c r="B536" s="1"/>
      <c r="C536" s="1"/>
      <c r="D536" s="1"/>
      <c r="E536" s="1"/>
      <c r="F536" s="2"/>
      <c r="G536" s="2"/>
      <c r="H536" s="1"/>
      <c r="I536" s="1"/>
      <c r="J536" s="1"/>
      <c r="K536" s="3"/>
      <c r="L536" s="1"/>
      <c r="M536" s="1"/>
      <c r="N536" s="1"/>
      <c r="O536" s="1"/>
      <c r="P536" s="1"/>
      <c r="Q536" s="1"/>
      <c r="R536" s="1"/>
      <c r="S536" s="1"/>
      <c r="T536" s="1"/>
      <c r="U536" s="1"/>
      <c r="V536" s="1"/>
      <c r="W536" s="1"/>
      <c r="X536" s="1"/>
      <c r="Y536" s="1"/>
      <c r="Z536" s="1"/>
      <c r="AA536" s="1"/>
      <c r="AB536" s="1"/>
      <c r="AC536" s="1"/>
    </row>
    <row r="537">
      <c r="A537" s="1"/>
      <c r="B537" s="1"/>
      <c r="C537" s="1"/>
      <c r="D537" s="1"/>
      <c r="E537" s="1"/>
      <c r="F537" s="2"/>
      <c r="G537" s="2"/>
      <c r="H537" s="1"/>
      <c r="I537" s="1"/>
      <c r="J537" s="1"/>
      <c r="K537" s="3"/>
      <c r="L537" s="1"/>
      <c r="M537" s="1"/>
      <c r="N537" s="1"/>
      <c r="O537" s="1"/>
      <c r="P537" s="1"/>
      <c r="Q537" s="1"/>
      <c r="R537" s="1"/>
      <c r="S537" s="1"/>
      <c r="T537" s="1"/>
      <c r="U537" s="1"/>
      <c r="V537" s="1"/>
      <c r="W537" s="1"/>
      <c r="X537" s="1"/>
      <c r="Y537" s="1"/>
      <c r="Z537" s="1"/>
      <c r="AA537" s="1"/>
      <c r="AB537" s="1"/>
      <c r="AC537" s="1"/>
    </row>
    <row r="538">
      <c r="A538" s="1"/>
      <c r="B538" s="1"/>
      <c r="C538" s="1"/>
      <c r="D538" s="1"/>
      <c r="E538" s="1"/>
      <c r="F538" s="2"/>
      <c r="G538" s="2"/>
      <c r="H538" s="1"/>
      <c r="I538" s="1"/>
      <c r="J538" s="1"/>
      <c r="K538" s="3"/>
      <c r="L538" s="1"/>
      <c r="M538" s="1"/>
      <c r="N538" s="1"/>
      <c r="O538" s="1"/>
      <c r="P538" s="1"/>
      <c r="Q538" s="1"/>
      <c r="R538" s="1"/>
      <c r="S538" s="1"/>
      <c r="T538" s="1"/>
      <c r="U538" s="1"/>
      <c r="V538" s="1"/>
      <c r="W538" s="1"/>
      <c r="X538" s="1"/>
      <c r="Y538" s="1"/>
      <c r="Z538" s="1"/>
      <c r="AA538" s="1"/>
      <c r="AB538" s="1"/>
      <c r="AC538" s="1"/>
    </row>
    <row r="539">
      <c r="A539" s="1"/>
      <c r="B539" s="1"/>
      <c r="C539" s="1"/>
      <c r="D539" s="1"/>
      <c r="E539" s="1"/>
      <c r="F539" s="2"/>
      <c r="G539" s="2"/>
      <c r="H539" s="1"/>
      <c r="I539" s="1"/>
      <c r="J539" s="1"/>
      <c r="K539" s="3"/>
      <c r="L539" s="1"/>
      <c r="M539" s="1"/>
      <c r="N539" s="1"/>
      <c r="O539" s="1"/>
      <c r="P539" s="1"/>
      <c r="Q539" s="1"/>
      <c r="R539" s="1"/>
      <c r="S539" s="1"/>
      <c r="T539" s="1"/>
      <c r="U539" s="1"/>
      <c r="V539" s="1"/>
      <c r="W539" s="1"/>
      <c r="X539" s="1"/>
      <c r="Y539" s="1"/>
      <c r="Z539" s="1"/>
      <c r="AA539" s="1"/>
      <c r="AB539" s="1"/>
      <c r="AC539" s="1"/>
    </row>
    <row r="540">
      <c r="A540" s="1"/>
      <c r="B540" s="1"/>
      <c r="C540" s="1"/>
      <c r="D540" s="1"/>
      <c r="E540" s="1"/>
      <c r="F540" s="2"/>
      <c r="G540" s="2"/>
      <c r="H540" s="1"/>
      <c r="I540" s="1"/>
      <c r="J540" s="1"/>
      <c r="K540" s="3"/>
      <c r="L540" s="1"/>
      <c r="M540" s="1"/>
      <c r="N540" s="1"/>
      <c r="O540" s="1"/>
      <c r="P540" s="1"/>
      <c r="Q540" s="1"/>
      <c r="R540" s="1"/>
      <c r="S540" s="1"/>
      <c r="T540" s="1"/>
      <c r="U540" s="1"/>
      <c r="V540" s="1"/>
      <c r="W540" s="1"/>
      <c r="X540" s="1"/>
      <c r="Y540" s="1"/>
      <c r="Z540" s="1"/>
      <c r="AA540" s="1"/>
      <c r="AB540" s="1"/>
      <c r="AC540" s="1"/>
    </row>
    <row r="541">
      <c r="A541" s="1"/>
      <c r="B541" s="1"/>
      <c r="C541" s="1"/>
      <c r="D541" s="1"/>
      <c r="E541" s="1"/>
      <c r="F541" s="2"/>
      <c r="G541" s="2"/>
      <c r="H541" s="1"/>
      <c r="I541" s="1"/>
      <c r="J541" s="1"/>
      <c r="K541" s="3"/>
      <c r="L541" s="1"/>
      <c r="M541" s="1"/>
      <c r="N541" s="1"/>
      <c r="O541" s="1"/>
      <c r="P541" s="1"/>
      <c r="Q541" s="1"/>
      <c r="R541" s="1"/>
      <c r="S541" s="1"/>
      <c r="T541" s="1"/>
      <c r="U541" s="1"/>
      <c r="V541" s="1"/>
      <c r="W541" s="1"/>
      <c r="X541" s="1"/>
      <c r="Y541" s="1"/>
      <c r="Z541" s="1"/>
      <c r="AA541" s="1"/>
      <c r="AB541" s="1"/>
      <c r="AC541" s="1"/>
    </row>
    <row r="542">
      <c r="A542" s="1"/>
      <c r="B542" s="1"/>
      <c r="C542" s="1"/>
      <c r="D542" s="1"/>
      <c r="E542" s="1"/>
      <c r="F542" s="2"/>
      <c r="G542" s="2"/>
      <c r="H542" s="1"/>
      <c r="I542" s="1"/>
      <c r="J542" s="1"/>
      <c r="K542" s="3"/>
      <c r="L542" s="1"/>
      <c r="M542" s="1"/>
      <c r="N542" s="1"/>
      <c r="O542" s="1"/>
      <c r="P542" s="1"/>
      <c r="Q542" s="1"/>
      <c r="R542" s="1"/>
      <c r="S542" s="1"/>
      <c r="T542" s="1"/>
      <c r="U542" s="1"/>
      <c r="V542" s="1"/>
      <c r="W542" s="1"/>
      <c r="X542" s="1"/>
      <c r="Y542" s="1"/>
      <c r="Z542" s="1"/>
      <c r="AA542" s="1"/>
      <c r="AB542" s="1"/>
      <c r="AC542" s="1"/>
    </row>
    <row r="543">
      <c r="A543" s="1"/>
      <c r="B543" s="1"/>
      <c r="C543" s="1"/>
      <c r="D543" s="1"/>
      <c r="E543" s="1"/>
      <c r="F543" s="2"/>
      <c r="G543" s="2"/>
      <c r="H543" s="1"/>
      <c r="I543" s="1"/>
      <c r="J543" s="1"/>
      <c r="K543" s="3"/>
      <c r="L543" s="1"/>
      <c r="M543" s="1"/>
      <c r="N543" s="1"/>
      <c r="O543" s="1"/>
      <c r="P543" s="1"/>
      <c r="Q543" s="1"/>
      <c r="R543" s="1"/>
      <c r="S543" s="1"/>
      <c r="T543" s="1"/>
      <c r="U543" s="1"/>
      <c r="V543" s="1"/>
      <c r="W543" s="1"/>
      <c r="X543" s="1"/>
      <c r="Y543" s="1"/>
      <c r="Z543" s="1"/>
      <c r="AA543" s="1"/>
      <c r="AB543" s="1"/>
      <c r="AC543" s="1"/>
    </row>
    <row r="544">
      <c r="A544" s="1"/>
      <c r="B544" s="1"/>
      <c r="C544" s="1"/>
      <c r="D544" s="1"/>
      <c r="E544" s="1"/>
      <c r="F544" s="2"/>
      <c r="G544" s="2"/>
      <c r="H544" s="1"/>
      <c r="I544" s="1"/>
      <c r="J544" s="1"/>
      <c r="K544" s="3"/>
      <c r="L544" s="1"/>
      <c r="M544" s="1"/>
      <c r="N544" s="1"/>
      <c r="O544" s="1"/>
      <c r="P544" s="1"/>
      <c r="Q544" s="1"/>
      <c r="R544" s="1"/>
      <c r="S544" s="1"/>
      <c r="T544" s="1"/>
      <c r="U544" s="1"/>
      <c r="V544" s="1"/>
      <c r="W544" s="1"/>
      <c r="X544" s="1"/>
      <c r="Y544" s="1"/>
      <c r="Z544" s="1"/>
      <c r="AA544" s="1"/>
      <c r="AB544" s="1"/>
      <c r="AC544" s="1"/>
    </row>
    <row r="545">
      <c r="A545" s="1"/>
      <c r="B545" s="1"/>
      <c r="C545" s="1"/>
      <c r="D545" s="1"/>
      <c r="E545" s="1"/>
      <c r="F545" s="2"/>
      <c r="G545" s="2"/>
      <c r="H545" s="1"/>
      <c r="I545" s="1"/>
      <c r="J545" s="1"/>
      <c r="K545" s="3"/>
      <c r="L545" s="1"/>
      <c r="M545" s="1"/>
      <c r="N545" s="1"/>
      <c r="O545" s="1"/>
      <c r="P545" s="1"/>
      <c r="Q545" s="1"/>
      <c r="R545" s="1"/>
      <c r="S545" s="1"/>
      <c r="T545" s="1"/>
      <c r="U545" s="1"/>
      <c r="V545" s="1"/>
      <c r="W545" s="1"/>
      <c r="X545" s="1"/>
      <c r="Y545" s="1"/>
      <c r="Z545" s="1"/>
      <c r="AA545" s="1"/>
      <c r="AB545" s="1"/>
      <c r="AC545" s="1"/>
    </row>
    <row r="546">
      <c r="A546" s="1"/>
      <c r="B546" s="1"/>
      <c r="C546" s="1"/>
      <c r="D546" s="1"/>
      <c r="E546" s="1"/>
      <c r="F546" s="2"/>
      <c r="G546" s="2"/>
      <c r="H546" s="1"/>
      <c r="I546" s="1"/>
      <c r="J546" s="1"/>
      <c r="K546" s="3"/>
      <c r="L546" s="1"/>
      <c r="M546" s="1"/>
      <c r="N546" s="1"/>
      <c r="O546" s="1"/>
      <c r="P546" s="1"/>
      <c r="Q546" s="1"/>
      <c r="R546" s="1"/>
      <c r="S546" s="1"/>
      <c r="T546" s="1"/>
      <c r="U546" s="1"/>
      <c r="V546" s="1"/>
      <c r="W546" s="1"/>
      <c r="X546" s="1"/>
      <c r="Y546" s="1"/>
      <c r="Z546" s="1"/>
      <c r="AA546" s="1"/>
      <c r="AB546" s="1"/>
      <c r="AC546" s="1"/>
    </row>
    <row r="547">
      <c r="A547" s="1"/>
      <c r="B547" s="1"/>
      <c r="C547" s="1"/>
      <c r="D547" s="1"/>
      <c r="E547" s="1"/>
      <c r="F547" s="2"/>
      <c r="G547" s="2"/>
      <c r="H547" s="1"/>
      <c r="I547" s="1"/>
      <c r="J547" s="1"/>
      <c r="K547" s="3"/>
      <c r="L547" s="1"/>
      <c r="M547" s="1"/>
      <c r="N547" s="1"/>
      <c r="O547" s="1"/>
      <c r="P547" s="1"/>
      <c r="Q547" s="1"/>
      <c r="R547" s="1"/>
      <c r="S547" s="1"/>
      <c r="T547" s="1"/>
      <c r="U547" s="1"/>
      <c r="V547" s="1"/>
      <c r="W547" s="1"/>
      <c r="X547" s="1"/>
      <c r="Y547" s="1"/>
      <c r="Z547" s="1"/>
      <c r="AA547" s="1"/>
      <c r="AB547" s="1"/>
      <c r="AC547" s="1"/>
    </row>
    <row r="548">
      <c r="A548" s="1"/>
      <c r="B548" s="1"/>
      <c r="C548" s="1"/>
      <c r="D548" s="1"/>
      <c r="E548" s="1"/>
      <c r="F548" s="2"/>
      <c r="G548" s="2"/>
      <c r="H548" s="1"/>
      <c r="I548" s="1"/>
      <c r="J548" s="1"/>
      <c r="K548" s="3"/>
      <c r="L548" s="1"/>
      <c r="M548" s="1"/>
      <c r="N548" s="1"/>
      <c r="O548" s="1"/>
      <c r="P548" s="1"/>
      <c r="Q548" s="1"/>
      <c r="R548" s="1"/>
      <c r="S548" s="1"/>
      <c r="T548" s="1"/>
      <c r="U548" s="1"/>
      <c r="V548" s="1"/>
      <c r="W548" s="1"/>
      <c r="X548" s="1"/>
      <c r="Y548" s="1"/>
      <c r="Z548" s="1"/>
      <c r="AA548" s="1"/>
      <c r="AB548" s="1"/>
      <c r="AC548" s="1"/>
    </row>
    <row r="549">
      <c r="A549" s="1"/>
      <c r="B549" s="1"/>
      <c r="C549" s="1"/>
      <c r="D549" s="1"/>
      <c r="E549" s="1"/>
      <c r="F549" s="2"/>
      <c r="G549" s="2"/>
      <c r="H549" s="1"/>
      <c r="I549" s="1"/>
      <c r="J549" s="1"/>
      <c r="K549" s="3"/>
      <c r="L549" s="1"/>
      <c r="M549" s="1"/>
      <c r="N549" s="1"/>
      <c r="O549" s="1"/>
      <c r="P549" s="1"/>
      <c r="Q549" s="1"/>
      <c r="R549" s="1"/>
      <c r="S549" s="1"/>
      <c r="T549" s="1"/>
      <c r="U549" s="1"/>
      <c r="V549" s="1"/>
      <c r="W549" s="1"/>
      <c r="X549" s="1"/>
      <c r="Y549" s="1"/>
      <c r="Z549" s="1"/>
      <c r="AA549" s="1"/>
      <c r="AB549" s="1"/>
      <c r="AC549" s="1"/>
    </row>
    <row r="550">
      <c r="A550" s="1"/>
      <c r="B550" s="1"/>
      <c r="C550" s="1"/>
      <c r="D550" s="1"/>
      <c r="E550" s="1"/>
      <c r="F550" s="2"/>
      <c r="G550" s="2"/>
      <c r="H550" s="1"/>
      <c r="I550" s="1"/>
      <c r="J550" s="1"/>
      <c r="K550" s="3"/>
      <c r="L550" s="1"/>
      <c r="M550" s="1"/>
      <c r="N550" s="1"/>
      <c r="O550" s="1"/>
      <c r="P550" s="1"/>
      <c r="Q550" s="1"/>
      <c r="R550" s="1"/>
      <c r="S550" s="1"/>
      <c r="T550" s="1"/>
      <c r="U550" s="1"/>
      <c r="V550" s="1"/>
      <c r="W550" s="1"/>
      <c r="X550" s="1"/>
      <c r="Y550" s="1"/>
      <c r="Z550" s="1"/>
      <c r="AA550" s="1"/>
      <c r="AB550" s="1"/>
      <c r="AC550" s="1"/>
    </row>
    <row r="551">
      <c r="A551" s="1"/>
      <c r="B551" s="1"/>
      <c r="C551" s="1"/>
      <c r="D551" s="1"/>
      <c r="E551" s="1"/>
      <c r="F551" s="2"/>
      <c r="G551" s="2"/>
      <c r="H551" s="1"/>
      <c r="I551" s="1"/>
      <c r="J551" s="1"/>
      <c r="K551" s="3"/>
      <c r="L551" s="1"/>
      <c r="M551" s="1"/>
      <c r="N551" s="1"/>
      <c r="O551" s="1"/>
      <c r="P551" s="1"/>
      <c r="Q551" s="1"/>
      <c r="R551" s="1"/>
      <c r="S551" s="1"/>
      <c r="T551" s="1"/>
      <c r="U551" s="1"/>
      <c r="V551" s="1"/>
      <c r="W551" s="1"/>
      <c r="X551" s="1"/>
      <c r="Y551" s="1"/>
      <c r="Z551" s="1"/>
      <c r="AA551" s="1"/>
      <c r="AB551" s="1"/>
      <c r="AC551" s="1"/>
    </row>
    <row r="552">
      <c r="A552" s="1"/>
      <c r="B552" s="1"/>
      <c r="C552" s="1"/>
      <c r="D552" s="1"/>
      <c r="E552" s="1"/>
      <c r="F552" s="2"/>
      <c r="G552" s="2"/>
      <c r="H552" s="1"/>
      <c r="I552" s="1"/>
      <c r="J552" s="1"/>
      <c r="K552" s="3"/>
      <c r="L552" s="1"/>
      <c r="M552" s="1"/>
      <c r="N552" s="1"/>
      <c r="O552" s="1"/>
      <c r="P552" s="1"/>
      <c r="Q552" s="1"/>
      <c r="R552" s="1"/>
      <c r="S552" s="1"/>
      <c r="T552" s="1"/>
      <c r="U552" s="1"/>
      <c r="V552" s="1"/>
      <c r="W552" s="1"/>
      <c r="X552" s="1"/>
      <c r="Y552" s="1"/>
      <c r="Z552" s="1"/>
      <c r="AA552" s="1"/>
      <c r="AB552" s="1"/>
      <c r="AC552" s="1"/>
    </row>
    <row r="553">
      <c r="A553" s="1"/>
      <c r="B553" s="1"/>
      <c r="C553" s="1"/>
      <c r="D553" s="1"/>
      <c r="E553" s="1"/>
      <c r="F553" s="2"/>
      <c r="G553" s="2"/>
      <c r="H553" s="1"/>
      <c r="I553" s="1"/>
      <c r="J553" s="1"/>
      <c r="K553" s="3"/>
      <c r="L553" s="1"/>
      <c r="M553" s="1"/>
      <c r="N553" s="1"/>
      <c r="O553" s="1"/>
      <c r="P553" s="1"/>
      <c r="Q553" s="1"/>
      <c r="R553" s="1"/>
      <c r="S553" s="1"/>
      <c r="T553" s="1"/>
      <c r="U553" s="1"/>
      <c r="V553" s="1"/>
      <c r="W553" s="1"/>
      <c r="X553" s="1"/>
      <c r="Y553" s="1"/>
      <c r="Z553" s="1"/>
      <c r="AA553" s="1"/>
      <c r="AB553" s="1"/>
      <c r="AC553" s="1"/>
    </row>
    <row r="554">
      <c r="A554" s="1"/>
      <c r="B554" s="1"/>
      <c r="C554" s="1"/>
      <c r="D554" s="1"/>
      <c r="E554" s="1"/>
      <c r="F554" s="2"/>
      <c r="G554" s="2"/>
      <c r="H554" s="1"/>
      <c r="I554" s="1"/>
      <c r="J554" s="1"/>
      <c r="K554" s="3"/>
      <c r="L554" s="1"/>
      <c r="M554" s="1"/>
      <c r="N554" s="1"/>
      <c r="O554" s="1"/>
      <c r="P554" s="1"/>
      <c r="Q554" s="1"/>
      <c r="R554" s="1"/>
      <c r="S554" s="1"/>
      <c r="T554" s="1"/>
      <c r="U554" s="1"/>
      <c r="V554" s="1"/>
      <c r="W554" s="1"/>
      <c r="X554" s="1"/>
      <c r="Y554" s="1"/>
      <c r="Z554" s="1"/>
      <c r="AA554" s="1"/>
      <c r="AB554" s="1"/>
      <c r="AC554" s="1"/>
    </row>
    <row r="555">
      <c r="A555" s="1"/>
      <c r="B555" s="1"/>
      <c r="C555" s="1"/>
      <c r="D555" s="1"/>
      <c r="E555" s="1"/>
      <c r="F555" s="2"/>
      <c r="G555" s="2"/>
      <c r="H555" s="1"/>
      <c r="I555" s="1"/>
      <c r="J555" s="1"/>
      <c r="K555" s="3"/>
      <c r="L555" s="1"/>
      <c r="M555" s="1"/>
      <c r="N555" s="1"/>
      <c r="O555" s="1"/>
      <c r="P555" s="1"/>
      <c r="Q555" s="1"/>
      <c r="R555" s="1"/>
      <c r="S555" s="1"/>
      <c r="T555" s="1"/>
      <c r="U555" s="1"/>
      <c r="V555" s="1"/>
      <c r="W555" s="1"/>
      <c r="X555" s="1"/>
      <c r="Y555" s="1"/>
      <c r="Z555" s="1"/>
      <c r="AA555" s="1"/>
      <c r="AB555" s="1"/>
      <c r="AC555" s="1"/>
    </row>
    <row r="556">
      <c r="A556" s="1"/>
      <c r="B556" s="1"/>
      <c r="C556" s="1"/>
      <c r="D556" s="1"/>
      <c r="E556" s="1"/>
      <c r="F556" s="2"/>
      <c r="G556" s="2"/>
      <c r="H556" s="1"/>
      <c r="I556" s="1"/>
      <c r="J556" s="1"/>
      <c r="K556" s="3"/>
      <c r="L556" s="1"/>
      <c r="M556" s="1"/>
      <c r="N556" s="1"/>
      <c r="O556" s="1"/>
      <c r="P556" s="1"/>
      <c r="Q556" s="1"/>
      <c r="R556" s="1"/>
      <c r="S556" s="1"/>
      <c r="T556" s="1"/>
      <c r="U556" s="1"/>
      <c r="V556" s="1"/>
      <c r="W556" s="1"/>
      <c r="X556" s="1"/>
      <c r="Y556" s="1"/>
      <c r="Z556" s="1"/>
      <c r="AA556" s="1"/>
      <c r="AB556" s="1"/>
      <c r="AC556" s="1"/>
    </row>
    <row r="557">
      <c r="A557" s="1"/>
      <c r="B557" s="1"/>
      <c r="C557" s="1"/>
      <c r="D557" s="1"/>
      <c r="E557" s="1"/>
      <c r="F557" s="2"/>
      <c r="G557" s="2"/>
      <c r="H557" s="1"/>
      <c r="I557" s="1"/>
      <c r="J557" s="1"/>
      <c r="K557" s="3"/>
      <c r="L557" s="1"/>
      <c r="M557" s="1"/>
      <c r="N557" s="1"/>
      <c r="O557" s="1"/>
      <c r="P557" s="1"/>
      <c r="Q557" s="1"/>
      <c r="R557" s="1"/>
      <c r="S557" s="1"/>
      <c r="T557" s="1"/>
      <c r="U557" s="1"/>
      <c r="V557" s="1"/>
      <c r="W557" s="1"/>
      <c r="X557" s="1"/>
      <c r="Y557" s="1"/>
      <c r="Z557" s="1"/>
      <c r="AA557" s="1"/>
      <c r="AB557" s="1"/>
      <c r="AC557" s="1"/>
    </row>
    <row r="558">
      <c r="A558" s="1"/>
      <c r="B558" s="1"/>
      <c r="C558" s="1"/>
      <c r="D558" s="1"/>
      <c r="E558" s="1"/>
      <c r="F558" s="2"/>
      <c r="G558" s="2"/>
      <c r="H558" s="1"/>
      <c r="I558" s="1"/>
      <c r="J558" s="1"/>
      <c r="K558" s="3"/>
      <c r="L558" s="1"/>
      <c r="M558" s="1"/>
      <c r="N558" s="1"/>
      <c r="O558" s="1"/>
      <c r="P558" s="1"/>
      <c r="Q558" s="1"/>
      <c r="R558" s="1"/>
      <c r="S558" s="1"/>
      <c r="T558" s="1"/>
      <c r="U558" s="1"/>
      <c r="V558" s="1"/>
      <c r="W558" s="1"/>
      <c r="X558" s="1"/>
      <c r="Y558" s="1"/>
      <c r="Z558" s="1"/>
      <c r="AA558" s="1"/>
      <c r="AB558" s="1"/>
      <c r="AC558" s="1"/>
    </row>
    <row r="559">
      <c r="A559" s="1"/>
      <c r="B559" s="1"/>
      <c r="C559" s="1"/>
      <c r="D559" s="1"/>
      <c r="E559" s="1"/>
      <c r="F559" s="2"/>
      <c r="G559" s="2"/>
      <c r="H559" s="1"/>
      <c r="I559" s="1"/>
      <c r="J559" s="1"/>
      <c r="K559" s="3"/>
      <c r="L559" s="1"/>
      <c r="M559" s="1"/>
      <c r="N559" s="1"/>
      <c r="O559" s="1"/>
      <c r="P559" s="1"/>
      <c r="Q559" s="1"/>
      <c r="R559" s="1"/>
      <c r="S559" s="1"/>
      <c r="T559" s="1"/>
      <c r="U559" s="1"/>
      <c r="V559" s="1"/>
      <c r="W559" s="1"/>
      <c r="X559" s="1"/>
      <c r="Y559" s="1"/>
      <c r="Z559" s="1"/>
      <c r="AA559" s="1"/>
      <c r="AB559" s="1"/>
      <c r="AC559" s="1"/>
    </row>
    <row r="560">
      <c r="A560" s="1"/>
      <c r="B560" s="1"/>
      <c r="C560" s="1"/>
      <c r="D560" s="1"/>
      <c r="E560" s="1"/>
      <c r="F560" s="2"/>
      <c r="G560" s="2"/>
      <c r="H560" s="1"/>
      <c r="I560" s="1"/>
      <c r="J560" s="1"/>
      <c r="K560" s="3"/>
      <c r="L560" s="1"/>
      <c r="M560" s="1"/>
      <c r="N560" s="1"/>
      <c r="O560" s="1"/>
      <c r="P560" s="1"/>
      <c r="Q560" s="1"/>
      <c r="R560" s="1"/>
      <c r="S560" s="1"/>
      <c r="T560" s="1"/>
      <c r="U560" s="1"/>
      <c r="V560" s="1"/>
      <c r="W560" s="1"/>
      <c r="X560" s="1"/>
      <c r="Y560" s="1"/>
      <c r="Z560" s="1"/>
      <c r="AA560" s="1"/>
      <c r="AB560" s="1"/>
      <c r="AC560" s="1"/>
    </row>
    <row r="561">
      <c r="A561" s="1"/>
      <c r="B561" s="1"/>
      <c r="C561" s="1"/>
      <c r="D561" s="1"/>
      <c r="E561" s="1"/>
      <c r="F561" s="2"/>
      <c r="G561" s="2"/>
      <c r="H561" s="1"/>
      <c r="I561" s="1"/>
      <c r="J561" s="1"/>
      <c r="K561" s="3"/>
      <c r="L561" s="1"/>
      <c r="M561" s="1"/>
      <c r="N561" s="1"/>
      <c r="O561" s="1"/>
      <c r="P561" s="1"/>
      <c r="Q561" s="1"/>
      <c r="R561" s="1"/>
      <c r="S561" s="1"/>
      <c r="T561" s="1"/>
      <c r="U561" s="1"/>
      <c r="V561" s="1"/>
      <c r="W561" s="1"/>
      <c r="X561" s="1"/>
      <c r="Y561" s="1"/>
      <c r="Z561" s="1"/>
      <c r="AA561" s="1"/>
      <c r="AB561" s="1"/>
      <c r="AC561" s="1"/>
    </row>
    <row r="562">
      <c r="A562" s="1"/>
      <c r="B562" s="1"/>
      <c r="C562" s="1"/>
      <c r="D562" s="1"/>
      <c r="E562" s="1"/>
      <c r="F562" s="2"/>
      <c r="G562" s="2"/>
      <c r="H562" s="1"/>
      <c r="I562" s="1"/>
      <c r="J562" s="1"/>
      <c r="K562" s="3"/>
      <c r="L562" s="1"/>
      <c r="M562" s="1"/>
      <c r="N562" s="1"/>
      <c r="O562" s="1"/>
      <c r="P562" s="1"/>
      <c r="Q562" s="1"/>
      <c r="R562" s="1"/>
      <c r="S562" s="1"/>
      <c r="T562" s="1"/>
      <c r="U562" s="1"/>
      <c r="V562" s="1"/>
      <c r="W562" s="1"/>
      <c r="X562" s="1"/>
      <c r="Y562" s="1"/>
      <c r="Z562" s="1"/>
      <c r="AA562" s="1"/>
      <c r="AB562" s="1"/>
      <c r="AC562" s="1"/>
    </row>
    <row r="563">
      <c r="A563" s="1"/>
      <c r="B563" s="1"/>
      <c r="C563" s="1"/>
      <c r="D563" s="1"/>
      <c r="E563" s="1"/>
      <c r="F563" s="2"/>
      <c r="G563" s="2"/>
      <c r="H563" s="1"/>
      <c r="I563" s="1"/>
      <c r="J563" s="1"/>
      <c r="K563" s="3"/>
      <c r="L563" s="1"/>
      <c r="M563" s="1"/>
      <c r="N563" s="1"/>
      <c r="O563" s="1"/>
      <c r="P563" s="1"/>
      <c r="Q563" s="1"/>
      <c r="R563" s="1"/>
      <c r="S563" s="1"/>
      <c r="T563" s="1"/>
      <c r="U563" s="1"/>
      <c r="V563" s="1"/>
      <c r="W563" s="1"/>
      <c r="X563" s="1"/>
      <c r="Y563" s="1"/>
      <c r="Z563" s="1"/>
      <c r="AA563" s="1"/>
      <c r="AB563" s="1"/>
      <c r="AC563" s="1"/>
    </row>
    <row r="564">
      <c r="A564" s="1"/>
      <c r="B564" s="1"/>
      <c r="C564" s="1"/>
      <c r="D564" s="1"/>
      <c r="E564" s="1"/>
      <c r="F564" s="2"/>
      <c r="G564" s="2"/>
      <c r="H564" s="1"/>
      <c r="I564" s="1"/>
      <c r="J564" s="1"/>
      <c r="K564" s="3"/>
      <c r="L564" s="1"/>
      <c r="M564" s="1"/>
      <c r="N564" s="1"/>
      <c r="O564" s="1"/>
      <c r="P564" s="1"/>
      <c r="Q564" s="1"/>
      <c r="R564" s="1"/>
      <c r="S564" s="1"/>
      <c r="T564" s="1"/>
      <c r="U564" s="1"/>
      <c r="V564" s="1"/>
      <c r="W564" s="1"/>
      <c r="X564" s="1"/>
      <c r="Y564" s="1"/>
      <c r="Z564" s="1"/>
      <c r="AA564" s="1"/>
      <c r="AB564" s="1"/>
      <c r="AC564" s="1"/>
    </row>
    <row r="565">
      <c r="A565" s="1"/>
      <c r="B565" s="1"/>
      <c r="C565" s="1"/>
      <c r="D565" s="1"/>
      <c r="E565" s="1"/>
      <c r="F565" s="2"/>
      <c r="G565" s="2"/>
      <c r="H565" s="1"/>
      <c r="I565" s="1"/>
      <c r="J565" s="1"/>
      <c r="K565" s="3"/>
      <c r="L565" s="1"/>
      <c r="M565" s="1"/>
      <c r="N565" s="1"/>
      <c r="O565" s="1"/>
      <c r="P565" s="1"/>
      <c r="Q565" s="1"/>
      <c r="R565" s="1"/>
      <c r="S565" s="1"/>
      <c r="T565" s="1"/>
      <c r="U565" s="1"/>
      <c r="V565" s="1"/>
      <c r="W565" s="1"/>
      <c r="X565" s="1"/>
      <c r="Y565" s="1"/>
      <c r="Z565" s="1"/>
      <c r="AA565" s="1"/>
      <c r="AB565" s="1"/>
      <c r="AC565" s="1"/>
    </row>
    <row r="566">
      <c r="A566" s="1"/>
      <c r="B566" s="1"/>
      <c r="C566" s="1"/>
      <c r="D566" s="1"/>
      <c r="E566" s="1"/>
      <c r="F566" s="2"/>
      <c r="G566" s="2"/>
      <c r="H566" s="1"/>
      <c r="I566" s="1"/>
      <c r="J566" s="1"/>
      <c r="K566" s="3"/>
      <c r="L566" s="1"/>
      <c r="M566" s="1"/>
      <c r="N566" s="1"/>
      <c r="O566" s="1"/>
      <c r="P566" s="1"/>
      <c r="Q566" s="1"/>
      <c r="R566" s="1"/>
      <c r="S566" s="1"/>
      <c r="T566" s="1"/>
      <c r="U566" s="1"/>
      <c r="V566" s="1"/>
      <c r="W566" s="1"/>
      <c r="X566" s="1"/>
      <c r="Y566" s="1"/>
      <c r="Z566" s="1"/>
      <c r="AA566" s="1"/>
      <c r="AB566" s="1"/>
      <c r="AC566" s="1"/>
    </row>
    <row r="567">
      <c r="A567" s="1"/>
      <c r="B567" s="1"/>
      <c r="C567" s="1"/>
      <c r="D567" s="1"/>
      <c r="E567" s="1"/>
      <c r="F567" s="2"/>
      <c r="G567" s="2"/>
      <c r="H567" s="1"/>
      <c r="I567" s="1"/>
      <c r="J567" s="1"/>
      <c r="K567" s="3"/>
      <c r="L567" s="1"/>
      <c r="M567" s="1"/>
      <c r="N567" s="1"/>
      <c r="O567" s="1"/>
      <c r="P567" s="1"/>
      <c r="Q567" s="1"/>
      <c r="R567" s="1"/>
      <c r="S567" s="1"/>
      <c r="T567" s="1"/>
      <c r="U567" s="1"/>
      <c r="V567" s="1"/>
      <c r="W567" s="1"/>
      <c r="X567" s="1"/>
      <c r="Y567" s="1"/>
      <c r="Z567" s="1"/>
      <c r="AA567" s="1"/>
      <c r="AB567" s="1"/>
      <c r="AC567" s="1"/>
    </row>
    <row r="568">
      <c r="A568" s="1"/>
      <c r="B568" s="1"/>
      <c r="C568" s="1"/>
      <c r="D568" s="1"/>
      <c r="E568" s="1"/>
      <c r="F568" s="2"/>
      <c r="G568" s="2"/>
      <c r="H568" s="1"/>
      <c r="I568" s="1"/>
      <c r="J568" s="1"/>
      <c r="K568" s="3"/>
      <c r="L568" s="1"/>
      <c r="M568" s="1"/>
      <c r="N568" s="1"/>
      <c r="O568" s="1"/>
      <c r="P568" s="1"/>
      <c r="Q568" s="1"/>
      <c r="R568" s="1"/>
      <c r="S568" s="1"/>
      <c r="T568" s="1"/>
      <c r="U568" s="1"/>
      <c r="V568" s="1"/>
      <c r="W568" s="1"/>
      <c r="X568" s="1"/>
      <c r="Y568" s="1"/>
      <c r="Z568" s="1"/>
      <c r="AA568" s="1"/>
      <c r="AB568" s="1"/>
      <c r="AC568" s="1"/>
    </row>
    <row r="569">
      <c r="A569" s="1"/>
      <c r="B569" s="1"/>
      <c r="C569" s="1"/>
      <c r="D569" s="1"/>
      <c r="E569" s="1"/>
      <c r="F569" s="2"/>
      <c r="G569" s="2"/>
      <c r="H569" s="1"/>
      <c r="I569" s="1"/>
      <c r="J569" s="1"/>
      <c r="K569" s="3"/>
      <c r="L569" s="1"/>
      <c r="M569" s="1"/>
      <c r="N569" s="1"/>
      <c r="O569" s="1"/>
      <c r="P569" s="1"/>
      <c r="Q569" s="1"/>
      <c r="R569" s="1"/>
      <c r="S569" s="1"/>
      <c r="T569" s="1"/>
      <c r="U569" s="1"/>
      <c r="V569" s="1"/>
      <c r="W569" s="1"/>
      <c r="X569" s="1"/>
      <c r="Y569" s="1"/>
      <c r="Z569" s="1"/>
      <c r="AA569" s="1"/>
      <c r="AB569" s="1"/>
      <c r="AC569" s="1"/>
    </row>
    <row r="570">
      <c r="A570" s="1"/>
      <c r="B570" s="1"/>
      <c r="C570" s="1"/>
      <c r="D570" s="1"/>
      <c r="E570" s="1"/>
      <c r="F570" s="2"/>
      <c r="G570" s="2"/>
      <c r="H570" s="1"/>
      <c r="I570" s="1"/>
      <c r="J570" s="1"/>
      <c r="K570" s="3"/>
      <c r="L570" s="1"/>
      <c r="M570" s="1"/>
      <c r="N570" s="1"/>
      <c r="O570" s="1"/>
      <c r="P570" s="1"/>
      <c r="Q570" s="1"/>
      <c r="R570" s="1"/>
      <c r="S570" s="1"/>
      <c r="T570" s="1"/>
      <c r="U570" s="1"/>
      <c r="V570" s="1"/>
      <c r="W570" s="1"/>
      <c r="X570" s="1"/>
      <c r="Y570" s="1"/>
      <c r="Z570" s="1"/>
      <c r="AA570" s="1"/>
      <c r="AB570" s="1"/>
      <c r="AC570" s="1"/>
    </row>
    <row r="571">
      <c r="A571" s="1"/>
      <c r="B571" s="1"/>
      <c r="C571" s="1"/>
      <c r="D571" s="1"/>
      <c r="E571" s="1"/>
      <c r="F571" s="2"/>
      <c r="G571" s="2"/>
      <c r="H571" s="1"/>
      <c r="I571" s="1"/>
      <c r="J571" s="1"/>
      <c r="K571" s="3"/>
      <c r="L571" s="1"/>
      <c r="M571" s="1"/>
      <c r="N571" s="1"/>
      <c r="O571" s="1"/>
      <c r="P571" s="1"/>
      <c r="Q571" s="1"/>
      <c r="R571" s="1"/>
      <c r="S571" s="1"/>
      <c r="T571" s="1"/>
      <c r="U571" s="1"/>
      <c r="V571" s="1"/>
      <c r="W571" s="1"/>
      <c r="X571" s="1"/>
      <c r="Y571" s="1"/>
      <c r="Z571" s="1"/>
      <c r="AA571" s="1"/>
      <c r="AB571" s="1"/>
      <c r="AC571" s="1"/>
    </row>
    <row r="572">
      <c r="A572" s="1"/>
      <c r="B572" s="1"/>
      <c r="C572" s="1"/>
      <c r="D572" s="1"/>
      <c r="E572" s="1"/>
      <c r="F572" s="2"/>
      <c r="G572" s="2"/>
      <c r="H572" s="1"/>
      <c r="I572" s="1"/>
      <c r="J572" s="1"/>
      <c r="K572" s="3"/>
      <c r="L572" s="1"/>
      <c r="M572" s="1"/>
      <c r="N572" s="1"/>
      <c r="O572" s="1"/>
      <c r="P572" s="1"/>
      <c r="Q572" s="1"/>
      <c r="R572" s="1"/>
      <c r="S572" s="1"/>
      <c r="T572" s="1"/>
      <c r="U572" s="1"/>
      <c r="V572" s="1"/>
      <c r="W572" s="1"/>
      <c r="X572" s="1"/>
      <c r="Y572" s="1"/>
      <c r="Z572" s="1"/>
      <c r="AA572" s="1"/>
      <c r="AB572" s="1"/>
      <c r="AC572" s="1"/>
    </row>
    <row r="573">
      <c r="A573" s="1"/>
      <c r="B573" s="1"/>
      <c r="C573" s="1"/>
      <c r="D573" s="1"/>
      <c r="E573" s="1"/>
      <c r="F573" s="2"/>
      <c r="G573" s="2"/>
      <c r="H573" s="1"/>
      <c r="I573" s="1"/>
      <c r="J573" s="1"/>
      <c r="K573" s="3"/>
      <c r="L573" s="1"/>
      <c r="M573" s="1"/>
      <c r="N573" s="1"/>
      <c r="O573" s="1"/>
      <c r="P573" s="1"/>
      <c r="Q573" s="1"/>
      <c r="R573" s="1"/>
      <c r="S573" s="1"/>
      <c r="T573" s="1"/>
      <c r="U573" s="1"/>
      <c r="V573" s="1"/>
      <c r="W573" s="1"/>
      <c r="X573" s="1"/>
      <c r="Y573" s="1"/>
      <c r="Z573" s="1"/>
      <c r="AA573" s="1"/>
      <c r="AB573" s="1"/>
      <c r="AC573" s="1"/>
    </row>
    <row r="574">
      <c r="A574" s="1"/>
      <c r="B574" s="1"/>
      <c r="C574" s="1"/>
      <c r="D574" s="1"/>
      <c r="E574" s="1"/>
      <c r="F574" s="2"/>
      <c r="G574" s="2"/>
      <c r="H574" s="1"/>
      <c r="I574" s="1"/>
      <c r="J574" s="1"/>
      <c r="K574" s="3"/>
      <c r="L574" s="1"/>
      <c r="M574" s="1"/>
      <c r="N574" s="1"/>
      <c r="O574" s="1"/>
      <c r="P574" s="1"/>
      <c r="Q574" s="1"/>
      <c r="R574" s="1"/>
      <c r="S574" s="1"/>
      <c r="T574" s="1"/>
      <c r="U574" s="1"/>
      <c r="V574" s="1"/>
      <c r="W574" s="1"/>
      <c r="X574" s="1"/>
      <c r="Y574" s="1"/>
      <c r="Z574" s="1"/>
      <c r="AA574" s="1"/>
      <c r="AB574" s="1"/>
      <c r="AC574" s="1"/>
    </row>
    <row r="575">
      <c r="A575" s="1"/>
      <c r="B575" s="1"/>
      <c r="C575" s="1"/>
      <c r="D575" s="1"/>
      <c r="E575" s="1"/>
      <c r="F575" s="2"/>
      <c r="G575" s="2"/>
      <c r="H575" s="1"/>
      <c r="I575" s="1"/>
      <c r="J575" s="1"/>
      <c r="K575" s="3"/>
      <c r="L575" s="1"/>
      <c r="M575" s="1"/>
      <c r="N575" s="1"/>
      <c r="O575" s="1"/>
      <c r="P575" s="1"/>
      <c r="Q575" s="1"/>
      <c r="R575" s="1"/>
      <c r="S575" s="1"/>
      <c r="T575" s="1"/>
      <c r="U575" s="1"/>
      <c r="V575" s="1"/>
      <c r="W575" s="1"/>
      <c r="X575" s="1"/>
      <c r="Y575" s="1"/>
      <c r="Z575" s="1"/>
      <c r="AA575" s="1"/>
      <c r="AB575" s="1"/>
      <c r="AC575" s="1"/>
    </row>
    <row r="576">
      <c r="A576" s="1"/>
      <c r="B576" s="1"/>
      <c r="C576" s="1"/>
      <c r="D576" s="1"/>
      <c r="E576" s="1"/>
      <c r="F576" s="2"/>
      <c r="G576" s="2"/>
      <c r="H576" s="1"/>
      <c r="I576" s="1"/>
      <c r="J576" s="1"/>
      <c r="K576" s="3"/>
      <c r="L576" s="1"/>
      <c r="M576" s="1"/>
      <c r="N576" s="1"/>
      <c r="O576" s="1"/>
      <c r="P576" s="1"/>
      <c r="Q576" s="1"/>
      <c r="R576" s="1"/>
      <c r="S576" s="1"/>
      <c r="T576" s="1"/>
      <c r="U576" s="1"/>
      <c r="V576" s="1"/>
      <c r="W576" s="1"/>
      <c r="X576" s="1"/>
      <c r="Y576" s="1"/>
      <c r="Z576" s="1"/>
      <c r="AA576" s="1"/>
      <c r="AB576" s="1"/>
      <c r="AC576" s="1"/>
    </row>
    <row r="577">
      <c r="A577" s="1"/>
      <c r="B577" s="1"/>
      <c r="C577" s="1"/>
      <c r="D577" s="1"/>
      <c r="E577" s="1"/>
      <c r="F577" s="2"/>
      <c r="G577" s="2"/>
      <c r="H577" s="1"/>
      <c r="I577" s="1"/>
      <c r="J577" s="1"/>
      <c r="K577" s="3"/>
      <c r="L577" s="1"/>
      <c r="M577" s="1"/>
      <c r="N577" s="1"/>
      <c r="O577" s="1"/>
      <c r="P577" s="1"/>
      <c r="Q577" s="1"/>
      <c r="R577" s="1"/>
      <c r="S577" s="1"/>
      <c r="T577" s="1"/>
      <c r="U577" s="1"/>
      <c r="V577" s="1"/>
      <c r="W577" s="1"/>
      <c r="X577" s="1"/>
      <c r="Y577" s="1"/>
      <c r="Z577" s="1"/>
      <c r="AA577" s="1"/>
      <c r="AB577" s="1"/>
      <c r="AC577" s="1"/>
    </row>
    <row r="578">
      <c r="A578" s="1"/>
      <c r="B578" s="1"/>
      <c r="C578" s="1"/>
      <c r="D578" s="1"/>
      <c r="E578" s="1"/>
      <c r="F578" s="2"/>
      <c r="G578" s="2"/>
      <c r="H578" s="1"/>
      <c r="I578" s="1"/>
      <c r="J578" s="1"/>
      <c r="K578" s="3"/>
      <c r="L578" s="1"/>
      <c r="M578" s="1"/>
      <c r="N578" s="1"/>
      <c r="O578" s="1"/>
      <c r="P578" s="1"/>
      <c r="Q578" s="1"/>
      <c r="R578" s="1"/>
      <c r="S578" s="1"/>
      <c r="T578" s="1"/>
      <c r="U578" s="1"/>
      <c r="V578" s="1"/>
      <c r="W578" s="1"/>
      <c r="X578" s="1"/>
      <c r="Y578" s="1"/>
      <c r="Z578" s="1"/>
      <c r="AA578" s="1"/>
      <c r="AB578" s="1"/>
      <c r="AC578" s="1"/>
    </row>
    <row r="579">
      <c r="A579" s="1"/>
      <c r="B579" s="1"/>
      <c r="C579" s="1"/>
      <c r="D579" s="1"/>
      <c r="E579" s="1"/>
      <c r="F579" s="2"/>
      <c r="G579" s="2"/>
      <c r="H579" s="1"/>
      <c r="I579" s="1"/>
      <c r="J579" s="1"/>
      <c r="K579" s="3"/>
      <c r="L579" s="1"/>
      <c r="M579" s="1"/>
      <c r="N579" s="1"/>
      <c r="O579" s="1"/>
      <c r="P579" s="1"/>
      <c r="Q579" s="1"/>
      <c r="R579" s="1"/>
      <c r="S579" s="1"/>
      <c r="T579" s="1"/>
      <c r="U579" s="1"/>
      <c r="V579" s="1"/>
      <c r="W579" s="1"/>
      <c r="X579" s="1"/>
      <c r="Y579" s="1"/>
      <c r="Z579" s="1"/>
      <c r="AA579" s="1"/>
      <c r="AB579" s="1"/>
      <c r="AC579" s="1"/>
    </row>
    <row r="580">
      <c r="A580" s="1"/>
      <c r="B580" s="1"/>
      <c r="C580" s="1"/>
      <c r="D580" s="1"/>
      <c r="E580" s="1"/>
      <c r="F580" s="2"/>
      <c r="G580" s="2"/>
      <c r="H580" s="1"/>
      <c r="I580" s="1"/>
      <c r="J580" s="1"/>
      <c r="K580" s="3"/>
      <c r="L580" s="1"/>
      <c r="M580" s="1"/>
      <c r="N580" s="1"/>
      <c r="O580" s="1"/>
      <c r="P580" s="1"/>
      <c r="Q580" s="1"/>
      <c r="R580" s="1"/>
      <c r="S580" s="1"/>
      <c r="T580" s="1"/>
      <c r="U580" s="1"/>
      <c r="V580" s="1"/>
      <c r="W580" s="1"/>
      <c r="X580" s="1"/>
      <c r="Y580" s="1"/>
      <c r="Z580" s="1"/>
      <c r="AA580" s="1"/>
      <c r="AB580" s="1"/>
      <c r="AC580" s="1"/>
    </row>
    <row r="581">
      <c r="A581" s="1"/>
      <c r="B581" s="1"/>
      <c r="C581" s="1"/>
      <c r="D581" s="1"/>
      <c r="E581" s="1"/>
      <c r="F581" s="2"/>
      <c r="G581" s="2"/>
      <c r="H581" s="1"/>
      <c r="I581" s="1"/>
      <c r="J581" s="1"/>
      <c r="K581" s="3"/>
      <c r="L581" s="1"/>
      <c r="M581" s="1"/>
      <c r="N581" s="1"/>
      <c r="O581" s="1"/>
      <c r="P581" s="1"/>
      <c r="Q581" s="1"/>
      <c r="R581" s="1"/>
      <c r="S581" s="1"/>
      <c r="T581" s="1"/>
      <c r="U581" s="1"/>
      <c r="V581" s="1"/>
      <c r="W581" s="1"/>
      <c r="X581" s="1"/>
      <c r="Y581" s="1"/>
      <c r="Z581" s="1"/>
      <c r="AA581" s="1"/>
      <c r="AB581" s="1"/>
      <c r="AC581" s="1"/>
    </row>
    <row r="582">
      <c r="A582" s="1"/>
      <c r="B582" s="1"/>
      <c r="C582" s="1"/>
      <c r="D582" s="1"/>
      <c r="E582" s="1"/>
      <c r="F582" s="2"/>
      <c r="G582" s="2"/>
      <c r="H582" s="1"/>
      <c r="I582" s="1"/>
      <c r="J582" s="1"/>
      <c r="K582" s="3"/>
      <c r="L582" s="1"/>
      <c r="M582" s="1"/>
      <c r="N582" s="1"/>
      <c r="O582" s="1"/>
      <c r="P582" s="1"/>
      <c r="Q582" s="1"/>
      <c r="R582" s="1"/>
      <c r="S582" s="1"/>
      <c r="T582" s="1"/>
      <c r="U582" s="1"/>
      <c r="V582" s="1"/>
      <c r="W582" s="1"/>
      <c r="X582" s="1"/>
      <c r="Y582" s="1"/>
      <c r="Z582" s="1"/>
      <c r="AA582" s="1"/>
      <c r="AB582" s="1"/>
      <c r="AC582" s="1"/>
    </row>
    <row r="583">
      <c r="A583" s="1"/>
      <c r="B583" s="1"/>
      <c r="C583" s="1"/>
      <c r="D583" s="1"/>
      <c r="E583" s="1"/>
      <c r="F583" s="2"/>
      <c r="G583" s="2"/>
      <c r="H583" s="1"/>
      <c r="I583" s="1"/>
      <c r="J583" s="1"/>
      <c r="K583" s="3"/>
      <c r="L583" s="1"/>
      <c r="M583" s="1"/>
      <c r="N583" s="1"/>
      <c r="O583" s="1"/>
      <c r="P583" s="1"/>
      <c r="Q583" s="1"/>
      <c r="R583" s="1"/>
      <c r="S583" s="1"/>
      <c r="T583" s="1"/>
      <c r="U583" s="1"/>
      <c r="V583" s="1"/>
      <c r="W583" s="1"/>
      <c r="X583" s="1"/>
      <c r="Y583" s="1"/>
      <c r="Z583" s="1"/>
      <c r="AA583" s="1"/>
      <c r="AB583" s="1"/>
      <c r="AC583" s="1"/>
    </row>
    <row r="584">
      <c r="A584" s="1"/>
      <c r="B584" s="1"/>
      <c r="C584" s="1"/>
      <c r="D584" s="1"/>
      <c r="E584" s="1"/>
      <c r="F584" s="2"/>
      <c r="G584" s="2"/>
      <c r="H584" s="1"/>
      <c r="I584" s="1"/>
      <c r="J584" s="1"/>
      <c r="K584" s="3"/>
      <c r="L584" s="1"/>
      <c r="M584" s="1"/>
      <c r="N584" s="1"/>
      <c r="O584" s="1"/>
      <c r="P584" s="1"/>
      <c r="Q584" s="1"/>
      <c r="R584" s="1"/>
      <c r="S584" s="1"/>
      <c r="T584" s="1"/>
      <c r="U584" s="1"/>
      <c r="V584" s="1"/>
      <c r="W584" s="1"/>
      <c r="X584" s="1"/>
      <c r="Y584" s="1"/>
      <c r="Z584" s="1"/>
      <c r="AA584" s="1"/>
      <c r="AB584" s="1"/>
      <c r="AC584" s="1"/>
    </row>
    <row r="585">
      <c r="A585" s="1"/>
      <c r="B585" s="1"/>
      <c r="C585" s="1"/>
      <c r="D585" s="1"/>
      <c r="E585" s="1"/>
      <c r="F585" s="2"/>
      <c r="G585" s="2"/>
      <c r="H585" s="1"/>
      <c r="I585" s="1"/>
      <c r="J585" s="1"/>
      <c r="K585" s="3"/>
      <c r="L585" s="1"/>
      <c r="M585" s="1"/>
      <c r="N585" s="1"/>
      <c r="O585" s="1"/>
      <c r="P585" s="1"/>
      <c r="Q585" s="1"/>
      <c r="R585" s="1"/>
      <c r="S585" s="1"/>
      <c r="T585" s="1"/>
      <c r="U585" s="1"/>
      <c r="V585" s="1"/>
      <c r="W585" s="1"/>
      <c r="X585" s="1"/>
      <c r="Y585" s="1"/>
      <c r="Z585" s="1"/>
      <c r="AA585" s="1"/>
      <c r="AB585" s="1"/>
      <c r="AC585" s="1"/>
    </row>
    <row r="586">
      <c r="A586" s="1"/>
      <c r="B586" s="1"/>
      <c r="C586" s="1"/>
      <c r="D586" s="1"/>
      <c r="E586" s="1"/>
      <c r="F586" s="2"/>
      <c r="G586" s="2"/>
      <c r="H586" s="1"/>
      <c r="I586" s="1"/>
      <c r="J586" s="1"/>
      <c r="K586" s="3"/>
      <c r="L586" s="1"/>
      <c r="M586" s="1"/>
      <c r="N586" s="1"/>
      <c r="O586" s="1"/>
      <c r="P586" s="1"/>
      <c r="Q586" s="1"/>
      <c r="R586" s="1"/>
      <c r="S586" s="1"/>
      <c r="T586" s="1"/>
      <c r="U586" s="1"/>
      <c r="V586" s="1"/>
      <c r="W586" s="1"/>
      <c r="X586" s="1"/>
      <c r="Y586" s="1"/>
      <c r="Z586" s="1"/>
      <c r="AA586" s="1"/>
      <c r="AB586" s="1"/>
      <c r="AC586" s="1"/>
    </row>
    <row r="587">
      <c r="A587" s="1"/>
      <c r="B587" s="1"/>
      <c r="C587" s="1"/>
      <c r="D587" s="1"/>
      <c r="E587" s="1"/>
      <c r="F587" s="2"/>
      <c r="G587" s="2"/>
      <c r="H587" s="1"/>
      <c r="I587" s="1"/>
      <c r="J587" s="1"/>
      <c r="K587" s="3"/>
      <c r="L587" s="1"/>
      <c r="M587" s="1"/>
      <c r="N587" s="1"/>
      <c r="O587" s="1"/>
      <c r="P587" s="1"/>
      <c r="Q587" s="1"/>
      <c r="R587" s="1"/>
      <c r="S587" s="1"/>
      <c r="T587" s="1"/>
      <c r="U587" s="1"/>
      <c r="V587" s="1"/>
      <c r="W587" s="1"/>
      <c r="X587" s="1"/>
      <c r="Y587" s="1"/>
      <c r="Z587" s="1"/>
      <c r="AA587" s="1"/>
      <c r="AB587" s="1"/>
      <c r="AC587" s="1"/>
    </row>
    <row r="588">
      <c r="A588" s="1"/>
      <c r="B588" s="1"/>
      <c r="C588" s="1"/>
      <c r="D588" s="1"/>
      <c r="E588" s="1"/>
      <c r="F588" s="2"/>
      <c r="G588" s="2"/>
      <c r="H588" s="1"/>
      <c r="I588" s="1"/>
      <c r="J588" s="1"/>
      <c r="K588" s="3"/>
      <c r="L588" s="1"/>
      <c r="M588" s="1"/>
      <c r="N588" s="1"/>
      <c r="O588" s="1"/>
      <c r="P588" s="1"/>
      <c r="Q588" s="1"/>
      <c r="R588" s="1"/>
      <c r="S588" s="1"/>
      <c r="T588" s="1"/>
      <c r="U588" s="1"/>
      <c r="V588" s="1"/>
      <c r="W588" s="1"/>
      <c r="X588" s="1"/>
      <c r="Y588" s="1"/>
      <c r="Z588" s="1"/>
      <c r="AA588" s="1"/>
      <c r="AB588" s="1"/>
      <c r="AC588" s="1"/>
    </row>
    <row r="589">
      <c r="A589" s="1"/>
      <c r="B589" s="1"/>
      <c r="C589" s="1"/>
      <c r="D589" s="1"/>
      <c r="E589" s="1"/>
      <c r="F589" s="2"/>
      <c r="G589" s="2"/>
      <c r="H589" s="1"/>
      <c r="I589" s="1"/>
      <c r="J589" s="1"/>
      <c r="K589" s="3"/>
      <c r="L589" s="1"/>
      <c r="M589" s="1"/>
      <c r="N589" s="1"/>
      <c r="O589" s="1"/>
      <c r="P589" s="1"/>
      <c r="Q589" s="1"/>
      <c r="R589" s="1"/>
      <c r="S589" s="1"/>
      <c r="T589" s="1"/>
      <c r="U589" s="1"/>
      <c r="V589" s="1"/>
      <c r="W589" s="1"/>
      <c r="X589" s="1"/>
      <c r="Y589" s="1"/>
      <c r="Z589" s="1"/>
      <c r="AA589" s="1"/>
      <c r="AB589" s="1"/>
      <c r="AC589" s="1"/>
    </row>
    <row r="590">
      <c r="A590" s="1"/>
      <c r="B590" s="1"/>
      <c r="C590" s="1"/>
      <c r="D590" s="1"/>
      <c r="E590" s="1"/>
      <c r="F590" s="2"/>
      <c r="G590" s="2"/>
      <c r="H590" s="1"/>
      <c r="I590" s="1"/>
      <c r="J590" s="1"/>
      <c r="K590" s="3"/>
      <c r="L590" s="1"/>
      <c r="M590" s="1"/>
      <c r="N590" s="1"/>
      <c r="O590" s="1"/>
      <c r="P590" s="1"/>
      <c r="Q590" s="1"/>
      <c r="R590" s="1"/>
      <c r="S590" s="1"/>
      <c r="T590" s="1"/>
      <c r="U590" s="1"/>
      <c r="V590" s="1"/>
      <c r="W590" s="1"/>
      <c r="X590" s="1"/>
      <c r="Y590" s="1"/>
      <c r="Z590" s="1"/>
      <c r="AA590" s="1"/>
      <c r="AB590" s="1"/>
      <c r="AC590" s="1"/>
    </row>
    <row r="591">
      <c r="A591" s="1"/>
      <c r="B591" s="1"/>
      <c r="C591" s="1"/>
      <c r="D591" s="1"/>
      <c r="E591" s="1"/>
      <c r="F591" s="2"/>
      <c r="G591" s="2"/>
      <c r="H591" s="1"/>
      <c r="I591" s="1"/>
      <c r="J591" s="1"/>
      <c r="K591" s="3"/>
      <c r="L591" s="1"/>
      <c r="M591" s="1"/>
      <c r="N591" s="1"/>
      <c r="O591" s="1"/>
      <c r="P591" s="1"/>
      <c r="Q591" s="1"/>
      <c r="R591" s="1"/>
      <c r="S591" s="1"/>
      <c r="T591" s="1"/>
      <c r="U591" s="1"/>
      <c r="V591" s="1"/>
      <c r="W591" s="1"/>
      <c r="X591" s="1"/>
      <c r="Y591" s="1"/>
      <c r="Z591" s="1"/>
      <c r="AA591" s="1"/>
      <c r="AB591" s="1"/>
      <c r="AC591" s="1"/>
    </row>
    <row r="592">
      <c r="A592" s="1"/>
      <c r="B592" s="1"/>
      <c r="C592" s="1"/>
      <c r="D592" s="1"/>
      <c r="E592" s="1"/>
      <c r="F592" s="2"/>
      <c r="G592" s="2"/>
      <c r="H592" s="1"/>
      <c r="I592" s="1"/>
      <c r="J592" s="1"/>
      <c r="K592" s="3"/>
      <c r="L592" s="1"/>
      <c r="M592" s="1"/>
      <c r="N592" s="1"/>
      <c r="O592" s="1"/>
      <c r="P592" s="1"/>
      <c r="Q592" s="1"/>
      <c r="R592" s="1"/>
      <c r="S592" s="1"/>
      <c r="T592" s="1"/>
      <c r="U592" s="1"/>
      <c r="V592" s="1"/>
      <c r="W592" s="1"/>
      <c r="X592" s="1"/>
      <c r="Y592" s="1"/>
      <c r="Z592" s="1"/>
      <c r="AA592" s="1"/>
      <c r="AB592" s="1"/>
      <c r="AC592" s="1"/>
    </row>
    <row r="593">
      <c r="A593" s="1"/>
      <c r="B593" s="1"/>
      <c r="C593" s="1"/>
      <c r="D593" s="1"/>
      <c r="E593" s="1"/>
      <c r="F593" s="2"/>
      <c r="G593" s="2"/>
      <c r="H593" s="1"/>
      <c r="I593" s="1"/>
      <c r="J593" s="1"/>
      <c r="K593" s="3"/>
      <c r="L593" s="1"/>
      <c r="M593" s="1"/>
      <c r="N593" s="1"/>
      <c r="O593" s="1"/>
      <c r="P593" s="1"/>
      <c r="Q593" s="1"/>
      <c r="R593" s="1"/>
      <c r="S593" s="1"/>
      <c r="T593" s="1"/>
      <c r="U593" s="1"/>
      <c r="V593" s="1"/>
      <c r="W593" s="1"/>
      <c r="X593" s="1"/>
      <c r="Y593" s="1"/>
      <c r="Z593" s="1"/>
      <c r="AA593" s="1"/>
      <c r="AB593" s="1"/>
      <c r="AC593" s="1"/>
    </row>
    <row r="594">
      <c r="A594" s="1"/>
      <c r="B594" s="1"/>
      <c r="C594" s="1"/>
      <c r="D594" s="1"/>
      <c r="E594" s="1"/>
      <c r="F594" s="2"/>
      <c r="G594" s="2"/>
      <c r="H594" s="1"/>
      <c r="I594" s="1"/>
      <c r="J594" s="1"/>
      <c r="K594" s="3"/>
      <c r="L594" s="1"/>
      <c r="M594" s="1"/>
      <c r="N594" s="1"/>
      <c r="O594" s="1"/>
      <c r="P594" s="1"/>
      <c r="Q594" s="1"/>
      <c r="R594" s="1"/>
      <c r="S594" s="1"/>
      <c r="T594" s="1"/>
      <c r="U594" s="1"/>
      <c r="V594" s="1"/>
      <c r="W594" s="1"/>
      <c r="X594" s="1"/>
      <c r="Y594" s="1"/>
      <c r="Z594" s="1"/>
      <c r="AA594" s="1"/>
      <c r="AB594" s="1"/>
      <c r="AC594" s="1"/>
    </row>
    <row r="595">
      <c r="A595" s="1"/>
      <c r="B595" s="1"/>
      <c r="C595" s="1"/>
      <c r="D595" s="1"/>
      <c r="E595" s="1"/>
      <c r="F595" s="2"/>
      <c r="G595" s="2"/>
      <c r="H595" s="1"/>
      <c r="I595" s="1"/>
      <c r="J595" s="1"/>
      <c r="K595" s="3"/>
      <c r="L595" s="1"/>
      <c r="M595" s="1"/>
      <c r="N595" s="1"/>
      <c r="O595" s="1"/>
      <c r="P595" s="1"/>
      <c r="Q595" s="1"/>
      <c r="R595" s="1"/>
      <c r="S595" s="1"/>
      <c r="T595" s="1"/>
      <c r="U595" s="1"/>
      <c r="V595" s="1"/>
      <c r="W595" s="1"/>
      <c r="X595" s="1"/>
      <c r="Y595" s="1"/>
      <c r="Z595" s="1"/>
      <c r="AA595" s="1"/>
      <c r="AB595" s="1"/>
      <c r="AC595" s="1"/>
    </row>
    <row r="596">
      <c r="A596" s="1"/>
      <c r="B596" s="1"/>
      <c r="C596" s="1"/>
      <c r="D596" s="1"/>
      <c r="E596" s="1"/>
      <c r="F596" s="2"/>
      <c r="G596" s="2"/>
      <c r="H596" s="1"/>
      <c r="I596" s="1"/>
      <c r="J596" s="1"/>
      <c r="K596" s="3"/>
      <c r="L596" s="1"/>
      <c r="M596" s="1"/>
      <c r="N596" s="1"/>
      <c r="O596" s="1"/>
      <c r="P596" s="1"/>
      <c r="Q596" s="1"/>
      <c r="R596" s="1"/>
      <c r="S596" s="1"/>
      <c r="T596" s="1"/>
      <c r="U596" s="1"/>
      <c r="V596" s="1"/>
      <c r="W596" s="1"/>
      <c r="X596" s="1"/>
      <c r="Y596" s="1"/>
      <c r="Z596" s="1"/>
      <c r="AA596" s="1"/>
      <c r="AB596" s="1"/>
      <c r="AC596" s="1"/>
    </row>
    <row r="597">
      <c r="A597" s="1"/>
      <c r="B597" s="1"/>
      <c r="C597" s="1"/>
      <c r="D597" s="1"/>
      <c r="E597" s="1"/>
      <c r="F597" s="2"/>
      <c r="G597" s="2"/>
      <c r="H597" s="1"/>
      <c r="I597" s="1"/>
      <c r="J597" s="1"/>
      <c r="K597" s="3"/>
      <c r="L597" s="1"/>
      <c r="M597" s="1"/>
      <c r="N597" s="1"/>
      <c r="O597" s="1"/>
      <c r="P597" s="1"/>
      <c r="Q597" s="1"/>
      <c r="R597" s="1"/>
      <c r="S597" s="1"/>
      <c r="T597" s="1"/>
      <c r="U597" s="1"/>
      <c r="V597" s="1"/>
      <c r="W597" s="1"/>
      <c r="X597" s="1"/>
      <c r="Y597" s="1"/>
      <c r="Z597" s="1"/>
      <c r="AA597" s="1"/>
      <c r="AB597" s="1"/>
      <c r="AC597" s="1"/>
    </row>
    <row r="598">
      <c r="A598" s="1"/>
      <c r="B598" s="1"/>
      <c r="C598" s="1"/>
      <c r="D598" s="1"/>
      <c r="E598" s="1"/>
      <c r="F598" s="2"/>
      <c r="G598" s="2"/>
      <c r="H598" s="1"/>
      <c r="I598" s="1"/>
      <c r="J598" s="1"/>
      <c r="K598" s="3"/>
      <c r="L598" s="1"/>
      <c r="M598" s="1"/>
      <c r="N598" s="1"/>
      <c r="O598" s="1"/>
      <c r="P598" s="1"/>
      <c r="Q598" s="1"/>
      <c r="R598" s="1"/>
      <c r="S598" s="1"/>
      <c r="T598" s="1"/>
      <c r="U598" s="1"/>
      <c r="V598" s="1"/>
      <c r="W598" s="1"/>
      <c r="X598" s="1"/>
      <c r="Y598" s="1"/>
      <c r="Z598" s="1"/>
      <c r="AA598" s="1"/>
      <c r="AB598" s="1"/>
      <c r="AC598" s="1"/>
    </row>
    <row r="599">
      <c r="A599" s="1"/>
      <c r="B599" s="1"/>
      <c r="C599" s="1"/>
      <c r="D599" s="1"/>
      <c r="E599" s="1"/>
      <c r="F599" s="2"/>
      <c r="G599" s="2"/>
      <c r="H599" s="1"/>
      <c r="I599" s="1"/>
      <c r="J599" s="1"/>
      <c r="K599" s="3"/>
      <c r="L599" s="1"/>
      <c r="M599" s="1"/>
      <c r="N599" s="1"/>
      <c r="O599" s="1"/>
      <c r="P599" s="1"/>
      <c r="Q599" s="1"/>
      <c r="R599" s="1"/>
      <c r="S599" s="1"/>
      <c r="T599" s="1"/>
      <c r="U599" s="1"/>
      <c r="V599" s="1"/>
      <c r="W599" s="1"/>
      <c r="X599" s="1"/>
      <c r="Y599" s="1"/>
      <c r="Z599" s="1"/>
      <c r="AA599" s="1"/>
      <c r="AB599" s="1"/>
      <c r="AC599" s="1"/>
    </row>
    <row r="600">
      <c r="A600" s="1"/>
      <c r="B600" s="1"/>
      <c r="C600" s="1"/>
      <c r="D600" s="1"/>
      <c r="E600" s="1"/>
      <c r="F600" s="2"/>
      <c r="G600" s="2"/>
      <c r="H600" s="1"/>
      <c r="I600" s="1"/>
      <c r="J600" s="1"/>
      <c r="K600" s="3"/>
      <c r="L600" s="1"/>
      <c r="M600" s="1"/>
      <c r="N600" s="1"/>
      <c r="O600" s="1"/>
      <c r="P600" s="1"/>
      <c r="Q600" s="1"/>
      <c r="R600" s="1"/>
      <c r="S600" s="1"/>
      <c r="T600" s="1"/>
      <c r="U600" s="1"/>
      <c r="V600" s="1"/>
      <c r="W600" s="1"/>
      <c r="X600" s="1"/>
      <c r="Y600" s="1"/>
      <c r="Z600" s="1"/>
      <c r="AA600" s="1"/>
      <c r="AB600" s="1"/>
      <c r="AC600" s="1"/>
    </row>
    <row r="601">
      <c r="A601" s="1"/>
      <c r="B601" s="1"/>
      <c r="C601" s="1"/>
      <c r="D601" s="1"/>
      <c r="E601" s="1"/>
      <c r="F601" s="2"/>
      <c r="G601" s="2"/>
      <c r="H601" s="1"/>
      <c r="I601" s="1"/>
      <c r="J601" s="1"/>
      <c r="K601" s="3"/>
      <c r="L601" s="1"/>
      <c r="M601" s="1"/>
      <c r="N601" s="1"/>
      <c r="O601" s="1"/>
      <c r="P601" s="1"/>
      <c r="Q601" s="1"/>
      <c r="R601" s="1"/>
      <c r="S601" s="1"/>
      <c r="T601" s="1"/>
      <c r="U601" s="1"/>
      <c r="V601" s="1"/>
      <c r="W601" s="1"/>
      <c r="X601" s="1"/>
      <c r="Y601" s="1"/>
      <c r="Z601" s="1"/>
      <c r="AA601" s="1"/>
      <c r="AB601" s="1"/>
      <c r="AC601" s="1"/>
    </row>
    <row r="602">
      <c r="A602" s="1"/>
      <c r="B602" s="1"/>
      <c r="C602" s="1"/>
      <c r="D602" s="1"/>
      <c r="E602" s="1"/>
      <c r="F602" s="2"/>
      <c r="G602" s="2"/>
      <c r="H602" s="1"/>
      <c r="I602" s="1"/>
      <c r="J602" s="1"/>
      <c r="K602" s="3"/>
      <c r="L602" s="1"/>
      <c r="M602" s="1"/>
      <c r="N602" s="1"/>
      <c r="O602" s="1"/>
      <c r="P602" s="1"/>
      <c r="Q602" s="1"/>
      <c r="R602" s="1"/>
      <c r="S602" s="1"/>
      <c r="T602" s="1"/>
      <c r="U602" s="1"/>
      <c r="V602" s="1"/>
      <c r="W602" s="1"/>
      <c r="X602" s="1"/>
      <c r="Y602" s="1"/>
      <c r="Z602" s="1"/>
      <c r="AA602" s="1"/>
      <c r="AB602" s="1"/>
      <c r="AC602" s="1"/>
    </row>
    <row r="603">
      <c r="A603" s="1"/>
      <c r="B603" s="1"/>
      <c r="C603" s="1"/>
      <c r="D603" s="1"/>
      <c r="E603" s="1"/>
      <c r="F603" s="2"/>
      <c r="G603" s="2"/>
      <c r="H603" s="1"/>
      <c r="I603" s="1"/>
      <c r="J603" s="1"/>
      <c r="K603" s="3"/>
      <c r="L603" s="1"/>
      <c r="M603" s="1"/>
      <c r="N603" s="1"/>
      <c r="O603" s="1"/>
      <c r="P603" s="1"/>
      <c r="Q603" s="1"/>
      <c r="R603" s="1"/>
      <c r="S603" s="1"/>
      <c r="T603" s="1"/>
      <c r="U603" s="1"/>
      <c r="V603" s="1"/>
      <c r="W603" s="1"/>
      <c r="X603" s="1"/>
      <c r="Y603" s="1"/>
      <c r="Z603" s="1"/>
      <c r="AA603" s="1"/>
      <c r="AB603" s="1"/>
      <c r="AC603" s="1"/>
    </row>
    <row r="604">
      <c r="A604" s="1"/>
      <c r="B604" s="1"/>
      <c r="C604" s="1"/>
      <c r="D604" s="1"/>
      <c r="E604" s="1"/>
      <c r="F604" s="2"/>
      <c r="G604" s="2"/>
      <c r="H604" s="1"/>
      <c r="I604" s="1"/>
      <c r="J604" s="1"/>
      <c r="K604" s="3"/>
      <c r="L604" s="1"/>
      <c r="M604" s="1"/>
      <c r="N604" s="1"/>
      <c r="O604" s="1"/>
      <c r="P604" s="1"/>
      <c r="Q604" s="1"/>
      <c r="R604" s="1"/>
      <c r="S604" s="1"/>
      <c r="T604" s="1"/>
      <c r="U604" s="1"/>
      <c r="V604" s="1"/>
      <c r="W604" s="1"/>
      <c r="X604" s="1"/>
      <c r="Y604" s="1"/>
      <c r="Z604" s="1"/>
      <c r="AA604" s="1"/>
      <c r="AB604" s="1"/>
      <c r="AC604" s="1"/>
    </row>
    <row r="605">
      <c r="A605" s="1"/>
      <c r="B605" s="1"/>
      <c r="C605" s="1"/>
      <c r="D605" s="1"/>
      <c r="E605" s="1"/>
      <c r="F605" s="2"/>
      <c r="G605" s="2"/>
      <c r="H605" s="1"/>
      <c r="I605" s="1"/>
      <c r="J605" s="1"/>
      <c r="K605" s="3"/>
      <c r="L605" s="1"/>
      <c r="M605" s="1"/>
      <c r="N605" s="1"/>
      <c r="O605" s="1"/>
      <c r="P605" s="1"/>
      <c r="Q605" s="1"/>
      <c r="R605" s="1"/>
      <c r="S605" s="1"/>
      <c r="T605" s="1"/>
      <c r="U605" s="1"/>
      <c r="V605" s="1"/>
      <c r="W605" s="1"/>
      <c r="X605" s="1"/>
      <c r="Y605" s="1"/>
      <c r="Z605" s="1"/>
      <c r="AA605" s="1"/>
      <c r="AB605" s="1"/>
      <c r="AC605" s="1"/>
    </row>
    <row r="606">
      <c r="A606" s="1"/>
      <c r="B606" s="1"/>
      <c r="C606" s="1"/>
      <c r="D606" s="1"/>
      <c r="E606" s="1"/>
      <c r="F606" s="2"/>
      <c r="G606" s="2"/>
      <c r="H606" s="1"/>
      <c r="I606" s="1"/>
      <c r="J606" s="1"/>
      <c r="K606" s="3"/>
      <c r="L606" s="1"/>
      <c r="M606" s="1"/>
      <c r="N606" s="1"/>
      <c r="O606" s="1"/>
      <c r="P606" s="1"/>
      <c r="Q606" s="1"/>
      <c r="R606" s="1"/>
      <c r="S606" s="1"/>
      <c r="T606" s="1"/>
      <c r="U606" s="1"/>
      <c r="V606" s="1"/>
      <c r="W606" s="1"/>
      <c r="X606" s="1"/>
      <c r="Y606" s="1"/>
      <c r="Z606" s="1"/>
      <c r="AA606" s="1"/>
      <c r="AB606" s="1"/>
      <c r="AC606" s="1"/>
    </row>
    <row r="607">
      <c r="A607" s="1"/>
      <c r="B607" s="1"/>
      <c r="C607" s="1"/>
      <c r="D607" s="1"/>
      <c r="E607" s="1"/>
      <c r="F607" s="2"/>
      <c r="G607" s="2"/>
      <c r="H607" s="1"/>
      <c r="I607" s="1"/>
      <c r="J607" s="1"/>
      <c r="K607" s="3"/>
      <c r="L607" s="1"/>
      <c r="M607" s="1"/>
      <c r="N607" s="1"/>
      <c r="O607" s="1"/>
      <c r="P607" s="1"/>
      <c r="Q607" s="1"/>
      <c r="R607" s="1"/>
      <c r="S607" s="1"/>
      <c r="T607" s="1"/>
      <c r="U607" s="1"/>
      <c r="V607" s="1"/>
      <c r="W607" s="1"/>
      <c r="X607" s="1"/>
      <c r="Y607" s="1"/>
      <c r="Z607" s="1"/>
      <c r="AA607" s="1"/>
      <c r="AB607" s="1"/>
      <c r="AC607" s="1"/>
    </row>
    <row r="608">
      <c r="A608" s="1"/>
      <c r="B608" s="1"/>
      <c r="C608" s="1"/>
      <c r="D608" s="1"/>
      <c r="E608" s="1"/>
      <c r="F608" s="2"/>
      <c r="G608" s="2"/>
      <c r="H608" s="1"/>
      <c r="I608" s="1"/>
      <c r="J608" s="1"/>
      <c r="K608" s="3"/>
      <c r="L608" s="1"/>
      <c r="M608" s="1"/>
      <c r="N608" s="1"/>
      <c r="O608" s="1"/>
      <c r="P608" s="1"/>
      <c r="Q608" s="1"/>
      <c r="R608" s="1"/>
      <c r="S608" s="1"/>
      <c r="T608" s="1"/>
      <c r="U608" s="1"/>
      <c r="V608" s="1"/>
      <c r="W608" s="1"/>
      <c r="X608" s="1"/>
      <c r="Y608" s="1"/>
      <c r="Z608" s="1"/>
      <c r="AA608" s="1"/>
      <c r="AB608" s="1"/>
      <c r="AC608" s="1"/>
    </row>
    <row r="609">
      <c r="A609" s="1"/>
      <c r="B609" s="1"/>
      <c r="C609" s="1"/>
      <c r="D609" s="1"/>
      <c r="E609" s="1"/>
      <c r="F609" s="2"/>
      <c r="G609" s="2"/>
      <c r="H609" s="1"/>
      <c r="I609" s="1"/>
      <c r="J609" s="1"/>
      <c r="K609" s="3"/>
      <c r="L609" s="1"/>
      <c r="M609" s="1"/>
      <c r="N609" s="1"/>
      <c r="O609" s="1"/>
      <c r="P609" s="1"/>
      <c r="Q609" s="1"/>
      <c r="R609" s="1"/>
      <c r="S609" s="1"/>
      <c r="T609" s="1"/>
      <c r="U609" s="1"/>
      <c r="V609" s="1"/>
      <c r="W609" s="1"/>
      <c r="X609" s="1"/>
      <c r="Y609" s="1"/>
      <c r="Z609" s="1"/>
      <c r="AA609" s="1"/>
      <c r="AB609" s="1"/>
      <c r="AC609" s="1"/>
    </row>
    <row r="610">
      <c r="A610" s="1"/>
      <c r="B610" s="1"/>
      <c r="C610" s="1"/>
      <c r="D610" s="1"/>
      <c r="E610" s="1"/>
      <c r="F610" s="2"/>
      <c r="G610" s="2"/>
      <c r="H610" s="1"/>
      <c r="I610" s="1"/>
      <c r="J610" s="1"/>
      <c r="K610" s="3"/>
      <c r="L610" s="1"/>
      <c r="M610" s="1"/>
      <c r="N610" s="1"/>
      <c r="O610" s="1"/>
      <c r="P610" s="1"/>
      <c r="Q610" s="1"/>
      <c r="R610" s="1"/>
      <c r="S610" s="1"/>
      <c r="T610" s="1"/>
      <c r="U610" s="1"/>
      <c r="V610" s="1"/>
      <c r="W610" s="1"/>
      <c r="X610" s="1"/>
      <c r="Y610" s="1"/>
      <c r="Z610" s="1"/>
      <c r="AA610" s="1"/>
      <c r="AB610" s="1"/>
      <c r="AC610" s="1"/>
    </row>
    <row r="611">
      <c r="A611" s="1"/>
      <c r="B611" s="1"/>
      <c r="C611" s="1"/>
      <c r="D611" s="1"/>
      <c r="E611" s="1"/>
      <c r="F611" s="2"/>
      <c r="G611" s="2"/>
      <c r="H611" s="1"/>
      <c r="I611" s="1"/>
      <c r="J611" s="1"/>
      <c r="K611" s="3"/>
      <c r="L611" s="1"/>
      <c r="M611" s="1"/>
      <c r="N611" s="1"/>
      <c r="O611" s="1"/>
      <c r="P611" s="1"/>
      <c r="Q611" s="1"/>
      <c r="R611" s="1"/>
      <c r="S611" s="1"/>
      <c r="T611" s="1"/>
      <c r="U611" s="1"/>
      <c r="V611" s="1"/>
      <c r="W611" s="1"/>
      <c r="X611" s="1"/>
      <c r="Y611" s="1"/>
      <c r="Z611" s="1"/>
      <c r="AA611" s="1"/>
      <c r="AB611" s="1"/>
      <c r="AC611" s="1"/>
    </row>
    <row r="612">
      <c r="A612" s="1"/>
      <c r="B612" s="1"/>
      <c r="C612" s="1"/>
      <c r="D612" s="1"/>
      <c r="E612" s="1"/>
      <c r="F612" s="2"/>
      <c r="G612" s="2"/>
      <c r="H612" s="1"/>
      <c r="I612" s="1"/>
      <c r="J612" s="1"/>
      <c r="K612" s="3"/>
      <c r="L612" s="1"/>
      <c r="M612" s="1"/>
      <c r="N612" s="1"/>
      <c r="O612" s="1"/>
      <c r="P612" s="1"/>
      <c r="Q612" s="1"/>
      <c r="R612" s="1"/>
      <c r="S612" s="1"/>
      <c r="T612" s="1"/>
      <c r="U612" s="1"/>
      <c r="V612" s="1"/>
      <c r="W612" s="1"/>
      <c r="X612" s="1"/>
      <c r="Y612" s="1"/>
      <c r="Z612" s="1"/>
      <c r="AA612" s="1"/>
      <c r="AB612" s="1"/>
      <c r="AC612" s="1"/>
    </row>
    <row r="613">
      <c r="A613" s="1"/>
      <c r="B613" s="1"/>
      <c r="C613" s="1"/>
      <c r="D613" s="1"/>
      <c r="E613" s="1"/>
      <c r="F613" s="2"/>
      <c r="G613" s="2"/>
      <c r="H613" s="1"/>
      <c r="I613" s="1"/>
      <c r="J613" s="1"/>
      <c r="K613" s="3"/>
      <c r="L613" s="1"/>
      <c r="M613" s="1"/>
      <c r="N613" s="1"/>
      <c r="O613" s="1"/>
      <c r="P613" s="1"/>
      <c r="Q613" s="1"/>
      <c r="R613" s="1"/>
      <c r="S613" s="1"/>
      <c r="T613" s="1"/>
      <c r="U613" s="1"/>
      <c r="V613" s="1"/>
      <c r="W613" s="1"/>
      <c r="X613" s="1"/>
      <c r="Y613" s="1"/>
      <c r="Z613" s="1"/>
      <c r="AA613" s="1"/>
      <c r="AB613" s="1"/>
      <c r="AC613" s="1"/>
    </row>
    <row r="614">
      <c r="A614" s="1"/>
      <c r="B614" s="1"/>
      <c r="C614" s="1"/>
      <c r="D614" s="1"/>
      <c r="E614" s="1"/>
      <c r="F614" s="2"/>
      <c r="G614" s="2"/>
      <c r="H614" s="1"/>
      <c r="I614" s="1"/>
      <c r="J614" s="1"/>
      <c r="K614" s="3"/>
      <c r="L614" s="1"/>
      <c r="M614" s="1"/>
      <c r="N614" s="1"/>
      <c r="O614" s="1"/>
      <c r="P614" s="1"/>
      <c r="Q614" s="1"/>
      <c r="R614" s="1"/>
      <c r="S614" s="1"/>
      <c r="T614" s="1"/>
      <c r="U614" s="1"/>
      <c r="V614" s="1"/>
      <c r="W614" s="1"/>
      <c r="X614" s="1"/>
      <c r="Y614" s="1"/>
      <c r="Z614" s="1"/>
      <c r="AA614" s="1"/>
      <c r="AB614" s="1"/>
      <c r="AC614" s="1"/>
    </row>
    <row r="615">
      <c r="A615" s="1"/>
      <c r="B615" s="1"/>
      <c r="C615" s="1"/>
      <c r="D615" s="1"/>
      <c r="E615" s="1"/>
      <c r="F615" s="2"/>
      <c r="G615" s="2"/>
      <c r="H615" s="1"/>
      <c r="I615" s="1"/>
      <c r="J615" s="1"/>
      <c r="K615" s="3"/>
      <c r="L615" s="1"/>
      <c r="M615" s="1"/>
      <c r="N615" s="1"/>
      <c r="O615" s="1"/>
      <c r="P615" s="1"/>
      <c r="Q615" s="1"/>
      <c r="R615" s="1"/>
      <c r="S615" s="1"/>
      <c r="T615" s="1"/>
      <c r="U615" s="1"/>
      <c r="V615" s="1"/>
      <c r="W615" s="1"/>
      <c r="X615" s="1"/>
      <c r="Y615" s="1"/>
      <c r="Z615" s="1"/>
      <c r="AA615" s="1"/>
      <c r="AB615" s="1"/>
      <c r="AC615" s="1"/>
    </row>
    <row r="616">
      <c r="A616" s="1"/>
      <c r="B616" s="1"/>
      <c r="C616" s="1"/>
      <c r="D616" s="1"/>
      <c r="E616" s="1"/>
      <c r="F616" s="2"/>
      <c r="G616" s="2"/>
      <c r="H616" s="1"/>
      <c r="I616" s="1"/>
      <c r="J616" s="1"/>
      <c r="K616" s="3"/>
      <c r="L616" s="1"/>
      <c r="M616" s="1"/>
      <c r="N616" s="1"/>
      <c r="O616" s="1"/>
      <c r="P616" s="1"/>
      <c r="Q616" s="1"/>
      <c r="R616" s="1"/>
      <c r="S616" s="1"/>
      <c r="T616" s="1"/>
      <c r="U616" s="1"/>
      <c r="V616" s="1"/>
      <c r="W616" s="1"/>
      <c r="X616" s="1"/>
      <c r="Y616" s="1"/>
      <c r="Z616" s="1"/>
      <c r="AA616" s="1"/>
      <c r="AB616" s="1"/>
      <c r="AC616" s="1"/>
    </row>
    <row r="617">
      <c r="A617" s="1"/>
      <c r="B617" s="1"/>
      <c r="C617" s="1"/>
      <c r="D617" s="1"/>
      <c r="E617" s="1"/>
      <c r="F617" s="2"/>
      <c r="G617" s="2"/>
      <c r="H617" s="1"/>
      <c r="I617" s="1"/>
      <c r="J617" s="1"/>
      <c r="K617" s="3"/>
      <c r="L617" s="1"/>
      <c r="M617" s="1"/>
      <c r="N617" s="1"/>
      <c r="O617" s="1"/>
      <c r="P617" s="1"/>
      <c r="Q617" s="1"/>
      <c r="R617" s="1"/>
      <c r="S617" s="1"/>
      <c r="T617" s="1"/>
      <c r="U617" s="1"/>
      <c r="V617" s="1"/>
      <c r="W617" s="1"/>
      <c r="X617" s="1"/>
      <c r="Y617" s="1"/>
      <c r="Z617" s="1"/>
      <c r="AA617" s="1"/>
      <c r="AB617" s="1"/>
      <c r="AC617" s="1"/>
    </row>
    <row r="618">
      <c r="A618" s="1"/>
      <c r="B618" s="1"/>
      <c r="C618" s="1"/>
      <c r="D618" s="1"/>
      <c r="E618" s="1"/>
      <c r="F618" s="2"/>
      <c r="G618" s="2"/>
      <c r="H618" s="1"/>
      <c r="I618" s="1"/>
      <c r="J618" s="1"/>
      <c r="K618" s="3"/>
      <c r="L618" s="1"/>
      <c r="M618" s="1"/>
      <c r="N618" s="1"/>
      <c r="O618" s="1"/>
      <c r="P618" s="1"/>
      <c r="Q618" s="1"/>
      <c r="R618" s="1"/>
      <c r="S618" s="1"/>
      <c r="T618" s="1"/>
      <c r="U618" s="1"/>
      <c r="V618" s="1"/>
      <c r="W618" s="1"/>
      <c r="X618" s="1"/>
      <c r="Y618" s="1"/>
      <c r="Z618" s="1"/>
      <c r="AA618" s="1"/>
      <c r="AB618" s="1"/>
      <c r="AC618" s="1"/>
    </row>
    <row r="619">
      <c r="A619" s="1"/>
      <c r="B619" s="1"/>
      <c r="C619" s="1"/>
      <c r="D619" s="1"/>
      <c r="E619" s="1"/>
      <c r="F619" s="2"/>
      <c r="G619" s="2"/>
      <c r="H619" s="1"/>
      <c r="I619" s="1"/>
      <c r="J619" s="1"/>
      <c r="K619" s="3"/>
      <c r="L619" s="1"/>
      <c r="M619" s="1"/>
      <c r="N619" s="1"/>
      <c r="O619" s="1"/>
      <c r="P619" s="1"/>
      <c r="Q619" s="1"/>
      <c r="R619" s="1"/>
      <c r="S619" s="1"/>
      <c r="T619" s="1"/>
      <c r="U619" s="1"/>
      <c r="V619" s="1"/>
      <c r="W619" s="1"/>
      <c r="X619" s="1"/>
      <c r="Y619" s="1"/>
      <c r="Z619" s="1"/>
      <c r="AA619" s="1"/>
      <c r="AB619" s="1"/>
      <c r="AC619" s="1"/>
    </row>
    <row r="620">
      <c r="A620" s="1"/>
      <c r="B620" s="1"/>
      <c r="C620" s="1"/>
      <c r="D620" s="1"/>
      <c r="E620" s="1"/>
      <c r="F620" s="2"/>
      <c r="G620" s="2"/>
      <c r="H620" s="1"/>
      <c r="I620" s="1"/>
      <c r="J620" s="1"/>
      <c r="K620" s="3"/>
      <c r="L620" s="1"/>
      <c r="M620" s="1"/>
      <c r="N620" s="1"/>
      <c r="O620" s="1"/>
      <c r="P620" s="1"/>
      <c r="Q620" s="1"/>
      <c r="R620" s="1"/>
      <c r="S620" s="1"/>
      <c r="T620" s="1"/>
      <c r="U620" s="1"/>
      <c r="V620" s="1"/>
      <c r="W620" s="1"/>
      <c r="X620" s="1"/>
      <c r="Y620" s="1"/>
      <c r="Z620" s="1"/>
      <c r="AA620" s="1"/>
      <c r="AB620" s="1"/>
      <c r="AC620" s="1"/>
    </row>
    <row r="621">
      <c r="A621" s="1"/>
      <c r="B621" s="1"/>
      <c r="C621" s="1"/>
      <c r="D621" s="1"/>
      <c r="E621" s="1"/>
      <c r="F621" s="2"/>
      <c r="G621" s="2"/>
      <c r="H621" s="1"/>
      <c r="I621" s="1"/>
      <c r="J621" s="1"/>
      <c r="K621" s="3"/>
      <c r="L621" s="1"/>
      <c r="M621" s="1"/>
      <c r="N621" s="1"/>
      <c r="O621" s="1"/>
      <c r="P621" s="1"/>
      <c r="Q621" s="1"/>
      <c r="R621" s="1"/>
      <c r="S621" s="1"/>
      <c r="T621" s="1"/>
      <c r="U621" s="1"/>
      <c r="V621" s="1"/>
      <c r="W621" s="1"/>
      <c r="X621" s="1"/>
      <c r="Y621" s="1"/>
      <c r="Z621" s="1"/>
      <c r="AA621" s="1"/>
      <c r="AB621" s="1"/>
      <c r="AC621" s="1"/>
    </row>
    <row r="622">
      <c r="A622" s="1"/>
      <c r="B622" s="1"/>
      <c r="C622" s="1"/>
      <c r="D622" s="1"/>
      <c r="E622" s="1"/>
      <c r="F622" s="2"/>
      <c r="G622" s="2"/>
      <c r="H622" s="1"/>
      <c r="I622" s="1"/>
      <c r="J622" s="1"/>
      <c r="K622" s="3"/>
      <c r="L622" s="1"/>
      <c r="M622" s="1"/>
      <c r="N622" s="1"/>
      <c r="O622" s="1"/>
      <c r="P622" s="1"/>
      <c r="Q622" s="1"/>
      <c r="R622" s="1"/>
      <c r="S622" s="1"/>
      <c r="T622" s="1"/>
      <c r="U622" s="1"/>
      <c r="V622" s="1"/>
      <c r="W622" s="1"/>
      <c r="X622" s="1"/>
      <c r="Y622" s="1"/>
      <c r="Z622" s="1"/>
      <c r="AA622" s="1"/>
      <c r="AB622" s="1"/>
      <c r="AC622" s="1"/>
    </row>
    <row r="623">
      <c r="A623" s="1"/>
      <c r="B623" s="1"/>
      <c r="C623" s="1"/>
      <c r="D623" s="1"/>
      <c r="E623" s="1"/>
      <c r="F623" s="2"/>
      <c r="G623" s="2"/>
      <c r="H623" s="1"/>
      <c r="I623" s="1"/>
      <c r="J623" s="1"/>
      <c r="K623" s="3"/>
      <c r="L623" s="1"/>
      <c r="M623" s="1"/>
      <c r="N623" s="1"/>
      <c r="O623" s="1"/>
      <c r="P623" s="1"/>
      <c r="Q623" s="1"/>
      <c r="R623" s="1"/>
      <c r="S623" s="1"/>
      <c r="T623" s="1"/>
      <c r="U623" s="1"/>
      <c r="V623" s="1"/>
      <c r="W623" s="1"/>
      <c r="X623" s="1"/>
      <c r="Y623" s="1"/>
      <c r="Z623" s="1"/>
      <c r="AA623" s="1"/>
      <c r="AB623" s="1"/>
      <c r="AC623" s="1"/>
    </row>
    <row r="624">
      <c r="A624" s="1"/>
      <c r="B624" s="1"/>
      <c r="C624" s="1"/>
      <c r="D624" s="1"/>
      <c r="E624" s="1"/>
      <c r="F624" s="2"/>
      <c r="G624" s="2"/>
      <c r="H624" s="1"/>
      <c r="I624" s="1"/>
      <c r="J624" s="1"/>
      <c r="K624" s="3"/>
      <c r="L624" s="1"/>
      <c r="M624" s="1"/>
      <c r="N624" s="1"/>
      <c r="O624" s="1"/>
      <c r="P624" s="1"/>
      <c r="Q624" s="1"/>
      <c r="R624" s="1"/>
      <c r="S624" s="1"/>
      <c r="T624" s="1"/>
      <c r="U624" s="1"/>
      <c r="V624" s="1"/>
      <c r="W624" s="1"/>
      <c r="X624" s="1"/>
      <c r="Y624" s="1"/>
      <c r="Z624" s="1"/>
      <c r="AA624" s="1"/>
      <c r="AB624" s="1"/>
      <c r="AC624" s="1"/>
    </row>
    <row r="625">
      <c r="A625" s="1"/>
      <c r="B625" s="1"/>
      <c r="C625" s="1"/>
      <c r="D625" s="1"/>
      <c r="E625" s="1"/>
      <c r="F625" s="2"/>
      <c r="G625" s="2"/>
      <c r="H625" s="1"/>
      <c r="I625" s="1"/>
      <c r="J625" s="1"/>
      <c r="K625" s="3"/>
      <c r="L625" s="1"/>
      <c r="M625" s="1"/>
      <c r="N625" s="1"/>
      <c r="O625" s="1"/>
      <c r="P625" s="1"/>
      <c r="Q625" s="1"/>
      <c r="R625" s="1"/>
      <c r="S625" s="1"/>
      <c r="T625" s="1"/>
      <c r="U625" s="1"/>
      <c r="V625" s="1"/>
      <c r="W625" s="1"/>
      <c r="X625" s="1"/>
      <c r="Y625" s="1"/>
      <c r="Z625" s="1"/>
      <c r="AA625" s="1"/>
      <c r="AB625" s="1"/>
      <c r="AC625" s="1"/>
    </row>
    <row r="626">
      <c r="A626" s="1"/>
      <c r="B626" s="1"/>
      <c r="C626" s="1"/>
      <c r="D626" s="1"/>
      <c r="E626" s="1"/>
      <c r="F626" s="2"/>
      <c r="G626" s="2"/>
      <c r="H626" s="1"/>
      <c r="I626" s="1"/>
      <c r="J626" s="1"/>
      <c r="K626" s="3"/>
      <c r="L626" s="1"/>
      <c r="M626" s="1"/>
      <c r="N626" s="1"/>
      <c r="O626" s="1"/>
      <c r="P626" s="1"/>
      <c r="Q626" s="1"/>
      <c r="R626" s="1"/>
      <c r="S626" s="1"/>
      <c r="T626" s="1"/>
      <c r="U626" s="1"/>
      <c r="V626" s="1"/>
      <c r="W626" s="1"/>
      <c r="X626" s="1"/>
      <c r="Y626" s="1"/>
      <c r="Z626" s="1"/>
      <c r="AA626" s="1"/>
      <c r="AB626" s="1"/>
      <c r="AC626" s="1"/>
    </row>
    <row r="627">
      <c r="A627" s="1"/>
      <c r="B627" s="1"/>
      <c r="C627" s="1"/>
      <c r="D627" s="1"/>
      <c r="E627" s="1"/>
      <c r="F627" s="2"/>
      <c r="G627" s="2"/>
      <c r="H627" s="1"/>
      <c r="I627" s="1"/>
      <c r="J627" s="1"/>
      <c r="K627" s="3"/>
      <c r="L627" s="1"/>
      <c r="M627" s="1"/>
      <c r="N627" s="1"/>
      <c r="O627" s="1"/>
      <c r="P627" s="1"/>
      <c r="Q627" s="1"/>
      <c r="R627" s="1"/>
      <c r="S627" s="1"/>
      <c r="T627" s="1"/>
      <c r="U627" s="1"/>
      <c r="V627" s="1"/>
      <c r="W627" s="1"/>
      <c r="X627" s="1"/>
      <c r="Y627" s="1"/>
      <c r="Z627" s="1"/>
      <c r="AA627" s="1"/>
      <c r="AB627" s="1"/>
      <c r="AC627" s="1"/>
    </row>
    <row r="628">
      <c r="A628" s="1"/>
      <c r="B628" s="1"/>
      <c r="C628" s="1"/>
      <c r="D628" s="1"/>
      <c r="E628" s="1"/>
      <c r="F628" s="2"/>
      <c r="G628" s="2"/>
      <c r="H628" s="1"/>
      <c r="I628" s="1"/>
      <c r="J628" s="1"/>
      <c r="K628" s="3"/>
      <c r="L628" s="1"/>
      <c r="M628" s="1"/>
      <c r="N628" s="1"/>
      <c r="O628" s="1"/>
      <c r="P628" s="1"/>
      <c r="Q628" s="1"/>
      <c r="R628" s="1"/>
      <c r="S628" s="1"/>
      <c r="T628" s="1"/>
      <c r="U628" s="1"/>
      <c r="V628" s="1"/>
      <c r="W628" s="1"/>
      <c r="X628" s="1"/>
      <c r="Y628" s="1"/>
      <c r="Z628" s="1"/>
      <c r="AA628" s="1"/>
      <c r="AB628" s="1"/>
      <c r="AC628" s="1"/>
    </row>
    <row r="629">
      <c r="A629" s="1"/>
      <c r="B629" s="1"/>
      <c r="C629" s="1"/>
      <c r="D629" s="1"/>
      <c r="E629" s="1"/>
      <c r="F629" s="2"/>
      <c r="G629" s="2"/>
      <c r="H629" s="1"/>
      <c r="I629" s="1"/>
      <c r="J629" s="1"/>
      <c r="K629" s="3"/>
      <c r="L629" s="1"/>
      <c r="M629" s="1"/>
      <c r="N629" s="1"/>
      <c r="O629" s="1"/>
      <c r="P629" s="1"/>
      <c r="Q629" s="1"/>
      <c r="R629" s="1"/>
      <c r="S629" s="1"/>
      <c r="T629" s="1"/>
      <c r="U629" s="1"/>
      <c r="V629" s="1"/>
      <c r="W629" s="1"/>
      <c r="X629" s="1"/>
      <c r="Y629" s="1"/>
      <c r="Z629" s="1"/>
      <c r="AA629" s="1"/>
      <c r="AB629" s="1"/>
      <c r="AC629" s="1"/>
    </row>
    <row r="630">
      <c r="A630" s="1"/>
      <c r="B630" s="1"/>
      <c r="C630" s="1"/>
      <c r="D630" s="1"/>
      <c r="E630" s="1"/>
      <c r="F630" s="2"/>
      <c r="G630" s="2"/>
      <c r="H630" s="1"/>
      <c r="I630" s="1"/>
      <c r="J630" s="1"/>
      <c r="K630" s="3"/>
      <c r="L630" s="1"/>
      <c r="M630" s="1"/>
      <c r="N630" s="1"/>
      <c r="O630" s="1"/>
      <c r="P630" s="1"/>
      <c r="Q630" s="1"/>
      <c r="R630" s="1"/>
      <c r="S630" s="1"/>
      <c r="T630" s="1"/>
      <c r="U630" s="1"/>
      <c r="V630" s="1"/>
      <c r="W630" s="1"/>
      <c r="X630" s="1"/>
      <c r="Y630" s="1"/>
      <c r="Z630" s="1"/>
      <c r="AA630" s="1"/>
      <c r="AB630" s="1"/>
      <c r="AC630" s="1"/>
    </row>
    <row r="631">
      <c r="A631" s="1"/>
      <c r="B631" s="1"/>
      <c r="C631" s="1"/>
      <c r="D631" s="1"/>
      <c r="E631" s="1"/>
      <c r="F631" s="2"/>
      <c r="G631" s="2"/>
      <c r="H631" s="1"/>
      <c r="I631" s="1"/>
      <c r="J631" s="1"/>
      <c r="K631" s="3"/>
      <c r="L631" s="1"/>
      <c r="M631" s="1"/>
      <c r="N631" s="1"/>
      <c r="O631" s="1"/>
      <c r="P631" s="1"/>
      <c r="Q631" s="1"/>
      <c r="R631" s="1"/>
      <c r="S631" s="1"/>
      <c r="T631" s="1"/>
      <c r="U631" s="1"/>
      <c r="V631" s="1"/>
      <c r="W631" s="1"/>
      <c r="X631" s="1"/>
      <c r="Y631" s="1"/>
      <c r="Z631" s="1"/>
      <c r="AA631" s="1"/>
      <c r="AB631" s="1"/>
      <c r="AC631" s="1"/>
    </row>
    <row r="632">
      <c r="A632" s="1"/>
      <c r="B632" s="1"/>
      <c r="C632" s="1"/>
      <c r="D632" s="1"/>
      <c r="E632" s="1"/>
      <c r="F632" s="2"/>
      <c r="G632" s="2"/>
      <c r="H632" s="1"/>
      <c r="I632" s="1"/>
      <c r="J632" s="1"/>
      <c r="K632" s="3"/>
      <c r="L632" s="1"/>
      <c r="M632" s="1"/>
      <c r="N632" s="1"/>
      <c r="O632" s="1"/>
      <c r="P632" s="1"/>
      <c r="Q632" s="1"/>
      <c r="R632" s="1"/>
      <c r="S632" s="1"/>
      <c r="T632" s="1"/>
      <c r="U632" s="1"/>
      <c r="V632" s="1"/>
      <c r="W632" s="1"/>
      <c r="X632" s="1"/>
      <c r="Y632" s="1"/>
      <c r="Z632" s="1"/>
      <c r="AA632" s="1"/>
      <c r="AB632" s="1"/>
      <c r="AC632" s="1"/>
    </row>
    <row r="633">
      <c r="A633" s="1"/>
      <c r="B633" s="1"/>
      <c r="C633" s="1"/>
      <c r="D633" s="1"/>
      <c r="E633" s="1"/>
      <c r="F633" s="2"/>
      <c r="G633" s="2"/>
      <c r="H633" s="1"/>
      <c r="I633" s="1"/>
      <c r="J633" s="1"/>
      <c r="K633" s="3"/>
      <c r="L633" s="1"/>
      <c r="M633" s="1"/>
      <c r="N633" s="1"/>
      <c r="O633" s="1"/>
      <c r="P633" s="1"/>
      <c r="Q633" s="1"/>
      <c r="R633" s="1"/>
      <c r="S633" s="1"/>
      <c r="T633" s="1"/>
      <c r="U633" s="1"/>
      <c r="V633" s="1"/>
      <c r="W633" s="1"/>
      <c r="X633" s="1"/>
      <c r="Y633" s="1"/>
      <c r="Z633" s="1"/>
      <c r="AA633" s="1"/>
      <c r="AB633" s="1"/>
      <c r="AC633" s="1"/>
    </row>
    <row r="634">
      <c r="A634" s="1"/>
      <c r="B634" s="1"/>
      <c r="C634" s="1"/>
      <c r="D634" s="1"/>
      <c r="E634" s="1"/>
      <c r="F634" s="2"/>
      <c r="G634" s="2"/>
      <c r="H634" s="1"/>
      <c r="I634" s="1"/>
      <c r="J634" s="1"/>
      <c r="K634" s="3"/>
      <c r="L634" s="1"/>
      <c r="M634" s="1"/>
      <c r="N634" s="1"/>
      <c r="O634" s="1"/>
      <c r="P634" s="1"/>
      <c r="Q634" s="1"/>
      <c r="R634" s="1"/>
      <c r="S634" s="1"/>
      <c r="T634" s="1"/>
      <c r="U634" s="1"/>
      <c r="V634" s="1"/>
      <c r="W634" s="1"/>
      <c r="X634" s="1"/>
      <c r="Y634" s="1"/>
      <c r="Z634" s="1"/>
      <c r="AA634" s="1"/>
      <c r="AB634" s="1"/>
      <c r="AC634" s="1"/>
    </row>
    <row r="635">
      <c r="A635" s="1"/>
      <c r="B635" s="1"/>
      <c r="C635" s="1"/>
      <c r="D635" s="1"/>
      <c r="E635" s="1"/>
      <c r="F635" s="2"/>
      <c r="G635" s="2"/>
      <c r="H635" s="1"/>
      <c r="I635" s="1"/>
      <c r="J635" s="1"/>
      <c r="K635" s="3"/>
      <c r="L635" s="1"/>
      <c r="M635" s="1"/>
      <c r="N635" s="1"/>
      <c r="O635" s="1"/>
      <c r="P635" s="1"/>
      <c r="Q635" s="1"/>
      <c r="R635" s="1"/>
      <c r="S635" s="1"/>
      <c r="T635" s="1"/>
      <c r="U635" s="1"/>
      <c r="V635" s="1"/>
      <c r="W635" s="1"/>
      <c r="X635" s="1"/>
      <c r="Y635" s="1"/>
      <c r="Z635" s="1"/>
      <c r="AA635" s="1"/>
      <c r="AB635" s="1"/>
      <c r="AC635" s="1"/>
    </row>
    <row r="636">
      <c r="A636" s="1"/>
      <c r="B636" s="1"/>
      <c r="C636" s="1"/>
      <c r="D636" s="1"/>
      <c r="E636" s="1"/>
      <c r="F636" s="2"/>
      <c r="G636" s="2"/>
      <c r="H636" s="1"/>
      <c r="I636" s="1"/>
      <c r="J636" s="1"/>
      <c r="K636" s="3"/>
      <c r="L636" s="1"/>
      <c r="M636" s="1"/>
      <c r="N636" s="1"/>
      <c r="O636" s="1"/>
      <c r="P636" s="1"/>
      <c r="Q636" s="1"/>
      <c r="R636" s="1"/>
      <c r="S636" s="1"/>
      <c r="T636" s="1"/>
      <c r="U636" s="1"/>
      <c r="V636" s="1"/>
      <c r="W636" s="1"/>
      <c r="X636" s="1"/>
      <c r="Y636" s="1"/>
      <c r="Z636" s="1"/>
      <c r="AA636" s="1"/>
      <c r="AB636" s="1"/>
      <c r="AC636" s="1"/>
    </row>
    <row r="637">
      <c r="A637" s="1"/>
      <c r="B637" s="1"/>
      <c r="C637" s="1"/>
      <c r="D637" s="1"/>
      <c r="E637" s="1"/>
      <c r="F637" s="2"/>
      <c r="G637" s="2"/>
      <c r="H637" s="1"/>
      <c r="I637" s="1"/>
      <c r="J637" s="1"/>
      <c r="K637" s="3"/>
      <c r="L637" s="1"/>
      <c r="M637" s="1"/>
      <c r="N637" s="1"/>
      <c r="O637" s="1"/>
      <c r="P637" s="1"/>
      <c r="Q637" s="1"/>
      <c r="R637" s="1"/>
      <c r="S637" s="1"/>
      <c r="T637" s="1"/>
      <c r="U637" s="1"/>
      <c r="V637" s="1"/>
      <c r="W637" s="1"/>
      <c r="X637" s="1"/>
      <c r="Y637" s="1"/>
      <c r="Z637" s="1"/>
      <c r="AA637" s="1"/>
      <c r="AB637" s="1"/>
      <c r="AC637" s="1"/>
    </row>
    <row r="638">
      <c r="A638" s="1"/>
      <c r="B638" s="1"/>
      <c r="C638" s="1"/>
      <c r="D638" s="1"/>
      <c r="E638" s="1"/>
      <c r="F638" s="2"/>
      <c r="G638" s="2"/>
      <c r="H638" s="1"/>
      <c r="I638" s="1"/>
      <c r="J638" s="1"/>
      <c r="K638" s="3"/>
      <c r="L638" s="1"/>
      <c r="M638" s="1"/>
      <c r="N638" s="1"/>
      <c r="O638" s="1"/>
      <c r="P638" s="1"/>
      <c r="Q638" s="1"/>
      <c r="R638" s="1"/>
      <c r="S638" s="1"/>
      <c r="T638" s="1"/>
      <c r="U638" s="1"/>
      <c r="V638" s="1"/>
      <c r="W638" s="1"/>
      <c r="X638" s="1"/>
      <c r="Y638" s="1"/>
      <c r="Z638" s="1"/>
      <c r="AA638" s="1"/>
      <c r="AB638" s="1"/>
      <c r="AC638" s="1"/>
    </row>
    <row r="639">
      <c r="A639" s="1"/>
      <c r="B639" s="1"/>
      <c r="C639" s="1"/>
      <c r="D639" s="1"/>
      <c r="E639" s="1"/>
      <c r="F639" s="2"/>
      <c r="G639" s="2"/>
      <c r="H639" s="1"/>
      <c r="I639" s="1"/>
      <c r="J639" s="1"/>
      <c r="K639" s="3"/>
      <c r="L639" s="1"/>
      <c r="M639" s="1"/>
      <c r="N639" s="1"/>
      <c r="O639" s="1"/>
      <c r="P639" s="1"/>
      <c r="Q639" s="1"/>
      <c r="R639" s="1"/>
      <c r="S639" s="1"/>
      <c r="T639" s="1"/>
      <c r="U639" s="1"/>
      <c r="V639" s="1"/>
      <c r="W639" s="1"/>
      <c r="X639" s="1"/>
      <c r="Y639" s="1"/>
      <c r="Z639" s="1"/>
      <c r="AA639" s="1"/>
      <c r="AB639" s="1"/>
      <c r="AC639" s="1"/>
    </row>
    <row r="640">
      <c r="A640" s="1"/>
      <c r="B640" s="1"/>
      <c r="C640" s="1"/>
      <c r="D640" s="1"/>
      <c r="E640" s="1"/>
      <c r="F640" s="2"/>
      <c r="G640" s="2"/>
      <c r="H640" s="1"/>
      <c r="I640" s="1"/>
      <c r="J640" s="1"/>
      <c r="K640" s="3"/>
      <c r="L640" s="1"/>
      <c r="M640" s="1"/>
      <c r="N640" s="1"/>
      <c r="O640" s="1"/>
      <c r="P640" s="1"/>
      <c r="Q640" s="1"/>
      <c r="R640" s="1"/>
      <c r="S640" s="1"/>
      <c r="T640" s="1"/>
      <c r="U640" s="1"/>
      <c r="V640" s="1"/>
      <c r="W640" s="1"/>
      <c r="X640" s="1"/>
      <c r="Y640" s="1"/>
      <c r="Z640" s="1"/>
      <c r="AA640" s="1"/>
      <c r="AB640" s="1"/>
      <c r="AC640" s="1"/>
    </row>
    <row r="641">
      <c r="A641" s="1"/>
      <c r="B641" s="1"/>
      <c r="C641" s="1"/>
      <c r="D641" s="1"/>
      <c r="E641" s="1"/>
      <c r="F641" s="2"/>
      <c r="G641" s="2"/>
      <c r="H641" s="1"/>
      <c r="I641" s="1"/>
      <c r="J641" s="1"/>
      <c r="K641" s="3"/>
      <c r="L641" s="1"/>
      <c r="M641" s="1"/>
      <c r="N641" s="1"/>
      <c r="O641" s="1"/>
      <c r="P641" s="1"/>
      <c r="Q641" s="1"/>
      <c r="R641" s="1"/>
      <c r="S641" s="1"/>
      <c r="T641" s="1"/>
      <c r="U641" s="1"/>
      <c r="V641" s="1"/>
      <c r="W641" s="1"/>
      <c r="X641" s="1"/>
      <c r="Y641" s="1"/>
      <c r="Z641" s="1"/>
      <c r="AA641" s="1"/>
      <c r="AB641" s="1"/>
      <c r="AC641" s="1"/>
    </row>
    <row r="642">
      <c r="A642" s="1"/>
      <c r="B642" s="1"/>
      <c r="C642" s="1"/>
      <c r="D642" s="1"/>
      <c r="E642" s="1"/>
      <c r="F642" s="2"/>
      <c r="G642" s="2"/>
      <c r="H642" s="1"/>
      <c r="I642" s="1"/>
      <c r="J642" s="1"/>
      <c r="K642" s="3"/>
      <c r="L642" s="1"/>
      <c r="M642" s="1"/>
      <c r="N642" s="1"/>
      <c r="O642" s="1"/>
      <c r="P642" s="1"/>
      <c r="Q642" s="1"/>
      <c r="R642" s="1"/>
      <c r="S642" s="1"/>
      <c r="T642" s="1"/>
      <c r="U642" s="1"/>
      <c r="V642" s="1"/>
      <c r="W642" s="1"/>
      <c r="X642" s="1"/>
      <c r="Y642" s="1"/>
      <c r="Z642" s="1"/>
      <c r="AA642" s="1"/>
      <c r="AB642" s="1"/>
      <c r="AC642" s="1"/>
    </row>
    <row r="643">
      <c r="A643" s="1"/>
      <c r="B643" s="1"/>
      <c r="C643" s="1"/>
      <c r="D643" s="1"/>
      <c r="E643" s="1"/>
      <c r="F643" s="2"/>
      <c r="G643" s="2"/>
      <c r="H643" s="1"/>
      <c r="I643" s="1"/>
      <c r="J643" s="1"/>
      <c r="K643" s="3"/>
      <c r="L643" s="1"/>
      <c r="M643" s="1"/>
      <c r="N643" s="1"/>
      <c r="O643" s="1"/>
      <c r="P643" s="1"/>
      <c r="Q643" s="1"/>
      <c r="R643" s="1"/>
      <c r="S643" s="1"/>
      <c r="T643" s="1"/>
      <c r="U643" s="1"/>
      <c r="V643" s="1"/>
      <c r="W643" s="1"/>
      <c r="X643" s="1"/>
      <c r="Y643" s="1"/>
      <c r="Z643" s="1"/>
      <c r="AA643" s="1"/>
      <c r="AB643" s="1"/>
      <c r="AC643" s="1"/>
    </row>
    <row r="644">
      <c r="A644" s="1"/>
      <c r="B644" s="1"/>
      <c r="C644" s="1"/>
      <c r="D644" s="1"/>
      <c r="E644" s="1"/>
      <c r="F644" s="2"/>
      <c r="G644" s="2"/>
      <c r="H644" s="1"/>
      <c r="I644" s="1"/>
      <c r="J644" s="1"/>
      <c r="K644" s="3"/>
      <c r="L644" s="1"/>
      <c r="M644" s="1"/>
      <c r="N644" s="1"/>
      <c r="O644" s="1"/>
      <c r="P644" s="1"/>
      <c r="Q644" s="1"/>
      <c r="R644" s="1"/>
      <c r="S644" s="1"/>
      <c r="T644" s="1"/>
      <c r="U644" s="1"/>
      <c r="V644" s="1"/>
      <c r="W644" s="1"/>
      <c r="X644" s="1"/>
      <c r="Y644" s="1"/>
      <c r="Z644" s="1"/>
      <c r="AA644" s="1"/>
      <c r="AB644" s="1"/>
      <c r="AC644" s="1"/>
    </row>
    <row r="645">
      <c r="A645" s="1"/>
      <c r="B645" s="1"/>
      <c r="C645" s="1"/>
      <c r="D645" s="1"/>
      <c r="E645" s="1"/>
      <c r="F645" s="2"/>
      <c r="G645" s="2"/>
      <c r="H645" s="1"/>
      <c r="I645" s="1"/>
      <c r="J645" s="1"/>
      <c r="K645" s="3"/>
      <c r="L645" s="1"/>
      <c r="M645" s="1"/>
      <c r="N645" s="1"/>
      <c r="O645" s="1"/>
      <c r="P645" s="1"/>
      <c r="Q645" s="1"/>
      <c r="R645" s="1"/>
      <c r="S645" s="1"/>
      <c r="T645" s="1"/>
      <c r="U645" s="1"/>
      <c r="V645" s="1"/>
      <c r="W645" s="1"/>
      <c r="X645" s="1"/>
      <c r="Y645" s="1"/>
      <c r="Z645" s="1"/>
      <c r="AA645" s="1"/>
      <c r="AB645" s="1"/>
      <c r="AC645" s="1"/>
    </row>
    <row r="646">
      <c r="A646" s="1"/>
      <c r="B646" s="1"/>
      <c r="C646" s="1"/>
      <c r="D646" s="1"/>
      <c r="E646" s="1"/>
      <c r="F646" s="2"/>
      <c r="G646" s="2"/>
      <c r="H646" s="1"/>
      <c r="I646" s="1"/>
      <c r="J646" s="1"/>
      <c r="K646" s="3"/>
      <c r="L646" s="1"/>
      <c r="M646" s="1"/>
      <c r="N646" s="1"/>
      <c r="O646" s="1"/>
      <c r="P646" s="1"/>
      <c r="Q646" s="1"/>
      <c r="R646" s="1"/>
      <c r="S646" s="1"/>
      <c r="T646" s="1"/>
      <c r="U646" s="1"/>
      <c r="V646" s="1"/>
      <c r="W646" s="1"/>
      <c r="X646" s="1"/>
      <c r="Y646" s="1"/>
      <c r="Z646" s="1"/>
      <c r="AA646" s="1"/>
      <c r="AB646" s="1"/>
      <c r="AC646" s="1"/>
    </row>
    <row r="647">
      <c r="A647" s="1"/>
      <c r="B647" s="1"/>
      <c r="C647" s="1"/>
      <c r="D647" s="1"/>
      <c r="E647" s="1"/>
      <c r="F647" s="2"/>
      <c r="G647" s="2"/>
      <c r="H647" s="1"/>
      <c r="I647" s="1"/>
      <c r="J647" s="1"/>
      <c r="K647" s="3"/>
      <c r="L647" s="1"/>
      <c r="M647" s="1"/>
      <c r="N647" s="1"/>
      <c r="O647" s="1"/>
      <c r="P647" s="1"/>
      <c r="Q647" s="1"/>
      <c r="R647" s="1"/>
      <c r="S647" s="1"/>
      <c r="T647" s="1"/>
      <c r="U647" s="1"/>
      <c r="V647" s="1"/>
      <c r="W647" s="1"/>
      <c r="X647" s="1"/>
      <c r="Y647" s="1"/>
      <c r="Z647" s="1"/>
      <c r="AA647" s="1"/>
      <c r="AB647" s="1"/>
      <c r="AC647" s="1"/>
    </row>
    <row r="648">
      <c r="A648" s="1"/>
      <c r="B648" s="1"/>
      <c r="C648" s="1"/>
      <c r="D648" s="1"/>
      <c r="E648" s="1"/>
      <c r="F648" s="2"/>
      <c r="G648" s="2"/>
      <c r="H648" s="1"/>
      <c r="I648" s="1"/>
      <c r="J648" s="1"/>
      <c r="K648" s="3"/>
      <c r="L648" s="1"/>
      <c r="M648" s="1"/>
      <c r="N648" s="1"/>
      <c r="O648" s="1"/>
      <c r="P648" s="1"/>
      <c r="Q648" s="1"/>
      <c r="R648" s="1"/>
      <c r="S648" s="1"/>
      <c r="T648" s="1"/>
      <c r="U648" s="1"/>
      <c r="V648" s="1"/>
      <c r="W648" s="1"/>
      <c r="X648" s="1"/>
      <c r="Y648" s="1"/>
      <c r="Z648" s="1"/>
      <c r="AA648" s="1"/>
      <c r="AB648" s="1"/>
      <c r="AC648" s="1"/>
    </row>
    <row r="649">
      <c r="A649" s="1"/>
      <c r="B649" s="1"/>
      <c r="C649" s="1"/>
      <c r="D649" s="1"/>
      <c r="E649" s="1"/>
      <c r="F649" s="2"/>
      <c r="G649" s="2"/>
      <c r="H649" s="1"/>
      <c r="I649" s="1"/>
      <c r="J649" s="1"/>
      <c r="K649" s="3"/>
      <c r="L649" s="1"/>
      <c r="M649" s="1"/>
      <c r="N649" s="1"/>
      <c r="O649" s="1"/>
      <c r="P649" s="1"/>
      <c r="Q649" s="1"/>
      <c r="R649" s="1"/>
      <c r="S649" s="1"/>
      <c r="T649" s="1"/>
      <c r="U649" s="1"/>
      <c r="V649" s="1"/>
      <c r="W649" s="1"/>
      <c r="X649" s="1"/>
      <c r="Y649" s="1"/>
      <c r="Z649" s="1"/>
      <c r="AA649" s="1"/>
      <c r="AB649" s="1"/>
      <c r="AC649" s="1"/>
    </row>
    <row r="650">
      <c r="A650" s="1"/>
      <c r="B650" s="1"/>
      <c r="C650" s="1"/>
      <c r="D650" s="1"/>
      <c r="E650" s="1"/>
      <c r="F650" s="2"/>
      <c r="G650" s="2"/>
      <c r="H650" s="1"/>
      <c r="I650" s="1"/>
      <c r="J650" s="1"/>
      <c r="K650" s="3"/>
      <c r="L650" s="1"/>
      <c r="M650" s="1"/>
      <c r="N650" s="1"/>
      <c r="O650" s="1"/>
      <c r="P650" s="1"/>
      <c r="Q650" s="1"/>
      <c r="R650" s="1"/>
      <c r="S650" s="1"/>
      <c r="T650" s="1"/>
      <c r="U650" s="1"/>
      <c r="V650" s="1"/>
      <c r="W650" s="1"/>
      <c r="X650" s="1"/>
      <c r="Y650" s="1"/>
      <c r="Z650" s="1"/>
      <c r="AA650" s="1"/>
      <c r="AB650" s="1"/>
      <c r="AC650" s="1"/>
    </row>
    <row r="651">
      <c r="A651" s="1"/>
      <c r="B651" s="1"/>
      <c r="C651" s="1"/>
      <c r="D651" s="1"/>
      <c r="E651" s="1"/>
      <c r="F651" s="2"/>
      <c r="G651" s="2"/>
      <c r="H651" s="1"/>
      <c r="I651" s="1"/>
      <c r="J651" s="1"/>
      <c r="K651" s="3"/>
      <c r="L651" s="1"/>
      <c r="M651" s="1"/>
      <c r="N651" s="1"/>
      <c r="O651" s="1"/>
      <c r="P651" s="1"/>
      <c r="Q651" s="1"/>
      <c r="R651" s="1"/>
      <c r="S651" s="1"/>
      <c r="T651" s="1"/>
      <c r="U651" s="1"/>
      <c r="V651" s="1"/>
      <c r="W651" s="1"/>
      <c r="X651" s="1"/>
      <c r="Y651" s="1"/>
      <c r="Z651" s="1"/>
      <c r="AA651" s="1"/>
      <c r="AB651" s="1"/>
      <c r="AC651" s="1"/>
    </row>
    <row r="652">
      <c r="A652" s="1"/>
      <c r="B652" s="1"/>
      <c r="C652" s="1"/>
      <c r="D652" s="1"/>
      <c r="E652" s="1"/>
      <c r="F652" s="2"/>
      <c r="G652" s="2"/>
      <c r="H652" s="1"/>
      <c r="I652" s="1"/>
      <c r="J652" s="1"/>
      <c r="K652" s="3"/>
      <c r="L652" s="1"/>
      <c r="M652" s="1"/>
      <c r="N652" s="1"/>
      <c r="O652" s="1"/>
      <c r="P652" s="1"/>
      <c r="Q652" s="1"/>
      <c r="R652" s="1"/>
      <c r="S652" s="1"/>
      <c r="T652" s="1"/>
      <c r="U652" s="1"/>
      <c r="V652" s="1"/>
      <c r="W652" s="1"/>
      <c r="X652" s="1"/>
      <c r="Y652" s="1"/>
      <c r="Z652" s="1"/>
      <c r="AA652" s="1"/>
      <c r="AB652" s="1"/>
      <c r="AC652" s="1"/>
    </row>
    <row r="653">
      <c r="A653" s="1"/>
      <c r="B653" s="1"/>
      <c r="C653" s="1"/>
      <c r="D653" s="1"/>
      <c r="E653" s="1"/>
      <c r="F653" s="2"/>
      <c r="G653" s="2"/>
      <c r="H653" s="1"/>
      <c r="I653" s="1"/>
      <c r="J653" s="1"/>
      <c r="K653" s="3"/>
      <c r="L653" s="1"/>
      <c r="M653" s="1"/>
      <c r="N653" s="1"/>
      <c r="O653" s="1"/>
      <c r="P653" s="1"/>
      <c r="Q653" s="1"/>
      <c r="R653" s="1"/>
      <c r="S653" s="1"/>
      <c r="T653" s="1"/>
      <c r="U653" s="1"/>
      <c r="V653" s="1"/>
      <c r="W653" s="1"/>
      <c r="X653" s="1"/>
      <c r="Y653" s="1"/>
      <c r="Z653" s="1"/>
      <c r="AA653" s="1"/>
      <c r="AB653" s="1"/>
      <c r="AC653" s="1"/>
    </row>
    <row r="654">
      <c r="A654" s="1"/>
      <c r="B654" s="1"/>
      <c r="C654" s="1"/>
      <c r="D654" s="1"/>
      <c r="E654" s="1"/>
      <c r="F654" s="2"/>
      <c r="G654" s="2"/>
      <c r="H654" s="1"/>
      <c r="I654" s="1"/>
      <c r="J654" s="1"/>
      <c r="K654" s="3"/>
      <c r="L654" s="1"/>
      <c r="M654" s="1"/>
      <c r="N654" s="1"/>
      <c r="O654" s="1"/>
      <c r="P654" s="1"/>
      <c r="Q654" s="1"/>
      <c r="R654" s="1"/>
      <c r="S654" s="1"/>
      <c r="T654" s="1"/>
      <c r="U654" s="1"/>
      <c r="V654" s="1"/>
      <c r="W654" s="1"/>
      <c r="X654" s="1"/>
      <c r="Y654" s="1"/>
      <c r="Z654" s="1"/>
      <c r="AA654" s="1"/>
      <c r="AB654" s="1"/>
      <c r="AC654" s="1"/>
    </row>
    <row r="655">
      <c r="A655" s="1"/>
      <c r="B655" s="1"/>
      <c r="C655" s="1"/>
      <c r="D655" s="1"/>
      <c r="E655" s="1"/>
      <c r="F655" s="2"/>
      <c r="G655" s="2"/>
      <c r="H655" s="1"/>
      <c r="I655" s="1"/>
      <c r="J655" s="1"/>
      <c r="K655" s="3"/>
      <c r="L655" s="1"/>
      <c r="M655" s="1"/>
      <c r="N655" s="1"/>
      <c r="O655" s="1"/>
      <c r="P655" s="1"/>
      <c r="Q655" s="1"/>
      <c r="R655" s="1"/>
      <c r="S655" s="1"/>
      <c r="T655" s="1"/>
      <c r="U655" s="1"/>
      <c r="V655" s="1"/>
      <c r="W655" s="1"/>
      <c r="X655" s="1"/>
      <c r="Y655" s="1"/>
      <c r="Z655" s="1"/>
      <c r="AA655" s="1"/>
      <c r="AB655" s="1"/>
      <c r="AC655" s="1"/>
    </row>
    <row r="656">
      <c r="A656" s="1"/>
      <c r="B656" s="1"/>
      <c r="C656" s="1"/>
      <c r="D656" s="1"/>
      <c r="E656" s="1"/>
      <c r="F656" s="2"/>
      <c r="G656" s="2"/>
      <c r="H656" s="1"/>
      <c r="I656" s="1"/>
      <c r="J656" s="1"/>
      <c r="K656" s="3"/>
      <c r="L656" s="1"/>
      <c r="M656" s="1"/>
      <c r="N656" s="1"/>
      <c r="O656" s="1"/>
      <c r="P656" s="1"/>
      <c r="Q656" s="1"/>
      <c r="R656" s="1"/>
      <c r="S656" s="1"/>
      <c r="T656" s="1"/>
      <c r="U656" s="1"/>
      <c r="V656" s="1"/>
      <c r="W656" s="1"/>
      <c r="X656" s="1"/>
      <c r="Y656" s="1"/>
      <c r="Z656" s="1"/>
      <c r="AA656" s="1"/>
      <c r="AB656" s="1"/>
      <c r="AC656" s="1"/>
    </row>
    <row r="657">
      <c r="A657" s="1"/>
      <c r="B657" s="1"/>
      <c r="C657" s="1"/>
      <c r="D657" s="1"/>
      <c r="E657" s="1"/>
      <c r="F657" s="2"/>
      <c r="G657" s="2"/>
      <c r="H657" s="1"/>
      <c r="I657" s="1"/>
      <c r="J657" s="1"/>
      <c r="K657" s="3"/>
      <c r="L657" s="1"/>
      <c r="M657" s="1"/>
      <c r="N657" s="1"/>
      <c r="O657" s="1"/>
      <c r="P657" s="1"/>
      <c r="Q657" s="1"/>
      <c r="R657" s="1"/>
      <c r="S657" s="1"/>
      <c r="T657" s="1"/>
      <c r="U657" s="1"/>
      <c r="V657" s="1"/>
      <c r="W657" s="1"/>
      <c r="X657" s="1"/>
      <c r="Y657" s="1"/>
      <c r="Z657" s="1"/>
      <c r="AA657" s="1"/>
      <c r="AB657" s="1"/>
      <c r="AC657" s="1"/>
    </row>
    <row r="658">
      <c r="A658" s="1"/>
      <c r="B658" s="1"/>
      <c r="C658" s="1"/>
      <c r="D658" s="1"/>
      <c r="E658" s="1"/>
      <c r="F658" s="2"/>
      <c r="G658" s="2"/>
      <c r="H658" s="1"/>
      <c r="I658" s="1"/>
      <c r="J658" s="1"/>
      <c r="K658" s="3"/>
      <c r="L658" s="1"/>
      <c r="M658" s="1"/>
      <c r="N658" s="1"/>
      <c r="O658" s="1"/>
      <c r="P658" s="1"/>
      <c r="Q658" s="1"/>
      <c r="R658" s="1"/>
      <c r="S658" s="1"/>
      <c r="T658" s="1"/>
      <c r="U658" s="1"/>
      <c r="V658" s="1"/>
      <c r="W658" s="1"/>
      <c r="X658" s="1"/>
      <c r="Y658" s="1"/>
      <c r="Z658" s="1"/>
      <c r="AA658" s="1"/>
      <c r="AB658" s="1"/>
      <c r="AC658" s="1"/>
    </row>
    <row r="659">
      <c r="A659" s="1"/>
      <c r="B659" s="1"/>
      <c r="C659" s="1"/>
      <c r="D659" s="1"/>
      <c r="E659" s="1"/>
      <c r="F659" s="2"/>
      <c r="G659" s="2"/>
      <c r="H659" s="1"/>
      <c r="I659" s="1"/>
      <c r="J659" s="1"/>
      <c r="K659" s="3"/>
      <c r="L659" s="1"/>
      <c r="M659" s="1"/>
      <c r="N659" s="1"/>
      <c r="O659" s="1"/>
      <c r="P659" s="1"/>
      <c r="Q659" s="1"/>
      <c r="R659" s="1"/>
      <c r="S659" s="1"/>
      <c r="T659" s="1"/>
      <c r="U659" s="1"/>
      <c r="V659" s="1"/>
      <c r="W659" s="1"/>
      <c r="X659" s="1"/>
      <c r="Y659" s="1"/>
      <c r="Z659" s="1"/>
      <c r="AA659" s="1"/>
      <c r="AB659" s="1"/>
      <c r="AC659" s="1"/>
    </row>
    <row r="660">
      <c r="A660" s="1"/>
      <c r="B660" s="1"/>
      <c r="C660" s="1"/>
      <c r="D660" s="1"/>
      <c r="E660" s="1"/>
      <c r="F660" s="2"/>
      <c r="G660" s="2"/>
      <c r="H660" s="1"/>
      <c r="I660" s="1"/>
      <c r="J660" s="1"/>
      <c r="K660" s="3"/>
      <c r="L660" s="1"/>
      <c r="M660" s="1"/>
      <c r="N660" s="1"/>
      <c r="O660" s="1"/>
      <c r="P660" s="1"/>
      <c r="Q660" s="1"/>
      <c r="R660" s="1"/>
      <c r="S660" s="1"/>
      <c r="T660" s="1"/>
      <c r="U660" s="1"/>
      <c r="V660" s="1"/>
      <c r="W660" s="1"/>
      <c r="X660" s="1"/>
      <c r="Y660" s="1"/>
      <c r="Z660" s="1"/>
      <c r="AA660" s="1"/>
      <c r="AB660" s="1"/>
      <c r="AC660" s="1"/>
    </row>
    <row r="661">
      <c r="A661" s="1"/>
      <c r="B661" s="1"/>
      <c r="C661" s="1"/>
      <c r="D661" s="1"/>
      <c r="E661" s="1"/>
      <c r="F661" s="2"/>
      <c r="G661" s="2"/>
      <c r="H661" s="1"/>
      <c r="I661" s="1"/>
      <c r="J661" s="1"/>
      <c r="K661" s="3"/>
      <c r="L661" s="1"/>
      <c r="M661" s="1"/>
      <c r="N661" s="1"/>
      <c r="O661" s="1"/>
      <c r="P661" s="1"/>
      <c r="Q661" s="1"/>
      <c r="R661" s="1"/>
      <c r="S661" s="1"/>
      <c r="T661" s="1"/>
      <c r="U661" s="1"/>
      <c r="V661" s="1"/>
      <c r="W661" s="1"/>
      <c r="X661" s="1"/>
      <c r="Y661" s="1"/>
      <c r="Z661" s="1"/>
      <c r="AA661" s="1"/>
      <c r="AB661" s="1"/>
      <c r="AC661" s="1"/>
    </row>
    <row r="662">
      <c r="A662" s="1"/>
      <c r="B662" s="1"/>
      <c r="C662" s="1"/>
      <c r="D662" s="1"/>
      <c r="E662" s="1"/>
      <c r="F662" s="2"/>
      <c r="G662" s="2"/>
      <c r="H662" s="1"/>
      <c r="I662" s="1"/>
      <c r="J662" s="1"/>
      <c r="K662" s="3"/>
      <c r="L662" s="1"/>
      <c r="M662" s="1"/>
      <c r="N662" s="1"/>
      <c r="O662" s="1"/>
      <c r="P662" s="1"/>
      <c r="Q662" s="1"/>
      <c r="R662" s="1"/>
      <c r="S662" s="1"/>
      <c r="T662" s="1"/>
      <c r="U662" s="1"/>
      <c r="V662" s="1"/>
      <c r="W662" s="1"/>
      <c r="X662" s="1"/>
      <c r="Y662" s="1"/>
      <c r="Z662" s="1"/>
      <c r="AA662" s="1"/>
      <c r="AB662" s="1"/>
      <c r="AC662" s="1"/>
    </row>
    <row r="663">
      <c r="A663" s="1"/>
      <c r="B663" s="1"/>
      <c r="C663" s="1"/>
      <c r="D663" s="1"/>
      <c r="E663" s="1"/>
      <c r="F663" s="2"/>
      <c r="G663" s="2"/>
      <c r="H663" s="1"/>
      <c r="I663" s="1"/>
      <c r="J663" s="1"/>
      <c r="K663" s="3"/>
      <c r="L663" s="1"/>
      <c r="M663" s="1"/>
      <c r="N663" s="1"/>
      <c r="O663" s="1"/>
      <c r="P663" s="1"/>
      <c r="Q663" s="1"/>
      <c r="R663" s="1"/>
      <c r="S663" s="1"/>
      <c r="T663" s="1"/>
      <c r="U663" s="1"/>
      <c r="V663" s="1"/>
      <c r="W663" s="1"/>
      <c r="X663" s="1"/>
      <c r="Y663" s="1"/>
      <c r="Z663" s="1"/>
      <c r="AA663" s="1"/>
      <c r="AB663" s="1"/>
      <c r="AC663" s="1"/>
    </row>
    <row r="664">
      <c r="A664" s="1"/>
      <c r="B664" s="1"/>
      <c r="C664" s="1"/>
      <c r="D664" s="1"/>
      <c r="E664" s="1"/>
      <c r="F664" s="2"/>
      <c r="G664" s="2"/>
      <c r="H664" s="1"/>
      <c r="I664" s="1"/>
      <c r="J664" s="1"/>
      <c r="K664" s="3"/>
      <c r="L664" s="1"/>
      <c r="M664" s="1"/>
      <c r="N664" s="1"/>
      <c r="O664" s="1"/>
      <c r="P664" s="1"/>
      <c r="Q664" s="1"/>
      <c r="R664" s="1"/>
      <c r="S664" s="1"/>
      <c r="T664" s="1"/>
      <c r="U664" s="1"/>
      <c r="V664" s="1"/>
      <c r="W664" s="1"/>
      <c r="X664" s="1"/>
      <c r="Y664" s="1"/>
      <c r="Z664" s="1"/>
      <c r="AA664" s="1"/>
      <c r="AB664" s="1"/>
      <c r="AC664" s="1"/>
    </row>
    <row r="665">
      <c r="A665" s="1"/>
      <c r="B665" s="1"/>
      <c r="C665" s="1"/>
      <c r="D665" s="1"/>
      <c r="E665" s="1"/>
      <c r="F665" s="2"/>
      <c r="G665" s="2"/>
      <c r="H665" s="1"/>
      <c r="I665" s="1"/>
      <c r="J665" s="1"/>
      <c r="K665" s="3"/>
      <c r="L665" s="1"/>
      <c r="M665" s="1"/>
      <c r="N665" s="1"/>
      <c r="O665" s="1"/>
      <c r="P665" s="1"/>
      <c r="Q665" s="1"/>
      <c r="R665" s="1"/>
      <c r="S665" s="1"/>
      <c r="T665" s="1"/>
      <c r="U665" s="1"/>
      <c r="V665" s="1"/>
      <c r="W665" s="1"/>
      <c r="X665" s="1"/>
      <c r="Y665" s="1"/>
      <c r="Z665" s="1"/>
      <c r="AA665" s="1"/>
      <c r="AB665" s="1"/>
      <c r="AC665" s="1"/>
    </row>
    <row r="666">
      <c r="A666" s="1"/>
      <c r="B666" s="1"/>
      <c r="C666" s="1"/>
      <c r="D666" s="1"/>
      <c r="E666" s="1"/>
      <c r="F666" s="2"/>
      <c r="G666" s="2"/>
      <c r="H666" s="1"/>
      <c r="I666" s="1"/>
      <c r="J666" s="1"/>
      <c r="K666" s="3"/>
      <c r="L666" s="1"/>
      <c r="M666" s="1"/>
      <c r="N666" s="1"/>
      <c r="O666" s="1"/>
      <c r="P666" s="1"/>
      <c r="Q666" s="1"/>
      <c r="R666" s="1"/>
      <c r="S666" s="1"/>
      <c r="T666" s="1"/>
      <c r="U666" s="1"/>
      <c r="V666" s="1"/>
      <c r="W666" s="1"/>
      <c r="X666" s="1"/>
      <c r="Y666" s="1"/>
      <c r="Z666" s="1"/>
      <c r="AA666" s="1"/>
      <c r="AB666" s="1"/>
      <c r="AC666" s="1"/>
    </row>
    <row r="667">
      <c r="A667" s="1"/>
      <c r="B667" s="1"/>
      <c r="C667" s="1"/>
      <c r="D667" s="1"/>
      <c r="E667" s="1"/>
      <c r="F667" s="2"/>
      <c r="G667" s="2"/>
      <c r="H667" s="1"/>
      <c r="I667" s="1"/>
      <c r="J667" s="1"/>
      <c r="K667" s="3"/>
      <c r="L667" s="1"/>
      <c r="M667" s="1"/>
      <c r="N667" s="1"/>
      <c r="O667" s="1"/>
      <c r="P667" s="1"/>
      <c r="Q667" s="1"/>
      <c r="R667" s="1"/>
      <c r="S667" s="1"/>
      <c r="T667" s="1"/>
      <c r="U667" s="1"/>
      <c r="V667" s="1"/>
      <c r="W667" s="1"/>
      <c r="X667" s="1"/>
      <c r="Y667" s="1"/>
      <c r="Z667" s="1"/>
      <c r="AA667" s="1"/>
      <c r="AB667" s="1"/>
      <c r="AC667" s="1"/>
    </row>
    <row r="668">
      <c r="A668" s="1"/>
      <c r="B668" s="1"/>
      <c r="C668" s="1"/>
      <c r="D668" s="1"/>
      <c r="E668" s="1"/>
      <c r="F668" s="2"/>
      <c r="G668" s="2"/>
      <c r="H668" s="1"/>
      <c r="I668" s="1"/>
      <c r="J668" s="1"/>
      <c r="K668" s="3"/>
      <c r="L668" s="1"/>
      <c r="M668" s="1"/>
      <c r="N668" s="1"/>
      <c r="O668" s="1"/>
      <c r="P668" s="1"/>
      <c r="Q668" s="1"/>
      <c r="R668" s="1"/>
      <c r="S668" s="1"/>
      <c r="T668" s="1"/>
      <c r="U668" s="1"/>
      <c r="V668" s="1"/>
      <c r="W668" s="1"/>
      <c r="X668" s="1"/>
      <c r="Y668" s="1"/>
      <c r="Z668" s="1"/>
      <c r="AA668" s="1"/>
      <c r="AB668" s="1"/>
      <c r="AC668" s="1"/>
    </row>
    <row r="669">
      <c r="A669" s="1"/>
      <c r="B669" s="1"/>
      <c r="C669" s="1"/>
      <c r="D669" s="1"/>
      <c r="E669" s="1"/>
      <c r="F669" s="2"/>
      <c r="G669" s="2"/>
      <c r="H669" s="1"/>
      <c r="I669" s="1"/>
      <c r="J669" s="1"/>
      <c r="K669" s="3"/>
      <c r="L669" s="1"/>
      <c r="M669" s="1"/>
      <c r="N669" s="1"/>
      <c r="O669" s="1"/>
      <c r="P669" s="1"/>
      <c r="Q669" s="1"/>
      <c r="R669" s="1"/>
      <c r="S669" s="1"/>
      <c r="T669" s="1"/>
      <c r="U669" s="1"/>
      <c r="V669" s="1"/>
      <c r="W669" s="1"/>
      <c r="X669" s="1"/>
      <c r="Y669" s="1"/>
      <c r="Z669" s="1"/>
      <c r="AA669" s="1"/>
      <c r="AB669" s="1"/>
      <c r="AC669" s="1"/>
    </row>
    <row r="670">
      <c r="A670" s="1"/>
      <c r="B670" s="1"/>
      <c r="C670" s="1"/>
      <c r="D670" s="1"/>
      <c r="E670" s="1"/>
      <c r="F670" s="2"/>
      <c r="G670" s="2"/>
      <c r="H670" s="1"/>
      <c r="I670" s="1"/>
      <c r="J670" s="1"/>
      <c r="K670" s="3"/>
      <c r="L670" s="1"/>
      <c r="M670" s="1"/>
      <c r="N670" s="1"/>
      <c r="O670" s="1"/>
      <c r="P670" s="1"/>
      <c r="Q670" s="1"/>
      <c r="R670" s="1"/>
      <c r="S670" s="1"/>
      <c r="T670" s="1"/>
      <c r="U670" s="1"/>
      <c r="V670" s="1"/>
      <c r="W670" s="1"/>
      <c r="X670" s="1"/>
      <c r="Y670" s="1"/>
      <c r="Z670" s="1"/>
      <c r="AA670" s="1"/>
      <c r="AB670" s="1"/>
      <c r="AC670" s="1"/>
    </row>
    <row r="671">
      <c r="A671" s="1"/>
      <c r="B671" s="1"/>
      <c r="C671" s="1"/>
      <c r="D671" s="1"/>
      <c r="E671" s="1"/>
      <c r="F671" s="2"/>
      <c r="G671" s="2"/>
      <c r="H671" s="1"/>
      <c r="I671" s="1"/>
      <c r="J671" s="1"/>
      <c r="K671" s="3"/>
      <c r="L671" s="1"/>
      <c r="M671" s="1"/>
      <c r="N671" s="1"/>
      <c r="O671" s="1"/>
      <c r="P671" s="1"/>
      <c r="Q671" s="1"/>
      <c r="R671" s="1"/>
      <c r="S671" s="1"/>
      <c r="T671" s="1"/>
      <c r="U671" s="1"/>
      <c r="V671" s="1"/>
      <c r="W671" s="1"/>
      <c r="X671" s="1"/>
      <c r="Y671" s="1"/>
      <c r="Z671" s="1"/>
      <c r="AA671" s="1"/>
      <c r="AB671" s="1"/>
      <c r="AC671" s="1"/>
    </row>
    <row r="672">
      <c r="A672" s="1"/>
      <c r="B672" s="1"/>
      <c r="C672" s="1"/>
      <c r="D672" s="1"/>
      <c r="E672" s="1"/>
      <c r="F672" s="2"/>
      <c r="G672" s="2"/>
      <c r="H672" s="1"/>
      <c r="I672" s="1"/>
      <c r="J672" s="1"/>
      <c r="K672" s="3"/>
      <c r="L672" s="1"/>
      <c r="M672" s="1"/>
      <c r="N672" s="1"/>
      <c r="O672" s="1"/>
      <c r="P672" s="1"/>
      <c r="Q672" s="1"/>
      <c r="R672" s="1"/>
      <c r="S672" s="1"/>
      <c r="T672" s="1"/>
      <c r="U672" s="1"/>
      <c r="V672" s="1"/>
      <c r="W672" s="1"/>
      <c r="X672" s="1"/>
      <c r="Y672" s="1"/>
      <c r="Z672" s="1"/>
      <c r="AA672" s="1"/>
      <c r="AB672" s="1"/>
      <c r="AC672" s="1"/>
    </row>
    <row r="673">
      <c r="A673" s="1"/>
      <c r="B673" s="1"/>
      <c r="C673" s="1"/>
      <c r="D673" s="1"/>
      <c r="E673" s="1"/>
      <c r="F673" s="2"/>
      <c r="G673" s="2"/>
      <c r="H673" s="1"/>
      <c r="I673" s="1"/>
      <c r="J673" s="1"/>
      <c r="K673" s="3"/>
      <c r="L673" s="1"/>
      <c r="M673" s="1"/>
      <c r="N673" s="1"/>
      <c r="O673" s="1"/>
      <c r="P673" s="1"/>
      <c r="Q673" s="1"/>
      <c r="R673" s="1"/>
      <c r="S673" s="1"/>
      <c r="T673" s="1"/>
      <c r="U673" s="1"/>
      <c r="V673" s="1"/>
      <c r="W673" s="1"/>
      <c r="X673" s="1"/>
      <c r="Y673" s="1"/>
      <c r="Z673" s="1"/>
      <c r="AA673" s="1"/>
      <c r="AB673" s="1"/>
      <c r="AC673" s="1"/>
    </row>
    <row r="674">
      <c r="A674" s="1"/>
      <c r="B674" s="1"/>
      <c r="C674" s="1"/>
      <c r="D674" s="1"/>
      <c r="E674" s="1"/>
      <c r="F674" s="2"/>
      <c r="G674" s="2"/>
      <c r="H674" s="1"/>
      <c r="I674" s="1"/>
      <c r="J674" s="1"/>
      <c r="K674" s="3"/>
      <c r="L674" s="1"/>
      <c r="M674" s="1"/>
      <c r="N674" s="1"/>
      <c r="O674" s="1"/>
      <c r="P674" s="1"/>
      <c r="Q674" s="1"/>
      <c r="R674" s="1"/>
      <c r="S674" s="1"/>
      <c r="T674" s="1"/>
      <c r="U674" s="1"/>
      <c r="V674" s="1"/>
      <c r="W674" s="1"/>
      <c r="X674" s="1"/>
      <c r="Y674" s="1"/>
      <c r="Z674" s="1"/>
      <c r="AA674" s="1"/>
      <c r="AB674" s="1"/>
      <c r="AC674" s="1"/>
    </row>
    <row r="675">
      <c r="A675" s="1"/>
      <c r="B675" s="1"/>
      <c r="C675" s="1"/>
      <c r="D675" s="1"/>
      <c r="E675" s="1"/>
      <c r="F675" s="2"/>
      <c r="G675" s="2"/>
      <c r="H675" s="1"/>
      <c r="I675" s="1"/>
      <c r="J675" s="1"/>
      <c r="K675" s="3"/>
      <c r="L675" s="1"/>
      <c r="M675" s="1"/>
      <c r="N675" s="1"/>
      <c r="O675" s="1"/>
      <c r="P675" s="1"/>
      <c r="Q675" s="1"/>
      <c r="R675" s="1"/>
      <c r="S675" s="1"/>
      <c r="T675" s="1"/>
      <c r="U675" s="1"/>
      <c r="V675" s="1"/>
      <c r="W675" s="1"/>
      <c r="X675" s="1"/>
      <c r="Y675" s="1"/>
      <c r="Z675" s="1"/>
      <c r="AA675" s="1"/>
      <c r="AB675" s="1"/>
      <c r="AC675" s="1"/>
    </row>
    <row r="676">
      <c r="A676" s="1"/>
      <c r="B676" s="1"/>
      <c r="C676" s="1"/>
      <c r="D676" s="1"/>
      <c r="E676" s="1"/>
      <c r="F676" s="2"/>
      <c r="G676" s="2"/>
      <c r="H676" s="1"/>
      <c r="I676" s="1"/>
      <c r="J676" s="1"/>
      <c r="K676" s="3"/>
      <c r="L676" s="1"/>
      <c r="M676" s="1"/>
      <c r="N676" s="1"/>
      <c r="O676" s="1"/>
      <c r="P676" s="1"/>
      <c r="Q676" s="1"/>
      <c r="R676" s="1"/>
      <c r="S676" s="1"/>
      <c r="T676" s="1"/>
      <c r="U676" s="1"/>
      <c r="V676" s="1"/>
      <c r="W676" s="1"/>
      <c r="X676" s="1"/>
      <c r="Y676" s="1"/>
      <c r="Z676" s="1"/>
      <c r="AA676" s="1"/>
      <c r="AB676" s="1"/>
      <c r="AC676" s="1"/>
    </row>
    <row r="677">
      <c r="A677" s="1"/>
      <c r="B677" s="1"/>
      <c r="C677" s="1"/>
      <c r="D677" s="1"/>
      <c r="E677" s="1"/>
      <c r="F677" s="2"/>
      <c r="G677" s="2"/>
      <c r="H677" s="1"/>
      <c r="I677" s="1"/>
      <c r="J677" s="1"/>
      <c r="K677" s="3"/>
      <c r="L677" s="1"/>
      <c r="M677" s="1"/>
      <c r="N677" s="1"/>
      <c r="O677" s="1"/>
      <c r="P677" s="1"/>
      <c r="Q677" s="1"/>
      <c r="R677" s="1"/>
      <c r="S677" s="1"/>
      <c r="T677" s="1"/>
      <c r="U677" s="1"/>
      <c r="V677" s="1"/>
      <c r="W677" s="1"/>
      <c r="X677" s="1"/>
      <c r="Y677" s="1"/>
      <c r="Z677" s="1"/>
      <c r="AA677" s="1"/>
      <c r="AB677" s="1"/>
      <c r="AC677" s="1"/>
    </row>
    <row r="678">
      <c r="A678" s="1"/>
      <c r="B678" s="1"/>
      <c r="C678" s="1"/>
      <c r="D678" s="1"/>
      <c r="E678" s="1"/>
      <c r="F678" s="2"/>
      <c r="G678" s="2"/>
      <c r="H678" s="1"/>
      <c r="I678" s="1"/>
      <c r="J678" s="1"/>
      <c r="K678" s="3"/>
      <c r="L678" s="1"/>
      <c r="M678" s="1"/>
      <c r="N678" s="1"/>
      <c r="O678" s="1"/>
      <c r="P678" s="1"/>
      <c r="Q678" s="1"/>
      <c r="R678" s="1"/>
      <c r="S678" s="1"/>
      <c r="T678" s="1"/>
      <c r="U678" s="1"/>
      <c r="V678" s="1"/>
      <c r="W678" s="1"/>
      <c r="X678" s="1"/>
      <c r="Y678" s="1"/>
      <c r="Z678" s="1"/>
      <c r="AA678" s="1"/>
      <c r="AB678" s="1"/>
      <c r="AC678" s="1"/>
    </row>
    <row r="679">
      <c r="A679" s="1"/>
      <c r="B679" s="1"/>
      <c r="C679" s="1"/>
      <c r="D679" s="1"/>
      <c r="E679" s="1"/>
      <c r="F679" s="2"/>
      <c r="G679" s="2"/>
      <c r="H679" s="1"/>
      <c r="I679" s="1"/>
      <c r="J679" s="1"/>
      <c r="K679" s="3"/>
      <c r="L679" s="1"/>
      <c r="M679" s="1"/>
      <c r="N679" s="1"/>
      <c r="O679" s="1"/>
      <c r="P679" s="1"/>
      <c r="Q679" s="1"/>
      <c r="R679" s="1"/>
      <c r="S679" s="1"/>
      <c r="T679" s="1"/>
      <c r="U679" s="1"/>
      <c r="V679" s="1"/>
      <c r="W679" s="1"/>
      <c r="X679" s="1"/>
      <c r="Y679" s="1"/>
      <c r="Z679" s="1"/>
      <c r="AA679" s="1"/>
      <c r="AB679" s="1"/>
      <c r="AC679" s="1"/>
    </row>
    <row r="680">
      <c r="A680" s="1"/>
      <c r="B680" s="1"/>
      <c r="C680" s="1"/>
      <c r="D680" s="1"/>
      <c r="E680" s="1"/>
      <c r="F680" s="2"/>
      <c r="G680" s="2"/>
      <c r="H680" s="1"/>
      <c r="I680" s="1"/>
      <c r="J680" s="1"/>
      <c r="K680" s="3"/>
      <c r="L680" s="1"/>
      <c r="M680" s="1"/>
      <c r="N680" s="1"/>
      <c r="O680" s="1"/>
      <c r="P680" s="1"/>
      <c r="Q680" s="1"/>
      <c r="R680" s="1"/>
      <c r="S680" s="1"/>
      <c r="T680" s="1"/>
      <c r="U680" s="1"/>
      <c r="V680" s="1"/>
      <c r="W680" s="1"/>
      <c r="X680" s="1"/>
      <c r="Y680" s="1"/>
      <c r="Z680" s="1"/>
      <c r="AA680" s="1"/>
      <c r="AB680" s="1"/>
      <c r="AC680" s="1"/>
    </row>
    <row r="681">
      <c r="A681" s="1"/>
      <c r="B681" s="1"/>
      <c r="C681" s="1"/>
      <c r="D681" s="1"/>
      <c r="E681" s="1"/>
      <c r="F681" s="2"/>
      <c r="G681" s="2"/>
      <c r="H681" s="1"/>
      <c r="I681" s="1"/>
      <c r="J681" s="1"/>
      <c r="K681" s="3"/>
      <c r="L681" s="1"/>
      <c r="M681" s="1"/>
      <c r="N681" s="1"/>
      <c r="O681" s="1"/>
      <c r="P681" s="1"/>
      <c r="Q681" s="1"/>
      <c r="R681" s="1"/>
      <c r="S681" s="1"/>
      <c r="T681" s="1"/>
      <c r="U681" s="1"/>
      <c r="V681" s="1"/>
      <c r="W681" s="1"/>
      <c r="X681" s="1"/>
      <c r="Y681" s="1"/>
      <c r="Z681" s="1"/>
      <c r="AA681" s="1"/>
      <c r="AB681" s="1"/>
      <c r="AC681" s="1"/>
    </row>
    <row r="682">
      <c r="A682" s="1"/>
      <c r="B682" s="1"/>
      <c r="C682" s="1"/>
      <c r="D682" s="1"/>
      <c r="E682" s="1"/>
      <c r="F682" s="2"/>
      <c r="G682" s="2"/>
      <c r="H682" s="1"/>
      <c r="I682" s="1"/>
      <c r="J682" s="1"/>
      <c r="K682" s="3"/>
      <c r="L682" s="1"/>
      <c r="M682" s="1"/>
      <c r="N682" s="1"/>
      <c r="O682" s="1"/>
      <c r="P682" s="1"/>
      <c r="Q682" s="1"/>
      <c r="R682" s="1"/>
      <c r="S682" s="1"/>
      <c r="T682" s="1"/>
      <c r="U682" s="1"/>
      <c r="V682" s="1"/>
      <c r="W682" s="1"/>
      <c r="X682" s="1"/>
      <c r="Y682" s="1"/>
      <c r="Z682" s="1"/>
      <c r="AA682" s="1"/>
      <c r="AB682" s="1"/>
      <c r="AC682" s="1"/>
    </row>
    <row r="683">
      <c r="A683" s="1"/>
      <c r="B683" s="1"/>
      <c r="C683" s="1"/>
      <c r="D683" s="1"/>
      <c r="E683" s="1"/>
      <c r="F683" s="2"/>
      <c r="G683" s="2"/>
      <c r="H683" s="1"/>
      <c r="I683" s="1"/>
      <c r="J683" s="1"/>
      <c r="K683" s="3"/>
      <c r="L683" s="1"/>
      <c r="M683" s="1"/>
      <c r="N683" s="1"/>
      <c r="O683" s="1"/>
      <c r="P683" s="1"/>
      <c r="Q683" s="1"/>
      <c r="R683" s="1"/>
      <c r="S683" s="1"/>
      <c r="T683" s="1"/>
      <c r="U683" s="1"/>
      <c r="V683" s="1"/>
      <c r="W683" s="1"/>
      <c r="X683" s="1"/>
      <c r="Y683" s="1"/>
      <c r="Z683" s="1"/>
      <c r="AA683" s="1"/>
      <c r="AB683" s="1"/>
      <c r="AC683" s="1"/>
    </row>
    <row r="684">
      <c r="A684" s="1"/>
      <c r="B684" s="1"/>
      <c r="C684" s="1"/>
      <c r="D684" s="1"/>
      <c r="E684" s="1"/>
      <c r="F684" s="2"/>
      <c r="G684" s="2"/>
      <c r="H684" s="1"/>
      <c r="I684" s="1"/>
      <c r="J684" s="1"/>
      <c r="K684" s="3"/>
      <c r="L684" s="1"/>
      <c r="M684" s="1"/>
      <c r="N684" s="1"/>
      <c r="O684" s="1"/>
      <c r="P684" s="1"/>
      <c r="Q684" s="1"/>
      <c r="R684" s="1"/>
      <c r="S684" s="1"/>
      <c r="T684" s="1"/>
      <c r="U684" s="1"/>
      <c r="V684" s="1"/>
      <c r="W684" s="1"/>
      <c r="X684" s="1"/>
      <c r="Y684" s="1"/>
      <c r="Z684" s="1"/>
      <c r="AA684" s="1"/>
      <c r="AB684" s="1"/>
      <c r="AC684" s="1"/>
    </row>
    <row r="685">
      <c r="A685" s="1"/>
      <c r="B685" s="1"/>
      <c r="C685" s="1"/>
      <c r="D685" s="1"/>
      <c r="E685" s="1"/>
      <c r="F685" s="2"/>
      <c r="G685" s="2"/>
      <c r="H685" s="1"/>
      <c r="I685" s="1"/>
      <c r="J685" s="1"/>
      <c r="K685" s="3"/>
      <c r="L685" s="1"/>
      <c r="M685" s="1"/>
      <c r="N685" s="1"/>
      <c r="O685" s="1"/>
      <c r="P685" s="1"/>
      <c r="Q685" s="1"/>
      <c r="R685" s="1"/>
      <c r="S685" s="1"/>
      <c r="T685" s="1"/>
      <c r="U685" s="1"/>
      <c r="V685" s="1"/>
      <c r="W685" s="1"/>
      <c r="X685" s="1"/>
      <c r="Y685" s="1"/>
      <c r="Z685" s="1"/>
      <c r="AA685" s="1"/>
      <c r="AB685" s="1"/>
      <c r="AC685" s="1"/>
    </row>
    <row r="686">
      <c r="A686" s="1"/>
      <c r="B686" s="1"/>
      <c r="C686" s="1"/>
      <c r="D686" s="1"/>
      <c r="E686" s="1"/>
      <c r="F686" s="2"/>
      <c r="G686" s="2"/>
      <c r="H686" s="1"/>
      <c r="I686" s="1"/>
      <c r="J686" s="1"/>
      <c r="K686" s="3"/>
      <c r="L686" s="1"/>
      <c r="M686" s="1"/>
      <c r="N686" s="1"/>
      <c r="O686" s="1"/>
      <c r="P686" s="1"/>
      <c r="Q686" s="1"/>
      <c r="R686" s="1"/>
      <c r="S686" s="1"/>
      <c r="T686" s="1"/>
      <c r="U686" s="1"/>
      <c r="V686" s="1"/>
      <c r="W686" s="1"/>
      <c r="X686" s="1"/>
      <c r="Y686" s="1"/>
      <c r="Z686" s="1"/>
      <c r="AA686" s="1"/>
      <c r="AB686" s="1"/>
      <c r="AC686" s="1"/>
    </row>
    <row r="687">
      <c r="A687" s="1"/>
      <c r="B687" s="1"/>
      <c r="C687" s="1"/>
      <c r="D687" s="1"/>
      <c r="E687" s="1"/>
      <c r="F687" s="2"/>
      <c r="G687" s="2"/>
      <c r="H687" s="1"/>
      <c r="I687" s="1"/>
      <c r="J687" s="1"/>
      <c r="K687" s="3"/>
      <c r="L687" s="1"/>
      <c r="M687" s="1"/>
      <c r="N687" s="1"/>
      <c r="O687" s="1"/>
      <c r="P687" s="1"/>
      <c r="Q687" s="1"/>
      <c r="R687" s="1"/>
      <c r="S687" s="1"/>
      <c r="T687" s="1"/>
      <c r="U687" s="1"/>
      <c r="V687" s="1"/>
      <c r="W687" s="1"/>
      <c r="X687" s="1"/>
      <c r="Y687" s="1"/>
      <c r="Z687" s="1"/>
      <c r="AA687" s="1"/>
      <c r="AB687" s="1"/>
      <c r="AC687" s="1"/>
    </row>
    <row r="688">
      <c r="A688" s="1"/>
      <c r="B688" s="1"/>
      <c r="C688" s="1"/>
      <c r="D688" s="1"/>
      <c r="E688" s="1"/>
      <c r="F688" s="2"/>
      <c r="G688" s="2"/>
      <c r="H688" s="1"/>
      <c r="I688" s="1"/>
      <c r="J688" s="1"/>
      <c r="K688" s="3"/>
      <c r="L688" s="1"/>
      <c r="M688" s="1"/>
      <c r="N688" s="1"/>
      <c r="O688" s="1"/>
      <c r="P688" s="1"/>
      <c r="Q688" s="1"/>
      <c r="R688" s="1"/>
      <c r="S688" s="1"/>
      <c r="T688" s="1"/>
      <c r="U688" s="1"/>
      <c r="V688" s="1"/>
      <c r="W688" s="1"/>
      <c r="X688" s="1"/>
      <c r="Y688" s="1"/>
      <c r="Z688" s="1"/>
      <c r="AA688" s="1"/>
      <c r="AB688" s="1"/>
      <c r="AC688" s="1"/>
    </row>
    <row r="689">
      <c r="A689" s="1"/>
      <c r="B689" s="1"/>
      <c r="C689" s="1"/>
      <c r="D689" s="1"/>
      <c r="E689" s="1"/>
      <c r="F689" s="2"/>
      <c r="G689" s="2"/>
      <c r="H689" s="1"/>
      <c r="I689" s="1"/>
      <c r="J689" s="1"/>
      <c r="K689" s="3"/>
      <c r="L689" s="1"/>
      <c r="M689" s="1"/>
      <c r="N689" s="1"/>
      <c r="O689" s="1"/>
      <c r="P689" s="1"/>
      <c r="Q689" s="1"/>
      <c r="R689" s="1"/>
      <c r="S689" s="1"/>
      <c r="T689" s="1"/>
      <c r="U689" s="1"/>
      <c r="V689" s="1"/>
      <c r="W689" s="1"/>
      <c r="X689" s="1"/>
      <c r="Y689" s="1"/>
      <c r="Z689" s="1"/>
      <c r="AA689" s="1"/>
      <c r="AB689" s="1"/>
      <c r="AC689" s="1"/>
    </row>
    <row r="690">
      <c r="A690" s="1"/>
      <c r="B690" s="1"/>
      <c r="C690" s="1"/>
      <c r="D690" s="1"/>
      <c r="E690" s="1"/>
      <c r="F690" s="2"/>
      <c r="G690" s="2"/>
      <c r="H690" s="1"/>
      <c r="I690" s="1"/>
      <c r="J690" s="1"/>
      <c r="K690" s="3"/>
      <c r="L690" s="1"/>
      <c r="M690" s="1"/>
      <c r="N690" s="1"/>
      <c r="O690" s="1"/>
      <c r="P690" s="1"/>
      <c r="Q690" s="1"/>
      <c r="R690" s="1"/>
      <c r="S690" s="1"/>
      <c r="T690" s="1"/>
      <c r="U690" s="1"/>
      <c r="V690" s="1"/>
      <c r="W690" s="1"/>
      <c r="X690" s="1"/>
      <c r="Y690" s="1"/>
      <c r="Z690" s="1"/>
      <c r="AA690" s="1"/>
      <c r="AB690" s="1"/>
      <c r="AC690" s="1"/>
    </row>
    <row r="691">
      <c r="A691" s="1"/>
      <c r="B691" s="1"/>
      <c r="C691" s="1"/>
      <c r="D691" s="1"/>
      <c r="E691" s="1"/>
      <c r="F691" s="2"/>
      <c r="G691" s="2"/>
      <c r="H691" s="1"/>
      <c r="I691" s="1"/>
      <c r="J691" s="1"/>
      <c r="K691" s="3"/>
      <c r="L691" s="1"/>
      <c r="M691" s="1"/>
      <c r="N691" s="1"/>
      <c r="O691" s="1"/>
      <c r="P691" s="1"/>
      <c r="Q691" s="1"/>
      <c r="R691" s="1"/>
      <c r="S691" s="1"/>
      <c r="T691" s="1"/>
      <c r="U691" s="1"/>
      <c r="V691" s="1"/>
      <c r="W691" s="1"/>
      <c r="X691" s="1"/>
      <c r="Y691" s="1"/>
      <c r="Z691" s="1"/>
      <c r="AA691" s="1"/>
      <c r="AB691" s="1"/>
      <c r="AC691" s="1"/>
    </row>
    <row r="692">
      <c r="A692" s="1"/>
      <c r="B692" s="1"/>
      <c r="C692" s="1"/>
      <c r="D692" s="1"/>
      <c r="E692" s="1"/>
      <c r="F692" s="2"/>
      <c r="G692" s="2"/>
      <c r="H692" s="1"/>
      <c r="I692" s="1"/>
      <c r="J692" s="1"/>
      <c r="K692" s="3"/>
      <c r="L692" s="1"/>
      <c r="M692" s="1"/>
      <c r="N692" s="1"/>
      <c r="O692" s="1"/>
      <c r="P692" s="1"/>
      <c r="Q692" s="1"/>
      <c r="R692" s="1"/>
      <c r="S692" s="1"/>
      <c r="T692" s="1"/>
      <c r="U692" s="1"/>
      <c r="V692" s="1"/>
      <c r="W692" s="1"/>
      <c r="X692" s="1"/>
      <c r="Y692" s="1"/>
      <c r="Z692" s="1"/>
      <c r="AA692" s="1"/>
      <c r="AB692" s="1"/>
      <c r="AC692" s="1"/>
    </row>
    <row r="693">
      <c r="A693" s="1"/>
      <c r="B693" s="1"/>
      <c r="C693" s="1"/>
      <c r="D693" s="1"/>
      <c r="E693" s="1"/>
      <c r="F693" s="2"/>
      <c r="G693" s="2"/>
      <c r="H693" s="1"/>
      <c r="I693" s="1"/>
      <c r="J693" s="1"/>
      <c r="K693" s="3"/>
      <c r="L693" s="1"/>
      <c r="M693" s="1"/>
      <c r="N693" s="1"/>
      <c r="O693" s="1"/>
      <c r="P693" s="1"/>
      <c r="Q693" s="1"/>
      <c r="R693" s="1"/>
      <c r="S693" s="1"/>
      <c r="T693" s="1"/>
      <c r="U693" s="1"/>
      <c r="V693" s="1"/>
      <c r="W693" s="1"/>
      <c r="X693" s="1"/>
      <c r="Y693" s="1"/>
      <c r="Z693" s="1"/>
      <c r="AA693" s="1"/>
      <c r="AB693" s="1"/>
      <c r="AC693" s="1"/>
    </row>
    <row r="694">
      <c r="A694" s="1"/>
      <c r="B694" s="1"/>
      <c r="C694" s="1"/>
      <c r="D694" s="1"/>
      <c r="E694" s="1"/>
      <c r="F694" s="2"/>
      <c r="G694" s="2"/>
      <c r="H694" s="1"/>
      <c r="I694" s="1"/>
      <c r="J694" s="1"/>
      <c r="K694" s="3"/>
      <c r="L694" s="1"/>
      <c r="M694" s="1"/>
      <c r="N694" s="1"/>
      <c r="O694" s="1"/>
      <c r="P694" s="1"/>
      <c r="Q694" s="1"/>
      <c r="R694" s="1"/>
      <c r="S694" s="1"/>
      <c r="T694" s="1"/>
      <c r="U694" s="1"/>
      <c r="V694" s="1"/>
      <c r="W694" s="1"/>
      <c r="X694" s="1"/>
      <c r="Y694" s="1"/>
      <c r="Z694" s="1"/>
      <c r="AA694" s="1"/>
      <c r="AB694" s="1"/>
      <c r="AC694" s="1"/>
    </row>
    <row r="695">
      <c r="A695" s="1"/>
      <c r="B695" s="1"/>
      <c r="C695" s="1"/>
      <c r="D695" s="1"/>
      <c r="E695" s="1"/>
      <c r="F695" s="2"/>
      <c r="G695" s="2"/>
      <c r="H695" s="1"/>
      <c r="I695" s="1"/>
      <c r="J695" s="1"/>
      <c r="K695" s="3"/>
      <c r="L695" s="1"/>
      <c r="M695" s="1"/>
      <c r="N695" s="1"/>
      <c r="O695" s="1"/>
      <c r="P695" s="1"/>
      <c r="Q695" s="1"/>
      <c r="R695" s="1"/>
      <c r="S695" s="1"/>
      <c r="T695" s="1"/>
      <c r="U695" s="1"/>
      <c r="V695" s="1"/>
      <c r="W695" s="1"/>
      <c r="X695" s="1"/>
      <c r="Y695" s="1"/>
      <c r="Z695" s="1"/>
      <c r="AA695" s="1"/>
      <c r="AB695" s="1"/>
      <c r="AC695" s="1"/>
    </row>
    <row r="696">
      <c r="A696" s="1"/>
      <c r="B696" s="1"/>
      <c r="C696" s="1"/>
      <c r="D696" s="1"/>
      <c r="E696" s="1"/>
      <c r="F696" s="2"/>
      <c r="G696" s="2"/>
      <c r="H696" s="1"/>
      <c r="I696" s="1"/>
      <c r="J696" s="1"/>
      <c r="K696" s="3"/>
      <c r="L696" s="1"/>
      <c r="M696" s="1"/>
      <c r="N696" s="1"/>
      <c r="O696" s="1"/>
      <c r="P696" s="1"/>
      <c r="Q696" s="1"/>
      <c r="R696" s="1"/>
      <c r="S696" s="1"/>
      <c r="T696" s="1"/>
      <c r="U696" s="1"/>
      <c r="V696" s="1"/>
      <c r="W696" s="1"/>
      <c r="X696" s="1"/>
      <c r="Y696" s="1"/>
      <c r="Z696" s="1"/>
      <c r="AA696" s="1"/>
      <c r="AB696" s="1"/>
      <c r="AC696" s="1"/>
    </row>
    <row r="697">
      <c r="A697" s="1"/>
      <c r="B697" s="1"/>
      <c r="C697" s="1"/>
      <c r="D697" s="1"/>
      <c r="E697" s="1"/>
      <c r="F697" s="2"/>
      <c r="G697" s="2"/>
      <c r="H697" s="1"/>
      <c r="I697" s="1"/>
      <c r="J697" s="1"/>
      <c r="K697" s="3"/>
      <c r="L697" s="1"/>
      <c r="M697" s="1"/>
      <c r="N697" s="1"/>
      <c r="O697" s="1"/>
      <c r="P697" s="1"/>
      <c r="Q697" s="1"/>
      <c r="R697" s="1"/>
      <c r="S697" s="1"/>
      <c r="T697" s="1"/>
      <c r="U697" s="1"/>
      <c r="V697" s="1"/>
      <c r="W697" s="1"/>
      <c r="X697" s="1"/>
      <c r="Y697" s="1"/>
      <c r="Z697" s="1"/>
      <c r="AA697" s="1"/>
      <c r="AB697" s="1"/>
      <c r="AC697" s="1"/>
    </row>
    <row r="698">
      <c r="A698" s="1"/>
      <c r="B698" s="1"/>
      <c r="C698" s="1"/>
      <c r="D698" s="1"/>
      <c r="E698" s="1"/>
      <c r="F698" s="2"/>
      <c r="G698" s="2"/>
      <c r="H698" s="1"/>
      <c r="I698" s="1"/>
      <c r="J698" s="1"/>
      <c r="K698" s="3"/>
      <c r="L698" s="1"/>
      <c r="M698" s="1"/>
      <c r="N698" s="1"/>
      <c r="O698" s="1"/>
      <c r="P698" s="1"/>
      <c r="Q698" s="1"/>
      <c r="R698" s="1"/>
      <c r="S698" s="1"/>
      <c r="T698" s="1"/>
      <c r="U698" s="1"/>
      <c r="V698" s="1"/>
      <c r="W698" s="1"/>
      <c r="X698" s="1"/>
      <c r="Y698" s="1"/>
      <c r="Z698" s="1"/>
      <c r="AA698" s="1"/>
      <c r="AB698" s="1"/>
      <c r="AC698" s="1"/>
    </row>
    <row r="699">
      <c r="A699" s="1"/>
      <c r="B699" s="1"/>
      <c r="C699" s="1"/>
      <c r="D699" s="1"/>
      <c r="E699" s="1"/>
      <c r="F699" s="2"/>
      <c r="G699" s="2"/>
      <c r="H699" s="1"/>
      <c r="I699" s="1"/>
      <c r="J699" s="1"/>
      <c r="K699" s="3"/>
      <c r="L699" s="1"/>
      <c r="M699" s="1"/>
      <c r="N699" s="1"/>
      <c r="O699" s="1"/>
      <c r="P699" s="1"/>
      <c r="Q699" s="1"/>
      <c r="R699" s="1"/>
      <c r="S699" s="1"/>
      <c r="T699" s="1"/>
      <c r="U699" s="1"/>
      <c r="V699" s="1"/>
      <c r="W699" s="1"/>
      <c r="X699" s="1"/>
      <c r="Y699" s="1"/>
      <c r="Z699" s="1"/>
      <c r="AA699" s="1"/>
      <c r="AB699" s="1"/>
      <c r="AC699" s="1"/>
    </row>
    <row r="700">
      <c r="A700" s="1"/>
      <c r="B700" s="1"/>
      <c r="C700" s="1"/>
      <c r="D700" s="1"/>
      <c r="E700" s="1"/>
      <c r="F700" s="2"/>
      <c r="G700" s="2"/>
      <c r="H700" s="1"/>
      <c r="I700" s="1"/>
      <c r="J700" s="1"/>
      <c r="K700" s="3"/>
      <c r="L700" s="1"/>
      <c r="M700" s="1"/>
      <c r="N700" s="1"/>
      <c r="O700" s="1"/>
      <c r="P700" s="1"/>
      <c r="Q700" s="1"/>
      <c r="R700" s="1"/>
      <c r="S700" s="1"/>
      <c r="T700" s="1"/>
      <c r="U700" s="1"/>
      <c r="V700" s="1"/>
      <c r="W700" s="1"/>
      <c r="X700" s="1"/>
      <c r="Y700" s="1"/>
      <c r="Z700" s="1"/>
      <c r="AA700" s="1"/>
      <c r="AB700" s="1"/>
      <c r="AC700" s="1"/>
    </row>
    <row r="701">
      <c r="A701" s="1"/>
      <c r="B701" s="1"/>
      <c r="C701" s="1"/>
      <c r="D701" s="1"/>
      <c r="E701" s="1"/>
      <c r="F701" s="2"/>
      <c r="G701" s="2"/>
      <c r="H701" s="1"/>
      <c r="I701" s="1"/>
      <c r="J701" s="1"/>
      <c r="K701" s="3"/>
      <c r="L701" s="1"/>
      <c r="M701" s="1"/>
      <c r="N701" s="1"/>
      <c r="O701" s="1"/>
      <c r="P701" s="1"/>
      <c r="Q701" s="1"/>
      <c r="R701" s="1"/>
      <c r="S701" s="1"/>
      <c r="T701" s="1"/>
      <c r="U701" s="1"/>
      <c r="V701" s="1"/>
      <c r="W701" s="1"/>
      <c r="X701" s="1"/>
      <c r="Y701" s="1"/>
      <c r="Z701" s="1"/>
      <c r="AA701" s="1"/>
      <c r="AB701" s="1"/>
      <c r="AC701" s="1"/>
    </row>
    <row r="702">
      <c r="A702" s="1"/>
      <c r="B702" s="1"/>
      <c r="C702" s="1"/>
      <c r="D702" s="1"/>
      <c r="E702" s="1"/>
      <c r="F702" s="2"/>
      <c r="G702" s="2"/>
      <c r="H702" s="1"/>
      <c r="I702" s="1"/>
      <c r="J702" s="1"/>
      <c r="K702" s="3"/>
      <c r="L702" s="1"/>
      <c r="M702" s="1"/>
      <c r="N702" s="1"/>
      <c r="O702" s="1"/>
      <c r="P702" s="1"/>
      <c r="Q702" s="1"/>
      <c r="R702" s="1"/>
      <c r="S702" s="1"/>
      <c r="T702" s="1"/>
      <c r="U702" s="1"/>
      <c r="V702" s="1"/>
      <c r="W702" s="1"/>
      <c r="X702" s="1"/>
      <c r="Y702" s="1"/>
      <c r="Z702" s="1"/>
      <c r="AA702" s="1"/>
      <c r="AB702" s="1"/>
      <c r="AC702" s="1"/>
    </row>
    <row r="703">
      <c r="A703" s="1"/>
      <c r="B703" s="1"/>
      <c r="C703" s="1"/>
      <c r="D703" s="1"/>
      <c r="E703" s="1"/>
      <c r="F703" s="2"/>
      <c r="G703" s="2"/>
      <c r="H703" s="1"/>
      <c r="I703" s="1"/>
      <c r="J703" s="1"/>
      <c r="K703" s="3"/>
      <c r="L703" s="1"/>
      <c r="M703" s="1"/>
      <c r="N703" s="1"/>
      <c r="O703" s="1"/>
      <c r="P703" s="1"/>
      <c r="Q703" s="1"/>
      <c r="R703" s="1"/>
      <c r="S703" s="1"/>
      <c r="T703" s="1"/>
      <c r="U703" s="1"/>
      <c r="V703" s="1"/>
      <c r="W703" s="1"/>
      <c r="X703" s="1"/>
      <c r="Y703" s="1"/>
      <c r="Z703" s="1"/>
      <c r="AA703" s="1"/>
      <c r="AB703" s="1"/>
      <c r="AC703" s="1"/>
    </row>
    <row r="704">
      <c r="A704" s="1"/>
      <c r="B704" s="1"/>
      <c r="C704" s="1"/>
      <c r="D704" s="1"/>
      <c r="E704" s="1"/>
      <c r="F704" s="2"/>
      <c r="G704" s="2"/>
      <c r="H704" s="1"/>
      <c r="I704" s="1"/>
      <c r="J704" s="1"/>
      <c r="K704" s="3"/>
      <c r="L704" s="1"/>
      <c r="M704" s="1"/>
      <c r="N704" s="1"/>
      <c r="O704" s="1"/>
      <c r="P704" s="1"/>
      <c r="Q704" s="1"/>
      <c r="R704" s="1"/>
      <c r="S704" s="1"/>
      <c r="T704" s="1"/>
      <c r="U704" s="1"/>
      <c r="V704" s="1"/>
      <c r="W704" s="1"/>
      <c r="X704" s="1"/>
      <c r="Y704" s="1"/>
      <c r="Z704" s="1"/>
      <c r="AA704" s="1"/>
      <c r="AB704" s="1"/>
      <c r="AC704" s="1"/>
    </row>
    <row r="705">
      <c r="A705" s="1"/>
      <c r="B705" s="1"/>
      <c r="C705" s="1"/>
      <c r="D705" s="1"/>
      <c r="E705" s="1"/>
      <c r="F705" s="2"/>
      <c r="G705" s="2"/>
      <c r="H705" s="1"/>
      <c r="I705" s="1"/>
      <c r="J705" s="1"/>
      <c r="K705" s="3"/>
      <c r="L705" s="1"/>
      <c r="M705" s="1"/>
      <c r="N705" s="1"/>
      <c r="O705" s="1"/>
      <c r="P705" s="1"/>
      <c r="Q705" s="1"/>
      <c r="R705" s="1"/>
      <c r="S705" s="1"/>
      <c r="T705" s="1"/>
      <c r="U705" s="1"/>
      <c r="V705" s="1"/>
      <c r="W705" s="1"/>
      <c r="X705" s="1"/>
      <c r="Y705" s="1"/>
      <c r="Z705" s="1"/>
      <c r="AA705" s="1"/>
      <c r="AB705" s="1"/>
      <c r="AC705" s="1"/>
    </row>
    <row r="706">
      <c r="A706" s="1"/>
      <c r="B706" s="1"/>
      <c r="C706" s="1"/>
      <c r="D706" s="1"/>
      <c r="E706" s="1"/>
      <c r="F706" s="2"/>
      <c r="G706" s="2"/>
      <c r="H706" s="1"/>
      <c r="I706" s="1"/>
      <c r="J706" s="1"/>
      <c r="K706" s="3"/>
      <c r="L706" s="1"/>
      <c r="M706" s="1"/>
      <c r="N706" s="1"/>
      <c r="O706" s="1"/>
      <c r="P706" s="1"/>
      <c r="Q706" s="1"/>
      <c r="R706" s="1"/>
      <c r="S706" s="1"/>
      <c r="T706" s="1"/>
      <c r="U706" s="1"/>
      <c r="V706" s="1"/>
      <c r="W706" s="1"/>
      <c r="X706" s="1"/>
      <c r="Y706" s="1"/>
      <c r="Z706" s="1"/>
      <c r="AA706" s="1"/>
      <c r="AB706" s="1"/>
      <c r="AC706" s="1"/>
    </row>
    <row r="707">
      <c r="A707" s="1"/>
      <c r="B707" s="1"/>
      <c r="C707" s="1"/>
      <c r="D707" s="1"/>
      <c r="E707" s="1"/>
      <c r="F707" s="2"/>
      <c r="G707" s="2"/>
      <c r="H707" s="1"/>
      <c r="I707" s="1"/>
      <c r="J707" s="1"/>
      <c r="K707" s="3"/>
      <c r="L707" s="1"/>
      <c r="M707" s="1"/>
      <c r="N707" s="1"/>
      <c r="O707" s="1"/>
      <c r="P707" s="1"/>
      <c r="Q707" s="1"/>
      <c r="R707" s="1"/>
      <c r="S707" s="1"/>
      <c r="T707" s="1"/>
      <c r="U707" s="1"/>
      <c r="V707" s="1"/>
      <c r="W707" s="1"/>
      <c r="X707" s="1"/>
      <c r="Y707" s="1"/>
      <c r="Z707" s="1"/>
      <c r="AA707" s="1"/>
      <c r="AB707" s="1"/>
      <c r="AC707" s="1"/>
    </row>
    <row r="708">
      <c r="A708" s="1"/>
      <c r="B708" s="1"/>
      <c r="C708" s="1"/>
      <c r="D708" s="1"/>
      <c r="E708" s="1"/>
      <c r="F708" s="2"/>
      <c r="G708" s="2"/>
      <c r="H708" s="1"/>
      <c r="I708" s="1"/>
      <c r="J708" s="1"/>
      <c r="K708" s="3"/>
      <c r="L708" s="1"/>
      <c r="M708" s="1"/>
      <c r="N708" s="1"/>
      <c r="O708" s="1"/>
      <c r="P708" s="1"/>
      <c r="Q708" s="1"/>
      <c r="R708" s="1"/>
      <c r="S708" s="1"/>
      <c r="T708" s="1"/>
      <c r="U708" s="1"/>
      <c r="V708" s="1"/>
      <c r="W708" s="1"/>
      <c r="X708" s="1"/>
      <c r="Y708" s="1"/>
      <c r="Z708" s="1"/>
      <c r="AA708" s="1"/>
      <c r="AB708" s="1"/>
      <c r="AC708" s="1"/>
    </row>
    <row r="709">
      <c r="A709" s="1"/>
      <c r="B709" s="1"/>
      <c r="C709" s="1"/>
      <c r="D709" s="1"/>
      <c r="E709" s="1"/>
      <c r="F709" s="2"/>
      <c r="G709" s="2"/>
      <c r="H709" s="1"/>
      <c r="I709" s="1"/>
      <c r="J709" s="1"/>
      <c r="K709" s="3"/>
      <c r="L709" s="1"/>
      <c r="M709" s="1"/>
      <c r="N709" s="1"/>
      <c r="O709" s="1"/>
      <c r="P709" s="1"/>
      <c r="Q709" s="1"/>
      <c r="R709" s="1"/>
      <c r="S709" s="1"/>
      <c r="T709" s="1"/>
      <c r="U709" s="1"/>
      <c r="V709" s="1"/>
      <c r="W709" s="1"/>
      <c r="X709" s="1"/>
      <c r="Y709" s="1"/>
      <c r="Z709" s="1"/>
      <c r="AA709" s="1"/>
      <c r="AB709" s="1"/>
      <c r="AC709" s="1"/>
    </row>
    <row r="710">
      <c r="A710" s="1"/>
      <c r="B710" s="1"/>
      <c r="C710" s="1"/>
      <c r="D710" s="1"/>
      <c r="E710" s="1"/>
      <c r="F710" s="2"/>
      <c r="G710" s="2"/>
      <c r="H710" s="1"/>
      <c r="I710" s="1"/>
      <c r="J710" s="1"/>
      <c r="K710" s="3"/>
      <c r="L710" s="1"/>
      <c r="M710" s="1"/>
      <c r="N710" s="1"/>
      <c r="O710" s="1"/>
      <c r="P710" s="1"/>
      <c r="Q710" s="1"/>
      <c r="R710" s="1"/>
      <c r="S710" s="1"/>
      <c r="T710" s="1"/>
      <c r="U710" s="1"/>
      <c r="V710" s="1"/>
      <c r="W710" s="1"/>
      <c r="X710" s="1"/>
      <c r="Y710" s="1"/>
      <c r="Z710" s="1"/>
      <c r="AA710" s="1"/>
      <c r="AB710" s="1"/>
      <c r="AC710" s="1"/>
    </row>
    <row r="711">
      <c r="A711" s="1"/>
      <c r="B711" s="1"/>
      <c r="C711" s="1"/>
      <c r="D711" s="1"/>
      <c r="E711" s="1"/>
      <c r="F711" s="2"/>
      <c r="G711" s="2"/>
      <c r="H711" s="1"/>
      <c r="I711" s="1"/>
      <c r="J711" s="1"/>
      <c r="K711" s="3"/>
      <c r="L711" s="1"/>
      <c r="M711" s="1"/>
      <c r="N711" s="1"/>
      <c r="O711" s="1"/>
      <c r="P711" s="1"/>
      <c r="Q711" s="1"/>
      <c r="R711" s="1"/>
      <c r="S711" s="1"/>
      <c r="T711" s="1"/>
      <c r="U711" s="1"/>
      <c r="V711" s="1"/>
      <c r="W711" s="1"/>
      <c r="X711" s="1"/>
      <c r="Y711" s="1"/>
      <c r="Z711" s="1"/>
      <c r="AA711" s="1"/>
      <c r="AB711" s="1"/>
      <c r="AC711" s="1"/>
    </row>
    <row r="712">
      <c r="A712" s="1"/>
      <c r="B712" s="1"/>
      <c r="C712" s="1"/>
      <c r="D712" s="1"/>
      <c r="E712" s="1"/>
      <c r="F712" s="2"/>
      <c r="G712" s="2"/>
      <c r="H712" s="1"/>
      <c r="I712" s="1"/>
      <c r="J712" s="1"/>
      <c r="K712" s="3"/>
      <c r="L712" s="1"/>
      <c r="M712" s="1"/>
      <c r="N712" s="1"/>
      <c r="O712" s="1"/>
      <c r="P712" s="1"/>
      <c r="Q712" s="1"/>
      <c r="R712" s="1"/>
      <c r="S712" s="1"/>
      <c r="T712" s="1"/>
      <c r="U712" s="1"/>
      <c r="V712" s="1"/>
      <c r="W712" s="1"/>
      <c r="X712" s="1"/>
      <c r="Y712" s="1"/>
      <c r="Z712" s="1"/>
      <c r="AA712" s="1"/>
      <c r="AB712" s="1"/>
      <c r="AC712" s="1"/>
    </row>
    <row r="713">
      <c r="A713" s="1"/>
      <c r="B713" s="1"/>
      <c r="C713" s="1"/>
      <c r="D713" s="1"/>
      <c r="E713" s="1"/>
      <c r="F713" s="2"/>
      <c r="G713" s="2"/>
      <c r="H713" s="1"/>
      <c r="I713" s="1"/>
      <c r="J713" s="1"/>
      <c r="K713" s="3"/>
      <c r="L713" s="1"/>
      <c r="M713" s="1"/>
      <c r="N713" s="1"/>
      <c r="O713" s="1"/>
      <c r="P713" s="1"/>
      <c r="Q713" s="1"/>
      <c r="R713" s="1"/>
      <c r="S713" s="1"/>
      <c r="T713" s="1"/>
      <c r="U713" s="1"/>
      <c r="V713" s="1"/>
      <c r="W713" s="1"/>
      <c r="X713" s="1"/>
      <c r="Y713" s="1"/>
      <c r="Z713" s="1"/>
      <c r="AA713" s="1"/>
      <c r="AB713" s="1"/>
      <c r="AC713" s="1"/>
    </row>
    <row r="714">
      <c r="A714" s="1"/>
      <c r="B714" s="1"/>
      <c r="C714" s="1"/>
      <c r="D714" s="1"/>
      <c r="E714" s="1"/>
      <c r="F714" s="2"/>
      <c r="G714" s="2"/>
      <c r="H714" s="1"/>
      <c r="I714" s="1"/>
      <c r="J714" s="1"/>
      <c r="K714" s="3"/>
      <c r="L714" s="1"/>
      <c r="M714" s="1"/>
      <c r="N714" s="1"/>
      <c r="O714" s="1"/>
      <c r="P714" s="1"/>
      <c r="Q714" s="1"/>
      <c r="R714" s="1"/>
      <c r="S714" s="1"/>
      <c r="T714" s="1"/>
      <c r="U714" s="1"/>
      <c r="V714" s="1"/>
      <c r="W714" s="1"/>
      <c r="X714" s="1"/>
      <c r="Y714" s="1"/>
      <c r="Z714" s="1"/>
      <c r="AA714" s="1"/>
      <c r="AB714" s="1"/>
      <c r="AC714" s="1"/>
    </row>
    <row r="715">
      <c r="A715" s="1"/>
      <c r="B715" s="1"/>
      <c r="C715" s="1"/>
      <c r="D715" s="1"/>
      <c r="E715" s="1"/>
      <c r="F715" s="2"/>
      <c r="G715" s="2"/>
      <c r="H715" s="1"/>
      <c r="I715" s="1"/>
      <c r="J715" s="1"/>
      <c r="K715" s="3"/>
      <c r="L715" s="1"/>
      <c r="M715" s="1"/>
      <c r="N715" s="1"/>
      <c r="O715" s="1"/>
      <c r="P715" s="1"/>
      <c r="Q715" s="1"/>
      <c r="R715" s="1"/>
      <c r="S715" s="1"/>
      <c r="T715" s="1"/>
      <c r="U715" s="1"/>
      <c r="V715" s="1"/>
      <c r="W715" s="1"/>
      <c r="X715" s="1"/>
      <c r="Y715" s="1"/>
      <c r="Z715" s="1"/>
      <c r="AA715" s="1"/>
      <c r="AB715" s="1"/>
      <c r="AC715" s="1"/>
    </row>
    <row r="716">
      <c r="A716" s="1"/>
      <c r="B716" s="1"/>
      <c r="C716" s="1"/>
      <c r="D716" s="1"/>
      <c r="E716" s="1"/>
      <c r="F716" s="2"/>
      <c r="G716" s="2"/>
      <c r="H716" s="1"/>
      <c r="I716" s="1"/>
      <c r="J716" s="1"/>
      <c r="K716" s="3"/>
      <c r="L716" s="1"/>
      <c r="M716" s="1"/>
      <c r="N716" s="1"/>
      <c r="O716" s="1"/>
      <c r="P716" s="1"/>
      <c r="Q716" s="1"/>
      <c r="R716" s="1"/>
      <c r="S716" s="1"/>
      <c r="T716" s="1"/>
      <c r="U716" s="1"/>
      <c r="V716" s="1"/>
      <c r="W716" s="1"/>
      <c r="X716" s="1"/>
      <c r="Y716" s="1"/>
      <c r="Z716" s="1"/>
      <c r="AA716" s="1"/>
      <c r="AB716" s="1"/>
      <c r="AC716" s="1"/>
    </row>
    <row r="717">
      <c r="A717" s="1"/>
      <c r="B717" s="1"/>
      <c r="C717" s="1"/>
      <c r="D717" s="1"/>
      <c r="E717" s="1"/>
      <c r="F717" s="2"/>
      <c r="G717" s="2"/>
      <c r="H717" s="1"/>
      <c r="I717" s="1"/>
      <c r="J717" s="1"/>
      <c r="K717" s="3"/>
      <c r="L717" s="1"/>
      <c r="M717" s="1"/>
      <c r="N717" s="1"/>
      <c r="O717" s="1"/>
      <c r="P717" s="1"/>
      <c r="Q717" s="1"/>
      <c r="R717" s="1"/>
      <c r="S717" s="1"/>
      <c r="T717" s="1"/>
      <c r="U717" s="1"/>
      <c r="V717" s="1"/>
      <c r="W717" s="1"/>
      <c r="X717" s="1"/>
      <c r="Y717" s="1"/>
      <c r="Z717" s="1"/>
      <c r="AA717" s="1"/>
      <c r="AB717" s="1"/>
      <c r="AC717" s="1"/>
    </row>
    <row r="718">
      <c r="A718" s="1"/>
      <c r="B718" s="1"/>
      <c r="C718" s="1"/>
      <c r="D718" s="1"/>
      <c r="E718" s="1"/>
      <c r="F718" s="2"/>
      <c r="G718" s="2"/>
      <c r="H718" s="1"/>
      <c r="I718" s="1"/>
      <c r="J718" s="1"/>
      <c r="K718" s="3"/>
      <c r="L718" s="1"/>
      <c r="M718" s="1"/>
      <c r="N718" s="1"/>
      <c r="O718" s="1"/>
      <c r="P718" s="1"/>
      <c r="Q718" s="1"/>
      <c r="R718" s="1"/>
      <c r="S718" s="1"/>
      <c r="T718" s="1"/>
      <c r="U718" s="1"/>
      <c r="V718" s="1"/>
      <c r="W718" s="1"/>
      <c r="X718" s="1"/>
      <c r="Y718" s="1"/>
      <c r="Z718" s="1"/>
      <c r="AA718" s="1"/>
      <c r="AB718" s="1"/>
      <c r="AC718" s="1"/>
    </row>
    <row r="719">
      <c r="A719" s="1"/>
      <c r="B719" s="1"/>
      <c r="C719" s="1"/>
      <c r="D719" s="1"/>
      <c r="E719" s="1"/>
      <c r="F719" s="2"/>
      <c r="G719" s="2"/>
      <c r="H719" s="1"/>
      <c r="I719" s="1"/>
      <c r="J719" s="1"/>
      <c r="K719" s="3"/>
      <c r="L719" s="1"/>
      <c r="M719" s="1"/>
      <c r="N719" s="1"/>
      <c r="O719" s="1"/>
      <c r="P719" s="1"/>
      <c r="Q719" s="1"/>
      <c r="R719" s="1"/>
      <c r="S719" s="1"/>
      <c r="T719" s="1"/>
      <c r="U719" s="1"/>
      <c r="V719" s="1"/>
      <c r="W719" s="1"/>
      <c r="X719" s="1"/>
      <c r="Y719" s="1"/>
      <c r="Z719" s="1"/>
      <c r="AA719" s="1"/>
      <c r="AB719" s="1"/>
      <c r="AC719" s="1"/>
    </row>
    <row r="720">
      <c r="A720" s="1"/>
      <c r="B720" s="1"/>
      <c r="C720" s="1"/>
      <c r="D720" s="1"/>
      <c r="E720" s="1"/>
      <c r="F720" s="2"/>
      <c r="G720" s="2"/>
      <c r="H720" s="1"/>
      <c r="I720" s="1"/>
      <c r="J720" s="1"/>
      <c r="K720" s="3"/>
      <c r="L720" s="1"/>
      <c r="M720" s="1"/>
      <c r="N720" s="1"/>
      <c r="O720" s="1"/>
      <c r="P720" s="1"/>
      <c r="Q720" s="1"/>
      <c r="R720" s="1"/>
      <c r="S720" s="1"/>
      <c r="T720" s="1"/>
      <c r="U720" s="1"/>
      <c r="V720" s="1"/>
      <c r="W720" s="1"/>
      <c r="X720" s="1"/>
      <c r="Y720" s="1"/>
      <c r="Z720" s="1"/>
      <c r="AA720" s="1"/>
      <c r="AB720" s="1"/>
      <c r="AC720" s="1"/>
    </row>
    <row r="721">
      <c r="A721" s="1"/>
      <c r="B721" s="1"/>
      <c r="C721" s="1"/>
      <c r="D721" s="1"/>
      <c r="E721" s="1"/>
      <c r="F721" s="2"/>
      <c r="G721" s="2"/>
      <c r="H721" s="1"/>
      <c r="I721" s="1"/>
      <c r="J721" s="1"/>
      <c r="K721" s="3"/>
      <c r="L721" s="1"/>
      <c r="M721" s="1"/>
      <c r="N721" s="1"/>
      <c r="O721" s="1"/>
      <c r="P721" s="1"/>
      <c r="Q721" s="1"/>
      <c r="R721" s="1"/>
      <c r="S721" s="1"/>
      <c r="T721" s="1"/>
      <c r="U721" s="1"/>
      <c r="V721" s="1"/>
      <c r="W721" s="1"/>
      <c r="X721" s="1"/>
      <c r="Y721" s="1"/>
      <c r="Z721" s="1"/>
      <c r="AA721" s="1"/>
      <c r="AB721" s="1"/>
      <c r="AC721" s="1"/>
    </row>
    <row r="722">
      <c r="A722" s="1"/>
      <c r="B722" s="1"/>
      <c r="C722" s="1"/>
      <c r="D722" s="1"/>
      <c r="E722" s="1"/>
      <c r="F722" s="2"/>
      <c r="G722" s="2"/>
      <c r="H722" s="1"/>
      <c r="I722" s="1"/>
      <c r="J722" s="1"/>
      <c r="K722" s="3"/>
      <c r="L722" s="1"/>
      <c r="M722" s="1"/>
      <c r="N722" s="1"/>
      <c r="O722" s="1"/>
      <c r="P722" s="1"/>
      <c r="Q722" s="1"/>
      <c r="R722" s="1"/>
      <c r="S722" s="1"/>
      <c r="T722" s="1"/>
      <c r="U722" s="1"/>
      <c r="V722" s="1"/>
      <c r="W722" s="1"/>
      <c r="X722" s="1"/>
      <c r="Y722" s="1"/>
      <c r="Z722" s="1"/>
      <c r="AA722" s="1"/>
      <c r="AB722" s="1"/>
      <c r="AC722" s="1"/>
    </row>
    <row r="723">
      <c r="A723" s="1"/>
      <c r="B723" s="1"/>
      <c r="C723" s="1"/>
      <c r="D723" s="1"/>
      <c r="E723" s="1"/>
      <c r="F723" s="2"/>
      <c r="G723" s="2"/>
      <c r="H723" s="1"/>
      <c r="I723" s="1"/>
      <c r="J723" s="1"/>
      <c r="K723" s="3"/>
      <c r="L723" s="1"/>
      <c r="M723" s="1"/>
      <c r="N723" s="1"/>
      <c r="O723" s="1"/>
      <c r="P723" s="1"/>
      <c r="Q723" s="1"/>
      <c r="R723" s="1"/>
      <c r="S723" s="1"/>
      <c r="T723" s="1"/>
      <c r="U723" s="1"/>
      <c r="V723" s="1"/>
      <c r="W723" s="1"/>
      <c r="X723" s="1"/>
      <c r="Y723" s="1"/>
      <c r="Z723" s="1"/>
      <c r="AA723" s="1"/>
      <c r="AB723" s="1"/>
      <c r="AC723" s="1"/>
    </row>
    <row r="724">
      <c r="A724" s="1"/>
      <c r="B724" s="1"/>
      <c r="C724" s="1"/>
      <c r="D724" s="1"/>
      <c r="E724" s="1"/>
      <c r="F724" s="2"/>
      <c r="G724" s="2"/>
      <c r="H724" s="1"/>
      <c r="I724" s="1"/>
      <c r="J724" s="1"/>
      <c r="K724" s="3"/>
      <c r="L724" s="1"/>
      <c r="M724" s="1"/>
      <c r="N724" s="1"/>
      <c r="O724" s="1"/>
      <c r="P724" s="1"/>
      <c r="Q724" s="1"/>
      <c r="R724" s="1"/>
      <c r="S724" s="1"/>
      <c r="T724" s="1"/>
      <c r="U724" s="1"/>
      <c r="V724" s="1"/>
      <c r="W724" s="1"/>
      <c r="X724" s="1"/>
      <c r="Y724" s="1"/>
      <c r="Z724" s="1"/>
      <c r="AA724" s="1"/>
      <c r="AB724" s="1"/>
      <c r="AC724" s="1"/>
    </row>
    <row r="725">
      <c r="A725" s="1"/>
      <c r="B725" s="1"/>
      <c r="C725" s="1"/>
      <c r="D725" s="1"/>
      <c r="E725" s="1"/>
      <c r="F725" s="2"/>
      <c r="G725" s="2"/>
      <c r="H725" s="1"/>
      <c r="I725" s="1"/>
      <c r="J725" s="1"/>
      <c r="K725" s="3"/>
      <c r="L725" s="1"/>
      <c r="M725" s="1"/>
      <c r="N725" s="1"/>
      <c r="O725" s="1"/>
      <c r="P725" s="1"/>
      <c r="Q725" s="1"/>
      <c r="R725" s="1"/>
      <c r="S725" s="1"/>
      <c r="T725" s="1"/>
      <c r="U725" s="1"/>
      <c r="V725" s="1"/>
      <c r="W725" s="1"/>
      <c r="X725" s="1"/>
      <c r="Y725" s="1"/>
      <c r="Z725" s="1"/>
      <c r="AA725" s="1"/>
      <c r="AB725" s="1"/>
      <c r="AC725" s="1"/>
    </row>
    <row r="726">
      <c r="A726" s="1"/>
      <c r="B726" s="1"/>
      <c r="C726" s="1"/>
      <c r="D726" s="1"/>
      <c r="E726" s="1"/>
      <c r="F726" s="2"/>
      <c r="G726" s="2"/>
      <c r="H726" s="1"/>
      <c r="I726" s="1"/>
      <c r="J726" s="1"/>
      <c r="K726" s="3"/>
      <c r="L726" s="1"/>
      <c r="M726" s="1"/>
      <c r="N726" s="1"/>
      <c r="O726" s="1"/>
      <c r="P726" s="1"/>
      <c r="Q726" s="1"/>
      <c r="R726" s="1"/>
      <c r="S726" s="1"/>
      <c r="T726" s="1"/>
      <c r="U726" s="1"/>
      <c r="V726" s="1"/>
      <c r="W726" s="1"/>
      <c r="X726" s="1"/>
      <c r="Y726" s="1"/>
      <c r="Z726" s="1"/>
      <c r="AA726" s="1"/>
      <c r="AB726" s="1"/>
      <c r="AC726" s="1"/>
    </row>
    <row r="727">
      <c r="A727" s="1"/>
      <c r="B727" s="1"/>
      <c r="C727" s="1"/>
      <c r="D727" s="1"/>
      <c r="E727" s="1"/>
      <c r="F727" s="2"/>
      <c r="G727" s="2"/>
      <c r="H727" s="1"/>
      <c r="I727" s="1"/>
      <c r="J727" s="1"/>
      <c r="K727" s="3"/>
      <c r="L727" s="1"/>
      <c r="M727" s="1"/>
      <c r="N727" s="1"/>
      <c r="O727" s="1"/>
      <c r="P727" s="1"/>
      <c r="Q727" s="1"/>
      <c r="R727" s="1"/>
      <c r="S727" s="1"/>
      <c r="T727" s="1"/>
      <c r="U727" s="1"/>
      <c r="V727" s="1"/>
      <c r="W727" s="1"/>
      <c r="X727" s="1"/>
      <c r="Y727" s="1"/>
      <c r="Z727" s="1"/>
      <c r="AA727" s="1"/>
      <c r="AB727" s="1"/>
      <c r="AC727" s="1"/>
    </row>
    <row r="728">
      <c r="A728" s="1"/>
      <c r="B728" s="1"/>
      <c r="C728" s="1"/>
      <c r="D728" s="1"/>
      <c r="E728" s="1"/>
      <c r="F728" s="2"/>
      <c r="G728" s="2"/>
      <c r="H728" s="1"/>
      <c r="I728" s="1"/>
      <c r="J728" s="1"/>
      <c r="K728" s="3"/>
      <c r="L728" s="1"/>
      <c r="M728" s="1"/>
      <c r="N728" s="1"/>
      <c r="O728" s="1"/>
      <c r="P728" s="1"/>
      <c r="Q728" s="1"/>
      <c r="R728" s="1"/>
      <c r="S728" s="1"/>
      <c r="T728" s="1"/>
      <c r="U728" s="1"/>
      <c r="V728" s="1"/>
      <c r="W728" s="1"/>
      <c r="X728" s="1"/>
      <c r="Y728" s="1"/>
      <c r="Z728" s="1"/>
      <c r="AA728" s="1"/>
      <c r="AB728" s="1"/>
      <c r="AC728" s="1"/>
    </row>
    <row r="729">
      <c r="A729" s="1"/>
      <c r="B729" s="1"/>
      <c r="C729" s="1"/>
      <c r="D729" s="1"/>
      <c r="E729" s="1"/>
      <c r="F729" s="2"/>
      <c r="G729" s="2"/>
      <c r="H729" s="1"/>
      <c r="I729" s="1"/>
      <c r="J729" s="1"/>
      <c r="K729" s="3"/>
      <c r="L729" s="1"/>
      <c r="M729" s="1"/>
      <c r="N729" s="1"/>
      <c r="O729" s="1"/>
      <c r="P729" s="1"/>
      <c r="Q729" s="1"/>
      <c r="R729" s="1"/>
      <c r="S729" s="1"/>
      <c r="T729" s="1"/>
      <c r="U729" s="1"/>
      <c r="V729" s="1"/>
      <c r="W729" s="1"/>
      <c r="X729" s="1"/>
      <c r="Y729" s="1"/>
      <c r="Z729" s="1"/>
      <c r="AA729" s="1"/>
      <c r="AB729" s="1"/>
      <c r="AC729" s="1"/>
    </row>
    <row r="730">
      <c r="A730" s="1"/>
      <c r="B730" s="1"/>
      <c r="C730" s="1"/>
      <c r="D730" s="1"/>
      <c r="E730" s="1"/>
      <c r="F730" s="2"/>
      <c r="G730" s="2"/>
      <c r="H730" s="1"/>
      <c r="I730" s="1"/>
      <c r="J730" s="1"/>
      <c r="K730" s="3"/>
      <c r="L730" s="1"/>
      <c r="M730" s="1"/>
      <c r="N730" s="1"/>
      <c r="O730" s="1"/>
      <c r="P730" s="1"/>
      <c r="Q730" s="1"/>
      <c r="R730" s="1"/>
      <c r="S730" s="1"/>
      <c r="T730" s="1"/>
      <c r="U730" s="1"/>
      <c r="V730" s="1"/>
      <c r="W730" s="1"/>
      <c r="X730" s="1"/>
      <c r="Y730" s="1"/>
      <c r="Z730" s="1"/>
      <c r="AA730" s="1"/>
      <c r="AB730" s="1"/>
      <c r="AC730" s="1"/>
    </row>
    <row r="731">
      <c r="A731" s="1"/>
      <c r="B731" s="1"/>
      <c r="C731" s="1"/>
      <c r="D731" s="1"/>
      <c r="E731" s="1"/>
      <c r="F731" s="2"/>
      <c r="G731" s="2"/>
      <c r="H731" s="1"/>
      <c r="I731" s="1"/>
      <c r="J731" s="1"/>
      <c r="K731" s="3"/>
      <c r="L731" s="1"/>
      <c r="M731" s="1"/>
      <c r="N731" s="1"/>
      <c r="O731" s="1"/>
      <c r="P731" s="1"/>
      <c r="Q731" s="1"/>
      <c r="R731" s="1"/>
      <c r="S731" s="1"/>
      <c r="T731" s="1"/>
      <c r="U731" s="1"/>
      <c r="V731" s="1"/>
      <c r="W731" s="1"/>
      <c r="X731" s="1"/>
      <c r="Y731" s="1"/>
      <c r="Z731" s="1"/>
      <c r="AA731" s="1"/>
      <c r="AB731" s="1"/>
      <c r="AC731" s="1"/>
    </row>
    <row r="732">
      <c r="A732" s="1"/>
      <c r="B732" s="1"/>
      <c r="C732" s="1"/>
      <c r="D732" s="1"/>
      <c r="E732" s="1"/>
      <c r="F732" s="2"/>
      <c r="G732" s="2"/>
      <c r="H732" s="1"/>
      <c r="I732" s="1"/>
      <c r="J732" s="1"/>
      <c r="K732" s="3"/>
      <c r="L732" s="1"/>
      <c r="M732" s="1"/>
      <c r="N732" s="1"/>
      <c r="O732" s="1"/>
      <c r="P732" s="1"/>
      <c r="Q732" s="1"/>
      <c r="R732" s="1"/>
      <c r="S732" s="1"/>
      <c r="T732" s="1"/>
      <c r="U732" s="1"/>
      <c r="V732" s="1"/>
      <c r="W732" s="1"/>
      <c r="X732" s="1"/>
      <c r="Y732" s="1"/>
      <c r="Z732" s="1"/>
      <c r="AA732" s="1"/>
      <c r="AB732" s="1"/>
      <c r="AC732" s="1"/>
    </row>
    <row r="733">
      <c r="A733" s="1"/>
      <c r="B733" s="1"/>
      <c r="C733" s="1"/>
      <c r="D733" s="1"/>
      <c r="E733" s="1"/>
      <c r="F733" s="2"/>
      <c r="G733" s="2"/>
      <c r="H733" s="1"/>
      <c r="I733" s="1"/>
      <c r="J733" s="1"/>
      <c r="K733" s="3"/>
      <c r="L733" s="1"/>
      <c r="M733" s="1"/>
      <c r="N733" s="1"/>
      <c r="O733" s="1"/>
      <c r="P733" s="1"/>
      <c r="Q733" s="1"/>
      <c r="R733" s="1"/>
      <c r="S733" s="1"/>
      <c r="T733" s="1"/>
      <c r="U733" s="1"/>
      <c r="V733" s="1"/>
      <c r="W733" s="1"/>
      <c r="X733" s="1"/>
      <c r="Y733" s="1"/>
      <c r="Z733" s="1"/>
      <c r="AA733" s="1"/>
      <c r="AB733" s="1"/>
      <c r="AC733" s="1"/>
    </row>
    <row r="734">
      <c r="A734" s="1"/>
      <c r="B734" s="1"/>
      <c r="C734" s="1"/>
      <c r="D734" s="1"/>
      <c r="E734" s="1"/>
      <c r="F734" s="2"/>
      <c r="G734" s="2"/>
      <c r="H734" s="1"/>
      <c r="I734" s="1"/>
      <c r="J734" s="1"/>
      <c r="K734" s="3"/>
      <c r="L734" s="1"/>
      <c r="M734" s="1"/>
      <c r="N734" s="1"/>
      <c r="O734" s="1"/>
      <c r="P734" s="1"/>
      <c r="Q734" s="1"/>
      <c r="R734" s="1"/>
      <c r="S734" s="1"/>
      <c r="T734" s="1"/>
      <c r="U734" s="1"/>
      <c r="V734" s="1"/>
      <c r="W734" s="1"/>
      <c r="X734" s="1"/>
      <c r="Y734" s="1"/>
      <c r="Z734" s="1"/>
      <c r="AA734" s="1"/>
      <c r="AB734" s="1"/>
      <c r="AC734" s="1"/>
    </row>
    <row r="735">
      <c r="A735" s="1"/>
      <c r="B735" s="1"/>
      <c r="C735" s="1"/>
      <c r="D735" s="1"/>
      <c r="E735" s="1"/>
      <c r="F735" s="2"/>
      <c r="G735" s="2"/>
      <c r="H735" s="1"/>
      <c r="I735" s="1"/>
      <c r="J735" s="1"/>
      <c r="K735" s="3"/>
      <c r="L735" s="1"/>
      <c r="M735" s="1"/>
      <c r="N735" s="1"/>
      <c r="O735" s="1"/>
      <c r="P735" s="1"/>
      <c r="Q735" s="1"/>
      <c r="R735" s="1"/>
      <c r="S735" s="1"/>
      <c r="T735" s="1"/>
      <c r="U735" s="1"/>
      <c r="V735" s="1"/>
      <c r="W735" s="1"/>
      <c r="X735" s="1"/>
      <c r="Y735" s="1"/>
      <c r="Z735" s="1"/>
      <c r="AA735" s="1"/>
      <c r="AB735" s="1"/>
      <c r="AC735" s="1"/>
    </row>
    <row r="736">
      <c r="A736" s="1"/>
      <c r="B736" s="1"/>
      <c r="C736" s="1"/>
      <c r="D736" s="1"/>
      <c r="E736" s="1"/>
      <c r="F736" s="2"/>
      <c r="G736" s="2"/>
      <c r="H736" s="1"/>
      <c r="I736" s="1"/>
      <c r="J736" s="1"/>
      <c r="K736" s="3"/>
      <c r="L736" s="1"/>
      <c r="M736" s="1"/>
      <c r="N736" s="1"/>
      <c r="O736" s="1"/>
      <c r="P736" s="1"/>
      <c r="Q736" s="1"/>
      <c r="R736" s="1"/>
      <c r="S736" s="1"/>
      <c r="T736" s="1"/>
      <c r="U736" s="1"/>
      <c r="V736" s="1"/>
      <c r="W736" s="1"/>
      <c r="X736" s="1"/>
      <c r="Y736" s="1"/>
      <c r="Z736" s="1"/>
      <c r="AA736" s="1"/>
      <c r="AB736" s="1"/>
      <c r="AC736" s="1"/>
    </row>
    <row r="737">
      <c r="A737" s="1"/>
      <c r="B737" s="1"/>
      <c r="C737" s="1"/>
      <c r="D737" s="1"/>
      <c r="E737" s="1"/>
      <c r="F737" s="2"/>
      <c r="G737" s="2"/>
      <c r="H737" s="1"/>
      <c r="I737" s="1"/>
      <c r="J737" s="1"/>
      <c r="K737" s="3"/>
      <c r="L737" s="1"/>
      <c r="M737" s="1"/>
      <c r="N737" s="1"/>
      <c r="O737" s="1"/>
      <c r="P737" s="1"/>
      <c r="Q737" s="1"/>
      <c r="R737" s="1"/>
      <c r="S737" s="1"/>
      <c r="T737" s="1"/>
      <c r="U737" s="1"/>
      <c r="V737" s="1"/>
      <c r="W737" s="1"/>
      <c r="X737" s="1"/>
      <c r="Y737" s="1"/>
      <c r="Z737" s="1"/>
      <c r="AA737" s="1"/>
      <c r="AB737" s="1"/>
      <c r="AC737" s="1"/>
    </row>
    <row r="738">
      <c r="A738" s="1"/>
      <c r="B738" s="1"/>
      <c r="C738" s="1"/>
      <c r="D738" s="1"/>
      <c r="E738" s="1"/>
      <c r="F738" s="2"/>
      <c r="G738" s="2"/>
      <c r="H738" s="1"/>
      <c r="I738" s="1"/>
      <c r="J738" s="1"/>
      <c r="K738" s="3"/>
      <c r="L738" s="1"/>
      <c r="M738" s="1"/>
      <c r="N738" s="1"/>
      <c r="O738" s="1"/>
      <c r="P738" s="1"/>
      <c r="Q738" s="1"/>
      <c r="R738" s="1"/>
      <c r="S738" s="1"/>
      <c r="T738" s="1"/>
      <c r="U738" s="1"/>
      <c r="V738" s="1"/>
      <c r="W738" s="1"/>
      <c r="X738" s="1"/>
      <c r="Y738" s="1"/>
      <c r="Z738" s="1"/>
      <c r="AA738" s="1"/>
      <c r="AB738" s="1"/>
      <c r="AC738" s="1"/>
    </row>
    <row r="739">
      <c r="A739" s="1"/>
      <c r="B739" s="1"/>
      <c r="C739" s="1"/>
      <c r="D739" s="1"/>
      <c r="E739" s="1"/>
      <c r="F739" s="2"/>
      <c r="G739" s="2"/>
      <c r="H739" s="1"/>
      <c r="I739" s="1"/>
      <c r="J739" s="1"/>
      <c r="K739" s="3"/>
      <c r="L739" s="1"/>
      <c r="M739" s="1"/>
      <c r="N739" s="1"/>
      <c r="O739" s="1"/>
      <c r="P739" s="1"/>
      <c r="Q739" s="1"/>
      <c r="R739" s="1"/>
      <c r="S739" s="1"/>
      <c r="T739" s="1"/>
      <c r="U739" s="1"/>
      <c r="V739" s="1"/>
      <c r="W739" s="1"/>
      <c r="X739" s="1"/>
      <c r="Y739" s="1"/>
      <c r="Z739" s="1"/>
      <c r="AA739" s="1"/>
      <c r="AB739" s="1"/>
      <c r="AC739" s="1"/>
    </row>
    <row r="740">
      <c r="A740" s="1"/>
      <c r="B740" s="1"/>
      <c r="C740" s="1"/>
      <c r="D740" s="1"/>
      <c r="E740" s="1"/>
      <c r="F740" s="2"/>
      <c r="G740" s="2"/>
      <c r="H740" s="1"/>
      <c r="I740" s="1"/>
      <c r="J740" s="1"/>
      <c r="K740" s="3"/>
      <c r="L740" s="1"/>
      <c r="M740" s="1"/>
      <c r="N740" s="1"/>
      <c r="O740" s="1"/>
      <c r="P740" s="1"/>
      <c r="Q740" s="1"/>
      <c r="R740" s="1"/>
      <c r="S740" s="1"/>
      <c r="T740" s="1"/>
      <c r="U740" s="1"/>
      <c r="V740" s="1"/>
      <c r="W740" s="1"/>
      <c r="X740" s="1"/>
      <c r="Y740" s="1"/>
      <c r="Z740" s="1"/>
      <c r="AA740" s="1"/>
      <c r="AB740" s="1"/>
      <c r="AC740" s="1"/>
    </row>
    <row r="741">
      <c r="A741" s="1"/>
      <c r="B741" s="1"/>
      <c r="C741" s="1"/>
      <c r="D741" s="1"/>
      <c r="E741" s="1"/>
      <c r="F741" s="2"/>
      <c r="G741" s="2"/>
      <c r="H741" s="1"/>
      <c r="I741" s="1"/>
      <c r="J741" s="1"/>
      <c r="K741" s="3"/>
      <c r="L741" s="1"/>
      <c r="M741" s="1"/>
      <c r="N741" s="1"/>
      <c r="O741" s="1"/>
      <c r="P741" s="1"/>
      <c r="Q741" s="1"/>
      <c r="R741" s="1"/>
      <c r="S741" s="1"/>
      <c r="T741" s="1"/>
      <c r="U741" s="1"/>
      <c r="V741" s="1"/>
      <c r="W741" s="1"/>
      <c r="X741" s="1"/>
      <c r="Y741" s="1"/>
      <c r="Z741" s="1"/>
      <c r="AA741" s="1"/>
      <c r="AB741" s="1"/>
      <c r="AC741" s="1"/>
    </row>
    <row r="742">
      <c r="A742" s="1"/>
      <c r="B742" s="1"/>
      <c r="C742" s="1"/>
      <c r="D742" s="1"/>
      <c r="E742" s="1"/>
      <c r="F742" s="2"/>
      <c r="G742" s="2"/>
      <c r="H742" s="1"/>
      <c r="I742" s="1"/>
      <c r="J742" s="1"/>
      <c r="K742" s="3"/>
      <c r="L742" s="1"/>
      <c r="M742" s="1"/>
      <c r="N742" s="1"/>
      <c r="O742" s="1"/>
      <c r="P742" s="1"/>
      <c r="Q742" s="1"/>
      <c r="R742" s="1"/>
      <c r="S742" s="1"/>
      <c r="T742" s="1"/>
      <c r="U742" s="1"/>
      <c r="V742" s="1"/>
      <c r="W742" s="1"/>
      <c r="X742" s="1"/>
      <c r="Y742" s="1"/>
      <c r="Z742" s="1"/>
      <c r="AA742" s="1"/>
      <c r="AB742" s="1"/>
      <c r="AC742" s="1"/>
    </row>
    <row r="743">
      <c r="A743" s="1"/>
      <c r="B743" s="1"/>
      <c r="C743" s="1"/>
      <c r="D743" s="1"/>
      <c r="E743" s="1"/>
      <c r="F743" s="2"/>
      <c r="G743" s="2"/>
      <c r="H743" s="1"/>
      <c r="I743" s="1"/>
      <c r="J743" s="1"/>
      <c r="K743" s="3"/>
      <c r="L743" s="1"/>
      <c r="M743" s="1"/>
      <c r="N743" s="1"/>
      <c r="O743" s="1"/>
      <c r="P743" s="1"/>
      <c r="Q743" s="1"/>
      <c r="R743" s="1"/>
      <c r="S743" s="1"/>
      <c r="T743" s="1"/>
      <c r="U743" s="1"/>
      <c r="V743" s="1"/>
      <c r="W743" s="1"/>
      <c r="X743" s="1"/>
      <c r="Y743" s="1"/>
      <c r="Z743" s="1"/>
      <c r="AA743" s="1"/>
      <c r="AB743" s="1"/>
      <c r="AC743" s="1"/>
    </row>
    <row r="744">
      <c r="A744" s="1"/>
      <c r="B744" s="1"/>
      <c r="C744" s="1"/>
      <c r="D744" s="1"/>
      <c r="E744" s="1"/>
      <c r="F744" s="2"/>
      <c r="G744" s="2"/>
      <c r="H744" s="1"/>
      <c r="I744" s="1"/>
      <c r="J744" s="1"/>
      <c r="K744" s="3"/>
      <c r="L744" s="1"/>
      <c r="M744" s="1"/>
      <c r="N744" s="1"/>
      <c r="O744" s="1"/>
      <c r="P744" s="1"/>
      <c r="Q744" s="1"/>
      <c r="R744" s="1"/>
      <c r="S744" s="1"/>
      <c r="T744" s="1"/>
      <c r="U744" s="1"/>
      <c r="V744" s="1"/>
      <c r="W744" s="1"/>
      <c r="X744" s="1"/>
      <c r="Y744" s="1"/>
      <c r="Z744" s="1"/>
      <c r="AA744" s="1"/>
      <c r="AB744" s="1"/>
      <c r="AC744" s="1"/>
    </row>
    <row r="745">
      <c r="A745" s="1"/>
      <c r="B745" s="1"/>
      <c r="C745" s="1"/>
      <c r="D745" s="1"/>
      <c r="E745" s="1"/>
      <c r="F745" s="2"/>
      <c r="G745" s="2"/>
      <c r="H745" s="1"/>
      <c r="I745" s="1"/>
      <c r="J745" s="1"/>
      <c r="K745" s="3"/>
      <c r="L745" s="1"/>
      <c r="M745" s="1"/>
      <c r="N745" s="1"/>
      <c r="O745" s="1"/>
      <c r="P745" s="1"/>
      <c r="Q745" s="1"/>
      <c r="R745" s="1"/>
      <c r="S745" s="1"/>
      <c r="T745" s="1"/>
      <c r="U745" s="1"/>
      <c r="V745" s="1"/>
      <c r="W745" s="1"/>
      <c r="X745" s="1"/>
      <c r="Y745" s="1"/>
      <c r="Z745" s="1"/>
      <c r="AA745" s="1"/>
      <c r="AB745" s="1"/>
      <c r="AC745" s="1"/>
    </row>
    <row r="746">
      <c r="A746" s="1"/>
      <c r="B746" s="1"/>
      <c r="C746" s="1"/>
      <c r="D746" s="1"/>
      <c r="E746" s="1"/>
      <c r="F746" s="2"/>
      <c r="G746" s="2"/>
      <c r="H746" s="1"/>
      <c r="I746" s="1"/>
      <c r="J746" s="1"/>
      <c r="K746" s="3"/>
      <c r="L746" s="1"/>
      <c r="M746" s="1"/>
      <c r="N746" s="1"/>
      <c r="O746" s="1"/>
      <c r="P746" s="1"/>
      <c r="Q746" s="1"/>
      <c r="R746" s="1"/>
      <c r="S746" s="1"/>
      <c r="T746" s="1"/>
      <c r="U746" s="1"/>
      <c r="V746" s="1"/>
      <c r="W746" s="1"/>
      <c r="X746" s="1"/>
      <c r="Y746" s="1"/>
      <c r="Z746" s="1"/>
      <c r="AA746" s="1"/>
      <c r="AB746" s="1"/>
      <c r="AC746" s="1"/>
    </row>
    <row r="747">
      <c r="A747" s="1"/>
      <c r="B747" s="1"/>
      <c r="C747" s="1"/>
      <c r="D747" s="1"/>
      <c r="E747" s="1"/>
      <c r="F747" s="2"/>
      <c r="G747" s="2"/>
      <c r="H747" s="1"/>
      <c r="I747" s="1"/>
      <c r="J747" s="1"/>
      <c r="K747" s="3"/>
      <c r="L747" s="1"/>
      <c r="M747" s="1"/>
      <c r="N747" s="1"/>
      <c r="O747" s="1"/>
      <c r="P747" s="1"/>
      <c r="Q747" s="1"/>
      <c r="R747" s="1"/>
      <c r="S747" s="1"/>
      <c r="T747" s="1"/>
      <c r="U747" s="1"/>
      <c r="V747" s="1"/>
      <c r="W747" s="1"/>
      <c r="X747" s="1"/>
      <c r="Y747" s="1"/>
      <c r="Z747" s="1"/>
      <c r="AA747" s="1"/>
      <c r="AB747" s="1"/>
      <c r="AC747" s="1"/>
    </row>
    <row r="748">
      <c r="A748" s="1"/>
      <c r="B748" s="1"/>
      <c r="C748" s="1"/>
      <c r="D748" s="1"/>
      <c r="E748" s="1"/>
      <c r="F748" s="2"/>
      <c r="G748" s="2"/>
      <c r="H748" s="1"/>
      <c r="I748" s="1"/>
      <c r="J748" s="1"/>
      <c r="K748" s="3"/>
      <c r="L748" s="1"/>
      <c r="M748" s="1"/>
      <c r="N748" s="1"/>
      <c r="O748" s="1"/>
      <c r="P748" s="1"/>
      <c r="Q748" s="1"/>
      <c r="R748" s="1"/>
      <c r="S748" s="1"/>
      <c r="T748" s="1"/>
      <c r="U748" s="1"/>
      <c r="V748" s="1"/>
      <c r="W748" s="1"/>
      <c r="X748" s="1"/>
      <c r="Y748" s="1"/>
      <c r="Z748" s="1"/>
      <c r="AA748" s="1"/>
      <c r="AB748" s="1"/>
      <c r="AC748" s="1"/>
    </row>
    <row r="749">
      <c r="A749" s="1"/>
      <c r="B749" s="1"/>
      <c r="C749" s="1"/>
      <c r="D749" s="1"/>
      <c r="E749" s="1"/>
      <c r="F749" s="2"/>
      <c r="G749" s="2"/>
      <c r="H749" s="1"/>
      <c r="I749" s="1"/>
      <c r="J749" s="1"/>
      <c r="K749" s="3"/>
      <c r="L749" s="1"/>
      <c r="M749" s="1"/>
      <c r="N749" s="1"/>
      <c r="O749" s="1"/>
      <c r="P749" s="1"/>
      <c r="Q749" s="1"/>
      <c r="R749" s="1"/>
      <c r="S749" s="1"/>
      <c r="T749" s="1"/>
      <c r="U749" s="1"/>
      <c r="V749" s="1"/>
      <c r="W749" s="1"/>
      <c r="X749" s="1"/>
      <c r="Y749" s="1"/>
      <c r="Z749" s="1"/>
      <c r="AA749" s="1"/>
      <c r="AB749" s="1"/>
      <c r="AC749" s="1"/>
    </row>
    <row r="750">
      <c r="A750" s="1"/>
      <c r="B750" s="1"/>
      <c r="C750" s="1"/>
      <c r="D750" s="1"/>
      <c r="E750" s="1"/>
      <c r="F750" s="2"/>
      <c r="G750" s="2"/>
      <c r="H750" s="1"/>
      <c r="I750" s="1"/>
      <c r="J750" s="1"/>
      <c r="K750" s="3"/>
      <c r="L750" s="1"/>
      <c r="M750" s="1"/>
      <c r="N750" s="1"/>
      <c r="O750" s="1"/>
      <c r="P750" s="1"/>
      <c r="Q750" s="1"/>
      <c r="R750" s="1"/>
      <c r="S750" s="1"/>
      <c r="T750" s="1"/>
      <c r="U750" s="1"/>
      <c r="V750" s="1"/>
      <c r="W750" s="1"/>
      <c r="X750" s="1"/>
      <c r="Y750" s="1"/>
      <c r="Z750" s="1"/>
      <c r="AA750" s="1"/>
      <c r="AB750" s="1"/>
      <c r="AC750" s="1"/>
    </row>
    <row r="751">
      <c r="A751" s="1"/>
      <c r="B751" s="1"/>
      <c r="C751" s="1"/>
      <c r="D751" s="1"/>
      <c r="E751" s="1"/>
      <c r="F751" s="2"/>
      <c r="G751" s="2"/>
      <c r="H751" s="1"/>
      <c r="I751" s="1"/>
      <c r="J751" s="1"/>
      <c r="K751" s="3"/>
      <c r="L751" s="1"/>
      <c r="M751" s="1"/>
      <c r="N751" s="1"/>
      <c r="O751" s="1"/>
      <c r="P751" s="1"/>
      <c r="Q751" s="1"/>
      <c r="R751" s="1"/>
      <c r="S751" s="1"/>
      <c r="T751" s="1"/>
      <c r="U751" s="1"/>
      <c r="V751" s="1"/>
      <c r="W751" s="1"/>
      <c r="X751" s="1"/>
      <c r="Y751" s="1"/>
      <c r="Z751" s="1"/>
      <c r="AA751" s="1"/>
      <c r="AB751" s="1"/>
      <c r="AC751" s="1"/>
    </row>
    <row r="752">
      <c r="A752" s="1"/>
      <c r="B752" s="1"/>
      <c r="C752" s="1"/>
      <c r="D752" s="1"/>
      <c r="E752" s="1"/>
      <c r="F752" s="2"/>
      <c r="G752" s="2"/>
      <c r="H752" s="1"/>
      <c r="I752" s="1"/>
      <c r="J752" s="1"/>
      <c r="K752" s="3"/>
      <c r="L752" s="1"/>
      <c r="M752" s="1"/>
      <c r="N752" s="1"/>
      <c r="O752" s="1"/>
      <c r="P752" s="1"/>
      <c r="Q752" s="1"/>
      <c r="R752" s="1"/>
      <c r="S752" s="1"/>
      <c r="T752" s="1"/>
      <c r="U752" s="1"/>
      <c r="V752" s="1"/>
      <c r="W752" s="1"/>
      <c r="X752" s="1"/>
      <c r="Y752" s="1"/>
      <c r="Z752" s="1"/>
      <c r="AA752" s="1"/>
      <c r="AB752" s="1"/>
      <c r="AC752" s="1"/>
    </row>
    <row r="753">
      <c r="A753" s="1"/>
      <c r="B753" s="1"/>
      <c r="C753" s="1"/>
      <c r="D753" s="1"/>
      <c r="E753" s="1"/>
      <c r="F753" s="2"/>
      <c r="G753" s="2"/>
      <c r="H753" s="1"/>
      <c r="I753" s="1"/>
      <c r="J753" s="1"/>
      <c r="K753" s="3"/>
      <c r="L753" s="1"/>
      <c r="M753" s="1"/>
      <c r="N753" s="1"/>
      <c r="O753" s="1"/>
      <c r="P753" s="1"/>
      <c r="Q753" s="1"/>
      <c r="R753" s="1"/>
      <c r="S753" s="1"/>
      <c r="T753" s="1"/>
      <c r="U753" s="1"/>
      <c r="V753" s="1"/>
      <c r="W753" s="1"/>
      <c r="X753" s="1"/>
      <c r="Y753" s="1"/>
      <c r="Z753" s="1"/>
      <c r="AA753" s="1"/>
      <c r="AB753" s="1"/>
      <c r="AC753" s="1"/>
    </row>
    <row r="754">
      <c r="A754" s="1"/>
      <c r="B754" s="1"/>
      <c r="C754" s="1"/>
      <c r="D754" s="1"/>
      <c r="E754" s="1"/>
      <c r="F754" s="2"/>
      <c r="G754" s="2"/>
      <c r="H754" s="1"/>
      <c r="I754" s="1"/>
      <c r="J754" s="1"/>
      <c r="K754" s="3"/>
      <c r="L754" s="1"/>
      <c r="M754" s="1"/>
      <c r="N754" s="1"/>
      <c r="O754" s="1"/>
      <c r="P754" s="1"/>
      <c r="Q754" s="1"/>
      <c r="R754" s="1"/>
      <c r="S754" s="1"/>
      <c r="T754" s="1"/>
      <c r="U754" s="1"/>
      <c r="V754" s="1"/>
      <c r="W754" s="1"/>
      <c r="X754" s="1"/>
      <c r="Y754" s="1"/>
      <c r="Z754" s="1"/>
      <c r="AA754" s="1"/>
      <c r="AB754" s="1"/>
      <c r="AC754" s="1"/>
    </row>
    <row r="755">
      <c r="A755" s="1"/>
      <c r="B755" s="1"/>
      <c r="C755" s="1"/>
      <c r="D755" s="1"/>
      <c r="E755" s="1"/>
      <c r="F755" s="2"/>
      <c r="G755" s="2"/>
      <c r="H755" s="1"/>
      <c r="I755" s="1"/>
      <c r="J755" s="1"/>
      <c r="K755" s="3"/>
      <c r="L755" s="1"/>
      <c r="M755" s="1"/>
      <c r="N755" s="1"/>
      <c r="O755" s="1"/>
      <c r="P755" s="1"/>
      <c r="Q755" s="1"/>
      <c r="R755" s="1"/>
      <c r="S755" s="1"/>
      <c r="T755" s="1"/>
      <c r="U755" s="1"/>
      <c r="V755" s="1"/>
      <c r="W755" s="1"/>
      <c r="X755" s="1"/>
      <c r="Y755" s="1"/>
      <c r="Z755" s="1"/>
      <c r="AA755" s="1"/>
      <c r="AB755" s="1"/>
      <c r="AC755" s="1"/>
    </row>
    <row r="756">
      <c r="A756" s="1"/>
      <c r="B756" s="1"/>
      <c r="C756" s="1"/>
      <c r="D756" s="1"/>
      <c r="E756" s="1"/>
      <c r="F756" s="2"/>
      <c r="G756" s="2"/>
      <c r="H756" s="1"/>
      <c r="I756" s="1"/>
      <c r="J756" s="1"/>
      <c r="K756" s="3"/>
      <c r="L756" s="1"/>
      <c r="M756" s="1"/>
      <c r="N756" s="1"/>
      <c r="O756" s="1"/>
      <c r="P756" s="1"/>
      <c r="Q756" s="1"/>
      <c r="R756" s="1"/>
      <c r="S756" s="1"/>
      <c r="T756" s="1"/>
      <c r="U756" s="1"/>
      <c r="V756" s="1"/>
      <c r="W756" s="1"/>
      <c r="X756" s="1"/>
      <c r="Y756" s="1"/>
      <c r="Z756" s="1"/>
      <c r="AA756" s="1"/>
      <c r="AB756" s="1"/>
      <c r="AC756" s="1"/>
    </row>
    <row r="757">
      <c r="A757" s="1"/>
      <c r="B757" s="1"/>
      <c r="C757" s="1"/>
      <c r="D757" s="1"/>
      <c r="E757" s="1"/>
      <c r="F757" s="2"/>
      <c r="G757" s="2"/>
      <c r="H757" s="1"/>
      <c r="I757" s="1"/>
      <c r="J757" s="1"/>
      <c r="K757" s="3"/>
      <c r="L757" s="1"/>
      <c r="M757" s="1"/>
      <c r="N757" s="1"/>
      <c r="O757" s="1"/>
      <c r="P757" s="1"/>
      <c r="Q757" s="1"/>
      <c r="R757" s="1"/>
      <c r="S757" s="1"/>
      <c r="T757" s="1"/>
      <c r="U757" s="1"/>
      <c r="V757" s="1"/>
      <c r="W757" s="1"/>
      <c r="X757" s="1"/>
      <c r="Y757" s="1"/>
      <c r="Z757" s="1"/>
      <c r="AA757" s="1"/>
      <c r="AB757" s="1"/>
      <c r="AC757" s="1"/>
    </row>
    <row r="758">
      <c r="A758" s="1"/>
      <c r="B758" s="1"/>
      <c r="C758" s="1"/>
      <c r="D758" s="1"/>
      <c r="E758" s="1"/>
      <c r="F758" s="2"/>
      <c r="G758" s="2"/>
      <c r="H758" s="1"/>
      <c r="I758" s="1"/>
      <c r="J758" s="1"/>
      <c r="K758" s="3"/>
      <c r="L758" s="1"/>
      <c r="M758" s="1"/>
      <c r="N758" s="1"/>
      <c r="O758" s="1"/>
      <c r="P758" s="1"/>
      <c r="Q758" s="1"/>
      <c r="R758" s="1"/>
      <c r="S758" s="1"/>
      <c r="T758" s="1"/>
      <c r="U758" s="1"/>
      <c r="V758" s="1"/>
      <c r="W758" s="1"/>
      <c r="X758" s="1"/>
      <c r="Y758" s="1"/>
      <c r="Z758" s="1"/>
      <c r="AA758" s="1"/>
      <c r="AB758" s="1"/>
      <c r="AC758" s="1"/>
    </row>
    <row r="759">
      <c r="A759" s="1"/>
      <c r="B759" s="1"/>
      <c r="C759" s="1"/>
      <c r="D759" s="1"/>
      <c r="E759" s="1"/>
      <c r="F759" s="2"/>
      <c r="G759" s="2"/>
      <c r="H759" s="1"/>
      <c r="I759" s="1"/>
      <c r="J759" s="1"/>
      <c r="K759" s="3"/>
      <c r="L759" s="1"/>
      <c r="M759" s="1"/>
      <c r="N759" s="1"/>
      <c r="O759" s="1"/>
      <c r="P759" s="1"/>
      <c r="Q759" s="1"/>
      <c r="R759" s="1"/>
      <c r="S759" s="1"/>
      <c r="T759" s="1"/>
      <c r="U759" s="1"/>
      <c r="V759" s="1"/>
      <c r="W759" s="1"/>
      <c r="X759" s="1"/>
      <c r="Y759" s="1"/>
      <c r="Z759" s="1"/>
      <c r="AA759" s="1"/>
      <c r="AB759" s="1"/>
      <c r="AC759" s="1"/>
    </row>
    <row r="760">
      <c r="A760" s="1"/>
      <c r="B760" s="1"/>
      <c r="C760" s="1"/>
      <c r="D760" s="1"/>
      <c r="E760" s="1"/>
      <c r="F760" s="2"/>
      <c r="G760" s="2"/>
      <c r="H760" s="1"/>
      <c r="I760" s="1"/>
      <c r="J760" s="1"/>
      <c r="K760" s="3"/>
      <c r="L760" s="1"/>
      <c r="M760" s="1"/>
      <c r="N760" s="1"/>
      <c r="O760" s="1"/>
      <c r="P760" s="1"/>
      <c r="Q760" s="1"/>
      <c r="R760" s="1"/>
      <c r="S760" s="1"/>
      <c r="T760" s="1"/>
      <c r="U760" s="1"/>
      <c r="V760" s="1"/>
      <c r="W760" s="1"/>
      <c r="X760" s="1"/>
      <c r="Y760" s="1"/>
      <c r="Z760" s="1"/>
      <c r="AA760" s="1"/>
      <c r="AB760" s="1"/>
      <c r="AC760" s="1"/>
    </row>
    <row r="761">
      <c r="A761" s="1"/>
      <c r="B761" s="1"/>
      <c r="C761" s="1"/>
      <c r="D761" s="1"/>
      <c r="E761" s="1"/>
      <c r="F761" s="2"/>
      <c r="G761" s="2"/>
      <c r="H761" s="1"/>
      <c r="I761" s="1"/>
      <c r="J761" s="1"/>
      <c r="K761" s="3"/>
      <c r="L761" s="1"/>
      <c r="M761" s="1"/>
      <c r="N761" s="1"/>
      <c r="O761" s="1"/>
      <c r="P761" s="1"/>
      <c r="Q761" s="1"/>
      <c r="R761" s="1"/>
      <c r="S761" s="1"/>
      <c r="T761" s="1"/>
      <c r="U761" s="1"/>
      <c r="V761" s="1"/>
      <c r="W761" s="1"/>
      <c r="X761" s="1"/>
      <c r="Y761" s="1"/>
      <c r="Z761" s="1"/>
      <c r="AA761" s="1"/>
      <c r="AB761" s="1"/>
      <c r="AC761" s="1"/>
    </row>
    <row r="762">
      <c r="A762" s="1"/>
      <c r="B762" s="1"/>
      <c r="C762" s="1"/>
      <c r="D762" s="1"/>
      <c r="E762" s="1"/>
      <c r="F762" s="2"/>
      <c r="G762" s="2"/>
      <c r="H762" s="1"/>
      <c r="I762" s="1"/>
      <c r="J762" s="1"/>
      <c r="K762" s="3"/>
      <c r="L762" s="1"/>
      <c r="M762" s="1"/>
      <c r="N762" s="1"/>
      <c r="O762" s="1"/>
      <c r="P762" s="1"/>
      <c r="Q762" s="1"/>
      <c r="R762" s="1"/>
      <c r="S762" s="1"/>
      <c r="T762" s="1"/>
      <c r="U762" s="1"/>
      <c r="V762" s="1"/>
      <c r="W762" s="1"/>
      <c r="X762" s="1"/>
      <c r="Y762" s="1"/>
      <c r="Z762" s="1"/>
      <c r="AA762" s="1"/>
      <c r="AB762" s="1"/>
      <c r="AC762" s="1"/>
    </row>
    <row r="763">
      <c r="A763" s="1"/>
      <c r="B763" s="1"/>
      <c r="C763" s="1"/>
      <c r="D763" s="1"/>
      <c r="E763" s="1"/>
      <c r="F763" s="2"/>
      <c r="G763" s="2"/>
      <c r="H763" s="1"/>
      <c r="I763" s="1"/>
      <c r="J763" s="1"/>
      <c r="K763" s="3"/>
      <c r="L763" s="1"/>
      <c r="M763" s="1"/>
      <c r="N763" s="1"/>
      <c r="O763" s="1"/>
      <c r="P763" s="1"/>
      <c r="Q763" s="1"/>
      <c r="R763" s="1"/>
      <c r="S763" s="1"/>
      <c r="T763" s="1"/>
      <c r="U763" s="1"/>
      <c r="V763" s="1"/>
      <c r="W763" s="1"/>
      <c r="X763" s="1"/>
      <c r="Y763" s="1"/>
      <c r="Z763" s="1"/>
      <c r="AA763" s="1"/>
      <c r="AB763" s="1"/>
      <c r="AC763" s="1"/>
    </row>
    <row r="764">
      <c r="A764" s="1"/>
      <c r="B764" s="1"/>
      <c r="C764" s="1"/>
      <c r="D764" s="1"/>
      <c r="E764" s="1"/>
      <c r="F764" s="2"/>
      <c r="G764" s="2"/>
      <c r="H764" s="1"/>
      <c r="I764" s="1"/>
      <c r="J764" s="1"/>
      <c r="K764" s="3"/>
      <c r="L764" s="1"/>
      <c r="M764" s="1"/>
      <c r="N764" s="1"/>
      <c r="O764" s="1"/>
      <c r="P764" s="1"/>
      <c r="Q764" s="1"/>
      <c r="R764" s="1"/>
      <c r="S764" s="1"/>
      <c r="T764" s="1"/>
      <c r="U764" s="1"/>
      <c r="V764" s="1"/>
      <c r="W764" s="1"/>
      <c r="X764" s="1"/>
      <c r="Y764" s="1"/>
      <c r="Z764" s="1"/>
      <c r="AA764" s="1"/>
      <c r="AB764" s="1"/>
      <c r="AC764" s="1"/>
    </row>
    <row r="765">
      <c r="A765" s="1"/>
      <c r="B765" s="1"/>
      <c r="C765" s="1"/>
      <c r="D765" s="1"/>
      <c r="E765" s="1"/>
      <c r="F765" s="2"/>
      <c r="G765" s="2"/>
      <c r="H765" s="1"/>
      <c r="I765" s="1"/>
      <c r="J765" s="1"/>
      <c r="K765" s="3"/>
      <c r="L765" s="1"/>
      <c r="M765" s="1"/>
      <c r="N765" s="1"/>
      <c r="O765" s="1"/>
      <c r="P765" s="1"/>
      <c r="Q765" s="1"/>
      <c r="R765" s="1"/>
      <c r="S765" s="1"/>
      <c r="T765" s="1"/>
      <c r="U765" s="1"/>
      <c r="V765" s="1"/>
      <c r="W765" s="1"/>
      <c r="X765" s="1"/>
      <c r="Y765" s="1"/>
      <c r="Z765" s="1"/>
      <c r="AA765" s="1"/>
      <c r="AB765" s="1"/>
      <c r="AC765" s="1"/>
    </row>
    <row r="766">
      <c r="A766" s="1"/>
      <c r="B766" s="1"/>
      <c r="C766" s="1"/>
      <c r="D766" s="1"/>
      <c r="E766" s="1"/>
      <c r="F766" s="2"/>
      <c r="G766" s="2"/>
      <c r="H766" s="1"/>
      <c r="I766" s="1"/>
      <c r="J766" s="1"/>
      <c r="K766" s="3"/>
      <c r="L766" s="1"/>
      <c r="M766" s="1"/>
      <c r="N766" s="1"/>
      <c r="O766" s="1"/>
      <c r="P766" s="1"/>
      <c r="Q766" s="1"/>
      <c r="R766" s="1"/>
      <c r="S766" s="1"/>
      <c r="T766" s="1"/>
      <c r="U766" s="1"/>
      <c r="V766" s="1"/>
      <c r="W766" s="1"/>
      <c r="X766" s="1"/>
      <c r="Y766" s="1"/>
      <c r="Z766" s="1"/>
      <c r="AA766" s="1"/>
      <c r="AB766" s="1"/>
      <c r="AC766" s="1"/>
    </row>
    <row r="767">
      <c r="A767" s="1"/>
      <c r="B767" s="1"/>
      <c r="C767" s="1"/>
      <c r="D767" s="1"/>
      <c r="E767" s="1"/>
      <c r="F767" s="2"/>
      <c r="G767" s="2"/>
      <c r="H767" s="1"/>
      <c r="I767" s="1"/>
      <c r="J767" s="1"/>
      <c r="K767" s="3"/>
      <c r="L767" s="1"/>
      <c r="M767" s="1"/>
      <c r="N767" s="1"/>
      <c r="O767" s="1"/>
      <c r="P767" s="1"/>
      <c r="Q767" s="1"/>
      <c r="R767" s="1"/>
      <c r="S767" s="1"/>
      <c r="T767" s="1"/>
      <c r="U767" s="1"/>
      <c r="V767" s="1"/>
      <c r="W767" s="1"/>
      <c r="X767" s="1"/>
      <c r="Y767" s="1"/>
      <c r="Z767" s="1"/>
      <c r="AA767" s="1"/>
      <c r="AB767" s="1"/>
      <c r="AC767" s="1"/>
    </row>
    <row r="768">
      <c r="A768" s="1"/>
      <c r="B768" s="1"/>
      <c r="C768" s="1"/>
      <c r="D768" s="1"/>
      <c r="E768" s="1"/>
      <c r="F768" s="2"/>
      <c r="G768" s="2"/>
      <c r="H768" s="1"/>
      <c r="I768" s="1"/>
      <c r="J768" s="1"/>
      <c r="K768" s="3"/>
      <c r="L768" s="1"/>
      <c r="M768" s="1"/>
      <c r="N768" s="1"/>
      <c r="O768" s="1"/>
      <c r="P768" s="1"/>
      <c r="Q768" s="1"/>
      <c r="R768" s="1"/>
      <c r="S768" s="1"/>
      <c r="T768" s="1"/>
      <c r="U768" s="1"/>
      <c r="V768" s="1"/>
      <c r="W768" s="1"/>
      <c r="X768" s="1"/>
      <c r="Y768" s="1"/>
      <c r="Z768" s="1"/>
      <c r="AA768" s="1"/>
      <c r="AB768" s="1"/>
      <c r="AC768" s="1"/>
    </row>
    <row r="769">
      <c r="A769" s="1"/>
      <c r="B769" s="1"/>
      <c r="C769" s="1"/>
      <c r="D769" s="1"/>
      <c r="E769" s="1"/>
      <c r="F769" s="2"/>
      <c r="G769" s="2"/>
      <c r="H769" s="1"/>
      <c r="I769" s="1"/>
      <c r="J769" s="1"/>
      <c r="K769" s="3"/>
      <c r="L769" s="1"/>
      <c r="M769" s="1"/>
      <c r="N769" s="1"/>
      <c r="O769" s="1"/>
      <c r="P769" s="1"/>
      <c r="Q769" s="1"/>
      <c r="R769" s="1"/>
      <c r="S769" s="1"/>
      <c r="T769" s="1"/>
      <c r="U769" s="1"/>
      <c r="V769" s="1"/>
      <c r="W769" s="1"/>
      <c r="X769" s="1"/>
      <c r="Y769" s="1"/>
      <c r="Z769" s="1"/>
      <c r="AA769" s="1"/>
      <c r="AB769" s="1"/>
      <c r="AC769" s="1"/>
    </row>
    <row r="770">
      <c r="A770" s="1"/>
      <c r="B770" s="1"/>
      <c r="C770" s="1"/>
      <c r="D770" s="1"/>
      <c r="E770" s="1"/>
      <c r="F770" s="2"/>
      <c r="G770" s="2"/>
      <c r="H770" s="1"/>
      <c r="I770" s="1"/>
      <c r="J770" s="1"/>
      <c r="K770" s="3"/>
      <c r="L770" s="1"/>
      <c r="M770" s="1"/>
      <c r="N770" s="1"/>
      <c r="O770" s="1"/>
      <c r="P770" s="1"/>
      <c r="Q770" s="1"/>
      <c r="R770" s="1"/>
      <c r="S770" s="1"/>
      <c r="T770" s="1"/>
      <c r="U770" s="1"/>
      <c r="V770" s="1"/>
      <c r="W770" s="1"/>
      <c r="X770" s="1"/>
      <c r="Y770" s="1"/>
      <c r="Z770" s="1"/>
      <c r="AA770" s="1"/>
      <c r="AB770" s="1"/>
      <c r="AC770" s="1"/>
    </row>
    <row r="771">
      <c r="A771" s="1"/>
      <c r="B771" s="1"/>
      <c r="C771" s="1"/>
      <c r="D771" s="1"/>
      <c r="E771" s="1"/>
      <c r="F771" s="2"/>
      <c r="G771" s="2"/>
      <c r="H771" s="1"/>
      <c r="I771" s="1"/>
      <c r="J771" s="1"/>
      <c r="K771" s="3"/>
      <c r="L771" s="1"/>
      <c r="M771" s="1"/>
      <c r="N771" s="1"/>
      <c r="O771" s="1"/>
      <c r="P771" s="1"/>
      <c r="Q771" s="1"/>
      <c r="R771" s="1"/>
      <c r="S771" s="1"/>
      <c r="T771" s="1"/>
      <c r="U771" s="1"/>
      <c r="V771" s="1"/>
      <c r="W771" s="1"/>
      <c r="X771" s="1"/>
      <c r="Y771" s="1"/>
      <c r="Z771" s="1"/>
      <c r="AA771" s="1"/>
      <c r="AB771" s="1"/>
      <c r="AC771" s="1"/>
    </row>
    <row r="772">
      <c r="A772" s="1"/>
      <c r="B772" s="1"/>
      <c r="C772" s="1"/>
      <c r="D772" s="1"/>
      <c r="E772" s="1"/>
      <c r="F772" s="2"/>
      <c r="G772" s="2"/>
      <c r="H772" s="1"/>
      <c r="I772" s="1"/>
      <c r="J772" s="1"/>
      <c r="K772" s="3"/>
      <c r="L772" s="1"/>
      <c r="M772" s="1"/>
      <c r="N772" s="1"/>
      <c r="O772" s="1"/>
      <c r="P772" s="1"/>
      <c r="Q772" s="1"/>
      <c r="R772" s="1"/>
      <c r="S772" s="1"/>
      <c r="T772" s="1"/>
      <c r="U772" s="1"/>
      <c r="V772" s="1"/>
      <c r="W772" s="1"/>
      <c r="X772" s="1"/>
      <c r="Y772" s="1"/>
      <c r="Z772" s="1"/>
      <c r="AA772" s="1"/>
      <c r="AB772" s="1"/>
      <c r="AC772" s="1"/>
    </row>
    <row r="773">
      <c r="A773" s="1"/>
      <c r="B773" s="1"/>
      <c r="C773" s="1"/>
      <c r="D773" s="1"/>
      <c r="E773" s="1"/>
      <c r="F773" s="2"/>
      <c r="G773" s="2"/>
      <c r="H773" s="1"/>
      <c r="I773" s="1"/>
      <c r="J773" s="1"/>
      <c r="K773" s="3"/>
      <c r="L773" s="1"/>
      <c r="M773" s="1"/>
      <c r="N773" s="1"/>
      <c r="O773" s="1"/>
      <c r="P773" s="1"/>
      <c r="Q773" s="1"/>
      <c r="R773" s="1"/>
      <c r="S773" s="1"/>
      <c r="T773" s="1"/>
      <c r="U773" s="1"/>
      <c r="V773" s="1"/>
      <c r="W773" s="1"/>
      <c r="X773" s="1"/>
      <c r="Y773" s="1"/>
      <c r="Z773" s="1"/>
      <c r="AA773" s="1"/>
      <c r="AB773" s="1"/>
      <c r="AC773" s="1"/>
    </row>
    <row r="774">
      <c r="A774" s="1"/>
      <c r="B774" s="1"/>
      <c r="C774" s="1"/>
      <c r="D774" s="1"/>
      <c r="E774" s="1"/>
      <c r="F774" s="2"/>
      <c r="G774" s="2"/>
      <c r="H774" s="1"/>
      <c r="I774" s="1"/>
      <c r="J774" s="1"/>
      <c r="K774" s="3"/>
      <c r="L774" s="1"/>
      <c r="M774" s="1"/>
      <c r="N774" s="1"/>
      <c r="O774" s="1"/>
      <c r="P774" s="1"/>
      <c r="Q774" s="1"/>
      <c r="R774" s="1"/>
      <c r="S774" s="1"/>
      <c r="T774" s="1"/>
      <c r="U774" s="1"/>
      <c r="V774" s="1"/>
      <c r="W774" s="1"/>
      <c r="X774" s="1"/>
      <c r="Y774" s="1"/>
      <c r="Z774" s="1"/>
      <c r="AA774" s="1"/>
      <c r="AB774" s="1"/>
      <c r="AC774" s="1"/>
    </row>
    <row r="775">
      <c r="A775" s="1"/>
      <c r="B775" s="1"/>
      <c r="C775" s="1"/>
      <c r="D775" s="1"/>
      <c r="E775" s="1"/>
      <c r="F775" s="2"/>
      <c r="G775" s="2"/>
      <c r="H775" s="1"/>
      <c r="I775" s="1"/>
      <c r="J775" s="1"/>
      <c r="K775" s="3"/>
      <c r="L775" s="1"/>
      <c r="M775" s="1"/>
      <c r="N775" s="1"/>
      <c r="O775" s="1"/>
      <c r="P775" s="1"/>
      <c r="Q775" s="1"/>
      <c r="R775" s="1"/>
      <c r="S775" s="1"/>
      <c r="T775" s="1"/>
      <c r="U775" s="1"/>
      <c r="V775" s="1"/>
      <c r="W775" s="1"/>
      <c r="X775" s="1"/>
      <c r="Y775" s="1"/>
      <c r="Z775" s="1"/>
      <c r="AA775" s="1"/>
      <c r="AB775" s="1"/>
      <c r="AC775" s="1"/>
    </row>
    <row r="776">
      <c r="A776" s="1"/>
      <c r="B776" s="1"/>
      <c r="C776" s="1"/>
      <c r="D776" s="1"/>
      <c r="E776" s="1"/>
      <c r="F776" s="2"/>
      <c r="G776" s="2"/>
      <c r="H776" s="1"/>
      <c r="I776" s="1"/>
      <c r="J776" s="1"/>
      <c r="K776" s="3"/>
      <c r="L776" s="1"/>
      <c r="M776" s="1"/>
      <c r="N776" s="1"/>
      <c r="O776" s="1"/>
      <c r="P776" s="1"/>
      <c r="Q776" s="1"/>
      <c r="R776" s="1"/>
      <c r="S776" s="1"/>
      <c r="T776" s="1"/>
      <c r="U776" s="1"/>
      <c r="V776" s="1"/>
      <c r="W776" s="1"/>
      <c r="X776" s="1"/>
      <c r="Y776" s="1"/>
      <c r="Z776" s="1"/>
      <c r="AA776" s="1"/>
      <c r="AB776" s="1"/>
      <c r="AC776" s="1"/>
    </row>
    <row r="777">
      <c r="A777" s="1"/>
      <c r="B777" s="1"/>
      <c r="C777" s="1"/>
      <c r="D777" s="1"/>
      <c r="E777" s="1"/>
      <c r="F777" s="2"/>
      <c r="G777" s="2"/>
      <c r="H777" s="1"/>
      <c r="I777" s="1"/>
      <c r="J777" s="1"/>
      <c r="K777" s="3"/>
      <c r="L777" s="1"/>
      <c r="M777" s="1"/>
      <c r="N777" s="1"/>
      <c r="O777" s="1"/>
      <c r="P777" s="1"/>
      <c r="Q777" s="1"/>
      <c r="R777" s="1"/>
      <c r="S777" s="1"/>
      <c r="T777" s="1"/>
      <c r="U777" s="1"/>
      <c r="V777" s="1"/>
      <c r="W777" s="1"/>
      <c r="X777" s="1"/>
      <c r="Y777" s="1"/>
      <c r="Z777" s="1"/>
      <c r="AA777" s="1"/>
      <c r="AB777" s="1"/>
      <c r="AC777" s="1"/>
    </row>
    <row r="778">
      <c r="A778" s="1"/>
      <c r="B778" s="1"/>
      <c r="C778" s="1"/>
      <c r="D778" s="1"/>
      <c r="E778" s="1"/>
      <c r="F778" s="2"/>
      <c r="G778" s="2"/>
      <c r="H778" s="1"/>
      <c r="I778" s="1"/>
      <c r="J778" s="1"/>
      <c r="K778" s="3"/>
      <c r="L778" s="1"/>
      <c r="M778" s="1"/>
      <c r="N778" s="1"/>
      <c r="O778" s="1"/>
      <c r="P778" s="1"/>
      <c r="Q778" s="1"/>
      <c r="R778" s="1"/>
      <c r="S778" s="1"/>
      <c r="T778" s="1"/>
      <c r="U778" s="1"/>
      <c r="V778" s="1"/>
      <c r="W778" s="1"/>
      <c r="X778" s="1"/>
      <c r="Y778" s="1"/>
      <c r="Z778" s="1"/>
      <c r="AA778" s="1"/>
      <c r="AB778" s="1"/>
      <c r="AC778" s="1"/>
    </row>
    <row r="779">
      <c r="A779" s="1"/>
      <c r="B779" s="1"/>
      <c r="C779" s="1"/>
      <c r="D779" s="1"/>
      <c r="E779" s="1"/>
      <c r="F779" s="2"/>
      <c r="G779" s="2"/>
      <c r="H779" s="1"/>
      <c r="I779" s="1"/>
      <c r="J779" s="1"/>
      <c r="K779" s="3"/>
      <c r="L779" s="1"/>
      <c r="M779" s="1"/>
      <c r="N779" s="1"/>
      <c r="O779" s="1"/>
      <c r="P779" s="1"/>
      <c r="Q779" s="1"/>
      <c r="R779" s="1"/>
      <c r="S779" s="1"/>
      <c r="T779" s="1"/>
      <c r="U779" s="1"/>
      <c r="V779" s="1"/>
      <c r="W779" s="1"/>
      <c r="X779" s="1"/>
      <c r="Y779" s="1"/>
      <c r="Z779" s="1"/>
      <c r="AA779" s="1"/>
      <c r="AB779" s="1"/>
      <c r="AC779" s="1"/>
    </row>
    <row r="780">
      <c r="A780" s="1"/>
      <c r="B780" s="1"/>
      <c r="C780" s="1"/>
      <c r="D780" s="1"/>
      <c r="E780" s="1"/>
      <c r="F780" s="2"/>
      <c r="G780" s="2"/>
      <c r="H780" s="1"/>
      <c r="I780" s="1"/>
      <c r="J780" s="1"/>
      <c r="K780" s="3"/>
      <c r="L780" s="1"/>
      <c r="M780" s="1"/>
      <c r="N780" s="1"/>
      <c r="O780" s="1"/>
      <c r="P780" s="1"/>
      <c r="Q780" s="1"/>
      <c r="R780" s="1"/>
      <c r="S780" s="1"/>
      <c r="T780" s="1"/>
      <c r="U780" s="1"/>
      <c r="V780" s="1"/>
      <c r="W780" s="1"/>
      <c r="X780" s="1"/>
      <c r="Y780" s="1"/>
      <c r="Z780" s="1"/>
      <c r="AA780" s="1"/>
      <c r="AB780" s="1"/>
      <c r="AC780" s="1"/>
    </row>
    <row r="781">
      <c r="A781" s="1"/>
      <c r="B781" s="1"/>
      <c r="C781" s="1"/>
      <c r="D781" s="1"/>
      <c r="E781" s="1"/>
      <c r="F781" s="2"/>
      <c r="G781" s="2"/>
      <c r="H781" s="1"/>
      <c r="I781" s="1"/>
      <c r="J781" s="1"/>
      <c r="K781" s="3"/>
      <c r="L781" s="1"/>
      <c r="M781" s="1"/>
      <c r="N781" s="1"/>
      <c r="O781" s="1"/>
      <c r="P781" s="1"/>
      <c r="Q781" s="1"/>
      <c r="R781" s="1"/>
      <c r="S781" s="1"/>
      <c r="T781" s="1"/>
      <c r="U781" s="1"/>
      <c r="V781" s="1"/>
      <c r="W781" s="1"/>
      <c r="X781" s="1"/>
      <c r="Y781" s="1"/>
      <c r="Z781" s="1"/>
      <c r="AA781" s="1"/>
      <c r="AB781" s="1"/>
      <c r="AC781" s="1"/>
    </row>
    <row r="782">
      <c r="A782" s="1"/>
      <c r="B782" s="1"/>
      <c r="C782" s="1"/>
      <c r="D782" s="1"/>
      <c r="E782" s="1"/>
      <c r="F782" s="2"/>
      <c r="G782" s="2"/>
      <c r="H782" s="1"/>
      <c r="I782" s="1"/>
      <c r="J782" s="1"/>
      <c r="K782" s="3"/>
      <c r="L782" s="1"/>
      <c r="M782" s="1"/>
      <c r="N782" s="1"/>
      <c r="O782" s="1"/>
      <c r="P782" s="1"/>
      <c r="Q782" s="1"/>
      <c r="R782" s="1"/>
      <c r="S782" s="1"/>
      <c r="T782" s="1"/>
      <c r="U782" s="1"/>
      <c r="V782" s="1"/>
      <c r="W782" s="1"/>
      <c r="X782" s="1"/>
      <c r="Y782" s="1"/>
      <c r="Z782" s="1"/>
      <c r="AA782" s="1"/>
      <c r="AB782" s="1"/>
      <c r="AC782" s="1"/>
    </row>
    <row r="783">
      <c r="A783" s="1"/>
      <c r="B783" s="1"/>
      <c r="C783" s="1"/>
      <c r="D783" s="1"/>
      <c r="E783" s="1"/>
      <c r="F783" s="2"/>
      <c r="G783" s="2"/>
      <c r="H783" s="1"/>
      <c r="I783" s="1"/>
      <c r="J783" s="1"/>
      <c r="K783" s="3"/>
      <c r="L783" s="1"/>
      <c r="M783" s="1"/>
      <c r="N783" s="1"/>
      <c r="O783" s="1"/>
      <c r="P783" s="1"/>
      <c r="Q783" s="1"/>
      <c r="R783" s="1"/>
      <c r="S783" s="1"/>
      <c r="T783" s="1"/>
      <c r="U783" s="1"/>
      <c r="V783" s="1"/>
      <c r="W783" s="1"/>
      <c r="X783" s="1"/>
      <c r="Y783" s="1"/>
      <c r="Z783" s="1"/>
      <c r="AA783" s="1"/>
      <c r="AB783" s="1"/>
      <c r="AC783" s="1"/>
    </row>
    <row r="784">
      <c r="A784" s="1"/>
      <c r="B784" s="1"/>
      <c r="C784" s="1"/>
      <c r="D784" s="1"/>
      <c r="E784" s="1"/>
      <c r="F784" s="2"/>
      <c r="G784" s="2"/>
      <c r="H784" s="1"/>
      <c r="I784" s="1"/>
      <c r="J784" s="1"/>
      <c r="K784" s="3"/>
      <c r="L784" s="1"/>
      <c r="M784" s="1"/>
      <c r="N784" s="1"/>
      <c r="O784" s="1"/>
      <c r="P784" s="1"/>
      <c r="Q784" s="1"/>
      <c r="R784" s="1"/>
      <c r="S784" s="1"/>
      <c r="T784" s="1"/>
      <c r="U784" s="1"/>
      <c r="V784" s="1"/>
      <c r="W784" s="1"/>
      <c r="X784" s="1"/>
      <c r="Y784" s="1"/>
      <c r="Z784" s="1"/>
      <c r="AA784" s="1"/>
      <c r="AB784" s="1"/>
      <c r="AC784" s="1"/>
    </row>
    <row r="785">
      <c r="A785" s="1"/>
      <c r="B785" s="1"/>
      <c r="C785" s="1"/>
      <c r="D785" s="1"/>
      <c r="E785" s="1"/>
      <c r="F785" s="2"/>
      <c r="G785" s="2"/>
      <c r="H785" s="1"/>
      <c r="I785" s="1"/>
      <c r="J785" s="1"/>
      <c r="K785" s="3"/>
      <c r="L785" s="1"/>
      <c r="M785" s="1"/>
      <c r="N785" s="1"/>
      <c r="O785" s="1"/>
      <c r="P785" s="1"/>
      <c r="Q785" s="1"/>
      <c r="R785" s="1"/>
      <c r="S785" s="1"/>
      <c r="T785" s="1"/>
      <c r="U785" s="1"/>
      <c r="V785" s="1"/>
      <c r="W785" s="1"/>
      <c r="X785" s="1"/>
      <c r="Y785" s="1"/>
      <c r="Z785" s="1"/>
      <c r="AA785" s="1"/>
      <c r="AB785" s="1"/>
      <c r="AC785" s="1"/>
    </row>
    <row r="786">
      <c r="A786" s="1"/>
      <c r="B786" s="1"/>
      <c r="C786" s="1"/>
      <c r="D786" s="1"/>
      <c r="E786" s="1"/>
      <c r="F786" s="2"/>
      <c r="G786" s="2"/>
      <c r="H786" s="1"/>
      <c r="I786" s="1"/>
      <c r="J786" s="1"/>
      <c r="K786" s="3"/>
      <c r="L786" s="1"/>
      <c r="M786" s="1"/>
      <c r="N786" s="1"/>
      <c r="O786" s="1"/>
      <c r="P786" s="1"/>
      <c r="Q786" s="1"/>
      <c r="R786" s="1"/>
      <c r="S786" s="1"/>
      <c r="T786" s="1"/>
      <c r="U786" s="1"/>
      <c r="V786" s="1"/>
      <c r="W786" s="1"/>
      <c r="X786" s="1"/>
      <c r="Y786" s="1"/>
      <c r="Z786" s="1"/>
      <c r="AA786" s="1"/>
      <c r="AB786" s="1"/>
      <c r="AC786" s="1"/>
    </row>
    <row r="787">
      <c r="A787" s="1"/>
      <c r="B787" s="1"/>
      <c r="C787" s="1"/>
      <c r="D787" s="1"/>
      <c r="E787" s="1"/>
      <c r="F787" s="2"/>
      <c r="G787" s="2"/>
      <c r="H787" s="1"/>
      <c r="I787" s="1"/>
      <c r="J787" s="1"/>
      <c r="K787" s="3"/>
      <c r="L787" s="1"/>
      <c r="M787" s="1"/>
      <c r="N787" s="1"/>
      <c r="O787" s="1"/>
      <c r="P787" s="1"/>
      <c r="Q787" s="1"/>
      <c r="R787" s="1"/>
      <c r="S787" s="1"/>
      <c r="T787" s="1"/>
      <c r="U787" s="1"/>
      <c r="V787" s="1"/>
      <c r="W787" s="1"/>
      <c r="X787" s="1"/>
      <c r="Y787" s="1"/>
      <c r="Z787" s="1"/>
      <c r="AA787" s="1"/>
      <c r="AB787" s="1"/>
      <c r="AC787" s="1"/>
    </row>
    <row r="788">
      <c r="A788" s="1"/>
      <c r="B788" s="1"/>
      <c r="C788" s="1"/>
      <c r="D788" s="1"/>
      <c r="E788" s="1"/>
      <c r="F788" s="2"/>
      <c r="G788" s="2"/>
      <c r="H788" s="1"/>
      <c r="I788" s="1"/>
      <c r="J788" s="1"/>
      <c r="K788" s="3"/>
      <c r="L788" s="1"/>
      <c r="M788" s="1"/>
      <c r="N788" s="1"/>
      <c r="O788" s="1"/>
      <c r="P788" s="1"/>
      <c r="Q788" s="1"/>
      <c r="R788" s="1"/>
      <c r="S788" s="1"/>
      <c r="T788" s="1"/>
      <c r="U788" s="1"/>
      <c r="V788" s="1"/>
      <c r="W788" s="1"/>
      <c r="X788" s="1"/>
      <c r="Y788" s="1"/>
      <c r="Z788" s="1"/>
      <c r="AA788" s="1"/>
      <c r="AB788" s="1"/>
      <c r="AC788" s="1"/>
    </row>
    <row r="789">
      <c r="A789" s="1"/>
      <c r="B789" s="1"/>
      <c r="C789" s="1"/>
      <c r="D789" s="1"/>
      <c r="E789" s="1"/>
      <c r="F789" s="2"/>
      <c r="G789" s="2"/>
      <c r="H789" s="1"/>
      <c r="I789" s="1"/>
      <c r="J789" s="1"/>
      <c r="K789" s="3"/>
      <c r="L789" s="1"/>
      <c r="M789" s="1"/>
      <c r="N789" s="1"/>
      <c r="O789" s="1"/>
      <c r="P789" s="1"/>
      <c r="Q789" s="1"/>
      <c r="R789" s="1"/>
      <c r="S789" s="1"/>
      <c r="T789" s="1"/>
      <c r="U789" s="1"/>
      <c r="V789" s="1"/>
      <c r="W789" s="1"/>
      <c r="X789" s="1"/>
      <c r="Y789" s="1"/>
      <c r="Z789" s="1"/>
      <c r="AA789" s="1"/>
      <c r="AB789" s="1"/>
      <c r="AC789" s="1"/>
    </row>
    <row r="790">
      <c r="A790" s="1"/>
      <c r="B790" s="1"/>
      <c r="C790" s="1"/>
      <c r="D790" s="1"/>
      <c r="E790" s="1"/>
      <c r="F790" s="2"/>
      <c r="G790" s="2"/>
      <c r="H790" s="1"/>
      <c r="I790" s="1"/>
      <c r="J790" s="1"/>
      <c r="K790" s="3"/>
      <c r="L790" s="1"/>
      <c r="M790" s="1"/>
      <c r="N790" s="1"/>
      <c r="O790" s="1"/>
      <c r="P790" s="1"/>
      <c r="Q790" s="1"/>
      <c r="R790" s="1"/>
      <c r="S790" s="1"/>
      <c r="T790" s="1"/>
      <c r="U790" s="1"/>
      <c r="V790" s="1"/>
      <c r="W790" s="1"/>
      <c r="X790" s="1"/>
      <c r="Y790" s="1"/>
      <c r="Z790" s="1"/>
      <c r="AA790" s="1"/>
      <c r="AB790" s="1"/>
      <c r="AC790" s="1"/>
    </row>
    <row r="791">
      <c r="A791" s="1"/>
      <c r="B791" s="1"/>
      <c r="C791" s="1"/>
      <c r="D791" s="1"/>
      <c r="E791" s="1"/>
      <c r="F791" s="2"/>
      <c r="G791" s="2"/>
      <c r="H791" s="1"/>
      <c r="I791" s="1"/>
      <c r="J791" s="1"/>
      <c r="K791" s="3"/>
      <c r="L791" s="1"/>
      <c r="M791" s="1"/>
      <c r="N791" s="1"/>
      <c r="O791" s="1"/>
      <c r="P791" s="1"/>
      <c r="Q791" s="1"/>
      <c r="R791" s="1"/>
      <c r="S791" s="1"/>
      <c r="T791" s="1"/>
      <c r="U791" s="1"/>
      <c r="V791" s="1"/>
      <c r="W791" s="1"/>
      <c r="X791" s="1"/>
      <c r="Y791" s="1"/>
      <c r="Z791" s="1"/>
      <c r="AA791" s="1"/>
      <c r="AB791" s="1"/>
      <c r="AC791" s="1"/>
    </row>
    <row r="792">
      <c r="A792" s="1"/>
      <c r="B792" s="1"/>
      <c r="C792" s="1"/>
      <c r="D792" s="1"/>
      <c r="E792" s="1"/>
      <c r="F792" s="2"/>
      <c r="G792" s="2"/>
      <c r="H792" s="1"/>
      <c r="I792" s="1"/>
      <c r="J792" s="1"/>
      <c r="K792" s="3"/>
      <c r="L792" s="1"/>
      <c r="M792" s="1"/>
      <c r="N792" s="1"/>
      <c r="O792" s="1"/>
      <c r="P792" s="1"/>
      <c r="Q792" s="1"/>
      <c r="R792" s="1"/>
      <c r="S792" s="1"/>
      <c r="T792" s="1"/>
      <c r="U792" s="1"/>
      <c r="V792" s="1"/>
      <c r="W792" s="1"/>
      <c r="X792" s="1"/>
      <c r="Y792" s="1"/>
      <c r="Z792" s="1"/>
      <c r="AA792" s="1"/>
      <c r="AB792" s="1"/>
      <c r="AC792" s="1"/>
    </row>
    <row r="793">
      <c r="A793" s="1"/>
      <c r="B793" s="1"/>
      <c r="C793" s="1"/>
      <c r="D793" s="1"/>
      <c r="E793" s="1"/>
      <c r="F793" s="2"/>
      <c r="G793" s="2"/>
      <c r="H793" s="1"/>
      <c r="I793" s="1"/>
      <c r="J793" s="1"/>
      <c r="K793" s="3"/>
      <c r="L793" s="1"/>
      <c r="M793" s="1"/>
      <c r="N793" s="1"/>
      <c r="O793" s="1"/>
      <c r="P793" s="1"/>
      <c r="Q793" s="1"/>
      <c r="R793" s="1"/>
      <c r="S793" s="1"/>
      <c r="T793" s="1"/>
      <c r="U793" s="1"/>
      <c r="V793" s="1"/>
      <c r="W793" s="1"/>
      <c r="X793" s="1"/>
      <c r="Y793" s="1"/>
      <c r="Z793" s="1"/>
      <c r="AA793" s="1"/>
      <c r="AB793" s="1"/>
      <c r="AC793" s="1"/>
    </row>
    <row r="794">
      <c r="A794" s="1"/>
      <c r="B794" s="1"/>
      <c r="C794" s="1"/>
      <c r="D794" s="1"/>
      <c r="E794" s="1"/>
      <c r="F794" s="2"/>
      <c r="G794" s="2"/>
      <c r="H794" s="1"/>
      <c r="I794" s="1"/>
      <c r="J794" s="1"/>
      <c r="K794" s="3"/>
      <c r="L794" s="1"/>
      <c r="M794" s="1"/>
      <c r="N794" s="1"/>
      <c r="O794" s="1"/>
      <c r="P794" s="1"/>
      <c r="Q794" s="1"/>
      <c r="R794" s="1"/>
      <c r="S794" s="1"/>
      <c r="T794" s="1"/>
      <c r="U794" s="1"/>
      <c r="V794" s="1"/>
      <c r="W794" s="1"/>
      <c r="X794" s="1"/>
      <c r="Y794" s="1"/>
      <c r="Z794" s="1"/>
      <c r="AA794" s="1"/>
      <c r="AB794" s="1"/>
      <c r="AC794" s="1"/>
    </row>
    <row r="795">
      <c r="A795" s="1"/>
      <c r="B795" s="1"/>
      <c r="C795" s="1"/>
      <c r="D795" s="1"/>
      <c r="E795" s="1"/>
      <c r="F795" s="2"/>
      <c r="G795" s="2"/>
      <c r="H795" s="1"/>
      <c r="I795" s="1"/>
      <c r="J795" s="1"/>
      <c r="K795" s="3"/>
      <c r="L795" s="1"/>
      <c r="M795" s="1"/>
      <c r="N795" s="1"/>
      <c r="O795" s="1"/>
      <c r="P795" s="1"/>
      <c r="Q795" s="1"/>
      <c r="R795" s="1"/>
      <c r="S795" s="1"/>
      <c r="T795" s="1"/>
      <c r="U795" s="1"/>
      <c r="V795" s="1"/>
      <c r="W795" s="1"/>
      <c r="X795" s="1"/>
      <c r="Y795" s="1"/>
      <c r="Z795" s="1"/>
      <c r="AA795" s="1"/>
      <c r="AB795" s="1"/>
      <c r="AC795" s="1"/>
    </row>
    <row r="796">
      <c r="A796" s="1"/>
      <c r="B796" s="1"/>
      <c r="C796" s="1"/>
      <c r="D796" s="1"/>
      <c r="E796" s="1"/>
      <c r="F796" s="2"/>
      <c r="G796" s="2"/>
      <c r="H796" s="1"/>
      <c r="I796" s="1"/>
      <c r="J796" s="1"/>
      <c r="K796" s="3"/>
      <c r="L796" s="1"/>
      <c r="M796" s="1"/>
      <c r="N796" s="1"/>
      <c r="O796" s="1"/>
      <c r="P796" s="1"/>
      <c r="Q796" s="1"/>
      <c r="R796" s="1"/>
      <c r="S796" s="1"/>
      <c r="T796" s="1"/>
      <c r="U796" s="1"/>
      <c r="V796" s="1"/>
      <c r="W796" s="1"/>
      <c r="X796" s="1"/>
      <c r="Y796" s="1"/>
      <c r="Z796" s="1"/>
      <c r="AA796" s="1"/>
      <c r="AB796" s="1"/>
      <c r="AC796" s="1"/>
    </row>
    <row r="797">
      <c r="A797" s="1"/>
      <c r="B797" s="1"/>
      <c r="C797" s="1"/>
      <c r="D797" s="1"/>
      <c r="E797" s="1"/>
      <c r="F797" s="2"/>
      <c r="G797" s="2"/>
      <c r="H797" s="1"/>
      <c r="I797" s="1"/>
      <c r="J797" s="1"/>
      <c r="K797" s="3"/>
      <c r="L797" s="1"/>
      <c r="M797" s="1"/>
      <c r="N797" s="1"/>
      <c r="O797" s="1"/>
      <c r="P797" s="1"/>
      <c r="Q797" s="1"/>
      <c r="R797" s="1"/>
      <c r="S797" s="1"/>
      <c r="T797" s="1"/>
      <c r="U797" s="1"/>
      <c r="V797" s="1"/>
      <c r="W797" s="1"/>
      <c r="X797" s="1"/>
      <c r="Y797" s="1"/>
      <c r="Z797" s="1"/>
      <c r="AA797" s="1"/>
      <c r="AB797" s="1"/>
      <c r="AC797" s="1"/>
    </row>
    <row r="798">
      <c r="A798" s="1"/>
      <c r="B798" s="1"/>
      <c r="C798" s="1"/>
      <c r="D798" s="1"/>
      <c r="E798" s="1"/>
      <c r="F798" s="2"/>
      <c r="G798" s="2"/>
      <c r="H798" s="1"/>
      <c r="I798" s="1"/>
      <c r="J798" s="1"/>
      <c r="K798" s="3"/>
      <c r="L798" s="1"/>
      <c r="M798" s="1"/>
      <c r="N798" s="1"/>
      <c r="O798" s="1"/>
      <c r="P798" s="1"/>
      <c r="Q798" s="1"/>
      <c r="R798" s="1"/>
      <c r="S798" s="1"/>
      <c r="T798" s="1"/>
      <c r="U798" s="1"/>
      <c r="V798" s="1"/>
      <c r="W798" s="1"/>
      <c r="X798" s="1"/>
      <c r="Y798" s="1"/>
      <c r="Z798" s="1"/>
      <c r="AA798" s="1"/>
      <c r="AB798" s="1"/>
      <c r="AC798" s="1"/>
    </row>
    <row r="799">
      <c r="A799" s="1"/>
      <c r="B799" s="1"/>
      <c r="C799" s="1"/>
      <c r="D799" s="1"/>
      <c r="E799" s="1"/>
      <c r="F799" s="2"/>
      <c r="G799" s="2"/>
      <c r="H799" s="1"/>
      <c r="I799" s="1"/>
      <c r="J799" s="1"/>
      <c r="K799" s="3"/>
      <c r="L799" s="1"/>
      <c r="M799" s="1"/>
      <c r="N799" s="1"/>
      <c r="O799" s="1"/>
      <c r="P799" s="1"/>
      <c r="Q799" s="1"/>
      <c r="R799" s="1"/>
      <c r="S799" s="1"/>
      <c r="T799" s="1"/>
      <c r="U799" s="1"/>
      <c r="V799" s="1"/>
      <c r="W799" s="1"/>
      <c r="X799" s="1"/>
      <c r="Y799" s="1"/>
      <c r="Z799" s="1"/>
      <c r="AA799" s="1"/>
      <c r="AB799" s="1"/>
      <c r="AC799" s="1"/>
    </row>
    <row r="800">
      <c r="A800" s="1"/>
      <c r="B800" s="1"/>
      <c r="C800" s="1"/>
      <c r="D800" s="1"/>
      <c r="E800" s="1"/>
      <c r="F800" s="2"/>
      <c r="G800" s="2"/>
      <c r="H800" s="1"/>
      <c r="I800" s="1"/>
      <c r="J800" s="1"/>
      <c r="K800" s="3"/>
      <c r="L800" s="1"/>
      <c r="M800" s="1"/>
      <c r="N800" s="1"/>
      <c r="O800" s="1"/>
      <c r="P800" s="1"/>
      <c r="Q800" s="1"/>
      <c r="R800" s="1"/>
      <c r="S800" s="1"/>
      <c r="T800" s="1"/>
      <c r="U800" s="1"/>
      <c r="V800" s="1"/>
      <c r="W800" s="1"/>
      <c r="X800" s="1"/>
      <c r="Y800" s="1"/>
      <c r="Z800" s="1"/>
      <c r="AA800" s="1"/>
      <c r="AB800" s="1"/>
      <c r="AC800" s="1"/>
    </row>
    <row r="801">
      <c r="A801" s="1"/>
      <c r="B801" s="1"/>
      <c r="C801" s="1"/>
      <c r="D801" s="1"/>
      <c r="E801" s="1"/>
      <c r="F801" s="2"/>
      <c r="G801" s="2"/>
      <c r="H801" s="1"/>
      <c r="I801" s="1"/>
      <c r="J801" s="1"/>
      <c r="K801" s="3"/>
      <c r="L801" s="1"/>
      <c r="M801" s="1"/>
      <c r="N801" s="1"/>
      <c r="O801" s="1"/>
      <c r="P801" s="1"/>
      <c r="Q801" s="1"/>
      <c r="R801" s="1"/>
      <c r="S801" s="1"/>
      <c r="T801" s="1"/>
      <c r="U801" s="1"/>
      <c r="V801" s="1"/>
      <c r="W801" s="1"/>
      <c r="X801" s="1"/>
      <c r="Y801" s="1"/>
      <c r="Z801" s="1"/>
      <c r="AA801" s="1"/>
      <c r="AB801" s="1"/>
      <c r="AC801" s="1"/>
    </row>
    <row r="802">
      <c r="A802" s="1"/>
      <c r="B802" s="1"/>
      <c r="C802" s="1"/>
      <c r="D802" s="1"/>
      <c r="E802" s="1"/>
      <c r="F802" s="2"/>
      <c r="G802" s="2"/>
      <c r="H802" s="1"/>
      <c r="I802" s="1"/>
      <c r="J802" s="1"/>
      <c r="K802" s="3"/>
      <c r="L802" s="1"/>
      <c r="M802" s="1"/>
      <c r="N802" s="1"/>
      <c r="O802" s="1"/>
      <c r="P802" s="1"/>
      <c r="Q802" s="1"/>
      <c r="R802" s="1"/>
      <c r="S802" s="1"/>
      <c r="T802" s="1"/>
      <c r="U802" s="1"/>
      <c r="V802" s="1"/>
      <c r="W802" s="1"/>
      <c r="X802" s="1"/>
      <c r="Y802" s="1"/>
      <c r="Z802" s="1"/>
      <c r="AA802" s="1"/>
      <c r="AB802" s="1"/>
      <c r="AC802" s="1"/>
    </row>
    <row r="803">
      <c r="A803" s="1"/>
      <c r="B803" s="1"/>
      <c r="C803" s="1"/>
      <c r="D803" s="1"/>
      <c r="E803" s="1"/>
      <c r="F803" s="2"/>
      <c r="G803" s="2"/>
      <c r="H803" s="1"/>
      <c r="I803" s="1"/>
      <c r="J803" s="1"/>
      <c r="K803" s="3"/>
      <c r="L803" s="1"/>
      <c r="M803" s="1"/>
      <c r="N803" s="1"/>
      <c r="O803" s="1"/>
      <c r="P803" s="1"/>
      <c r="Q803" s="1"/>
      <c r="R803" s="1"/>
      <c r="S803" s="1"/>
      <c r="T803" s="1"/>
      <c r="U803" s="1"/>
      <c r="V803" s="1"/>
      <c r="W803" s="1"/>
      <c r="X803" s="1"/>
      <c r="Y803" s="1"/>
      <c r="Z803" s="1"/>
      <c r="AA803" s="1"/>
      <c r="AB803" s="1"/>
      <c r="AC803" s="1"/>
    </row>
    <row r="804">
      <c r="A804" s="1"/>
      <c r="B804" s="1"/>
      <c r="C804" s="1"/>
      <c r="D804" s="1"/>
      <c r="E804" s="1"/>
      <c r="F804" s="2"/>
      <c r="G804" s="2"/>
      <c r="H804" s="1"/>
      <c r="I804" s="1"/>
      <c r="J804" s="1"/>
      <c r="K804" s="3"/>
      <c r="L804" s="1"/>
      <c r="M804" s="1"/>
      <c r="N804" s="1"/>
      <c r="O804" s="1"/>
      <c r="P804" s="1"/>
      <c r="Q804" s="1"/>
      <c r="R804" s="1"/>
      <c r="S804" s="1"/>
      <c r="T804" s="1"/>
      <c r="U804" s="1"/>
      <c r="V804" s="1"/>
      <c r="W804" s="1"/>
      <c r="X804" s="1"/>
      <c r="Y804" s="1"/>
      <c r="Z804" s="1"/>
      <c r="AA804" s="1"/>
      <c r="AB804" s="1"/>
      <c r="AC804" s="1"/>
    </row>
    <row r="805">
      <c r="A805" s="1"/>
      <c r="B805" s="1"/>
      <c r="C805" s="1"/>
      <c r="D805" s="1"/>
      <c r="E805" s="1"/>
      <c r="F805" s="2"/>
      <c r="G805" s="2"/>
      <c r="H805" s="1"/>
      <c r="I805" s="1"/>
      <c r="J805" s="1"/>
      <c r="K805" s="3"/>
      <c r="L805" s="1"/>
      <c r="M805" s="1"/>
      <c r="N805" s="1"/>
      <c r="O805" s="1"/>
      <c r="P805" s="1"/>
      <c r="Q805" s="1"/>
      <c r="R805" s="1"/>
      <c r="S805" s="1"/>
      <c r="T805" s="1"/>
      <c r="U805" s="1"/>
      <c r="V805" s="1"/>
      <c r="W805" s="1"/>
      <c r="X805" s="1"/>
      <c r="Y805" s="1"/>
      <c r="Z805" s="1"/>
      <c r="AA805" s="1"/>
      <c r="AB805" s="1"/>
      <c r="AC805" s="1"/>
    </row>
    <row r="806">
      <c r="A806" s="1"/>
      <c r="B806" s="1"/>
      <c r="C806" s="1"/>
      <c r="D806" s="1"/>
      <c r="E806" s="1"/>
      <c r="F806" s="2"/>
      <c r="G806" s="2"/>
      <c r="H806" s="1"/>
      <c r="I806" s="1"/>
      <c r="J806" s="1"/>
      <c r="K806" s="3"/>
      <c r="L806" s="1"/>
      <c r="M806" s="1"/>
      <c r="N806" s="1"/>
      <c r="O806" s="1"/>
      <c r="P806" s="1"/>
      <c r="Q806" s="1"/>
      <c r="R806" s="1"/>
      <c r="S806" s="1"/>
      <c r="T806" s="1"/>
      <c r="U806" s="1"/>
      <c r="V806" s="1"/>
      <c r="W806" s="1"/>
      <c r="X806" s="1"/>
      <c r="Y806" s="1"/>
      <c r="Z806" s="1"/>
      <c r="AA806" s="1"/>
      <c r="AB806" s="1"/>
      <c r="AC806" s="1"/>
    </row>
    <row r="807">
      <c r="A807" s="1"/>
      <c r="B807" s="1"/>
      <c r="C807" s="1"/>
      <c r="D807" s="1"/>
      <c r="E807" s="1"/>
      <c r="F807" s="2"/>
      <c r="G807" s="2"/>
      <c r="H807" s="1"/>
      <c r="I807" s="1"/>
      <c r="J807" s="1"/>
      <c r="K807" s="3"/>
      <c r="L807" s="1"/>
      <c r="M807" s="1"/>
      <c r="N807" s="1"/>
      <c r="O807" s="1"/>
      <c r="P807" s="1"/>
      <c r="Q807" s="1"/>
      <c r="R807" s="1"/>
      <c r="S807" s="1"/>
      <c r="T807" s="1"/>
      <c r="U807" s="1"/>
      <c r="V807" s="1"/>
      <c r="W807" s="1"/>
      <c r="X807" s="1"/>
      <c r="Y807" s="1"/>
      <c r="Z807" s="1"/>
      <c r="AA807" s="1"/>
      <c r="AB807" s="1"/>
      <c r="AC807" s="1"/>
    </row>
    <row r="808">
      <c r="A808" s="1"/>
      <c r="B808" s="1"/>
      <c r="C808" s="1"/>
      <c r="D808" s="1"/>
      <c r="E808" s="1"/>
      <c r="F808" s="2"/>
      <c r="G808" s="2"/>
      <c r="H808" s="1"/>
      <c r="I808" s="1"/>
      <c r="J808" s="1"/>
      <c r="K808" s="3"/>
      <c r="L808" s="1"/>
      <c r="M808" s="1"/>
      <c r="N808" s="1"/>
      <c r="O808" s="1"/>
      <c r="P808" s="1"/>
      <c r="Q808" s="1"/>
      <c r="R808" s="1"/>
      <c r="S808" s="1"/>
      <c r="T808" s="1"/>
      <c r="U808" s="1"/>
      <c r="V808" s="1"/>
      <c r="W808" s="1"/>
      <c r="X808" s="1"/>
      <c r="Y808" s="1"/>
      <c r="Z808" s="1"/>
      <c r="AA808" s="1"/>
      <c r="AB808" s="1"/>
      <c r="AC808" s="1"/>
    </row>
    <row r="809">
      <c r="A809" s="1"/>
      <c r="B809" s="1"/>
      <c r="C809" s="1"/>
      <c r="D809" s="1"/>
      <c r="E809" s="1"/>
      <c r="F809" s="2"/>
      <c r="G809" s="2"/>
      <c r="H809" s="1"/>
      <c r="I809" s="1"/>
      <c r="J809" s="1"/>
      <c r="K809" s="3"/>
      <c r="L809" s="1"/>
      <c r="M809" s="1"/>
      <c r="N809" s="1"/>
      <c r="O809" s="1"/>
      <c r="P809" s="1"/>
      <c r="Q809" s="1"/>
      <c r="R809" s="1"/>
      <c r="S809" s="1"/>
      <c r="T809" s="1"/>
      <c r="U809" s="1"/>
      <c r="V809" s="1"/>
      <c r="W809" s="1"/>
      <c r="X809" s="1"/>
      <c r="Y809" s="1"/>
      <c r="Z809" s="1"/>
      <c r="AA809" s="1"/>
      <c r="AB809" s="1"/>
      <c r="AC809" s="1"/>
    </row>
    <row r="810">
      <c r="A810" s="1"/>
      <c r="B810" s="1"/>
      <c r="C810" s="1"/>
      <c r="D810" s="1"/>
      <c r="E810" s="1"/>
      <c r="F810" s="2"/>
      <c r="G810" s="2"/>
      <c r="H810" s="1"/>
      <c r="I810" s="1"/>
      <c r="J810" s="1"/>
      <c r="K810" s="3"/>
      <c r="L810" s="1"/>
      <c r="M810" s="1"/>
      <c r="N810" s="1"/>
      <c r="O810" s="1"/>
      <c r="P810" s="1"/>
      <c r="Q810" s="1"/>
      <c r="R810" s="1"/>
      <c r="S810" s="1"/>
      <c r="T810" s="1"/>
      <c r="U810" s="1"/>
      <c r="V810" s="1"/>
      <c r="W810" s="1"/>
      <c r="X810" s="1"/>
      <c r="Y810" s="1"/>
      <c r="Z810" s="1"/>
      <c r="AA810" s="1"/>
      <c r="AB810" s="1"/>
      <c r="AC810" s="1"/>
    </row>
    <row r="811">
      <c r="A811" s="1"/>
      <c r="B811" s="1"/>
      <c r="C811" s="1"/>
      <c r="D811" s="1"/>
      <c r="E811" s="1"/>
      <c r="F811" s="2"/>
      <c r="G811" s="2"/>
      <c r="H811" s="1"/>
      <c r="I811" s="1"/>
      <c r="J811" s="1"/>
      <c r="K811" s="3"/>
      <c r="L811" s="1"/>
      <c r="M811" s="1"/>
      <c r="N811" s="1"/>
      <c r="O811" s="1"/>
      <c r="P811" s="1"/>
      <c r="Q811" s="1"/>
      <c r="R811" s="1"/>
      <c r="S811" s="1"/>
      <c r="T811" s="1"/>
      <c r="U811" s="1"/>
      <c r="V811" s="1"/>
      <c r="W811" s="1"/>
      <c r="X811" s="1"/>
      <c r="Y811" s="1"/>
      <c r="Z811" s="1"/>
      <c r="AA811" s="1"/>
      <c r="AB811" s="1"/>
      <c r="AC811" s="1"/>
    </row>
    <row r="812">
      <c r="A812" s="1"/>
      <c r="B812" s="1"/>
      <c r="C812" s="1"/>
      <c r="D812" s="1"/>
      <c r="E812" s="1"/>
      <c r="F812" s="2"/>
      <c r="G812" s="2"/>
      <c r="H812" s="1"/>
      <c r="I812" s="1"/>
      <c r="J812" s="1"/>
      <c r="K812" s="3"/>
      <c r="L812" s="1"/>
      <c r="M812" s="1"/>
      <c r="N812" s="1"/>
      <c r="O812" s="1"/>
      <c r="P812" s="1"/>
      <c r="Q812" s="1"/>
      <c r="R812" s="1"/>
      <c r="S812" s="1"/>
      <c r="T812" s="1"/>
      <c r="U812" s="1"/>
      <c r="V812" s="1"/>
      <c r="W812" s="1"/>
      <c r="X812" s="1"/>
      <c r="Y812" s="1"/>
      <c r="Z812" s="1"/>
      <c r="AA812" s="1"/>
      <c r="AB812" s="1"/>
      <c r="AC812" s="1"/>
    </row>
    <row r="813">
      <c r="A813" s="1"/>
      <c r="B813" s="1"/>
      <c r="C813" s="1"/>
      <c r="D813" s="1"/>
      <c r="E813" s="1"/>
      <c r="F813" s="2"/>
      <c r="G813" s="2"/>
      <c r="H813" s="1"/>
      <c r="I813" s="1"/>
      <c r="J813" s="1"/>
      <c r="K813" s="3"/>
      <c r="L813" s="1"/>
      <c r="M813" s="1"/>
      <c r="N813" s="1"/>
      <c r="O813" s="1"/>
      <c r="P813" s="1"/>
      <c r="Q813" s="1"/>
      <c r="R813" s="1"/>
      <c r="S813" s="1"/>
      <c r="T813" s="1"/>
      <c r="U813" s="1"/>
      <c r="V813" s="1"/>
      <c r="W813" s="1"/>
      <c r="X813" s="1"/>
      <c r="Y813" s="1"/>
      <c r="Z813" s="1"/>
      <c r="AA813" s="1"/>
      <c r="AB813" s="1"/>
      <c r="AC813" s="1"/>
    </row>
    <row r="814">
      <c r="A814" s="1"/>
      <c r="B814" s="1"/>
      <c r="C814" s="1"/>
      <c r="D814" s="1"/>
      <c r="E814" s="1"/>
      <c r="F814" s="2"/>
      <c r="G814" s="2"/>
      <c r="H814" s="1"/>
      <c r="I814" s="1"/>
      <c r="J814" s="1"/>
      <c r="K814" s="3"/>
      <c r="L814" s="1"/>
      <c r="M814" s="1"/>
      <c r="N814" s="1"/>
      <c r="O814" s="1"/>
      <c r="P814" s="1"/>
      <c r="Q814" s="1"/>
      <c r="R814" s="1"/>
      <c r="S814" s="1"/>
      <c r="T814" s="1"/>
      <c r="U814" s="1"/>
      <c r="V814" s="1"/>
      <c r="W814" s="1"/>
      <c r="X814" s="1"/>
      <c r="Y814" s="1"/>
      <c r="Z814" s="1"/>
      <c r="AA814" s="1"/>
      <c r="AB814" s="1"/>
      <c r="AC814" s="1"/>
    </row>
    <row r="815">
      <c r="A815" s="1"/>
      <c r="B815" s="1"/>
      <c r="C815" s="1"/>
      <c r="D815" s="1"/>
      <c r="E815" s="1"/>
      <c r="F815" s="2"/>
      <c r="G815" s="2"/>
      <c r="H815" s="1"/>
      <c r="I815" s="1"/>
      <c r="J815" s="1"/>
      <c r="K815" s="3"/>
      <c r="L815" s="1"/>
      <c r="M815" s="1"/>
      <c r="N815" s="1"/>
      <c r="O815" s="1"/>
      <c r="P815" s="1"/>
      <c r="Q815" s="1"/>
      <c r="R815" s="1"/>
      <c r="S815" s="1"/>
      <c r="T815" s="1"/>
      <c r="U815" s="1"/>
      <c r="V815" s="1"/>
      <c r="W815" s="1"/>
      <c r="X815" s="1"/>
      <c r="Y815" s="1"/>
      <c r="Z815" s="1"/>
      <c r="AA815" s="1"/>
      <c r="AB815" s="1"/>
      <c r="AC815" s="1"/>
    </row>
    <row r="816">
      <c r="A816" s="1"/>
      <c r="B816" s="1"/>
      <c r="C816" s="1"/>
      <c r="D816" s="1"/>
      <c r="E816" s="1"/>
      <c r="F816" s="2"/>
      <c r="G816" s="2"/>
      <c r="H816" s="1"/>
      <c r="I816" s="1"/>
      <c r="J816" s="1"/>
      <c r="K816" s="3"/>
      <c r="L816" s="1"/>
      <c r="M816" s="1"/>
      <c r="N816" s="1"/>
      <c r="O816" s="1"/>
      <c r="P816" s="1"/>
      <c r="Q816" s="1"/>
      <c r="R816" s="1"/>
      <c r="S816" s="1"/>
      <c r="T816" s="1"/>
      <c r="U816" s="1"/>
      <c r="V816" s="1"/>
      <c r="W816" s="1"/>
      <c r="X816" s="1"/>
      <c r="Y816" s="1"/>
      <c r="Z816" s="1"/>
      <c r="AA816" s="1"/>
      <c r="AB816" s="1"/>
      <c r="AC816" s="1"/>
    </row>
    <row r="817">
      <c r="A817" s="1"/>
      <c r="B817" s="1"/>
      <c r="C817" s="1"/>
      <c r="D817" s="1"/>
      <c r="E817" s="1"/>
      <c r="F817" s="2"/>
      <c r="G817" s="2"/>
      <c r="H817" s="1"/>
      <c r="I817" s="1"/>
      <c r="J817" s="1"/>
      <c r="K817" s="3"/>
      <c r="L817" s="1"/>
      <c r="M817" s="1"/>
      <c r="N817" s="1"/>
      <c r="O817" s="1"/>
      <c r="P817" s="1"/>
      <c r="Q817" s="1"/>
      <c r="R817" s="1"/>
      <c r="S817" s="1"/>
      <c r="T817" s="1"/>
      <c r="U817" s="1"/>
      <c r="V817" s="1"/>
      <c r="W817" s="1"/>
      <c r="X817" s="1"/>
      <c r="Y817" s="1"/>
      <c r="Z817" s="1"/>
      <c r="AA817" s="1"/>
      <c r="AB817" s="1"/>
      <c r="AC817" s="1"/>
    </row>
    <row r="818">
      <c r="A818" s="1"/>
      <c r="B818" s="1"/>
      <c r="C818" s="1"/>
      <c r="D818" s="1"/>
      <c r="E818" s="1"/>
      <c r="F818" s="2"/>
      <c r="G818" s="2"/>
      <c r="H818" s="1"/>
      <c r="I818" s="1"/>
      <c r="J818" s="1"/>
      <c r="K818" s="3"/>
      <c r="L818" s="1"/>
      <c r="M818" s="1"/>
      <c r="N818" s="1"/>
      <c r="O818" s="1"/>
      <c r="P818" s="1"/>
      <c r="Q818" s="1"/>
      <c r="R818" s="1"/>
      <c r="S818" s="1"/>
      <c r="T818" s="1"/>
      <c r="U818" s="1"/>
      <c r="V818" s="1"/>
      <c r="W818" s="1"/>
      <c r="X818" s="1"/>
      <c r="Y818" s="1"/>
      <c r="Z818" s="1"/>
      <c r="AA818" s="1"/>
      <c r="AB818" s="1"/>
      <c r="AC818" s="1"/>
    </row>
    <row r="819">
      <c r="A819" s="1"/>
      <c r="B819" s="1"/>
      <c r="C819" s="1"/>
      <c r="D819" s="1"/>
      <c r="E819" s="1"/>
      <c r="F819" s="2"/>
      <c r="G819" s="2"/>
      <c r="H819" s="1"/>
      <c r="I819" s="1"/>
      <c r="J819" s="1"/>
      <c r="K819" s="3"/>
      <c r="L819" s="1"/>
      <c r="M819" s="1"/>
      <c r="N819" s="1"/>
      <c r="O819" s="1"/>
      <c r="P819" s="1"/>
      <c r="Q819" s="1"/>
      <c r="R819" s="1"/>
      <c r="S819" s="1"/>
      <c r="T819" s="1"/>
      <c r="U819" s="1"/>
      <c r="V819" s="1"/>
      <c r="W819" s="1"/>
      <c r="X819" s="1"/>
      <c r="Y819" s="1"/>
      <c r="Z819" s="1"/>
      <c r="AA819" s="1"/>
      <c r="AB819" s="1"/>
      <c r="AC819" s="1"/>
    </row>
    <row r="820">
      <c r="A820" s="1"/>
      <c r="B820" s="1"/>
      <c r="C820" s="1"/>
      <c r="D820" s="1"/>
      <c r="E820" s="1"/>
      <c r="F820" s="2"/>
      <c r="G820" s="2"/>
      <c r="H820" s="1"/>
      <c r="I820" s="1"/>
      <c r="J820" s="1"/>
      <c r="K820" s="3"/>
      <c r="L820" s="1"/>
      <c r="M820" s="1"/>
      <c r="N820" s="1"/>
      <c r="O820" s="1"/>
      <c r="P820" s="1"/>
      <c r="Q820" s="1"/>
      <c r="R820" s="1"/>
      <c r="S820" s="1"/>
      <c r="T820" s="1"/>
      <c r="U820" s="1"/>
      <c r="V820" s="1"/>
      <c r="W820" s="1"/>
      <c r="X820" s="1"/>
      <c r="Y820" s="1"/>
      <c r="Z820" s="1"/>
      <c r="AA820" s="1"/>
      <c r="AB820" s="1"/>
      <c r="AC820" s="1"/>
    </row>
    <row r="821">
      <c r="A821" s="1"/>
      <c r="B821" s="1"/>
      <c r="C821" s="1"/>
      <c r="D821" s="1"/>
      <c r="E821" s="1"/>
      <c r="F821" s="2"/>
      <c r="G821" s="2"/>
      <c r="H821" s="1"/>
      <c r="I821" s="1"/>
      <c r="J821" s="1"/>
      <c r="K821" s="3"/>
      <c r="L821" s="1"/>
      <c r="M821" s="1"/>
      <c r="N821" s="1"/>
      <c r="O821" s="1"/>
      <c r="P821" s="1"/>
      <c r="Q821" s="1"/>
      <c r="R821" s="1"/>
      <c r="S821" s="1"/>
      <c r="T821" s="1"/>
      <c r="U821" s="1"/>
      <c r="V821" s="1"/>
      <c r="W821" s="1"/>
      <c r="X821" s="1"/>
      <c r="Y821" s="1"/>
      <c r="Z821" s="1"/>
      <c r="AA821" s="1"/>
      <c r="AB821" s="1"/>
      <c r="AC821" s="1"/>
    </row>
    <row r="822">
      <c r="A822" s="1"/>
      <c r="B822" s="1"/>
      <c r="C822" s="1"/>
      <c r="D822" s="1"/>
      <c r="E822" s="1"/>
      <c r="F822" s="2"/>
      <c r="G822" s="2"/>
      <c r="H822" s="1"/>
      <c r="I822" s="1"/>
      <c r="J822" s="1"/>
      <c r="K822" s="3"/>
      <c r="L822" s="1"/>
      <c r="M822" s="1"/>
      <c r="N822" s="1"/>
      <c r="O822" s="1"/>
      <c r="P822" s="1"/>
      <c r="Q822" s="1"/>
      <c r="R822" s="1"/>
      <c r="S822" s="1"/>
      <c r="T822" s="1"/>
      <c r="U822" s="1"/>
      <c r="V822" s="1"/>
      <c r="W822" s="1"/>
      <c r="X822" s="1"/>
      <c r="Y822" s="1"/>
      <c r="Z822" s="1"/>
      <c r="AA822" s="1"/>
      <c r="AB822" s="1"/>
      <c r="AC822" s="1"/>
    </row>
    <row r="823">
      <c r="A823" s="1"/>
      <c r="B823" s="1"/>
      <c r="C823" s="1"/>
      <c r="D823" s="1"/>
      <c r="E823" s="1"/>
      <c r="F823" s="2"/>
      <c r="G823" s="2"/>
      <c r="H823" s="1"/>
      <c r="I823" s="1"/>
      <c r="J823" s="1"/>
      <c r="K823" s="3"/>
      <c r="L823" s="1"/>
      <c r="M823" s="1"/>
      <c r="N823" s="1"/>
      <c r="O823" s="1"/>
      <c r="P823" s="1"/>
      <c r="Q823" s="1"/>
      <c r="R823" s="1"/>
      <c r="S823" s="1"/>
      <c r="T823" s="1"/>
      <c r="U823" s="1"/>
      <c r="V823" s="1"/>
      <c r="W823" s="1"/>
      <c r="X823" s="1"/>
      <c r="Y823" s="1"/>
      <c r="Z823" s="1"/>
      <c r="AA823" s="1"/>
      <c r="AB823" s="1"/>
      <c r="AC823" s="1"/>
    </row>
    <row r="824">
      <c r="A824" s="1"/>
      <c r="B824" s="1"/>
      <c r="C824" s="1"/>
      <c r="D824" s="1"/>
      <c r="E824" s="1"/>
      <c r="F824" s="2"/>
      <c r="G824" s="2"/>
      <c r="H824" s="1"/>
      <c r="I824" s="1"/>
      <c r="J824" s="1"/>
      <c r="K824" s="3"/>
      <c r="L824" s="1"/>
      <c r="M824" s="1"/>
      <c r="N824" s="1"/>
      <c r="O824" s="1"/>
      <c r="P824" s="1"/>
      <c r="Q824" s="1"/>
      <c r="R824" s="1"/>
      <c r="S824" s="1"/>
      <c r="T824" s="1"/>
      <c r="U824" s="1"/>
      <c r="V824" s="1"/>
      <c r="W824" s="1"/>
      <c r="X824" s="1"/>
      <c r="Y824" s="1"/>
      <c r="Z824" s="1"/>
      <c r="AA824" s="1"/>
      <c r="AB824" s="1"/>
      <c r="AC824" s="1"/>
    </row>
    <row r="825">
      <c r="A825" s="1"/>
      <c r="B825" s="1"/>
      <c r="C825" s="1"/>
      <c r="D825" s="1"/>
      <c r="E825" s="1"/>
      <c r="F825" s="2"/>
      <c r="G825" s="2"/>
      <c r="H825" s="1"/>
      <c r="I825" s="1"/>
      <c r="J825" s="1"/>
      <c r="K825" s="3"/>
      <c r="L825" s="1"/>
      <c r="M825" s="1"/>
      <c r="N825" s="1"/>
      <c r="O825" s="1"/>
      <c r="P825" s="1"/>
      <c r="Q825" s="1"/>
      <c r="R825" s="1"/>
      <c r="S825" s="1"/>
      <c r="T825" s="1"/>
      <c r="U825" s="1"/>
      <c r="V825" s="1"/>
      <c r="W825" s="1"/>
      <c r="X825" s="1"/>
      <c r="Y825" s="1"/>
      <c r="Z825" s="1"/>
      <c r="AA825" s="1"/>
      <c r="AB825" s="1"/>
      <c r="AC825" s="1"/>
    </row>
    <row r="826">
      <c r="A826" s="1"/>
      <c r="B826" s="1"/>
      <c r="C826" s="1"/>
      <c r="D826" s="1"/>
      <c r="E826" s="1"/>
      <c r="F826" s="2"/>
      <c r="G826" s="2"/>
      <c r="H826" s="1"/>
      <c r="I826" s="1"/>
      <c r="J826" s="1"/>
      <c r="K826" s="3"/>
      <c r="L826" s="1"/>
      <c r="M826" s="1"/>
      <c r="N826" s="1"/>
      <c r="O826" s="1"/>
      <c r="P826" s="1"/>
      <c r="Q826" s="1"/>
      <c r="R826" s="1"/>
      <c r="S826" s="1"/>
      <c r="T826" s="1"/>
      <c r="U826" s="1"/>
      <c r="V826" s="1"/>
      <c r="W826" s="1"/>
      <c r="X826" s="1"/>
      <c r="Y826" s="1"/>
      <c r="Z826" s="1"/>
      <c r="AA826" s="1"/>
      <c r="AB826" s="1"/>
      <c r="AC826" s="1"/>
    </row>
    <row r="827">
      <c r="A827" s="1"/>
      <c r="B827" s="1"/>
      <c r="C827" s="1"/>
      <c r="D827" s="1"/>
      <c r="E827" s="1"/>
      <c r="F827" s="2"/>
      <c r="G827" s="2"/>
      <c r="H827" s="1"/>
      <c r="I827" s="1"/>
      <c r="J827" s="1"/>
      <c r="K827" s="3"/>
      <c r="L827" s="1"/>
      <c r="M827" s="1"/>
      <c r="N827" s="1"/>
      <c r="O827" s="1"/>
      <c r="P827" s="1"/>
      <c r="Q827" s="1"/>
      <c r="R827" s="1"/>
      <c r="S827" s="1"/>
      <c r="T827" s="1"/>
      <c r="U827" s="1"/>
      <c r="V827" s="1"/>
      <c r="W827" s="1"/>
      <c r="X827" s="1"/>
      <c r="Y827" s="1"/>
      <c r="Z827" s="1"/>
      <c r="AA827" s="1"/>
      <c r="AB827" s="1"/>
      <c r="AC827" s="1"/>
    </row>
    <row r="828">
      <c r="A828" s="1"/>
      <c r="B828" s="1"/>
      <c r="C828" s="1"/>
      <c r="D828" s="1"/>
      <c r="E828" s="1"/>
      <c r="F828" s="2"/>
      <c r="G828" s="2"/>
      <c r="H828" s="1"/>
      <c r="I828" s="1"/>
      <c r="J828" s="1"/>
      <c r="K828" s="3"/>
      <c r="L828" s="1"/>
      <c r="M828" s="1"/>
      <c r="N828" s="1"/>
      <c r="O828" s="1"/>
      <c r="P828" s="1"/>
      <c r="Q828" s="1"/>
      <c r="R828" s="1"/>
      <c r="S828" s="1"/>
      <c r="T828" s="1"/>
      <c r="U828" s="1"/>
      <c r="V828" s="1"/>
      <c r="W828" s="1"/>
      <c r="X828" s="1"/>
      <c r="Y828" s="1"/>
      <c r="Z828" s="1"/>
      <c r="AA828" s="1"/>
      <c r="AB828" s="1"/>
      <c r="AC828" s="1"/>
    </row>
    <row r="829">
      <c r="A829" s="1"/>
      <c r="B829" s="1"/>
      <c r="C829" s="1"/>
      <c r="D829" s="1"/>
      <c r="E829" s="1"/>
      <c r="F829" s="2"/>
      <c r="G829" s="2"/>
      <c r="H829" s="1"/>
      <c r="I829" s="1"/>
      <c r="J829" s="1"/>
      <c r="K829" s="3"/>
      <c r="L829" s="1"/>
      <c r="M829" s="1"/>
      <c r="N829" s="1"/>
      <c r="O829" s="1"/>
      <c r="P829" s="1"/>
      <c r="Q829" s="1"/>
      <c r="R829" s="1"/>
      <c r="S829" s="1"/>
      <c r="T829" s="1"/>
      <c r="U829" s="1"/>
      <c r="V829" s="1"/>
      <c r="W829" s="1"/>
      <c r="X829" s="1"/>
      <c r="Y829" s="1"/>
      <c r="Z829" s="1"/>
      <c r="AA829" s="1"/>
      <c r="AB829" s="1"/>
      <c r="AC829" s="1"/>
    </row>
    <row r="830">
      <c r="A830" s="1"/>
      <c r="B830" s="1"/>
      <c r="C830" s="1"/>
      <c r="D830" s="1"/>
      <c r="E830" s="1"/>
      <c r="F830" s="2"/>
      <c r="G830" s="2"/>
      <c r="H830" s="1"/>
      <c r="I830" s="1"/>
      <c r="J830" s="1"/>
      <c r="K830" s="3"/>
      <c r="L830" s="1"/>
      <c r="M830" s="1"/>
      <c r="N830" s="1"/>
      <c r="O830" s="1"/>
      <c r="P830" s="1"/>
      <c r="Q830" s="1"/>
      <c r="R830" s="1"/>
      <c r="S830" s="1"/>
      <c r="T830" s="1"/>
      <c r="U830" s="1"/>
      <c r="V830" s="1"/>
      <c r="W830" s="1"/>
      <c r="X830" s="1"/>
      <c r="Y830" s="1"/>
      <c r="Z830" s="1"/>
      <c r="AA830" s="1"/>
      <c r="AB830" s="1"/>
      <c r="AC830" s="1"/>
    </row>
    <row r="831">
      <c r="A831" s="1"/>
      <c r="B831" s="1"/>
      <c r="C831" s="1"/>
      <c r="D831" s="1"/>
      <c r="E831" s="1"/>
      <c r="F831" s="2"/>
      <c r="G831" s="2"/>
      <c r="H831" s="1"/>
      <c r="I831" s="1"/>
      <c r="J831" s="1"/>
      <c r="K831" s="3"/>
      <c r="L831" s="1"/>
      <c r="M831" s="1"/>
      <c r="N831" s="1"/>
      <c r="O831" s="1"/>
      <c r="P831" s="1"/>
      <c r="Q831" s="1"/>
      <c r="R831" s="1"/>
      <c r="S831" s="1"/>
      <c r="T831" s="1"/>
      <c r="U831" s="1"/>
      <c r="V831" s="1"/>
      <c r="W831" s="1"/>
      <c r="X831" s="1"/>
      <c r="Y831" s="1"/>
      <c r="Z831" s="1"/>
      <c r="AA831" s="1"/>
      <c r="AB831" s="1"/>
      <c r="AC831" s="1"/>
    </row>
    <row r="832">
      <c r="A832" s="1"/>
      <c r="B832" s="1"/>
      <c r="C832" s="1"/>
      <c r="D832" s="1"/>
      <c r="E832" s="1"/>
      <c r="F832" s="2"/>
      <c r="G832" s="2"/>
      <c r="H832" s="1"/>
      <c r="I832" s="1"/>
      <c r="J832" s="1"/>
      <c r="K832" s="3"/>
      <c r="L832" s="1"/>
      <c r="M832" s="1"/>
      <c r="N832" s="1"/>
      <c r="O832" s="1"/>
      <c r="P832" s="1"/>
      <c r="Q832" s="1"/>
      <c r="R832" s="1"/>
      <c r="S832" s="1"/>
      <c r="T832" s="1"/>
      <c r="U832" s="1"/>
      <c r="V832" s="1"/>
      <c r="W832" s="1"/>
      <c r="X832" s="1"/>
      <c r="Y832" s="1"/>
      <c r="Z832" s="1"/>
      <c r="AA832" s="1"/>
      <c r="AB832" s="1"/>
      <c r="AC832" s="1"/>
    </row>
    <row r="833">
      <c r="A833" s="1"/>
      <c r="B833" s="1"/>
      <c r="C833" s="1"/>
      <c r="D833" s="1"/>
      <c r="E833" s="1"/>
      <c r="F833" s="2"/>
      <c r="G833" s="2"/>
      <c r="H833" s="1"/>
      <c r="I833" s="1"/>
      <c r="J833" s="1"/>
      <c r="K833" s="3"/>
      <c r="L833" s="1"/>
      <c r="M833" s="1"/>
      <c r="N833" s="1"/>
      <c r="O833" s="1"/>
      <c r="P833" s="1"/>
      <c r="Q833" s="1"/>
      <c r="R833" s="1"/>
      <c r="S833" s="1"/>
      <c r="T833" s="1"/>
      <c r="U833" s="1"/>
      <c r="V833" s="1"/>
      <c r="W833" s="1"/>
      <c r="X833" s="1"/>
      <c r="Y833" s="1"/>
      <c r="Z833" s="1"/>
      <c r="AA833" s="1"/>
      <c r="AB833" s="1"/>
      <c r="AC833" s="1"/>
    </row>
    <row r="834">
      <c r="A834" s="1"/>
      <c r="B834" s="1"/>
      <c r="C834" s="1"/>
      <c r="D834" s="1"/>
      <c r="E834" s="1"/>
      <c r="F834" s="2"/>
      <c r="G834" s="2"/>
      <c r="H834" s="1"/>
      <c r="I834" s="1"/>
      <c r="J834" s="1"/>
      <c r="K834" s="3"/>
      <c r="L834" s="1"/>
      <c r="M834" s="1"/>
      <c r="N834" s="1"/>
      <c r="O834" s="1"/>
      <c r="P834" s="1"/>
      <c r="Q834" s="1"/>
      <c r="R834" s="1"/>
      <c r="S834" s="1"/>
      <c r="T834" s="1"/>
      <c r="U834" s="1"/>
      <c r="V834" s="1"/>
      <c r="W834" s="1"/>
      <c r="X834" s="1"/>
      <c r="Y834" s="1"/>
      <c r="Z834" s="1"/>
      <c r="AA834" s="1"/>
      <c r="AB834" s="1"/>
      <c r="AC834" s="1"/>
    </row>
    <row r="835">
      <c r="A835" s="1"/>
      <c r="B835" s="1"/>
      <c r="C835" s="1"/>
      <c r="D835" s="1"/>
      <c r="E835" s="1"/>
      <c r="F835" s="2"/>
      <c r="G835" s="2"/>
      <c r="H835" s="1"/>
      <c r="I835" s="1"/>
      <c r="J835" s="1"/>
      <c r="K835" s="3"/>
      <c r="L835" s="1"/>
      <c r="M835" s="1"/>
      <c r="N835" s="1"/>
      <c r="O835" s="1"/>
      <c r="P835" s="1"/>
      <c r="Q835" s="1"/>
      <c r="R835" s="1"/>
      <c r="S835" s="1"/>
      <c r="T835" s="1"/>
      <c r="U835" s="1"/>
      <c r="V835" s="1"/>
      <c r="W835" s="1"/>
      <c r="X835" s="1"/>
      <c r="Y835" s="1"/>
      <c r="Z835" s="1"/>
      <c r="AA835" s="1"/>
      <c r="AB835" s="1"/>
      <c r="AC835" s="1"/>
    </row>
    <row r="836">
      <c r="A836" s="1"/>
      <c r="B836" s="1"/>
      <c r="C836" s="1"/>
      <c r="D836" s="1"/>
      <c r="E836" s="1"/>
      <c r="F836" s="2"/>
      <c r="G836" s="2"/>
      <c r="H836" s="1"/>
      <c r="I836" s="1"/>
      <c r="J836" s="1"/>
      <c r="K836" s="3"/>
      <c r="L836" s="1"/>
      <c r="M836" s="1"/>
      <c r="N836" s="1"/>
      <c r="O836" s="1"/>
      <c r="P836" s="1"/>
      <c r="Q836" s="1"/>
      <c r="R836" s="1"/>
      <c r="S836" s="1"/>
      <c r="T836" s="1"/>
      <c r="U836" s="1"/>
      <c r="V836" s="1"/>
      <c r="W836" s="1"/>
      <c r="X836" s="1"/>
      <c r="Y836" s="1"/>
      <c r="Z836" s="1"/>
      <c r="AA836" s="1"/>
      <c r="AB836" s="1"/>
      <c r="AC836" s="1"/>
    </row>
    <row r="837">
      <c r="A837" s="1"/>
      <c r="B837" s="1"/>
      <c r="C837" s="1"/>
      <c r="D837" s="1"/>
      <c r="E837" s="1"/>
      <c r="F837" s="2"/>
      <c r="G837" s="2"/>
      <c r="H837" s="1"/>
      <c r="I837" s="1"/>
      <c r="J837" s="1"/>
      <c r="K837" s="3"/>
      <c r="L837" s="1"/>
      <c r="M837" s="1"/>
      <c r="N837" s="1"/>
      <c r="O837" s="1"/>
      <c r="P837" s="1"/>
      <c r="Q837" s="1"/>
      <c r="R837" s="1"/>
      <c r="S837" s="1"/>
      <c r="T837" s="1"/>
      <c r="U837" s="1"/>
      <c r="V837" s="1"/>
      <c r="W837" s="1"/>
      <c r="X837" s="1"/>
      <c r="Y837" s="1"/>
      <c r="Z837" s="1"/>
      <c r="AA837" s="1"/>
      <c r="AB837" s="1"/>
      <c r="AC837" s="1"/>
    </row>
    <row r="838">
      <c r="A838" s="1"/>
      <c r="B838" s="1"/>
      <c r="C838" s="1"/>
      <c r="D838" s="1"/>
      <c r="E838" s="1"/>
      <c r="F838" s="2"/>
      <c r="G838" s="2"/>
      <c r="H838" s="1"/>
      <c r="I838" s="1"/>
      <c r="J838" s="1"/>
      <c r="K838" s="3"/>
      <c r="L838" s="1"/>
      <c r="M838" s="1"/>
      <c r="N838" s="1"/>
      <c r="O838" s="1"/>
      <c r="P838" s="1"/>
      <c r="Q838" s="1"/>
      <c r="R838" s="1"/>
      <c r="S838" s="1"/>
      <c r="T838" s="1"/>
      <c r="U838" s="1"/>
      <c r="V838" s="1"/>
      <c r="W838" s="1"/>
      <c r="X838" s="1"/>
      <c r="Y838" s="1"/>
      <c r="Z838" s="1"/>
      <c r="AA838" s="1"/>
      <c r="AB838" s="1"/>
      <c r="AC838" s="1"/>
    </row>
    <row r="839">
      <c r="A839" s="1"/>
      <c r="B839" s="1"/>
      <c r="C839" s="1"/>
      <c r="D839" s="1"/>
      <c r="E839" s="1"/>
      <c r="F839" s="2"/>
      <c r="G839" s="2"/>
      <c r="H839" s="1"/>
      <c r="I839" s="1"/>
      <c r="J839" s="1"/>
      <c r="K839" s="3"/>
      <c r="L839" s="1"/>
      <c r="M839" s="1"/>
      <c r="N839" s="1"/>
      <c r="O839" s="1"/>
      <c r="P839" s="1"/>
      <c r="Q839" s="1"/>
      <c r="R839" s="1"/>
      <c r="S839" s="1"/>
      <c r="T839" s="1"/>
      <c r="U839" s="1"/>
      <c r="V839" s="1"/>
      <c r="W839" s="1"/>
      <c r="X839" s="1"/>
      <c r="Y839" s="1"/>
      <c r="Z839" s="1"/>
      <c r="AA839" s="1"/>
      <c r="AB839" s="1"/>
      <c r="AC839" s="1"/>
    </row>
    <row r="840">
      <c r="A840" s="1"/>
      <c r="B840" s="1"/>
      <c r="C840" s="1"/>
      <c r="D840" s="1"/>
      <c r="E840" s="1"/>
      <c r="F840" s="2"/>
      <c r="G840" s="2"/>
      <c r="H840" s="1"/>
      <c r="I840" s="1"/>
      <c r="J840" s="1"/>
      <c r="K840" s="3"/>
      <c r="L840" s="1"/>
      <c r="M840" s="1"/>
      <c r="N840" s="1"/>
      <c r="O840" s="1"/>
      <c r="P840" s="1"/>
      <c r="Q840" s="1"/>
      <c r="R840" s="1"/>
      <c r="S840" s="1"/>
      <c r="T840" s="1"/>
      <c r="U840" s="1"/>
      <c r="V840" s="1"/>
      <c r="W840" s="1"/>
      <c r="X840" s="1"/>
      <c r="Y840" s="1"/>
      <c r="Z840" s="1"/>
      <c r="AA840" s="1"/>
      <c r="AB840" s="1"/>
      <c r="AC840" s="1"/>
    </row>
    <row r="841">
      <c r="A841" s="1"/>
      <c r="B841" s="1"/>
      <c r="C841" s="1"/>
      <c r="D841" s="1"/>
      <c r="E841" s="1"/>
      <c r="F841" s="2"/>
      <c r="G841" s="2"/>
      <c r="H841" s="1"/>
      <c r="I841" s="1"/>
      <c r="J841" s="1"/>
      <c r="K841" s="3"/>
      <c r="L841" s="1"/>
      <c r="M841" s="1"/>
      <c r="N841" s="1"/>
      <c r="O841" s="1"/>
      <c r="P841" s="1"/>
      <c r="Q841" s="1"/>
      <c r="R841" s="1"/>
      <c r="S841" s="1"/>
      <c r="T841" s="1"/>
      <c r="U841" s="1"/>
      <c r="V841" s="1"/>
      <c r="W841" s="1"/>
      <c r="X841" s="1"/>
      <c r="Y841" s="1"/>
      <c r="Z841" s="1"/>
      <c r="AA841" s="1"/>
      <c r="AB841" s="1"/>
      <c r="AC841" s="1"/>
    </row>
    <row r="842">
      <c r="A842" s="1"/>
      <c r="B842" s="1"/>
      <c r="C842" s="1"/>
      <c r="D842" s="1"/>
      <c r="E842" s="1"/>
      <c r="F842" s="2"/>
      <c r="G842" s="2"/>
      <c r="H842" s="1"/>
      <c r="I842" s="1"/>
      <c r="J842" s="1"/>
      <c r="K842" s="3"/>
      <c r="L842" s="1"/>
      <c r="M842" s="1"/>
      <c r="N842" s="1"/>
      <c r="O842" s="1"/>
      <c r="P842" s="1"/>
      <c r="Q842" s="1"/>
      <c r="R842" s="1"/>
      <c r="S842" s="1"/>
      <c r="T842" s="1"/>
      <c r="U842" s="1"/>
      <c r="V842" s="1"/>
      <c r="W842" s="1"/>
      <c r="X842" s="1"/>
      <c r="Y842" s="1"/>
      <c r="Z842" s="1"/>
      <c r="AA842" s="1"/>
      <c r="AB842" s="1"/>
      <c r="AC842" s="1"/>
    </row>
    <row r="843">
      <c r="A843" s="1"/>
      <c r="B843" s="1"/>
      <c r="C843" s="1"/>
      <c r="D843" s="1"/>
      <c r="E843" s="1"/>
      <c r="F843" s="2"/>
      <c r="G843" s="2"/>
      <c r="H843" s="1"/>
      <c r="I843" s="1"/>
      <c r="J843" s="1"/>
      <c r="K843" s="3"/>
      <c r="L843" s="1"/>
      <c r="M843" s="1"/>
      <c r="N843" s="1"/>
      <c r="O843" s="1"/>
      <c r="P843" s="1"/>
      <c r="Q843" s="1"/>
      <c r="R843" s="1"/>
      <c r="S843" s="1"/>
      <c r="T843" s="1"/>
      <c r="U843" s="1"/>
      <c r="V843" s="1"/>
      <c r="W843" s="1"/>
      <c r="X843" s="1"/>
      <c r="Y843" s="1"/>
      <c r="Z843" s="1"/>
      <c r="AA843" s="1"/>
      <c r="AB843" s="1"/>
      <c r="AC843" s="1"/>
    </row>
    <row r="844">
      <c r="A844" s="1"/>
      <c r="B844" s="1"/>
      <c r="C844" s="1"/>
      <c r="D844" s="1"/>
      <c r="E844" s="1"/>
      <c r="F844" s="2"/>
      <c r="G844" s="2"/>
      <c r="H844" s="1"/>
      <c r="I844" s="1"/>
      <c r="J844" s="1"/>
      <c r="K844" s="3"/>
      <c r="L844" s="1"/>
      <c r="M844" s="1"/>
      <c r="N844" s="1"/>
      <c r="O844" s="1"/>
      <c r="P844" s="1"/>
      <c r="Q844" s="1"/>
      <c r="R844" s="1"/>
      <c r="S844" s="1"/>
      <c r="T844" s="1"/>
      <c r="U844" s="1"/>
      <c r="V844" s="1"/>
      <c r="W844" s="1"/>
      <c r="X844" s="1"/>
      <c r="Y844" s="1"/>
      <c r="Z844" s="1"/>
      <c r="AA844" s="1"/>
      <c r="AB844" s="1"/>
      <c r="AC844" s="1"/>
    </row>
    <row r="845">
      <c r="A845" s="1"/>
      <c r="B845" s="1"/>
      <c r="C845" s="1"/>
      <c r="D845" s="1"/>
      <c r="E845" s="1"/>
      <c r="F845" s="2"/>
      <c r="G845" s="2"/>
      <c r="H845" s="1"/>
      <c r="I845" s="1"/>
      <c r="J845" s="1"/>
      <c r="K845" s="3"/>
      <c r="L845" s="1"/>
      <c r="M845" s="1"/>
      <c r="N845" s="1"/>
      <c r="O845" s="1"/>
      <c r="P845" s="1"/>
      <c r="Q845" s="1"/>
      <c r="R845" s="1"/>
      <c r="S845" s="1"/>
      <c r="T845" s="1"/>
      <c r="U845" s="1"/>
      <c r="V845" s="1"/>
      <c r="W845" s="1"/>
      <c r="X845" s="1"/>
      <c r="Y845" s="1"/>
      <c r="Z845" s="1"/>
      <c r="AA845" s="1"/>
      <c r="AB845" s="1"/>
      <c r="AC845" s="1"/>
    </row>
    <row r="846">
      <c r="A846" s="1"/>
      <c r="B846" s="1"/>
      <c r="C846" s="1"/>
      <c r="D846" s="1"/>
      <c r="E846" s="1"/>
      <c r="F846" s="2"/>
      <c r="G846" s="2"/>
      <c r="H846" s="1"/>
      <c r="I846" s="1"/>
      <c r="J846" s="1"/>
      <c r="K846" s="3"/>
      <c r="L846" s="1"/>
      <c r="M846" s="1"/>
      <c r="N846" s="1"/>
      <c r="O846" s="1"/>
      <c r="P846" s="1"/>
      <c r="Q846" s="1"/>
      <c r="R846" s="1"/>
      <c r="S846" s="1"/>
      <c r="T846" s="1"/>
      <c r="U846" s="1"/>
      <c r="V846" s="1"/>
      <c r="W846" s="1"/>
      <c r="X846" s="1"/>
      <c r="Y846" s="1"/>
      <c r="Z846" s="1"/>
      <c r="AA846" s="1"/>
      <c r="AB846" s="1"/>
      <c r="AC846" s="1"/>
    </row>
    <row r="847">
      <c r="A847" s="1"/>
      <c r="B847" s="1"/>
      <c r="C847" s="1"/>
      <c r="D847" s="1"/>
      <c r="E847" s="1"/>
      <c r="F847" s="2"/>
      <c r="G847" s="2"/>
      <c r="H847" s="1"/>
      <c r="I847" s="1"/>
      <c r="J847" s="1"/>
      <c r="K847" s="3"/>
      <c r="L847" s="1"/>
      <c r="M847" s="1"/>
      <c r="N847" s="1"/>
      <c r="O847" s="1"/>
      <c r="P847" s="1"/>
      <c r="Q847" s="1"/>
      <c r="R847" s="1"/>
      <c r="S847" s="1"/>
      <c r="T847" s="1"/>
      <c r="U847" s="1"/>
      <c r="V847" s="1"/>
      <c r="W847" s="1"/>
      <c r="X847" s="1"/>
      <c r="Y847" s="1"/>
      <c r="Z847" s="1"/>
      <c r="AA847" s="1"/>
      <c r="AB847" s="1"/>
      <c r="AC847" s="1"/>
    </row>
    <row r="848">
      <c r="A848" s="1"/>
      <c r="B848" s="1"/>
      <c r="C848" s="1"/>
      <c r="D848" s="1"/>
      <c r="E848" s="1"/>
      <c r="F848" s="2"/>
      <c r="G848" s="2"/>
      <c r="H848" s="1"/>
      <c r="I848" s="1"/>
      <c r="J848" s="1"/>
      <c r="K848" s="3"/>
      <c r="L848" s="1"/>
      <c r="M848" s="1"/>
      <c r="N848" s="1"/>
      <c r="O848" s="1"/>
      <c r="P848" s="1"/>
      <c r="Q848" s="1"/>
      <c r="R848" s="1"/>
      <c r="S848" s="1"/>
      <c r="T848" s="1"/>
      <c r="U848" s="1"/>
      <c r="V848" s="1"/>
      <c r="W848" s="1"/>
      <c r="X848" s="1"/>
      <c r="Y848" s="1"/>
      <c r="Z848" s="1"/>
      <c r="AA848" s="1"/>
      <c r="AB848" s="1"/>
      <c r="AC848" s="1"/>
    </row>
    <row r="849">
      <c r="A849" s="1"/>
      <c r="B849" s="1"/>
      <c r="C849" s="1"/>
      <c r="D849" s="1"/>
      <c r="E849" s="1"/>
      <c r="F849" s="2"/>
      <c r="G849" s="2"/>
      <c r="H849" s="1"/>
      <c r="I849" s="1"/>
      <c r="J849" s="1"/>
      <c r="K849" s="3"/>
      <c r="L849" s="1"/>
      <c r="M849" s="1"/>
      <c r="N849" s="1"/>
      <c r="O849" s="1"/>
      <c r="P849" s="1"/>
      <c r="Q849" s="1"/>
      <c r="R849" s="1"/>
      <c r="S849" s="1"/>
      <c r="T849" s="1"/>
      <c r="U849" s="1"/>
      <c r="V849" s="1"/>
      <c r="W849" s="1"/>
      <c r="X849" s="1"/>
      <c r="Y849" s="1"/>
      <c r="Z849" s="1"/>
      <c r="AA849" s="1"/>
      <c r="AB849" s="1"/>
      <c r="AC849" s="1"/>
    </row>
    <row r="850">
      <c r="A850" s="1"/>
      <c r="B850" s="1"/>
      <c r="C850" s="1"/>
      <c r="D850" s="1"/>
      <c r="E850" s="1"/>
      <c r="F850" s="2"/>
      <c r="G850" s="2"/>
      <c r="H850" s="1"/>
      <c r="I850" s="1"/>
      <c r="J850" s="1"/>
      <c r="K850" s="3"/>
      <c r="L850" s="1"/>
      <c r="M850" s="1"/>
      <c r="N850" s="1"/>
      <c r="O850" s="1"/>
      <c r="P850" s="1"/>
      <c r="Q850" s="1"/>
      <c r="R850" s="1"/>
      <c r="S850" s="1"/>
      <c r="T850" s="1"/>
      <c r="U850" s="1"/>
      <c r="V850" s="1"/>
      <c r="W850" s="1"/>
      <c r="X850" s="1"/>
      <c r="Y850" s="1"/>
      <c r="Z850" s="1"/>
      <c r="AA850" s="1"/>
      <c r="AB850" s="1"/>
      <c r="AC850" s="1"/>
    </row>
    <row r="851">
      <c r="A851" s="1"/>
      <c r="B851" s="1"/>
      <c r="C851" s="1"/>
      <c r="D851" s="1"/>
      <c r="E851" s="1"/>
      <c r="F851" s="2"/>
      <c r="G851" s="2"/>
      <c r="H851" s="1"/>
      <c r="I851" s="1"/>
      <c r="J851" s="1"/>
      <c r="K851" s="3"/>
      <c r="L851" s="1"/>
      <c r="M851" s="1"/>
      <c r="N851" s="1"/>
      <c r="O851" s="1"/>
      <c r="P851" s="1"/>
      <c r="Q851" s="1"/>
      <c r="R851" s="1"/>
      <c r="S851" s="1"/>
      <c r="T851" s="1"/>
      <c r="U851" s="1"/>
      <c r="V851" s="1"/>
      <c r="W851" s="1"/>
      <c r="X851" s="1"/>
      <c r="Y851" s="1"/>
      <c r="Z851" s="1"/>
      <c r="AA851" s="1"/>
      <c r="AB851" s="1"/>
      <c r="AC851" s="1"/>
    </row>
    <row r="852">
      <c r="A852" s="1"/>
      <c r="B852" s="1"/>
      <c r="C852" s="1"/>
      <c r="D852" s="1"/>
      <c r="E852" s="1"/>
      <c r="F852" s="2"/>
      <c r="G852" s="2"/>
      <c r="H852" s="1"/>
      <c r="I852" s="1"/>
      <c r="J852" s="1"/>
      <c r="K852" s="3"/>
      <c r="L852" s="1"/>
      <c r="M852" s="1"/>
      <c r="N852" s="1"/>
      <c r="O852" s="1"/>
      <c r="P852" s="1"/>
      <c r="Q852" s="1"/>
      <c r="R852" s="1"/>
      <c r="S852" s="1"/>
      <c r="T852" s="1"/>
      <c r="U852" s="1"/>
      <c r="V852" s="1"/>
      <c r="W852" s="1"/>
      <c r="X852" s="1"/>
      <c r="Y852" s="1"/>
      <c r="Z852" s="1"/>
      <c r="AA852" s="1"/>
      <c r="AB852" s="1"/>
      <c r="AC852" s="1"/>
    </row>
    <row r="853">
      <c r="A853" s="1"/>
      <c r="B853" s="1"/>
      <c r="C853" s="1"/>
      <c r="D853" s="1"/>
      <c r="E853" s="1"/>
      <c r="F853" s="2"/>
      <c r="G853" s="2"/>
      <c r="H853" s="1"/>
      <c r="I853" s="1"/>
      <c r="J853" s="1"/>
      <c r="K853" s="3"/>
      <c r="L853" s="1"/>
      <c r="M853" s="1"/>
      <c r="N853" s="1"/>
      <c r="O853" s="1"/>
      <c r="P853" s="1"/>
      <c r="Q853" s="1"/>
      <c r="R853" s="1"/>
      <c r="S853" s="1"/>
      <c r="T853" s="1"/>
      <c r="U853" s="1"/>
      <c r="V853" s="1"/>
      <c r="W853" s="1"/>
      <c r="X853" s="1"/>
      <c r="Y853" s="1"/>
      <c r="Z853" s="1"/>
      <c r="AA853" s="1"/>
      <c r="AB853" s="1"/>
      <c r="AC853" s="1"/>
    </row>
    <row r="854">
      <c r="A854" s="1"/>
      <c r="B854" s="1"/>
      <c r="C854" s="1"/>
      <c r="D854" s="1"/>
      <c r="E854" s="1"/>
      <c r="F854" s="2"/>
      <c r="G854" s="2"/>
      <c r="H854" s="1"/>
      <c r="I854" s="1"/>
      <c r="J854" s="1"/>
      <c r="K854" s="3"/>
      <c r="L854" s="1"/>
      <c r="M854" s="1"/>
      <c r="N854" s="1"/>
      <c r="O854" s="1"/>
      <c r="P854" s="1"/>
      <c r="Q854" s="1"/>
      <c r="R854" s="1"/>
      <c r="S854" s="1"/>
      <c r="T854" s="1"/>
      <c r="U854" s="1"/>
      <c r="V854" s="1"/>
      <c r="W854" s="1"/>
      <c r="X854" s="1"/>
      <c r="Y854" s="1"/>
      <c r="Z854" s="1"/>
      <c r="AA854" s="1"/>
      <c r="AB854" s="1"/>
      <c r="AC854" s="1"/>
    </row>
    <row r="855">
      <c r="A855" s="1"/>
      <c r="B855" s="1"/>
      <c r="C855" s="1"/>
      <c r="D855" s="1"/>
      <c r="E855" s="1"/>
      <c r="F855" s="2"/>
      <c r="G855" s="2"/>
      <c r="H855" s="1"/>
      <c r="I855" s="1"/>
      <c r="J855" s="1"/>
      <c r="K855" s="3"/>
      <c r="L855" s="1"/>
      <c r="M855" s="1"/>
      <c r="N855" s="1"/>
      <c r="O855" s="1"/>
      <c r="P855" s="1"/>
      <c r="Q855" s="1"/>
      <c r="R855" s="1"/>
      <c r="S855" s="1"/>
      <c r="T855" s="1"/>
      <c r="U855" s="1"/>
      <c r="V855" s="1"/>
      <c r="W855" s="1"/>
      <c r="X855" s="1"/>
      <c r="Y855" s="1"/>
      <c r="Z855" s="1"/>
      <c r="AA855" s="1"/>
      <c r="AB855" s="1"/>
      <c r="AC855" s="1"/>
    </row>
    <row r="856">
      <c r="A856" s="1"/>
      <c r="B856" s="1"/>
      <c r="C856" s="1"/>
      <c r="D856" s="1"/>
      <c r="E856" s="1"/>
      <c r="F856" s="2"/>
      <c r="G856" s="2"/>
      <c r="H856" s="1"/>
      <c r="I856" s="1"/>
      <c r="J856" s="1"/>
      <c r="K856" s="3"/>
      <c r="L856" s="1"/>
      <c r="M856" s="1"/>
      <c r="N856" s="1"/>
      <c r="O856" s="1"/>
      <c r="P856" s="1"/>
      <c r="Q856" s="1"/>
      <c r="R856" s="1"/>
      <c r="S856" s="1"/>
      <c r="T856" s="1"/>
      <c r="U856" s="1"/>
      <c r="V856" s="1"/>
      <c r="W856" s="1"/>
      <c r="X856" s="1"/>
      <c r="Y856" s="1"/>
      <c r="Z856" s="1"/>
      <c r="AA856" s="1"/>
      <c r="AB856" s="1"/>
      <c r="AC856" s="1"/>
    </row>
    <row r="857">
      <c r="A857" s="1"/>
      <c r="B857" s="1"/>
      <c r="C857" s="1"/>
      <c r="D857" s="1"/>
      <c r="E857" s="1"/>
      <c r="F857" s="2"/>
      <c r="G857" s="2"/>
      <c r="H857" s="1"/>
      <c r="I857" s="1"/>
      <c r="J857" s="1"/>
      <c r="K857" s="3"/>
      <c r="L857" s="1"/>
      <c r="M857" s="1"/>
      <c r="N857" s="1"/>
      <c r="O857" s="1"/>
      <c r="P857" s="1"/>
      <c r="Q857" s="1"/>
      <c r="R857" s="1"/>
      <c r="S857" s="1"/>
      <c r="T857" s="1"/>
      <c r="U857" s="1"/>
      <c r="V857" s="1"/>
      <c r="W857" s="1"/>
      <c r="X857" s="1"/>
      <c r="Y857" s="1"/>
      <c r="Z857" s="1"/>
      <c r="AA857" s="1"/>
      <c r="AB857" s="1"/>
      <c r="AC857" s="1"/>
    </row>
    <row r="858">
      <c r="A858" s="1"/>
      <c r="B858" s="1"/>
      <c r="C858" s="1"/>
      <c r="D858" s="1"/>
      <c r="E858" s="1"/>
      <c r="F858" s="2"/>
      <c r="G858" s="2"/>
      <c r="H858" s="1"/>
      <c r="I858" s="1"/>
      <c r="J858" s="1"/>
      <c r="K858" s="3"/>
      <c r="L858" s="1"/>
      <c r="M858" s="1"/>
      <c r="N858" s="1"/>
      <c r="O858" s="1"/>
      <c r="P858" s="1"/>
      <c r="Q858" s="1"/>
      <c r="R858" s="1"/>
      <c r="S858" s="1"/>
      <c r="T858" s="1"/>
      <c r="U858" s="1"/>
      <c r="V858" s="1"/>
      <c r="W858" s="1"/>
      <c r="X858" s="1"/>
      <c r="Y858" s="1"/>
      <c r="Z858" s="1"/>
      <c r="AA858" s="1"/>
      <c r="AB858" s="1"/>
      <c r="AC858" s="1"/>
    </row>
    <row r="859">
      <c r="A859" s="1"/>
      <c r="B859" s="1"/>
      <c r="C859" s="1"/>
      <c r="D859" s="1"/>
      <c r="E859" s="1"/>
      <c r="F859" s="2"/>
      <c r="G859" s="2"/>
      <c r="H859" s="1"/>
      <c r="I859" s="1"/>
      <c r="J859" s="1"/>
      <c r="K859" s="3"/>
      <c r="L859" s="1"/>
      <c r="M859" s="1"/>
      <c r="N859" s="1"/>
      <c r="O859" s="1"/>
      <c r="P859" s="1"/>
      <c r="Q859" s="1"/>
      <c r="R859" s="1"/>
      <c r="S859" s="1"/>
      <c r="T859" s="1"/>
      <c r="U859" s="1"/>
      <c r="V859" s="1"/>
      <c r="W859" s="1"/>
      <c r="X859" s="1"/>
      <c r="Y859" s="1"/>
      <c r="Z859" s="1"/>
      <c r="AA859" s="1"/>
      <c r="AB859" s="1"/>
      <c r="AC859" s="1"/>
    </row>
    <row r="860">
      <c r="A860" s="1"/>
      <c r="B860" s="1"/>
      <c r="C860" s="1"/>
      <c r="D860" s="1"/>
      <c r="E860" s="1"/>
      <c r="F860" s="2"/>
      <c r="G860" s="2"/>
      <c r="H860" s="1"/>
      <c r="I860" s="1"/>
      <c r="J860" s="1"/>
      <c r="K860" s="3"/>
      <c r="L860" s="1"/>
      <c r="M860" s="1"/>
      <c r="N860" s="1"/>
      <c r="O860" s="1"/>
      <c r="P860" s="1"/>
      <c r="Q860" s="1"/>
      <c r="R860" s="1"/>
      <c r="S860" s="1"/>
      <c r="T860" s="1"/>
      <c r="U860" s="1"/>
      <c r="V860" s="1"/>
      <c r="W860" s="1"/>
      <c r="X860" s="1"/>
      <c r="Y860" s="1"/>
      <c r="Z860" s="1"/>
      <c r="AA860" s="1"/>
      <c r="AB860" s="1"/>
      <c r="AC860" s="1"/>
    </row>
    <row r="861">
      <c r="A861" s="1"/>
      <c r="B861" s="1"/>
      <c r="C861" s="1"/>
      <c r="D861" s="1"/>
      <c r="E861" s="1"/>
      <c r="F861" s="2"/>
      <c r="G861" s="2"/>
      <c r="H861" s="1"/>
      <c r="I861" s="1"/>
      <c r="J861" s="1"/>
      <c r="K861" s="3"/>
      <c r="L861" s="1"/>
      <c r="M861" s="1"/>
      <c r="N861" s="1"/>
      <c r="O861" s="1"/>
      <c r="P861" s="1"/>
      <c r="Q861" s="1"/>
      <c r="R861" s="1"/>
      <c r="S861" s="1"/>
      <c r="T861" s="1"/>
      <c r="U861" s="1"/>
      <c r="V861" s="1"/>
      <c r="W861" s="1"/>
      <c r="X861" s="1"/>
      <c r="Y861" s="1"/>
      <c r="Z861" s="1"/>
      <c r="AA861" s="1"/>
      <c r="AB861" s="1"/>
      <c r="AC861" s="1"/>
    </row>
    <row r="862">
      <c r="A862" s="1"/>
      <c r="B862" s="1"/>
      <c r="C862" s="1"/>
      <c r="D862" s="1"/>
      <c r="E862" s="1"/>
      <c r="F862" s="2"/>
      <c r="G862" s="2"/>
      <c r="H862" s="1"/>
      <c r="I862" s="1"/>
      <c r="J862" s="1"/>
      <c r="K862" s="3"/>
      <c r="L862" s="1"/>
      <c r="M862" s="1"/>
      <c r="N862" s="1"/>
      <c r="O862" s="1"/>
      <c r="P862" s="1"/>
      <c r="Q862" s="1"/>
      <c r="R862" s="1"/>
      <c r="S862" s="1"/>
      <c r="T862" s="1"/>
      <c r="U862" s="1"/>
      <c r="V862" s="1"/>
      <c r="W862" s="1"/>
      <c r="X862" s="1"/>
      <c r="Y862" s="1"/>
      <c r="Z862" s="1"/>
      <c r="AA862" s="1"/>
      <c r="AB862" s="1"/>
      <c r="AC862" s="1"/>
    </row>
    <row r="863">
      <c r="A863" s="1"/>
      <c r="B863" s="1"/>
      <c r="C863" s="1"/>
      <c r="D863" s="1"/>
      <c r="E863" s="1"/>
      <c r="F863" s="2"/>
      <c r="G863" s="2"/>
      <c r="H863" s="1"/>
      <c r="I863" s="1"/>
      <c r="J863" s="1"/>
      <c r="K863" s="3"/>
      <c r="L863" s="1"/>
      <c r="M863" s="1"/>
      <c r="N863" s="1"/>
      <c r="O863" s="1"/>
      <c r="P863" s="1"/>
      <c r="Q863" s="1"/>
      <c r="R863" s="1"/>
      <c r="S863" s="1"/>
      <c r="T863" s="1"/>
      <c r="U863" s="1"/>
      <c r="V863" s="1"/>
      <c r="W863" s="1"/>
      <c r="X863" s="1"/>
      <c r="Y863" s="1"/>
      <c r="Z863" s="1"/>
      <c r="AA863" s="1"/>
      <c r="AB863" s="1"/>
      <c r="AC863" s="1"/>
    </row>
    <row r="864">
      <c r="A864" s="1"/>
      <c r="B864" s="1"/>
      <c r="C864" s="1"/>
      <c r="D864" s="1"/>
      <c r="E864" s="1"/>
      <c r="F864" s="2"/>
      <c r="G864" s="2"/>
      <c r="H864" s="1"/>
      <c r="I864" s="1"/>
      <c r="J864" s="1"/>
      <c r="K864" s="3"/>
      <c r="L864" s="1"/>
      <c r="M864" s="1"/>
      <c r="N864" s="1"/>
      <c r="O864" s="1"/>
      <c r="P864" s="1"/>
      <c r="Q864" s="1"/>
      <c r="R864" s="1"/>
      <c r="S864" s="1"/>
      <c r="T864" s="1"/>
      <c r="U864" s="1"/>
      <c r="V864" s="1"/>
      <c r="W864" s="1"/>
      <c r="X864" s="1"/>
      <c r="Y864" s="1"/>
      <c r="Z864" s="1"/>
      <c r="AA864" s="1"/>
      <c r="AB864" s="1"/>
      <c r="AC864" s="1"/>
    </row>
    <row r="865">
      <c r="A865" s="1"/>
      <c r="B865" s="1"/>
      <c r="C865" s="1"/>
      <c r="D865" s="1"/>
      <c r="E865" s="1"/>
      <c r="F865" s="2"/>
      <c r="G865" s="2"/>
      <c r="H865" s="1"/>
      <c r="I865" s="1"/>
      <c r="J865" s="1"/>
      <c r="K865" s="3"/>
      <c r="L865" s="1"/>
      <c r="M865" s="1"/>
      <c r="N865" s="1"/>
      <c r="O865" s="1"/>
      <c r="P865" s="1"/>
      <c r="Q865" s="1"/>
      <c r="R865" s="1"/>
      <c r="S865" s="1"/>
      <c r="T865" s="1"/>
      <c r="U865" s="1"/>
      <c r="V865" s="1"/>
      <c r="W865" s="1"/>
      <c r="X865" s="1"/>
      <c r="Y865" s="1"/>
      <c r="Z865" s="1"/>
      <c r="AA865" s="1"/>
      <c r="AB865" s="1"/>
      <c r="AC865" s="1"/>
    </row>
    <row r="866">
      <c r="A866" s="1"/>
      <c r="B866" s="1"/>
      <c r="C866" s="1"/>
      <c r="D866" s="1"/>
      <c r="E866" s="1"/>
      <c r="F866" s="2"/>
      <c r="G866" s="2"/>
      <c r="H866" s="1"/>
      <c r="I866" s="1"/>
      <c r="J866" s="1"/>
      <c r="K866" s="3"/>
      <c r="L866" s="1"/>
      <c r="M866" s="1"/>
      <c r="N866" s="1"/>
      <c r="O866" s="1"/>
      <c r="P866" s="1"/>
      <c r="Q866" s="1"/>
      <c r="R866" s="1"/>
      <c r="S866" s="1"/>
      <c r="T866" s="1"/>
      <c r="U866" s="1"/>
      <c r="V866" s="1"/>
      <c r="W866" s="1"/>
      <c r="X866" s="1"/>
      <c r="Y866" s="1"/>
      <c r="Z866" s="1"/>
      <c r="AA866" s="1"/>
      <c r="AB866" s="1"/>
      <c r="AC866" s="1"/>
    </row>
    <row r="867">
      <c r="A867" s="1"/>
      <c r="B867" s="1"/>
      <c r="C867" s="1"/>
      <c r="D867" s="1"/>
      <c r="E867" s="1"/>
      <c r="F867" s="2"/>
      <c r="G867" s="2"/>
      <c r="H867" s="1"/>
      <c r="I867" s="1"/>
      <c r="J867" s="1"/>
      <c r="K867" s="3"/>
      <c r="L867" s="1"/>
      <c r="M867" s="1"/>
      <c r="N867" s="1"/>
      <c r="O867" s="1"/>
      <c r="P867" s="1"/>
      <c r="Q867" s="1"/>
      <c r="R867" s="1"/>
      <c r="S867" s="1"/>
      <c r="T867" s="1"/>
      <c r="U867" s="1"/>
      <c r="V867" s="1"/>
      <c r="W867" s="1"/>
      <c r="X867" s="1"/>
      <c r="Y867" s="1"/>
      <c r="Z867" s="1"/>
      <c r="AA867" s="1"/>
      <c r="AB867" s="1"/>
      <c r="AC867" s="1"/>
    </row>
    <row r="868">
      <c r="A868" s="1"/>
      <c r="B868" s="1"/>
      <c r="C868" s="1"/>
      <c r="D868" s="1"/>
      <c r="E868" s="1"/>
      <c r="F868" s="2"/>
      <c r="G868" s="2"/>
      <c r="H868" s="1"/>
      <c r="I868" s="1"/>
      <c r="J868" s="1"/>
      <c r="K868" s="3"/>
      <c r="L868" s="1"/>
      <c r="M868" s="1"/>
      <c r="N868" s="1"/>
      <c r="O868" s="1"/>
      <c r="P868" s="1"/>
      <c r="Q868" s="1"/>
      <c r="R868" s="1"/>
      <c r="S868" s="1"/>
      <c r="T868" s="1"/>
      <c r="U868" s="1"/>
      <c r="V868" s="1"/>
      <c r="W868" s="1"/>
      <c r="X868" s="1"/>
      <c r="Y868" s="1"/>
      <c r="Z868" s="1"/>
      <c r="AA868" s="1"/>
      <c r="AB868" s="1"/>
      <c r="AC868" s="1"/>
    </row>
    <row r="869">
      <c r="A869" s="1"/>
      <c r="B869" s="1"/>
      <c r="C869" s="1"/>
      <c r="D869" s="1"/>
      <c r="E869" s="1"/>
      <c r="F869" s="2"/>
      <c r="G869" s="2"/>
      <c r="H869" s="1"/>
      <c r="I869" s="1"/>
      <c r="J869" s="1"/>
      <c r="K869" s="3"/>
      <c r="L869" s="1"/>
      <c r="M869" s="1"/>
      <c r="N869" s="1"/>
      <c r="O869" s="1"/>
      <c r="P869" s="1"/>
      <c r="Q869" s="1"/>
      <c r="R869" s="1"/>
      <c r="S869" s="1"/>
      <c r="T869" s="1"/>
      <c r="U869" s="1"/>
      <c r="V869" s="1"/>
      <c r="W869" s="1"/>
      <c r="X869" s="1"/>
      <c r="Y869" s="1"/>
      <c r="Z869" s="1"/>
      <c r="AA869" s="1"/>
      <c r="AB869" s="1"/>
      <c r="AC869" s="1"/>
    </row>
    <row r="870">
      <c r="A870" s="1"/>
      <c r="B870" s="1"/>
      <c r="C870" s="1"/>
      <c r="D870" s="1"/>
      <c r="E870" s="1"/>
      <c r="F870" s="2"/>
      <c r="G870" s="2"/>
      <c r="H870" s="1"/>
      <c r="I870" s="1"/>
      <c r="J870" s="1"/>
      <c r="K870" s="3"/>
      <c r="L870" s="1"/>
      <c r="M870" s="1"/>
      <c r="N870" s="1"/>
      <c r="O870" s="1"/>
      <c r="P870" s="1"/>
      <c r="Q870" s="1"/>
      <c r="R870" s="1"/>
      <c r="S870" s="1"/>
      <c r="T870" s="1"/>
      <c r="U870" s="1"/>
      <c r="V870" s="1"/>
      <c r="W870" s="1"/>
      <c r="X870" s="1"/>
      <c r="Y870" s="1"/>
      <c r="Z870" s="1"/>
      <c r="AA870" s="1"/>
      <c r="AB870" s="1"/>
      <c r="AC870" s="1"/>
    </row>
    <row r="871">
      <c r="A871" s="1"/>
      <c r="B871" s="1"/>
      <c r="C871" s="1"/>
      <c r="D871" s="1"/>
      <c r="E871" s="1"/>
      <c r="F871" s="2"/>
      <c r="G871" s="2"/>
      <c r="H871" s="1"/>
      <c r="I871" s="1"/>
      <c r="J871" s="1"/>
      <c r="K871" s="3"/>
      <c r="L871" s="1"/>
      <c r="M871" s="1"/>
      <c r="N871" s="1"/>
      <c r="O871" s="1"/>
      <c r="P871" s="1"/>
      <c r="Q871" s="1"/>
      <c r="R871" s="1"/>
      <c r="S871" s="1"/>
      <c r="T871" s="1"/>
      <c r="U871" s="1"/>
      <c r="V871" s="1"/>
      <c r="W871" s="1"/>
      <c r="X871" s="1"/>
      <c r="Y871" s="1"/>
      <c r="Z871" s="1"/>
      <c r="AA871" s="1"/>
      <c r="AB871" s="1"/>
      <c r="AC871" s="1"/>
    </row>
    <row r="872">
      <c r="A872" s="1"/>
      <c r="B872" s="1"/>
      <c r="C872" s="1"/>
      <c r="D872" s="1"/>
      <c r="E872" s="1"/>
      <c r="F872" s="2"/>
      <c r="G872" s="2"/>
      <c r="H872" s="1"/>
      <c r="I872" s="1"/>
      <c r="J872" s="1"/>
      <c r="K872" s="3"/>
      <c r="L872" s="1"/>
      <c r="M872" s="1"/>
      <c r="N872" s="1"/>
      <c r="O872" s="1"/>
      <c r="P872" s="1"/>
      <c r="Q872" s="1"/>
      <c r="R872" s="1"/>
      <c r="S872" s="1"/>
      <c r="T872" s="1"/>
      <c r="U872" s="1"/>
      <c r="V872" s="1"/>
      <c r="W872" s="1"/>
      <c r="X872" s="1"/>
      <c r="Y872" s="1"/>
      <c r="Z872" s="1"/>
      <c r="AA872" s="1"/>
      <c r="AB872" s="1"/>
      <c r="AC872" s="1"/>
    </row>
    <row r="873">
      <c r="A873" s="1"/>
      <c r="B873" s="1"/>
      <c r="C873" s="1"/>
      <c r="D873" s="1"/>
      <c r="E873" s="1"/>
      <c r="F873" s="2"/>
      <c r="G873" s="2"/>
      <c r="H873" s="1"/>
      <c r="I873" s="1"/>
      <c r="J873" s="1"/>
      <c r="K873" s="3"/>
      <c r="L873" s="1"/>
      <c r="M873" s="1"/>
      <c r="N873" s="1"/>
      <c r="O873" s="1"/>
      <c r="P873" s="1"/>
      <c r="Q873" s="1"/>
      <c r="R873" s="1"/>
      <c r="S873" s="1"/>
      <c r="T873" s="1"/>
      <c r="U873" s="1"/>
      <c r="V873" s="1"/>
      <c r="W873" s="1"/>
      <c r="X873" s="1"/>
      <c r="Y873" s="1"/>
      <c r="Z873" s="1"/>
      <c r="AA873" s="1"/>
      <c r="AB873" s="1"/>
      <c r="AC873" s="1"/>
    </row>
    <row r="874">
      <c r="A874" s="1"/>
      <c r="B874" s="1"/>
      <c r="C874" s="1"/>
      <c r="D874" s="1"/>
      <c r="E874" s="1"/>
      <c r="F874" s="2"/>
      <c r="G874" s="2"/>
      <c r="H874" s="1"/>
      <c r="I874" s="1"/>
      <c r="J874" s="1"/>
      <c r="K874" s="3"/>
      <c r="L874" s="1"/>
      <c r="M874" s="1"/>
      <c r="N874" s="1"/>
      <c r="O874" s="1"/>
      <c r="P874" s="1"/>
      <c r="Q874" s="1"/>
      <c r="R874" s="1"/>
      <c r="S874" s="1"/>
      <c r="T874" s="1"/>
      <c r="U874" s="1"/>
      <c r="V874" s="1"/>
      <c r="W874" s="1"/>
      <c r="X874" s="1"/>
      <c r="Y874" s="1"/>
      <c r="Z874" s="1"/>
      <c r="AA874" s="1"/>
      <c r="AB874" s="1"/>
      <c r="AC874" s="1"/>
    </row>
    <row r="875">
      <c r="A875" s="1"/>
      <c r="B875" s="1"/>
      <c r="C875" s="1"/>
      <c r="D875" s="1"/>
      <c r="E875" s="1"/>
      <c r="F875" s="2"/>
      <c r="G875" s="2"/>
      <c r="H875" s="1"/>
      <c r="I875" s="1"/>
      <c r="J875" s="1"/>
      <c r="K875" s="3"/>
      <c r="L875" s="1"/>
      <c r="M875" s="1"/>
      <c r="N875" s="1"/>
      <c r="O875" s="1"/>
      <c r="P875" s="1"/>
      <c r="Q875" s="1"/>
      <c r="R875" s="1"/>
      <c r="S875" s="1"/>
      <c r="T875" s="1"/>
      <c r="U875" s="1"/>
      <c r="V875" s="1"/>
      <c r="W875" s="1"/>
      <c r="X875" s="1"/>
      <c r="Y875" s="1"/>
      <c r="Z875" s="1"/>
      <c r="AA875" s="1"/>
      <c r="AB875" s="1"/>
      <c r="AC875" s="1"/>
    </row>
    <row r="876">
      <c r="A876" s="1"/>
      <c r="B876" s="1"/>
      <c r="C876" s="1"/>
      <c r="D876" s="1"/>
      <c r="E876" s="1"/>
      <c r="F876" s="2"/>
      <c r="G876" s="2"/>
      <c r="H876" s="1"/>
      <c r="I876" s="1"/>
      <c r="J876" s="1"/>
      <c r="K876" s="3"/>
      <c r="L876" s="1"/>
      <c r="M876" s="1"/>
      <c r="N876" s="1"/>
      <c r="O876" s="1"/>
      <c r="P876" s="1"/>
      <c r="Q876" s="1"/>
      <c r="R876" s="1"/>
      <c r="S876" s="1"/>
      <c r="T876" s="1"/>
      <c r="U876" s="1"/>
      <c r="V876" s="1"/>
      <c r="W876" s="1"/>
      <c r="X876" s="1"/>
      <c r="Y876" s="1"/>
      <c r="Z876" s="1"/>
      <c r="AA876" s="1"/>
      <c r="AB876" s="1"/>
      <c r="AC876" s="1"/>
    </row>
    <row r="877">
      <c r="A877" s="1"/>
      <c r="B877" s="1"/>
      <c r="C877" s="1"/>
      <c r="D877" s="1"/>
      <c r="E877" s="1"/>
      <c r="F877" s="2"/>
      <c r="G877" s="2"/>
      <c r="H877" s="1"/>
      <c r="I877" s="1"/>
      <c r="J877" s="1"/>
      <c r="K877" s="3"/>
      <c r="L877" s="1"/>
      <c r="M877" s="1"/>
      <c r="N877" s="1"/>
      <c r="O877" s="1"/>
      <c r="P877" s="1"/>
      <c r="Q877" s="1"/>
      <c r="R877" s="1"/>
      <c r="S877" s="1"/>
      <c r="T877" s="1"/>
      <c r="U877" s="1"/>
      <c r="V877" s="1"/>
      <c r="W877" s="1"/>
      <c r="X877" s="1"/>
      <c r="Y877" s="1"/>
      <c r="Z877" s="1"/>
      <c r="AA877" s="1"/>
      <c r="AB877" s="1"/>
      <c r="AC877" s="1"/>
    </row>
    <row r="878">
      <c r="A878" s="1"/>
      <c r="B878" s="1"/>
      <c r="C878" s="1"/>
      <c r="D878" s="1"/>
      <c r="E878" s="1"/>
      <c r="F878" s="2"/>
      <c r="G878" s="2"/>
      <c r="H878" s="1"/>
      <c r="I878" s="1"/>
      <c r="J878" s="1"/>
      <c r="K878" s="3"/>
      <c r="L878" s="1"/>
      <c r="M878" s="1"/>
      <c r="N878" s="1"/>
      <c r="O878" s="1"/>
      <c r="P878" s="1"/>
      <c r="Q878" s="1"/>
      <c r="R878" s="1"/>
      <c r="S878" s="1"/>
      <c r="T878" s="1"/>
      <c r="U878" s="1"/>
      <c r="V878" s="1"/>
      <c r="W878" s="1"/>
      <c r="X878" s="1"/>
      <c r="Y878" s="1"/>
      <c r="Z878" s="1"/>
      <c r="AA878" s="1"/>
      <c r="AB878" s="1"/>
      <c r="AC878" s="1"/>
    </row>
    <row r="879">
      <c r="A879" s="1"/>
      <c r="B879" s="1"/>
      <c r="C879" s="1"/>
      <c r="D879" s="1"/>
      <c r="E879" s="1"/>
      <c r="F879" s="2"/>
      <c r="G879" s="2"/>
      <c r="H879" s="1"/>
      <c r="I879" s="1"/>
      <c r="J879" s="1"/>
      <c r="K879" s="3"/>
      <c r="L879" s="1"/>
      <c r="M879" s="1"/>
      <c r="N879" s="1"/>
      <c r="O879" s="1"/>
      <c r="P879" s="1"/>
      <c r="Q879" s="1"/>
      <c r="R879" s="1"/>
      <c r="S879" s="1"/>
      <c r="T879" s="1"/>
      <c r="U879" s="1"/>
      <c r="V879" s="1"/>
      <c r="W879" s="1"/>
      <c r="X879" s="1"/>
      <c r="Y879" s="1"/>
      <c r="Z879" s="1"/>
      <c r="AA879" s="1"/>
      <c r="AB879" s="1"/>
      <c r="AC879" s="1"/>
    </row>
    <row r="880">
      <c r="A880" s="1"/>
      <c r="B880" s="1"/>
      <c r="C880" s="1"/>
      <c r="D880" s="1"/>
      <c r="E880" s="1"/>
      <c r="F880" s="2"/>
      <c r="G880" s="2"/>
      <c r="H880" s="1"/>
      <c r="I880" s="1"/>
      <c r="J880" s="1"/>
      <c r="K880" s="3"/>
      <c r="L880" s="1"/>
      <c r="M880" s="1"/>
      <c r="N880" s="1"/>
      <c r="O880" s="1"/>
      <c r="P880" s="1"/>
      <c r="Q880" s="1"/>
      <c r="R880" s="1"/>
      <c r="S880" s="1"/>
      <c r="T880" s="1"/>
      <c r="U880" s="1"/>
      <c r="V880" s="1"/>
      <c r="W880" s="1"/>
      <c r="X880" s="1"/>
      <c r="Y880" s="1"/>
      <c r="Z880" s="1"/>
      <c r="AA880" s="1"/>
      <c r="AB880" s="1"/>
      <c r="AC880" s="1"/>
    </row>
    <row r="881">
      <c r="A881" s="1"/>
      <c r="B881" s="1"/>
      <c r="C881" s="1"/>
      <c r="D881" s="1"/>
      <c r="E881" s="1"/>
      <c r="F881" s="2"/>
      <c r="G881" s="2"/>
      <c r="H881" s="1"/>
      <c r="I881" s="1"/>
      <c r="J881" s="1"/>
      <c r="K881" s="3"/>
      <c r="L881" s="1"/>
      <c r="M881" s="1"/>
      <c r="N881" s="1"/>
      <c r="O881" s="1"/>
      <c r="P881" s="1"/>
      <c r="Q881" s="1"/>
      <c r="R881" s="1"/>
      <c r="S881" s="1"/>
      <c r="T881" s="1"/>
      <c r="U881" s="1"/>
      <c r="V881" s="1"/>
      <c r="W881" s="1"/>
      <c r="X881" s="1"/>
      <c r="Y881" s="1"/>
      <c r="Z881" s="1"/>
      <c r="AA881" s="1"/>
      <c r="AB881" s="1"/>
      <c r="AC881" s="1"/>
    </row>
    <row r="882">
      <c r="A882" s="1"/>
      <c r="B882" s="1"/>
      <c r="C882" s="1"/>
      <c r="D882" s="1"/>
      <c r="E882" s="1"/>
      <c r="F882" s="2"/>
      <c r="G882" s="2"/>
      <c r="H882" s="1"/>
      <c r="I882" s="1"/>
      <c r="J882" s="1"/>
      <c r="K882" s="3"/>
      <c r="L882" s="1"/>
      <c r="M882" s="1"/>
      <c r="N882" s="1"/>
      <c r="O882" s="1"/>
      <c r="P882" s="1"/>
      <c r="Q882" s="1"/>
      <c r="R882" s="1"/>
      <c r="S882" s="1"/>
      <c r="T882" s="1"/>
      <c r="U882" s="1"/>
      <c r="V882" s="1"/>
      <c r="W882" s="1"/>
      <c r="X882" s="1"/>
      <c r="Y882" s="1"/>
      <c r="Z882" s="1"/>
      <c r="AA882" s="1"/>
      <c r="AB882" s="1"/>
      <c r="AC882" s="1"/>
    </row>
    <row r="883">
      <c r="A883" s="1"/>
      <c r="B883" s="1"/>
      <c r="C883" s="1"/>
      <c r="D883" s="1"/>
      <c r="E883" s="1"/>
      <c r="F883" s="2"/>
      <c r="G883" s="2"/>
      <c r="H883" s="1"/>
      <c r="I883" s="1"/>
      <c r="J883" s="1"/>
      <c r="K883" s="3"/>
      <c r="L883" s="1"/>
      <c r="M883" s="1"/>
      <c r="N883" s="1"/>
      <c r="O883" s="1"/>
      <c r="P883" s="1"/>
      <c r="Q883" s="1"/>
      <c r="R883" s="1"/>
      <c r="S883" s="1"/>
      <c r="T883" s="1"/>
      <c r="U883" s="1"/>
      <c r="V883" s="1"/>
      <c r="W883" s="1"/>
      <c r="X883" s="1"/>
      <c r="Y883" s="1"/>
      <c r="Z883" s="1"/>
      <c r="AA883" s="1"/>
      <c r="AB883" s="1"/>
      <c r="AC883" s="1"/>
    </row>
    <row r="884">
      <c r="A884" s="1"/>
      <c r="B884" s="1"/>
      <c r="C884" s="1"/>
      <c r="D884" s="1"/>
      <c r="E884" s="1"/>
      <c r="F884" s="2"/>
      <c r="G884" s="2"/>
      <c r="H884" s="1"/>
      <c r="I884" s="1"/>
      <c r="J884" s="1"/>
      <c r="K884" s="3"/>
      <c r="L884" s="1"/>
      <c r="M884" s="1"/>
      <c r="N884" s="1"/>
      <c r="O884" s="1"/>
      <c r="P884" s="1"/>
      <c r="Q884" s="1"/>
      <c r="R884" s="1"/>
      <c r="S884" s="1"/>
      <c r="T884" s="1"/>
      <c r="U884" s="1"/>
      <c r="V884" s="1"/>
      <c r="W884" s="1"/>
      <c r="X884" s="1"/>
      <c r="Y884" s="1"/>
      <c r="Z884" s="1"/>
      <c r="AA884" s="1"/>
      <c r="AB884" s="1"/>
      <c r="AC884" s="1"/>
    </row>
    <row r="885">
      <c r="A885" s="1"/>
      <c r="B885" s="1"/>
      <c r="C885" s="1"/>
      <c r="D885" s="1"/>
      <c r="E885" s="1"/>
      <c r="F885" s="2"/>
      <c r="G885" s="2"/>
      <c r="H885" s="1"/>
      <c r="I885" s="1"/>
      <c r="J885" s="1"/>
      <c r="K885" s="3"/>
      <c r="L885" s="1"/>
      <c r="M885" s="1"/>
      <c r="N885" s="1"/>
      <c r="O885" s="1"/>
      <c r="P885" s="1"/>
      <c r="Q885" s="1"/>
      <c r="R885" s="1"/>
      <c r="S885" s="1"/>
      <c r="T885" s="1"/>
      <c r="U885" s="1"/>
      <c r="V885" s="1"/>
      <c r="W885" s="1"/>
      <c r="X885" s="1"/>
      <c r="Y885" s="1"/>
      <c r="Z885" s="1"/>
      <c r="AA885" s="1"/>
      <c r="AB885" s="1"/>
      <c r="AC885" s="1"/>
    </row>
    <row r="886">
      <c r="A886" s="1"/>
      <c r="B886" s="1"/>
      <c r="C886" s="1"/>
      <c r="D886" s="1"/>
      <c r="E886" s="1"/>
      <c r="F886" s="2"/>
      <c r="G886" s="2"/>
      <c r="H886" s="1"/>
      <c r="I886" s="1"/>
      <c r="J886" s="1"/>
      <c r="K886" s="3"/>
      <c r="L886" s="1"/>
      <c r="M886" s="1"/>
      <c r="N886" s="1"/>
      <c r="O886" s="1"/>
      <c r="P886" s="1"/>
      <c r="Q886" s="1"/>
      <c r="R886" s="1"/>
      <c r="S886" s="1"/>
      <c r="T886" s="1"/>
      <c r="U886" s="1"/>
      <c r="V886" s="1"/>
      <c r="W886" s="1"/>
      <c r="X886" s="1"/>
      <c r="Y886" s="1"/>
      <c r="Z886" s="1"/>
      <c r="AA886" s="1"/>
      <c r="AB886" s="1"/>
      <c r="AC886" s="1"/>
    </row>
    <row r="887">
      <c r="A887" s="1"/>
      <c r="B887" s="1"/>
      <c r="C887" s="1"/>
      <c r="D887" s="1"/>
      <c r="E887" s="1"/>
      <c r="F887" s="2"/>
      <c r="G887" s="2"/>
      <c r="H887" s="1"/>
      <c r="I887" s="1"/>
      <c r="J887" s="1"/>
      <c r="K887" s="3"/>
      <c r="L887" s="1"/>
      <c r="M887" s="1"/>
      <c r="N887" s="1"/>
      <c r="O887" s="1"/>
      <c r="P887" s="1"/>
      <c r="Q887" s="1"/>
      <c r="R887" s="1"/>
      <c r="S887" s="1"/>
      <c r="T887" s="1"/>
      <c r="U887" s="1"/>
      <c r="V887" s="1"/>
      <c r="W887" s="1"/>
      <c r="X887" s="1"/>
      <c r="Y887" s="1"/>
      <c r="Z887" s="1"/>
      <c r="AA887" s="1"/>
      <c r="AB887" s="1"/>
      <c r="AC887" s="1"/>
    </row>
    <row r="888">
      <c r="A888" s="1"/>
      <c r="B888" s="1"/>
      <c r="C888" s="1"/>
      <c r="D888" s="1"/>
      <c r="E888" s="1"/>
      <c r="F888" s="2"/>
      <c r="G888" s="2"/>
      <c r="H888" s="1"/>
      <c r="I888" s="1"/>
      <c r="J888" s="1"/>
      <c r="K888" s="3"/>
      <c r="L888" s="1"/>
      <c r="M888" s="1"/>
      <c r="N888" s="1"/>
      <c r="O888" s="1"/>
      <c r="P888" s="1"/>
      <c r="Q888" s="1"/>
      <c r="R888" s="1"/>
      <c r="S888" s="1"/>
      <c r="T888" s="1"/>
      <c r="U888" s="1"/>
      <c r="V888" s="1"/>
      <c r="W888" s="1"/>
      <c r="X888" s="1"/>
      <c r="Y888" s="1"/>
      <c r="Z888" s="1"/>
      <c r="AA888" s="1"/>
      <c r="AB888" s="1"/>
      <c r="AC888" s="1"/>
    </row>
    <row r="889">
      <c r="A889" s="1"/>
      <c r="B889" s="1"/>
      <c r="C889" s="1"/>
      <c r="D889" s="1"/>
      <c r="E889" s="1"/>
      <c r="F889" s="2"/>
      <c r="G889" s="2"/>
      <c r="H889" s="1"/>
      <c r="I889" s="1"/>
      <c r="J889" s="1"/>
      <c r="K889" s="3"/>
      <c r="L889" s="1"/>
      <c r="M889" s="1"/>
      <c r="N889" s="1"/>
      <c r="O889" s="1"/>
      <c r="P889" s="1"/>
      <c r="Q889" s="1"/>
      <c r="R889" s="1"/>
      <c r="S889" s="1"/>
      <c r="T889" s="1"/>
      <c r="U889" s="1"/>
      <c r="V889" s="1"/>
      <c r="W889" s="1"/>
      <c r="X889" s="1"/>
      <c r="Y889" s="1"/>
      <c r="Z889" s="1"/>
      <c r="AA889" s="1"/>
      <c r="AB889" s="1"/>
      <c r="AC889" s="1"/>
    </row>
    <row r="890">
      <c r="A890" s="1"/>
      <c r="B890" s="1"/>
      <c r="C890" s="1"/>
      <c r="D890" s="1"/>
      <c r="E890" s="1"/>
      <c r="F890" s="2"/>
      <c r="G890" s="2"/>
      <c r="H890" s="1"/>
      <c r="I890" s="1"/>
      <c r="J890" s="1"/>
      <c r="K890" s="3"/>
      <c r="L890" s="1"/>
      <c r="M890" s="1"/>
      <c r="N890" s="1"/>
      <c r="O890" s="1"/>
      <c r="P890" s="1"/>
      <c r="Q890" s="1"/>
      <c r="R890" s="1"/>
      <c r="S890" s="1"/>
      <c r="T890" s="1"/>
      <c r="U890" s="1"/>
      <c r="V890" s="1"/>
      <c r="W890" s="1"/>
      <c r="X890" s="1"/>
      <c r="Y890" s="1"/>
      <c r="Z890" s="1"/>
      <c r="AA890" s="1"/>
      <c r="AB890" s="1"/>
      <c r="AC890" s="1"/>
    </row>
    <row r="891">
      <c r="A891" s="1"/>
      <c r="B891" s="1"/>
      <c r="C891" s="1"/>
      <c r="D891" s="1"/>
      <c r="E891" s="1"/>
      <c r="F891" s="2"/>
      <c r="G891" s="2"/>
      <c r="H891" s="1"/>
      <c r="I891" s="1"/>
      <c r="J891" s="1"/>
      <c r="K891" s="3"/>
      <c r="L891" s="1"/>
      <c r="M891" s="1"/>
      <c r="N891" s="1"/>
      <c r="O891" s="1"/>
      <c r="P891" s="1"/>
      <c r="Q891" s="1"/>
      <c r="R891" s="1"/>
      <c r="S891" s="1"/>
      <c r="T891" s="1"/>
      <c r="U891" s="1"/>
      <c r="V891" s="1"/>
      <c r="W891" s="1"/>
      <c r="X891" s="1"/>
      <c r="Y891" s="1"/>
      <c r="Z891" s="1"/>
      <c r="AA891" s="1"/>
      <c r="AB891" s="1"/>
      <c r="AC891" s="1"/>
    </row>
    <row r="892">
      <c r="A892" s="1"/>
      <c r="B892" s="1"/>
      <c r="C892" s="1"/>
      <c r="D892" s="1"/>
      <c r="E892" s="1"/>
      <c r="F892" s="2"/>
      <c r="G892" s="2"/>
      <c r="H892" s="1"/>
      <c r="I892" s="1"/>
      <c r="J892" s="1"/>
      <c r="K892" s="3"/>
      <c r="L892" s="1"/>
      <c r="M892" s="1"/>
      <c r="N892" s="1"/>
      <c r="O892" s="1"/>
      <c r="P892" s="1"/>
      <c r="Q892" s="1"/>
      <c r="R892" s="1"/>
      <c r="S892" s="1"/>
      <c r="T892" s="1"/>
      <c r="U892" s="1"/>
      <c r="V892" s="1"/>
      <c r="W892" s="1"/>
      <c r="X892" s="1"/>
      <c r="Y892" s="1"/>
      <c r="Z892" s="1"/>
      <c r="AA892" s="1"/>
      <c r="AB892" s="1"/>
      <c r="AC892" s="1"/>
    </row>
    <row r="893">
      <c r="A893" s="1"/>
      <c r="B893" s="1"/>
      <c r="C893" s="1"/>
      <c r="D893" s="1"/>
      <c r="E893" s="1"/>
      <c r="F893" s="2"/>
      <c r="G893" s="2"/>
      <c r="H893" s="1"/>
      <c r="I893" s="1"/>
      <c r="J893" s="1"/>
      <c r="K893" s="3"/>
      <c r="L893" s="1"/>
      <c r="M893" s="1"/>
      <c r="N893" s="1"/>
      <c r="O893" s="1"/>
      <c r="P893" s="1"/>
      <c r="Q893" s="1"/>
      <c r="R893" s="1"/>
      <c r="S893" s="1"/>
      <c r="T893" s="1"/>
      <c r="U893" s="1"/>
      <c r="V893" s="1"/>
      <c r="W893" s="1"/>
      <c r="X893" s="1"/>
      <c r="Y893" s="1"/>
      <c r="Z893" s="1"/>
      <c r="AA893" s="1"/>
      <c r="AB893" s="1"/>
      <c r="AC893" s="1"/>
    </row>
    <row r="894">
      <c r="A894" s="1"/>
      <c r="B894" s="1"/>
      <c r="C894" s="1"/>
      <c r="D894" s="1"/>
      <c r="E894" s="1"/>
      <c r="F894" s="2"/>
      <c r="G894" s="2"/>
      <c r="H894" s="1"/>
      <c r="I894" s="1"/>
      <c r="J894" s="1"/>
      <c r="K894" s="3"/>
      <c r="L894" s="1"/>
      <c r="M894" s="1"/>
      <c r="N894" s="1"/>
      <c r="O894" s="1"/>
      <c r="P894" s="1"/>
      <c r="Q894" s="1"/>
      <c r="R894" s="1"/>
      <c r="S894" s="1"/>
      <c r="T894" s="1"/>
      <c r="U894" s="1"/>
      <c r="V894" s="1"/>
      <c r="W894" s="1"/>
      <c r="X894" s="1"/>
      <c r="Y894" s="1"/>
      <c r="Z894" s="1"/>
      <c r="AA894" s="1"/>
      <c r="AB894" s="1"/>
      <c r="AC894" s="1"/>
    </row>
    <row r="895">
      <c r="A895" s="1"/>
      <c r="B895" s="1"/>
      <c r="C895" s="1"/>
      <c r="D895" s="1"/>
      <c r="E895" s="1"/>
      <c r="F895" s="2"/>
      <c r="G895" s="2"/>
      <c r="H895" s="1"/>
      <c r="I895" s="1"/>
      <c r="J895" s="1"/>
      <c r="K895" s="3"/>
      <c r="L895" s="1"/>
      <c r="M895" s="1"/>
      <c r="N895" s="1"/>
      <c r="O895" s="1"/>
      <c r="P895" s="1"/>
      <c r="Q895" s="1"/>
      <c r="R895" s="1"/>
      <c r="S895" s="1"/>
      <c r="T895" s="1"/>
      <c r="U895" s="1"/>
      <c r="V895" s="1"/>
      <c r="W895" s="1"/>
      <c r="X895" s="1"/>
      <c r="Y895" s="1"/>
      <c r="Z895" s="1"/>
      <c r="AA895" s="1"/>
      <c r="AB895" s="1"/>
      <c r="AC895" s="1"/>
    </row>
    <row r="896">
      <c r="A896" s="1"/>
      <c r="B896" s="1"/>
      <c r="C896" s="1"/>
      <c r="D896" s="1"/>
      <c r="E896" s="1"/>
      <c r="F896" s="2"/>
      <c r="G896" s="2"/>
      <c r="H896" s="1"/>
      <c r="I896" s="1"/>
      <c r="J896" s="1"/>
      <c r="K896" s="3"/>
      <c r="L896" s="1"/>
      <c r="M896" s="1"/>
      <c r="N896" s="1"/>
      <c r="O896" s="1"/>
      <c r="P896" s="1"/>
      <c r="Q896" s="1"/>
      <c r="R896" s="1"/>
      <c r="S896" s="1"/>
      <c r="T896" s="1"/>
      <c r="U896" s="1"/>
      <c r="V896" s="1"/>
      <c r="W896" s="1"/>
      <c r="X896" s="1"/>
      <c r="Y896" s="1"/>
      <c r="Z896" s="1"/>
      <c r="AA896" s="1"/>
      <c r="AB896" s="1"/>
      <c r="AC896" s="1"/>
    </row>
    <row r="897">
      <c r="A897" s="1"/>
      <c r="B897" s="1"/>
      <c r="C897" s="1"/>
      <c r="D897" s="1"/>
      <c r="E897" s="1"/>
      <c r="F897" s="2"/>
      <c r="G897" s="2"/>
      <c r="H897" s="1"/>
      <c r="I897" s="1"/>
      <c r="J897" s="1"/>
      <c r="K897" s="3"/>
      <c r="L897" s="1"/>
      <c r="M897" s="1"/>
      <c r="N897" s="1"/>
      <c r="O897" s="1"/>
      <c r="P897" s="1"/>
      <c r="Q897" s="1"/>
      <c r="R897" s="1"/>
      <c r="S897" s="1"/>
      <c r="T897" s="1"/>
      <c r="U897" s="1"/>
      <c r="V897" s="1"/>
      <c r="W897" s="1"/>
      <c r="X897" s="1"/>
      <c r="Y897" s="1"/>
      <c r="Z897" s="1"/>
      <c r="AA897" s="1"/>
      <c r="AB897" s="1"/>
      <c r="AC897" s="1"/>
    </row>
    <row r="898">
      <c r="A898" s="1"/>
      <c r="B898" s="1"/>
      <c r="C898" s="1"/>
      <c r="D898" s="1"/>
      <c r="E898" s="1"/>
      <c r="F898" s="2"/>
      <c r="G898" s="2"/>
      <c r="H898" s="1"/>
      <c r="I898" s="1"/>
      <c r="J898" s="1"/>
      <c r="K898" s="3"/>
      <c r="L898" s="1"/>
      <c r="M898" s="1"/>
      <c r="N898" s="1"/>
      <c r="O898" s="1"/>
      <c r="P898" s="1"/>
      <c r="Q898" s="1"/>
      <c r="R898" s="1"/>
      <c r="S898" s="1"/>
      <c r="T898" s="1"/>
      <c r="U898" s="1"/>
      <c r="V898" s="1"/>
      <c r="W898" s="1"/>
      <c r="X898" s="1"/>
      <c r="Y898" s="1"/>
      <c r="Z898" s="1"/>
      <c r="AA898" s="1"/>
      <c r="AB898" s="1"/>
      <c r="AC898" s="1"/>
    </row>
    <row r="899">
      <c r="A899" s="1"/>
      <c r="B899" s="1"/>
      <c r="C899" s="1"/>
      <c r="D899" s="1"/>
      <c r="E899" s="1"/>
      <c r="F899" s="2"/>
      <c r="G899" s="2"/>
      <c r="H899" s="1"/>
      <c r="I899" s="1"/>
      <c r="J899" s="1"/>
      <c r="K899" s="3"/>
      <c r="L899" s="1"/>
      <c r="M899" s="1"/>
      <c r="N899" s="1"/>
      <c r="O899" s="1"/>
      <c r="P899" s="1"/>
      <c r="Q899" s="1"/>
      <c r="R899" s="1"/>
      <c r="S899" s="1"/>
      <c r="T899" s="1"/>
      <c r="U899" s="1"/>
      <c r="V899" s="1"/>
      <c r="W899" s="1"/>
      <c r="X899" s="1"/>
      <c r="Y899" s="1"/>
      <c r="Z899" s="1"/>
      <c r="AA899" s="1"/>
      <c r="AB899" s="1"/>
      <c r="AC899" s="1"/>
    </row>
    <row r="900">
      <c r="A900" s="1"/>
      <c r="B900" s="1"/>
      <c r="C900" s="1"/>
      <c r="D900" s="1"/>
      <c r="E900" s="1"/>
      <c r="F900" s="2"/>
      <c r="G900" s="2"/>
      <c r="H900" s="1"/>
      <c r="I900" s="1"/>
      <c r="J900" s="1"/>
      <c r="K900" s="3"/>
      <c r="L900" s="1"/>
      <c r="M900" s="1"/>
      <c r="N900" s="1"/>
      <c r="O900" s="1"/>
      <c r="P900" s="1"/>
      <c r="Q900" s="1"/>
      <c r="R900" s="1"/>
      <c r="S900" s="1"/>
      <c r="T900" s="1"/>
      <c r="U900" s="1"/>
      <c r="V900" s="1"/>
      <c r="W900" s="1"/>
      <c r="X900" s="1"/>
      <c r="Y900" s="1"/>
      <c r="Z900" s="1"/>
      <c r="AA900" s="1"/>
      <c r="AB900" s="1"/>
      <c r="AC900" s="1"/>
    </row>
    <row r="901">
      <c r="A901" s="1"/>
      <c r="B901" s="1"/>
      <c r="C901" s="1"/>
      <c r="D901" s="1"/>
      <c r="E901" s="1"/>
      <c r="F901" s="2"/>
      <c r="G901" s="2"/>
      <c r="H901" s="1"/>
      <c r="I901" s="1"/>
      <c r="J901" s="1"/>
      <c r="K901" s="3"/>
      <c r="L901" s="1"/>
      <c r="M901" s="1"/>
      <c r="N901" s="1"/>
      <c r="O901" s="1"/>
      <c r="P901" s="1"/>
      <c r="Q901" s="1"/>
      <c r="R901" s="1"/>
      <c r="S901" s="1"/>
      <c r="T901" s="1"/>
      <c r="U901" s="1"/>
      <c r="V901" s="1"/>
      <c r="W901" s="1"/>
      <c r="X901" s="1"/>
      <c r="Y901" s="1"/>
      <c r="Z901" s="1"/>
      <c r="AA901" s="1"/>
      <c r="AB901" s="1"/>
      <c r="AC901" s="1"/>
    </row>
    <row r="902">
      <c r="A902" s="1"/>
      <c r="B902" s="1"/>
      <c r="C902" s="1"/>
      <c r="D902" s="1"/>
      <c r="E902" s="1"/>
      <c r="F902" s="2"/>
      <c r="G902" s="2"/>
      <c r="H902" s="1"/>
      <c r="I902" s="1"/>
      <c r="J902" s="1"/>
      <c r="K902" s="3"/>
      <c r="L902" s="1"/>
      <c r="M902" s="1"/>
      <c r="N902" s="1"/>
      <c r="O902" s="1"/>
      <c r="P902" s="1"/>
      <c r="Q902" s="1"/>
      <c r="R902" s="1"/>
      <c r="S902" s="1"/>
      <c r="T902" s="1"/>
      <c r="U902" s="1"/>
      <c r="V902" s="1"/>
      <c r="W902" s="1"/>
      <c r="X902" s="1"/>
      <c r="Y902" s="1"/>
      <c r="Z902" s="1"/>
      <c r="AA902" s="1"/>
      <c r="AB902" s="1"/>
      <c r="AC902" s="1"/>
    </row>
    <row r="903">
      <c r="A903" s="1"/>
      <c r="B903" s="1"/>
      <c r="C903" s="1"/>
      <c r="D903" s="1"/>
      <c r="E903" s="1"/>
      <c r="F903" s="2"/>
      <c r="G903" s="2"/>
      <c r="H903" s="1"/>
      <c r="I903" s="1"/>
      <c r="J903" s="1"/>
      <c r="K903" s="3"/>
      <c r="L903" s="1"/>
      <c r="M903" s="1"/>
      <c r="N903" s="1"/>
      <c r="O903" s="1"/>
      <c r="P903" s="1"/>
      <c r="Q903" s="1"/>
      <c r="R903" s="1"/>
      <c r="S903" s="1"/>
      <c r="T903" s="1"/>
      <c r="U903" s="1"/>
      <c r="V903" s="1"/>
      <c r="W903" s="1"/>
      <c r="X903" s="1"/>
      <c r="Y903" s="1"/>
      <c r="Z903" s="1"/>
      <c r="AA903" s="1"/>
      <c r="AB903" s="1"/>
      <c r="AC903" s="1"/>
    </row>
    <row r="904">
      <c r="A904" s="1"/>
      <c r="B904" s="1"/>
      <c r="C904" s="1"/>
      <c r="D904" s="1"/>
      <c r="E904" s="1"/>
      <c r="F904" s="2"/>
      <c r="G904" s="2"/>
      <c r="H904" s="1"/>
      <c r="I904" s="1"/>
      <c r="J904" s="1"/>
      <c r="K904" s="3"/>
      <c r="L904" s="1"/>
      <c r="M904" s="1"/>
      <c r="N904" s="1"/>
      <c r="O904" s="1"/>
      <c r="P904" s="1"/>
      <c r="Q904" s="1"/>
      <c r="R904" s="1"/>
      <c r="S904" s="1"/>
      <c r="T904" s="1"/>
      <c r="U904" s="1"/>
      <c r="V904" s="1"/>
      <c r="W904" s="1"/>
      <c r="X904" s="1"/>
      <c r="Y904" s="1"/>
      <c r="Z904" s="1"/>
      <c r="AA904" s="1"/>
      <c r="AB904" s="1"/>
      <c r="AC904" s="1"/>
    </row>
    <row r="905">
      <c r="A905" s="1"/>
      <c r="B905" s="1"/>
      <c r="C905" s="1"/>
      <c r="D905" s="1"/>
      <c r="E905" s="1"/>
      <c r="F905" s="2"/>
      <c r="G905" s="2"/>
      <c r="H905" s="1"/>
      <c r="I905" s="1"/>
      <c r="J905" s="1"/>
      <c r="K905" s="3"/>
      <c r="L905" s="1"/>
      <c r="M905" s="1"/>
      <c r="N905" s="1"/>
      <c r="O905" s="1"/>
      <c r="P905" s="1"/>
      <c r="Q905" s="1"/>
      <c r="R905" s="1"/>
      <c r="S905" s="1"/>
      <c r="T905" s="1"/>
      <c r="U905" s="1"/>
      <c r="V905" s="1"/>
      <c r="W905" s="1"/>
      <c r="X905" s="1"/>
      <c r="Y905" s="1"/>
      <c r="Z905" s="1"/>
      <c r="AA905" s="1"/>
      <c r="AB905" s="1"/>
      <c r="AC905" s="1"/>
    </row>
    <row r="906">
      <c r="A906" s="1"/>
      <c r="B906" s="1"/>
      <c r="C906" s="1"/>
      <c r="D906" s="1"/>
      <c r="E906" s="1"/>
      <c r="F906" s="2"/>
      <c r="G906" s="2"/>
      <c r="H906" s="1"/>
      <c r="I906" s="1"/>
      <c r="J906" s="1"/>
      <c r="K906" s="3"/>
      <c r="L906" s="1"/>
      <c r="M906" s="1"/>
      <c r="N906" s="1"/>
      <c r="O906" s="1"/>
      <c r="P906" s="1"/>
      <c r="Q906" s="1"/>
      <c r="R906" s="1"/>
      <c r="S906" s="1"/>
      <c r="T906" s="1"/>
      <c r="U906" s="1"/>
      <c r="V906" s="1"/>
      <c r="W906" s="1"/>
      <c r="X906" s="1"/>
      <c r="Y906" s="1"/>
      <c r="Z906" s="1"/>
      <c r="AA906" s="1"/>
      <c r="AB906" s="1"/>
      <c r="AC906" s="1"/>
    </row>
    <row r="907">
      <c r="A907" s="1"/>
      <c r="B907" s="1"/>
      <c r="C907" s="1"/>
      <c r="D907" s="1"/>
      <c r="E907" s="1"/>
      <c r="F907" s="2"/>
      <c r="G907" s="2"/>
      <c r="H907" s="1"/>
      <c r="I907" s="1"/>
      <c r="J907" s="1"/>
      <c r="K907" s="3"/>
      <c r="L907" s="1"/>
      <c r="M907" s="1"/>
      <c r="N907" s="1"/>
      <c r="O907" s="1"/>
      <c r="P907" s="1"/>
      <c r="Q907" s="1"/>
      <c r="R907" s="1"/>
      <c r="S907" s="1"/>
      <c r="T907" s="1"/>
      <c r="U907" s="1"/>
      <c r="V907" s="1"/>
      <c r="W907" s="1"/>
      <c r="X907" s="1"/>
      <c r="Y907" s="1"/>
      <c r="Z907" s="1"/>
      <c r="AA907" s="1"/>
      <c r="AB907" s="1"/>
      <c r="AC907" s="1"/>
    </row>
    <row r="908">
      <c r="A908" s="1"/>
      <c r="B908" s="1"/>
      <c r="C908" s="1"/>
      <c r="D908" s="1"/>
      <c r="E908" s="1"/>
      <c r="F908" s="2"/>
      <c r="G908" s="2"/>
      <c r="H908" s="1"/>
      <c r="I908" s="1"/>
      <c r="J908" s="1"/>
      <c r="K908" s="3"/>
      <c r="L908" s="1"/>
      <c r="M908" s="1"/>
      <c r="N908" s="1"/>
      <c r="O908" s="1"/>
      <c r="P908" s="1"/>
      <c r="Q908" s="1"/>
      <c r="R908" s="1"/>
      <c r="S908" s="1"/>
      <c r="T908" s="1"/>
      <c r="U908" s="1"/>
      <c r="V908" s="1"/>
      <c r="W908" s="1"/>
      <c r="X908" s="1"/>
      <c r="Y908" s="1"/>
      <c r="Z908" s="1"/>
      <c r="AA908" s="1"/>
      <c r="AB908" s="1"/>
      <c r="AC908" s="1"/>
    </row>
    <row r="909">
      <c r="A909" s="1"/>
      <c r="B909" s="1"/>
      <c r="C909" s="1"/>
      <c r="D909" s="1"/>
      <c r="E909" s="1"/>
      <c r="F909" s="2"/>
      <c r="G909" s="2"/>
      <c r="H909" s="1"/>
      <c r="I909" s="1"/>
      <c r="J909" s="1"/>
      <c r="K909" s="3"/>
      <c r="L909" s="1"/>
      <c r="M909" s="1"/>
      <c r="N909" s="1"/>
      <c r="O909" s="1"/>
      <c r="P909" s="1"/>
      <c r="Q909" s="1"/>
      <c r="R909" s="1"/>
      <c r="S909" s="1"/>
      <c r="T909" s="1"/>
      <c r="U909" s="1"/>
      <c r="V909" s="1"/>
      <c r="W909" s="1"/>
      <c r="X909" s="1"/>
      <c r="Y909" s="1"/>
      <c r="Z909" s="1"/>
      <c r="AA909" s="1"/>
      <c r="AB909" s="1"/>
      <c r="AC909" s="1"/>
    </row>
    <row r="910">
      <c r="A910" s="1"/>
      <c r="B910" s="1"/>
      <c r="C910" s="1"/>
      <c r="D910" s="1"/>
      <c r="E910" s="1"/>
      <c r="F910" s="2"/>
      <c r="G910" s="2"/>
      <c r="H910" s="1"/>
      <c r="I910" s="1"/>
      <c r="J910" s="1"/>
      <c r="K910" s="3"/>
      <c r="L910" s="1"/>
      <c r="M910" s="1"/>
      <c r="N910" s="1"/>
      <c r="O910" s="1"/>
      <c r="P910" s="1"/>
      <c r="Q910" s="1"/>
      <c r="R910" s="1"/>
      <c r="S910" s="1"/>
      <c r="T910" s="1"/>
      <c r="U910" s="1"/>
      <c r="V910" s="1"/>
      <c r="W910" s="1"/>
      <c r="X910" s="1"/>
      <c r="Y910" s="1"/>
      <c r="Z910" s="1"/>
      <c r="AA910" s="1"/>
      <c r="AB910" s="1"/>
      <c r="AC910" s="1"/>
    </row>
    <row r="911">
      <c r="A911" s="1"/>
      <c r="B911" s="1"/>
      <c r="C911" s="1"/>
      <c r="D911" s="1"/>
      <c r="E911" s="1"/>
      <c r="F911" s="2"/>
      <c r="G911" s="2"/>
      <c r="H911" s="1"/>
      <c r="I911" s="1"/>
      <c r="J911" s="1"/>
      <c r="K911" s="3"/>
      <c r="L911" s="1"/>
      <c r="M911" s="1"/>
      <c r="N911" s="1"/>
      <c r="O911" s="1"/>
      <c r="P911" s="1"/>
      <c r="Q911" s="1"/>
      <c r="R911" s="1"/>
      <c r="S911" s="1"/>
      <c r="T911" s="1"/>
      <c r="U911" s="1"/>
      <c r="V911" s="1"/>
      <c r="W911" s="1"/>
      <c r="X911" s="1"/>
      <c r="Y911" s="1"/>
      <c r="Z911" s="1"/>
      <c r="AA911" s="1"/>
      <c r="AB911" s="1"/>
      <c r="AC911" s="1"/>
    </row>
    <row r="912">
      <c r="A912" s="1"/>
      <c r="B912" s="1"/>
      <c r="C912" s="1"/>
      <c r="D912" s="1"/>
      <c r="E912" s="1"/>
      <c r="F912" s="2"/>
      <c r="G912" s="2"/>
      <c r="H912" s="1"/>
      <c r="I912" s="1"/>
      <c r="J912" s="1"/>
      <c r="K912" s="3"/>
      <c r="L912" s="1"/>
      <c r="M912" s="1"/>
      <c r="N912" s="1"/>
      <c r="O912" s="1"/>
      <c r="P912" s="1"/>
      <c r="Q912" s="1"/>
      <c r="R912" s="1"/>
      <c r="S912" s="1"/>
      <c r="T912" s="1"/>
      <c r="U912" s="1"/>
      <c r="V912" s="1"/>
      <c r="W912" s="1"/>
      <c r="X912" s="1"/>
      <c r="Y912" s="1"/>
      <c r="Z912" s="1"/>
      <c r="AA912" s="1"/>
      <c r="AB912" s="1"/>
      <c r="AC912" s="1"/>
    </row>
    <row r="913">
      <c r="A913" s="1"/>
      <c r="B913" s="1"/>
      <c r="C913" s="1"/>
      <c r="D913" s="1"/>
      <c r="E913" s="1"/>
      <c r="F913" s="2"/>
      <c r="G913" s="2"/>
      <c r="H913" s="1"/>
      <c r="I913" s="1"/>
      <c r="J913" s="1"/>
      <c r="K913" s="3"/>
      <c r="L913" s="1"/>
      <c r="M913" s="1"/>
      <c r="N913" s="1"/>
      <c r="O913" s="1"/>
      <c r="P913" s="1"/>
      <c r="Q913" s="1"/>
      <c r="R913" s="1"/>
      <c r="S913" s="1"/>
      <c r="T913" s="1"/>
      <c r="U913" s="1"/>
      <c r="V913" s="1"/>
      <c r="W913" s="1"/>
      <c r="X913" s="1"/>
      <c r="Y913" s="1"/>
      <c r="Z913" s="1"/>
      <c r="AA913" s="1"/>
      <c r="AB913" s="1"/>
      <c r="AC913" s="1"/>
    </row>
    <row r="914">
      <c r="A914" s="1"/>
      <c r="B914" s="1"/>
      <c r="C914" s="1"/>
      <c r="D914" s="1"/>
      <c r="E914" s="1"/>
      <c r="F914" s="2"/>
      <c r="G914" s="2"/>
      <c r="H914" s="1"/>
      <c r="I914" s="1"/>
      <c r="J914" s="1"/>
      <c r="K914" s="3"/>
      <c r="L914" s="1"/>
      <c r="M914" s="1"/>
      <c r="N914" s="1"/>
      <c r="O914" s="1"/>
      <c r="P914" s="1"/>
      <c r="Q914" s="1"/>
      <c r="R914" s="1"/>
      <c r="S914" s="1"/>
      <c r="T914" s="1"/>
      <c r="U914" s="1"/>
      <c r="V914" s="1"/>
      <c r="W914" s="1"/>
      <c r="X914" s="1"/>
      <c r="Y914" s="1"/>
      <c r="Z914" s="1"/>
      <c r="AA914" s="1"/>
      <c r="AB914" s="1"/>
      <c r="AC914" s="1"/>
    </row>
    <row r="915">
      <c r="A915" s="1"/>
      <c r="B915" s="1"/>
      <c r="C915" s="1"/>
      <c r="D915" s="1"/>
      <c r="E915" s="1"/>
      <c r="F915" s="2"/>
      <c r="G915" s="2"/>
      <c r="H915" s="1"/>
      <c r="I915" s="1"/>
      <c r="J915" s="1"/>
      <c r="K915" s="3"/>
      <c r="L915" s="1"/>
      <c r="M915" s="1"/>
      <c r="N915" s="1"/>
      <c r="O915" s="1"/>
      <c r="P915" s="1"/>
      <c r="Q915" s="1"/>
      <c r="R915" s="1"/>
      <c r="S915" s="1"/>
      <c r="T915" s="1"/>
      <c r="U915" s="1"/>
      <c r="V915" s="1"/>
      <c r="W915" s="1"/>
      <c r="X915" s="1"/>
      <c r="Y915" s="1"/>
      <c r="Z915" s="1"/>
      <c r="AA915" s="1"/>
      <c r="AB915" s="1"/>
      <c r="AC915" s="1"/>
    </row>
    <row r="916">
      <c r="A916" s="1"/>
      <c r="B916" s="1"/>
      <c r="C916" s="1"/>
      <c r="D916" s="1"/>
      <c r="E916" s="1"/>
      <c r="F916" s="2"/>
      <c r="G916" s="2"/>
      <c r="H916" s="1"/>
      <c r="I916" s="1"/>
      <c r="J916" s="1"/>
      <c r="K916" s="3"/>
      <c r="L916" s="1"/>
      <c r="M916" s="1"/>
      <c r="N916" s="1"/>
      <c r="O916" s="1"/>
      <c r="P916" s="1"/>
      <c r="Q916" s="1"/>
      <c r="R916" s="1"/>
      <c r="S916" s="1"/>
      <c r="T916" s="1"/>
      <c r="U916" s="1"/>
      <c r="V916" s="1"/>
      <c r="W916" s="1"/>
      <c r="X916" s="1"/>
      <c r="Y916" s="1"/>
      <c r="Z916" s="1"/>
      <c r="AA916" s="1"/>
      <c r="AB916" s="1"/>
      <c r="AC916" s="1"/>
    </row>
    <row r="917">
      <c r="A917" s="1"/>
      <c r="B917" s="1"/>
      <c r="C917" s="1"/>
      <c r="D917" s="1"/>
      <c r="E917" s="1"/>
      <c r="F917" s="2"/>
      <c r="G917" s="2"/>
      <c r="H917" s="1"/>
      <c r="I917" s="1"/>
      <c r="J917" s="1"/>
      <c r="K917" s="3"/>
      <c r="L917" s="1"/>
      <c r="M917" s="1"/>
      <c r="N917" s="1"/>
      <c r="O917" s="1"/>
      <c r="P917" s="1"/>
      <c r="Q917" s="1"/>
      <c r="R917" s="1"/>
      <c r="S917" s="1"/>
      <c r="T917" s="1"/>
      <c r="U917" s="1"/>
      <c r="V917" s="1"/>
      <c r="W917" s="1"/>
      <c r="X917" s="1"/>
      <c r="Y917" s="1"/>
      <c r="Z917" s="1"/>
      <c r="AA917" s="1"/>
      <c r="AB917" s="1"/>
      <c r="AC917" s="1"/>
    </row>
    <row r="918">
      <c r="A918" s="1"/>
      <c r="B918" s="1"/>
      <c r="C918" s="1"/>
      <c r="D918" s="1"/>
      <c r="E918" s="1"/>
      <c r="F918" s="2"/>
      <c r="G918" s="2"/>
      <c r="H918" s="1"/>
      <c r="I918" s="1"/>
      <c r="J918" s="1"/>
      <c r="K918" s="3"/>
      <c r="L918" s="1"/>
      <c r="M918" s="1"/>
      <c r="N918" s="1"/>
      <c r="O918" s="1"/>
      <c r="P918" s="1"/>
      <c r="Q918" s="1"/>
      <c r="R918" s="1"/>
      <c r="S918" s="1"/>
      <c r="T918" s="1"/>
      <c r="U918" s="1"/>
      <c r="V918" s="1"/>
      <c r="W918" s="1"/>
      <c r="X918" s="1"/>
      <c r="Y918" s="1"/>
      <c r="Z918" s="1"/>
      <c r="AA918" s="1"/>
      <c r="AB918" s="1"/>
      <c r="AC918" s="1"/>
    </row>
    <row r="919">
      <c r="A919" s="1"/>
      <c r="B919" s="1"/>
      <c r="C919" s="1"/>
      <c r="D919" s="1"/>
      <c r="E919" s="1"/>
      <c r="F919" s="2"/>
      <c r="G919" s="2"/>
      <c r="H919" s="1"/>
      <c r="I919" s="1"/>
      <c r="J919" s="1"/>
      <c r="K919" s="3"/>
      <c r="L919" s="1"/>
      <c r="M919" s="1"/>
      <c r="N919" s="1"/>
      <c r="O919" s="1"/>
      <c r="P919" s="1"/>
      <c r="Q919" s="1"/>
      <c r="R919" s="1"/>
      <c r="S919" s="1"/>
      <c r="T919" s="1"/>
      <c r="U919" s="1"/>
      <c r="V919" s="1"/>
      <c r="W919" s="1"/>
      <c r="X919" s="1"/>
      <c r="Y919" s="1"/>
      <c r="Z919" s="1"/>
      <c r="AA919" s="1"/>
      <c r="AB919" s="1"/>
      <c r="AC919" s="1"/>
    </row>
    <row r="920">
      <c r="A920" s="1"/>
      <c r="B920" s="1"/>
      <c r="C920" s="1"/>
      <c r="D920" s="1"/>
      <c r="E920" s="1"/>
      <c r="F920" s="2"/>
      <c r="G920" s="2"/>
      <c r="H920" s="1"/>
      <c r="I920" s="1"/>
      <c r="J920" s="1"/>
      <c r="K920" s="3"/>
      <c r="L920" s="1"/>
      <c r="M920" s="1"/>
      <c r="N920" s="1"/>
      <c r="O920" s="1"/>
      <c r="P920" s="1"/>
      <c r="Q920" s="1"/>
      <c r="R920" s="1"/>
      <c r="S920" s="1"/>
      <c r="T920" s="1"/>
      <c r="U920" s="1"/>
      <c r="V920" s="1"/>
      <c r="W920" s="1"/>
      <c r="X920" s="1"/>
      <c r="Y920" s="1"/>
      <c r="Z920" s="1"/>
      <c r="AA920" s="1"/>
      <c r="AB920" s="1"/>
      <c r="AC920" s="1"/>
    </row>
    <row r="921">
      <c r="A921" s="1"/>
      <c r="B921" s="1"/>
      <c r="C921" s="1"/>
      <c r="D921" s="1"/>
      <c r="E921" s="1"/>
      <c r="F921" s="2"/>
      <c r="G921" s="2"/>
      <c r="H921" s="1"/>
      <c r="I921" s="1"/>
      <c r="J921" s="1"/>
      <c r="K921" s="3"/>
      <c r="L921" s="1"/>
      <c r="M921" s="1"/>
      <c r="N921" s="1"/>
      <c r="O921" s="1"/>
      <c r="P921" s="1"/>
      <c r="Q921" s="1"/>
      <c r="R921" s="1"/>
      <c r="S921" s="1"/>
      <c r="T921" s="1"/>
      <c r="U921" s="1"/>
      <c r="V921" s="1"/>
      <c r="W921" s="1"/>
      <c r="X921" s="1"/>
      <c r="Y921" s="1"/>
      <c r="Z921" s="1"/>
      <c r="AA921" s="1"/>
      <c r="AB921" s="1"/>
      <c r="AC921" s="1"/>
    </row>
    <row r="922">
      <c r="A922" s="1"/>
      <c r="B922" s="1"/>
      <c r="C922" s="1"/>
      <c r="D922" s="1"/>
      <c r="E922" s="1"/>
      <c r="F922" s="2"/>
      <c r="G922" s="2"/>
      <c r="H922" s="1"/>
      <c r="I922" s="1"/>
      <c r="J922" s="1"/>
      <c r="K922" s="3"/>
      <c r="L922" s="1"/>
      <c r="M922" s="1"/>
      <c r="N922" s="1"/>
      <c r="O922" s="1"/>
      <c r="P922" s="1"/>
      <c r="Q922" s="1"/>
      <c r="R922" s="1"/>
      <c r="S922" s="1"/>
      <c r="T922" s="1"/>
      <c r="U922" s="1"/>
      <c r="V922" s="1"/>
      <c r="W922" s="1"/>
      <c r="X922" s="1"/>
      <c r="Y922" s="1"/>
      <c r="Z922" s="1"/>
      <c r="AA922" s="1"/>
      <c r="AB922" s="1"/>
      <c r="AC922" s="1"/>
    </row>
    <row r="923">
      <c r="A923" s="1"/>
      <c r="B923" s="1"/>
      <c r="C923" s="1"/>
      <c r="D923" s="1"/>
      <c r="E923" s="1"/>
      <c r="F923" s="2"/>
      <c r="G923" s="2"/>
      <c r="H923" s="1"/>
      <c r="I923" s="1"/>
      <c r="J923" s="1"/>
      <c r="K923" s="3"/>
      <c r="L923" s="1"/>
      <c r="M923" s="1"/>
      <c r="N923" s="1"/>
      <c r="O923" s="1"/>
      <c r="P923" s="1"/>
      <c r="Q923" s="1"/>
      <c r="R923" s="1"/>
      <c r="S923" s="1"/>
      <c r="T923" s="1"/>
      <c r="U923" s="1"/>
      <c r="V923" s="1"/>
      <c r="W923" s="1"/>
      <c r="X923" s="1"/>
      <c r="Y923" s="1"/>
      <c r="Z923" s="1"/>
      <c r="AA923" s="1"/>
      <c r="AB923" s="1"/>
      <c r="AC923" s="1"/>
    </row>
    <row r="924">
      <c r="A924" s="1"/>
      <c r="B924" s="1"/>
      <c r="C924" s="1"/>
      <c r="D924" s="1"/>
      <c r="E924" s="1"/>
      <c r="F924" s="2"/>
      <c r="G924" s="2"/>
      <c r="H924" s="1"/>
      <c r="I924" s="1"/>
      <c r="J924" s="1"/>
      <c r="K924" s="3"/>
      <c r="L924" s="1"/>
      <c r="M924" s="1"/>
      <c r="N924" s="1"/>
      <c r="O924" s="1"/>
      <c r="P924" s="1"/>
      <c r="Q924" s="1"/>
      <c r="R924" s="1"/>
      <c r="S924" s="1"/>
      <c r="T924" s="1"/>
      <c r="U924" s="1"/>
      <c r="V924" s="1"/>
      <c r="W924" s="1"/>
      <c r="X924" s="1"/>
      <c r="Y924" s="1"/>
      <c r="Z924" s="1"/>
      <c r="AA924" s="1"/>
      <c r="AB924" s="1"/>
      <c r="AC924" s="1"/>
    </row>
    <row r="925">
      <c r="A925" s="1"/>
      <c r="B925" s="1"/>
      <c r="C925" s="1"/>
      <c r="D925" s="1"/>
      <c r="E925" s="1"/>
      <c r="F925" s="2"/>
      <c r="G925" s="2"/>
      <c r="H925" s="1"/>
      <c r="I925" s="1"/>
      <c r="J925" s="1"/>
      <c r="K925" s="3"/>
      <c r="L925" s="1"/>
      <c r="M925" s="1"/>
      <c r="N925" s="1"/>
      <c r="O925" s="1"/>
      <c r="P925" s="1"/>
      <c r="Q925" s="1"/>
      <c r="R925" s="1"/>
      <c r="S925" s="1"/>
      <c r="T925" s="1"/>
      <c r="U925" s="1"/>
      <c r="V925" s="1"/>
      <c r="W925" s="1"/>
      <c r="X925" s="1"/>
      <c r="Y925" s="1"/>
      <c r="Z925" s="1"/>
      <c r="AA925" s="1"/>
      <c r="AB925" s="1"/>
      <c r="AC925" s="1"/>
    </row>
    <row r="926">
      <c r="A926" s="1"/>
      <c r="B926" s="1"/>
      <c r="C926" s="1"/>
      <c r="D926" s="1"/>
      <c r="E926" s="1"/>
      <c r="F926" s="2"/>
      <c r="G926" s="2"/>
      <c r="H926" s="1"/>
      <c r="I926" s="1"/>
      <c r="J926" s="1"/>
      <c r="K926" s="3"/>
      <c r="L926" s="1"/>
      <c r="M926" s="1"/>
      <c r="N926" s="1"/>
      <c r="O926" s="1"/>
      <c r="P926" s="1"/>
      <c r="Q926" s="1"/>
      <c r="R926" s="1"/>
      <c r="S926" s="1"/>
      <c r="T926" s="1"/>
      <c r="U926" s="1"/>
      <c r="V926" s="1"/>
      <c r="W926" s="1"/>
      <c r="X926" s="1"/>
      <c r="Y926" s="1"/>
      <c r="Z926" s="1"/>
      <c r="AA926" s="1"/>
      <c r="AB926" s="1"/>
      <c r="AC926" s="1"/>
    </row>
    <row r="927">
      <c r="A927" s="1"/>
      <c r="B927" s="1"/>
      <c r="C927" s="1"/>
      <c r="D927" s="1"/>
      <c r="E927" s="1"/>
      <c r="F927" s="2"/>
      <c r="G927" s="2"/>
      <c r="H927" s="1"/>
      <c r="I927" s="1"/>
      <c r="J927" s="1"/>
      <c r="K927" s="3"/>
      <c r="L927" s="1"/>
      <c r="M927" s="1"/>
      <c r="N927" s="1"/>
      <c r="O927" s="1"/>
      <c r="P927" s="1"/>
      <c r="Q927" s="1"/>
      <c r="R927" s="1"/>
      <c r="S927" s="1"/>
      <c r="T927" s="1"/>
      <c r="U927" s="1"/>
      <c r="V927" s="1"/>
      <c r="W927" s="1"/>
      <c r="X927" s="1"/>
      <c r="Y927" s="1"/>
      <c r="Z927" s="1"/>
      <c r="AA927" s="1"/>
      <c r="AB927" s="1"/>
      <c r="AC927" s="1"/>
    </row>
    <row r="928">
      <c r="A928" s="1"/>
      <c r="B928" s="1"/>
      <c r="C928" s="1"/>
      <c r="D928" s="1"/>
      <c r="E928" s="1"/>
      <c r="F928" s="2"/>
      <c r="G928" s="2"/>
      <c r="H928" s="1"/>
      <c r="I928" s="1"/>
      <c r="J928" s="1"/>
      <c r="K928" s="3"/>
      <c r="L928" s="1"/>
      <c r="M928" s="1"/>
      <c r="N928" s="1"/>
      <c r="O928" s="1"/>
      <c r="P928" s="1"/>
      <c r="Q928" s="1"/>
      <c r="R928" s="1"/>
      <c r="S928" s="1"/>
      <c r="T928" s="1"/>
      <c r="U928" s="1"/>
      <c r="V928" s="1"/>
      <c r="W928" s="1"/>
      <c r="X928" s="1"/>
      <c r="Y928" s="1"/>
      <c r="Z928" s="1"/>
      <c r="AA928" s="1"/>
      <c r="AB928" s="1"/>
      <c r="AC928" s="1"/>
    </row>
    <row r="929">
      <c r="A929" s="1"/>
      <c r="B929" s="1"/>
      <c r="C929" s="1"/>
      <c r="D929" s="1"/>
      <c r="E929" s="1"/>
      <c r="F929" s="2"/>
      <c r="G929" s="2"/>
      <c r="H929" s="1"/>
      <c r="I929" s="1"/>
      <c r="J929" s="1"/>
      <c r="K929" s="3"/>
      <c r="L929" s="1"/>
      <c r="M929" s="1"/>
      <c r="N929" s="1"/>
      <c r="O929" s="1"/>
      <c r="P929" s="1"/>
      <c r="Q929" s="1"/>
      <c r="R929" s="1"/>
      <c r="S929" s="1"/>
      <c r="T929" s="1"/>
      <c r="U929" s="1"/>
      <c r="V929" s="1"/>
      <c r="W929" s="1"/>
      <c r="X929" s="1"/>
      <c r="Y929" s="1"/>
      <c r="Z929" s="1"/>
      <c r="AA929" s="1"/>
      <c r="AB929" s="1"/>
      <c r="AC929" s="1"/>
    </row>
    <row r="930">
      <c r="A930" s="1"/>
      <c r="B930" s="1"/>
      <c r="C930" s="1"/>
      <c r="D930" s="1"/>
      <c r="E930" s="1"/>
      <c r="F930" s="2"/>
      <c r="G930" s="2"/>
      <c r="H930" s="1"/>
      <c r="I930" s="1"/>
      <c r="J930" s="1"/>
      <c r="K930" s="3"/>
      <c r="L930" s="1"/>
      <c r="M930" s="1"/>
      <c r="N930" s="1"/>
      <c r="O930" s="1"/>
      <c r="P930" s="1"/>
      <c r="Q930" s="1"/>
      <c r="R930" s="1"/>
      <c r="S930" s="1"/>
      <c r="T930" s="1"/>
      <c r="U930" s="1"/>
      <c r="V930" s="1"/>
      <c r="W930" s="1"/>
      <c r="X930" s="1"/>
      <c r="Y930" s="1"/>
      <c r="Z930" s="1"/>
      <c r="AA930" s="1"/>
      <c r="AB930" s="1"/>
      <c r="AC930" s="1"/>
    </row>
    <row r="931">
      <c r="A931" s="1"/>
      <c r="B931" s="1"/>
      <c r="C931" s="1"/>
      <c r="D931" s="1"/>
      <c r="E931" s="1"/>
      <c r="F931" s="2"/>
      <c r="G931" s="2"/>
      <c r="H931" s="1"/>
      <c r="I931" s="1"/>
      <c r="J931" s="1"/>
      <c r="K931" s="3"/>
      <c r="L931" s="1"/>
      <c r="M931" s="1"/>
      <c r="N931" s="1"/>
      <c r="O931" s="1"/>
      <c r="P931" s="1"/>
      <c r="Q931" s="1"/>
      <c r="R931" s="1"/>
      <c r="S931" s="1"/>
      <c r="T931" s="1"/>
      <c r="U931" s="1"/>
      <c r="V931" s="1"/>
      <c r="W931" s="1"/>
      <c r="X931" s="1"/>
      <c r="Y931" s="1"/>
      <c r="Z931" s="1"/>
      <c r="AA931" s="1"/>
      <c r="AB931" s="1"/>
      <c r="AC931" s="1"/>
    </row>
    <row r="932">
      <c r="A932" s="1"/>
      <c r="B932" s="1"/>
      <c r="C932" s="1"/>
      <c r="D932" s="1"/>
      <c r="E932" s="1"/>
      <c r="F932" s="2"/>
      <c r="G932" s="2"/>
      <c r="H932" s="1"/>
      <c r="I932" s="1"/>
      <c r="J932" s="1"/>
      <c r="K932" s="3"/>
      <c r="L932" s="1"/>
      <c r="M932" s="1"/>
      <c r="N932" s="1"/>
      <c r="O932" s="1"/>
      <c r="P932" s="1"/>
      <c r="Q932" s="1"/>
      <c r="R932" s="1"/>
      <c r="S932" s="1"/>
      <c r="T932" s="1"/>
      <c r="U932" s="1"/>
      <c r="V932" s="1"/>
      <c r="W932" s="1"/>
      <c r="X932" s="1"/>
      <c r="Y932" s="1"/>
      <c r="Z932" s="1"/>
      <c r="AA932" s="1"/>
      <c r="AB932" s="1"/>
      <c r="AC932" s="1"/>
    </row>
    <row r="933">
      <c r="A933" s="1"/>
      <c r="B933" s="1"/>
      <c r="C933" s="1"/>
      <c r="D933" s="1"/>
      <c r="E933" s="1"/>
      <c r="F933" s="2"/>
      <c r="G933" s="2"/>
      <c r="H933" s="1"/>
      <c r="I933" s="1"/>
      <c r="J933" s="1"/>
      <c r="K933" s="3"/>
      <c r="L933" s="1"/>
      <c r="M933" s="1"/>
      <c r="N933" s="1"/>
      <c r="O933" s="1"/>
      <c r="P933" s="1"/>
      <c r="Q933" s="1"/>
      <c r="R933" s="1"/>
      <c r="S933" s="1"/>
      <c r="T933" s="1"/>
      <c r="U933" s="1"/>
      <c r="V933" s="1"/>
      <c r="W933" s="1"/>
      <c r="X933" s="1"/>
      <c r="Y933" s="1"/>
      <c r="Z933" s="1"/>
      <c r="AA933" s="1"/>
      <c r="AB933" s="1"/>
      <c r="AC933" s="1"/>
    </row>
    <row r="934">
      <c r="A934" s="1"/>
      <c r="B934" s="1"/>
      <c r="C934" s="1"/>
      <c r="D934" s="1"/>
      <c r="E934" s="1"/>
      <c r="F934" s="2"/>
      <c r="G934" s="2"/>
      <c r="H934" s="1"/>
      <c r="I934" s="1"/>
      <c r="J934" s="1"/>
      <c r="K934" s="3"/>
      <c r="L934" s="1"/>
      <c r="M934" s="1"/>
      <c r="N934" s="1"/>
      <c r="O934" s="1"/>
      <c r="P934" s="1"/>
      <c r="Q934" s="1"/>
      <c r="R934" s="1"/>
      <c r="S934" s="1"/>
      <c r="T934" s="1"/>
      <c r="U934" s="1"/>
      <c r="V934" s="1"/>
      <c r="W934" s="1"/>
      <c r="X934" s="1"/>
      <c r="Y934" s="1"/>
      <c r="Z934" s="1"/>
      <c r="AA934" s="1"/>
      <c r="AB934" s="1"/>
      <c r="AC934" s="1"/>
    </row>
    <row r="935">
      <c r="A935" s="1"/>
      <c r="B935" s="1"/>
      <c r="C935" s="1"/>
      <c r="D935" s="1"/>
      <c r="E935" s="1"/>
      <c r="F935" s="2"/>
      <c r="G935" s="2"/>
      <c r="H935" s="1"/>
      <c r="I935" s="1"/>
      <c r="J935" s="1"/>
      <c r="K935" s="3"/>
      <c r="L935" s="1"/>
      <c r="M935" s="1"/>
      <c r="N935" s="1"/>
      <c r="O935" s="1"/>
      <c r="P935" s="1"/>
      <c r="Q935" s="1"/>
      <c r="R935" s="1"/>
      <c r="S935" s="1"/>
      <c r="T935" s="1"/>
      <c r="U935" s="1"/>
      <c r="V935" s="1"/>
      <c r="W935" s="1"/>
      <c r="X935" s="1"/>
      <c r="Y935" s="1"/>
      <c r="Z935" s="1"/>
      <c r="AA935" s="1"/>
      <c r="AB935" s="1"/>
      <c r="AC935" s="1"/>
    </row>
    <row r="936">
      <c r="A936" s="1"/>
      <c r="B936" s="1"/>
      <c r="C936" s="1"/>
      <c r="D936" s="1"/>
      <c r="E936" s="1"/>
      <c r="F936" s="2"/>
      <c r="G936" s="2"/>
      <c r="H936" s="1"/>
      <c r="I936" s="1"/>
      <c r="J936" s="1"/>
      <c r="K936" s="3"/>
      <c r="L936" s="1"/>
      <c r="M936" s="1"/>
      <c r="N936" s="1"/>
      <c r="O936" s="1"/>
      <c r="P936" s="1"/>
      <c r="Q936" s="1"/>
      <c r="R936" s="1"/>
      <c r="S936" s="1"/>
      <c r="T936" s="1"/>
      <c r="U936" s="1"/>
      <c r="V936" s="1"/>
      <c r="W936" s="1"/>
      <c r="X936" s="1"/>
      <c r="Y936" s="1"/>
      <c r="Z936" s="1"/>
      <c r="AA936" s="1"/>
      <c r="AB936" s="1"/>
      <c r="AC936" s="1"/>
    </row>
    <row r="937">
      <c r="A937" s="1"/>
      <c r="B937" s="1"/>
      <c r="C937" s="1"/>
      <c r="D937" s="1"/>
      <c r="E937" s="1"/>
      <c r="F937" s="2"/>
      <c r="G937" s="2"/>
      <c r="H937" s="1"/>
      <c r="I937" s="1"/>
      <c r="J937" s="1"/>
      <c r="K937" s="3"/>
      <c r="L937" s="1"/>
      <c r="M937" s="1"/>
      <c r="N937" s="1"/>
      <c r="O937" s="1"/>
      <c r="P937" s="1"/>
      <c r="Q937" s="1"/>
      <c r="R937" s="1"/>
      <c r="S937" s="1"/>
      <c r="T937" s="1"/>
      <c r="U937" s="1"/>
      <c r="V937" s="1"/>
      <c r="W937" s="1"/>
      <c r="X937" s="1"/>
      <c r="Y937" s="1"/>
      <c r="Z937" s="1"/>
      <c r="AA937" s="1"/>
      <c r="AB937" s="1"/>
      <c r="AC937" s="1"/>
    </row>
    <row r="938">
      <c r="A938" s="1"/>
      <c r="B938" s="1"/>
      <c r="C938" s="1"/>
      <c r="D938" s="1"/>
      <c r="E938" s="1"/>
      <c r="F938" s="2"/>
      <c r="G938" s="2"/>
      <c r="H938" s="1"/>
      <c r="I938" s="1"/>
      <c r="J938" s="1"/>
      <c r="K938" s="3"/>
      <c r="L938" s="1"/>
      <c r="M938" s="1"/>
      <c r="N938" s="1"/>
      <c r="O938" s="1"/>
      <c r="P938" s="1"/>
      <c r="Q938" s="1"/>
      <c r="R938" s="1"/>
      <c r="S938" s="1"/>
      <c r="T938" s="1"/>
      <c r="U938" s="1"/>
      <c r="V938" s="1"/>
      <c r="W938" s="1"/>
      <c r="X938" s="1"/>
      <c r="Y938" s="1"/>
      <c r="Z938" s="1"/>
      <c r="AA938" s="1"/>
      <c r="AB938" s="1"/>
      <c r="AC938" s="1"/>
    </row>
    <row r="939">
      <c r="A939" s="1"/>
      <c r="B939" s="1"/>
      <c r="C939" s="1"/>
      <c r="D939" s="1"/>
      <c r="E939" s="1"/>
      <c r="F939" s="2"/>
      <c r="G939" s="2"/>
      <c r="H939" s="1"/>
      <c r="I939" s="1"/>
      <c r="J939" s="1"/>
      <c r="K939" s="3"/>
      <c r="L939" s="1"/>
      <c r="M939" s="1"/>
      <c r="N939" s="1"/>
      <c r="O939" s="1"/>
      <c r="P939" s="1"/>
      <c r="Q939" s="1"/>
      <c r="R939" s="1"/>
      <c r="S939" s="1"/>
      <c r="T939" s="1"/>
      <c r="U939" s="1"/>
      <c r="V939" s="1"/>
      <c r="W939" s="1"/>
      <c r="X939" s="1"/>
      <c r="Y939" s="1"/>
      <c r="Z939" s="1"/>
      <c r="AA939" s="1"/>
      <c r="AB939" s="1"/>
      <c r="AC939" s="1"/>
    </row>
    <row r="940">
      <c r="A940" s="1"/>
      <c r="B940" s="1"/>
      <c r="C940" s="1"/>
      <c r="D940" s="1"/>
      <c r="E940" s="1"/>
      <c r="F940" s="2"/>
      <c r="G940" s="2"/>
      <c r="H940" s="1"/>
      <c r="I940" s="1"/>
      <c r="J940" s="1"/>
      <c r="K940" s="3"/>
      <c r="L940" s="1"/>
      <c r="M940" s="1"/>
      <c r="N940" s="1"/>
      <c r="O940" s="1"/>
      <c r="P940" s="1"/>
      <c r="Q940" s="1"/>
      <c r="R940" s="1"/>
      <c r="S940" s="1"/>
      <c r="T940" s="1"/>
      <c r="U940" s="1"/>
      <c r="V940" s="1"/>
      <c r="W940" s="1"/>
      <c r="X940" s="1"/>
      <c r="Y940" s="1"/>
      <c r="Z940" s="1"/>
      <c r="AA940" s="1"/>
      <c r="AB940" s="1"/>
      <c r="AC940" s="1"/>
    </row>
    <row r="941">
      <c r="A941" s="1"/>
      <c r="B941" s="1"/>
      <c r="C941" s="1"/>
      <c r="D941" s="1"/>
      <c r="E941" s="1"/>
      <c r="F941" s="2"/>
      <c r="G941" s="2"/>
      <c r="H941" s="1"/>
      <c r="I941" s="1"/>
      <c r="J941" s="1"/>
      <c r="K941" s="3"/>
      <c r="L941" s="1"/>
      <c r="M941" s="1"/>
      <c r="N941" s="1"/>
      <c r="O941" s="1"/>
      <c r="P941" s="1"/>
      <c r="Q941" s="1"/>
      <c r="R941" s="1"/>
      <c r="S941" s="1"/>
      <c r="T941" s="1"/>
      <c r="U941" s="1"/>
      <c r="V941" s="1"/>
      <c r="W941" s="1"/>
      <c r="X941" s="1"/>
      <c r="Y941" s="1"/>
      <c r="Z941" s="1"/>
      <c r="AA941" s="1"/>
      <c r="AB941" s="1"/>
      <c r="AC941" s="1"/>
    </row>
    <row r="942">
      <c r="A942" s="1"/>
      <c r="B942" s="1"/>
      <c r="C942" s="1"/>
      <c r="D942" s="1"/>
      <c r="E942" s="1"/>
      <c r="F942" s="2"/>
      <c r="G942" s="2"/>
      <c r="H942" s="1"/>
      <c r="I942" s="1"/>
      <c r="J942" s="1"/>
      <c r="K942" s="3"/>
      <c r="L942" s="1"/>
      <c r="M942" s="1"/>
      <c r="N942" s="1"/>
      <c r="O942" s="1"/>
      <c r="P942" s="1"/>
      <c r="Q942" s="1"/>
      <c r="R942" s="1"/>
      <c r="S942" s="1"/>
      <c r="T942" s="1"/>
      <c r="U942" s="1"/>
      <c r="V942" s="1"/>
      <c r="W942" s="1"/>
      <c r="X942" s="1"/>
      <c r="Y942" s="1"/>
      <c r="Z942" s="1"/>
      <c r="AA942" s="1"/>
      <c r="AB942" s="1"/>
      <c r="AC942" s="1"/>
    </row>
    <row r="943">
      <c r="A943" s="1"/>
      <c r="B943" s="1"/>
      <c r="C943" s="1"/>
      <c r="D943" s="1"/>
      <c r="E943" s="1"/>
      <c r="F943" s="2"/>
      <c r="G943" s="2"/>
      <c r="H943" s="1"/>
      <c r="I943" s="1"/>
      <c r="J943" s="1"/>
      <c r="K943" s="3"/>
      <c r="L943" s="1"/>
      <c r="M943" s="1"/>
      <c r="N943" s="1"/>
      <c r="O943" s="1"/>
      <c r="P943" s="1"/>
      <c r="Q943" s="1"/>
      <c r="R943" s="1"/>
      <c r="S943" s="1"/>
      <c r="T943" s="1"/>
      <c r="U943" s="1"/>
      <c r="V943" s="1"/>
      <c r="W943" s="1"/>
      <c r="X943" s="1"/>
      <c r="Y943" s="1"/>
      <c r="Z943" s="1"/>
      <c r="AA943" s="1"/>
      <c r="AB943" s="1"/>
      <c r="AC943" s="1"/>
    </row>
    <row r="944">
      <c r="A944" s="1"/>
      <c r="B944" s="1"/>
      <c r="C944" s="1"/>
      <c r="D944" s="1"/>
      <c r="E944" s="1"/>
      <c r="F944" s="2"/>
      <c r="G944" s="2"/>
      <c r="H944" s="1"/>
      <c r="I944" s="1"/>
      <c r="J944" s="1"/>
      <c r="K944" s="3"/>
      <c r="L944" s="1"/>
      <c r="M944" s="1"/>
      <c r="N944" s="1"/>
      <c r="O944" s="1"/>
      <c r="P944" s="1"/>
      <c r="Q944" s="1"/>
      <c r="R944" s="1"/>
      <c r="S944" s="1"/>
      <c r="T944" s="1"/>
      <c r="U944" s="1"/>
      <c r="V944" s="1"/>
      <c r="W944" s="1"/>
      <c r="X944" s="1"/>
      <c r="Y944" s="1"/>
      <c r="Z944" s="1"/>
      <c r="AA944" s="1"/>
      <c r="AB944" s="1"/>
      <c r="AC944" s="1"/>
    </row>
    <row r="945">
      <c r="A945" s="1"/>
      <c r="B945" s="1"/>
      <c r="C945" s="1"/>
      <c r="D945" s="1"/>
      <c r="E945" s="1"/>
      <c r="F945" s="2"/>
      <c r="G945" s="2"/>
      <c r="H945" s="1"/>
      <c r="I945" s="1"/>
      <c r="J945" s="1"/>
      <c r="K945" s="3"/>
      <c r="L945" s="1"/>
      <c r="M945" s="1"/>
      <c r="N945" s="1"/>
      <c r="O945" s="1"/>
      <c r="P945" s="1"/>
      <c r="Q945" s="1"/>
      <c r="R945" s="1"/>
      <c r="S945" s="1"/>
      <c r="T945" s="1"/>
      <c r="U945" s="1"/>
      <c r="V945" s="1"/>
      <c r="W945" s="1"/>
      <c r="X945" s="1"/>
      <c r="Y945" s="1"/>
      <c r="Z945" s="1"/>
      <c r="AA945" s="1"/>
      <c r="AB945" s="1"/>
      <c r="AC945" s="1"/>
    </row>
    <row r="946">
      <c r="A946" s="1"/>
      <c r="B946" s="1"/>
      <c r="C946" s="1"/>
      <c r="D946" s="1"/>
      <c r="E946" s="1"/>
      <c r="F946" s="2"/>
      <c r="G946" s="2"/>
      <c r="H946" s="1"/>
      <c r="I946" s="1"/>
      <c r="J946" s="1"/>
      <c r="K946" s="3"/>
      <c r="L946" s="1"/>
      <c r="M946" s="1"/>
      <c r="N946" s="1"/>
      <c r="O946" s="1"/>
      <c r="P946" s="1"/>
      <c r="Q946" s="1"/>
      <c r="R946" s="1"/>
      <c r="S946" s="1"/>
      <c r="T946" s="1"/>
      <c r="U946" s="1"/>
      <c r="V946" s="1"/>
      <c r="W946" s="1"/>
      <c r="X946" s="1"/>
      <c r="Y946" s="1"/>
      <c r="Z946" s="1"/>
      <c r="AA946" s="1"/>
      <c r="AB946" s="1"/>
      <c r="AC946" s="1"/>
    </row>
    <row r="947">
      <c r="A947" s="1"/>
      <c r="B947" s="1"/>
      <c r="C947" s="1"/>
      <c r="D947" s="1"/>
      <c r="E947" s="1"/>
      <c r="F947" s="2"/>
      <c r="G947" s="2"/>
      <c r="H947" s="1"/>
      <c r="I947" s="1"/>
      <c r="J947" s="1"/>
      <c r="K947" s="3"/>
      <c r="L947" s="1"/>
      <c r="M947" s="1"/>
      <c r="N947" s="1"/>
      <c r="O947" s="1"/>
      <c r="P947" s="1"/>
      <c r="Q947" s="1"/>
      <c r="R947" s="1"/>
      <c r="S947" s="1"/>
      <c r="T947" s="1"/>
      <c r="U947" s="1"/>
      <c r="V947" s="1"/>
      <c r="W947" s="1"/>
      <c r="X947" s="1"/>
      <c r="Y947" s="1"/>
      <c r="Z947" s="1"/>
      <c r="AA947" s="1"/>
      <c r="AB947" s="1"/>
      <c r="AC947" s="1"/>
    </row>
    <row r="948">
      <c r="A948" s="1"/>
      <c r="B948" s="1"/>
      <c r="C948" s="1"/>
      <c r="D948" s="1"/>
      <c r="E948" s="1"/>
      <c r="F948" s="2"/>
      <c r="G948" s="2"/>
      <c r="H948" s="1"/>
      <c r="I948" s="1"/>
      <c r="J948" s="1"/>
      <c r="K948" s="3"/>
      <c r="L948" s="1"/>
      <c r="M948" s="1"/>
      <c r="N948" s="1"/>
      <c r="O948" s="1"/>
      <c r="P948" s="1"/>
      <c r="Q948" s="1"/>
      <c r="R948" s="1"/>
      <c r="S948" s="1"/>
      <c r="T948" s="1"/>
      <c r="U948" s="1"/>
      <c r="V948" s="1"/>
      <c r="W948" s="1"/>
      <c r="X948" s="1"/>
      <c r="Y948" s="1"/>
      <c r="Z948" s="1"/>
      <c r="AA948" s="1"/>
      <c r="AB948" s="1"/>
      <c r="AC948" s="1"/>
    </row>
    <row r="949">
      <c r="A949" s="1"/>
      <c r="B949" s="1"/>
      <c r="C949" s="1"/>
      <c r="D949" s="1"/>
      <c r="E949" s="1"/>
      <c r="F949" s="2"/>
      <c r="G949" s="2"/>
      <c r="H949" s="1"/>
      <c r="I949" s="1"/>
      <c r="J949" s="1"/>
      <c r="K949" s="3"/>
      <c r="L949" s="1"/>
      <c r="M949" s="1"/>
      <c r="N949" s="1"/>
      <c r="O949" s="1"/>
      <c r="P949" s="1"/>
      <c r="Q949" s="1"/>
      <c r="R949" s="1"/>
      <c r="S949" s="1"/>
      <c r="T949" s="1"/>
      <c r="U949" s="1"/>
      <c r="V949" s="1"/>
      <c r="W949" s="1"/>
      <c r="X949" s="1"/>
      <c r="Y949" s="1"/>
      <c r="Z949" s="1"/>
      <c r="AA949" s="1"/>
      <c r="AB949" s="1"/>
      <c r="AC949" s="1"/>
    </row>
    <row r="950">
      <c r="A950" s="1"/>
      <c r="B950" s="1"/>
      <c r="C950" s="1"/>
      <c r="D950" s="1"/>
      <c r="E950" s="1"/>
      <c r="F950" s="2"/>
      <c r="G950" s="2"/>
      <c r="H950" s="1"/>
      <c r="I950" s="1"/>
      <c r="J950" s="1"/>
      <c r="K950" s="3"/>
      <c r="L950" s="1"/>
      <c r="M950" s="1"/>
      <c r="N950" s="1"/>
      <c r="O950" s="1"/>
      <c r="P950" s="1"/>
      <c r="Q950" s="1"/>
      <c r="R950" s="1"/>
      <c r="S950" s="1"/>
      <c r="T950" s="1"/>
      <c r="U950" s="1"/>
      <c r="V950" s="1"/>
      <c r="W950" s="1"/>
      <c r="X950" s="1"/>
      <c r="Y950" s="1"/>
      <c r="Z950" s="1"/>
      <c r="AA950" s="1"/>
      <c r="AB950" s="1"/>
      <c r="AC950" s="1"/>
    </row>
    <row r="951">
      <c r="A951" s="1"/>
      <c r="B951" s="1"/>
      <c r="C951" s="1"/>
      <c r="D951" s="1"/>
      <c r="E951" s="1"/>
      <c r="F951" s="2"/>
      <c r="G951" s="2"/>
      <c r="H951" s="1"/>
      <c r="I951" s="1"/>
      <c r="J951" s="1"/>
      <c r="K951" s="3"/>
      <c r="L951" s="1"/>
      <c r="M951" s="1"/>
      <c r="N951" s="1"/>
      <c r="O951" s="1"/>
      <c r="P951" s="1"/>
      <c r="Q951" s="1"/>
      <c r="R951" s="1"/>
      <c r="S951" s="1"/>
      <c r="T951" s="1"/>
      <c r="U951" s="1"/>
      <c r="V951" s="1"/>
      <c r="W951" s="1"/>
      <c r="X951" s="1"/>
      <c r="Y951" s="1"/>
      <c r="Z951" s="1"/>
      <c r="AA951" s="1"/>
      <c r="AB951" s="1"/>
      <c r="AC951" s="1"/>
    </row>
    <row r="952">
      <c r="A952" s="1"/>
      <c r="B952" s="1"/>
      <c r="C952" s="1"/>
      <c r="D952" s="1"/>
      <c r="E952" s="1"/>
      <c r="F952" s="2"/>
      <c r="G952" s="2"/>
      <c r="H952" s="1"/>
      <c r="I952" s="1"/>
      <c r="J952" s="1"/>
      <c r="K952" s="3"/>
      <c r="L952" s="1"/>
      <c r="M952" s="1"/>
      <c r="N952" s="1"/>
      <c r="O952" s="1"/>
      <c r="P952" s="1"/>
      <c r="Q952" s="1"/>
      <c r="R952" s="1"/>
      <c r="S952" s="1"/>
      <c r="T952" s="1"/>
      <c r="U952" s="1"/>
      <c r="V952" s="1"/>
      <c r="W952" s="1"/>
      <c r="X952" s="1"/>
      <c r="Y952" s="1"/>
      <c r="Z952" s="1"/>
      <c r="AA952" s="1"/>
      <c r="AB952" s="1"/>
      <c r="AC952" s="1"/>
    </row>
    <row r="953">
      <c r="A953" s="1"/>
      <c r="B953" s="1"/>
      <c r="C953" s="1"/>
      <c r="D953" s="1"/>
      <c r="E953" s="1"/>
      <c r="F953" s="2"/>
      <c r="G953" s="2"/>
      <c r="H953" s="1"/>
      <c r="I953" s="1"/>
      <c r="J953" s="1"/>
      <c r="K953" s="3"/>
      <c r="L953" s="1"/>
      <c r="M953" s="1"/>
      <c r="N953" s="1"/>
      <c r="O953" s="1"/>
      <c r="P953" s="1"/>
      <c r="Q953" s="1"/>
      <c r="R953" s="1"/>
      <c r="S953" s="1"/>
      <c r="T953" s="1"/>
      <c r="U953" s="1"/>
      <c r="V953" s="1"/>
      <c r="W953" s="1"/>
      <c r="X953" s="1"/>
      <c r="Y953" s="1"/>
      <c r="Z953" s="1"/>
      <c r="AA953" s="1"/>
      <c r="AB953" s="1"/>
      <c r="AC953" s="1"/>
    </row>
    <row r="954">
      <c r="A954" s="1"/>
      <c r="B954" s="1"/>
      <c r="C954" s="1"/>
      <c r="D954" s="1"/>
      <c r="E954" s="1"/>
      <c r="F954" s="2"/>
      <c r="G954" s="2"/>
      <c r="H954" s="1"/>
      <c r="I954" s="1"/>
      <c r="J954" s="1"/>
      <c r="K954" s="3"/>
      <c r="L954" s="1"/>
      <c r="M954" s="1"/>
      <c r="N954" s="1"/>
      <c r="O954" s="1"/>
      <c r="P954" s="1"/>
      <c r="Q954" s="1"/>
      <c r="R954" s="1"/>
      <c r="S954" s="1"/>
      <c r="T954" s="1"/>
      <c r="U954" s="1"/>
      <c r="V954" s="1"/>
      <c r="W954" s="1"/>
      <c r="X954" s="1"/>
      <c r="Y954" s="1"/>
      <c r="Z954" s="1"/>
      <c r="AA954" s="1"/>
      <c r="AB954" s="1"/>
      <c r="AC954" s="1"/>
    </row>
    <row r="955">
      <c r="A955" s="1"/>
      <c r="B955" s="1"/>
      <c r="C955" s="1"/>
      <c r="D955" s="1"/>
      <c r="E955" s="1"/>
      <c r="F955" s="2"/>
      <c r="G955" s="2"/>
      <c r="H955" s="1"/>
      <c r="I955" s="1"/>
      <c r="J955" s="1"/>
      <c r="K955" s="3"/>
      <c r="L955" s="1"/>
      <c r="M955" s="1"/>
      <c r="N955" s="1"/>
      <c r="O955" s="1"/>
      <c r="P955" s="1"/>
      <c r="Q955" s="1"/>
      <c r="R955" s="1"/>
      <c r="S955" s="1"/>
      <c r="T955" s="1"/>
      <c r="U955" s="1"/>
      <c r="V955" s="1"/>
      <c r="W955" s="1"/>
      <c r="X955" s="1"/>
      <c r="Y955" s="1"/>
      <c r="Z955" s="1"/>
      <c r="AA955" s="1"/>
      <c r="AB955" s="1"/>
      <c r="AC955" s="1"/>
    </row>
    <row r="956">
      <c r="A956" s="1"/>
      <c r="B956" s="1"/>
      <c r="C956" s="1"/>
      <c r="D956" s="1"/>
      <c r="E956" s="1"/>
      <c r="F956" s="2"/>
      <c r="G956" s="2"/>
      <c r="H956" s="1"/>
      <c r="I956" s="1"/>
      <c r="J956" s="1"/>
      <c r="K956" s="3"/>
      <c r="L956" s="1"/>
      <c r="M956" s="1"/>
      <c r="N956" s="1"/>
      <c r="O956" s="1"/>
      <c r="P956" s="1"/>
      <c r="Q956" s="1"/>
      <c r="R956" s="1"/>
      <c r="S956" s="1"/>
      <c r="T956" s="1"/>
      <c r="U956" s="1"/>
      <c r="V956" s="1"/>
      <c r="W956" s="1"/>
      <c r="X956" s="1"/>
      <c r="Y956" s="1"/>
      <c r="Z956" s="1"/>
      <c r="AA956" s="1"/>
      <c r="AB956" s="1"/>
      <c r="AC956" s="1"/>
    </row>
    <row r="957">
      <c r="A957" s="1"/>
      <c r="B957" s="1"/>
      <c r="C957" s="1"/>
      <c r="D957" s="1"/>
      <c r="E957" s="1"/>
      <c r="F957" s="2"/>
      <c r="G957" s="2"/>
      <c r="H957" s="1"/>
      <c r="I957" s="1"/>
      <c r="J957" s="1"/>
      <c r="K957" s="3"/>
      <c r="L957" s="1"/>
      <c r="M957" s="1"/>
      <c r="N957" s="1"/>
      <c r="O957" s="1"/>
      <c r="P957" s="1"/>
      <c r="Q957" s="1"/>
      <c r="R957" s="1"/>
      <c r="S957" s="1"/>
      <c r="T957" s="1"/>
      <c r="U957" s="1"/>
      <c r="V957" s="1"/>
      <c r="W957" s="1"/>
      <c r="X957" s="1"/>
      <c r="Y957" s="1"/>
      <c r="Z957" s="1"/>
      <c r="AA957" s="1"/>
      <c r="AB957" s="1"/>
      <c r="AC957" s="1"/>
    </row>
    <row r="958">
      <c r="A958" s="1"/>
      <c r="B958" s="1"/>
      <c r="C958" s="1"/>
      <c r="D958" s="1"/>
      <c r="E958" s="1"/>
      <c r="F958" s="2"/>
      <c r="G958" s="2"/>
      <c r="H958" s="1"/>
      <c r="I958" s="1"/>
      <c r="J958" s="1"/>
      <c r="K958" s="3"/>
      <c r="L958" s="1"/>
      <c r="M958" s="1"/>
      <c r="N958" s="1"/>
      <c r="O958" s="1"/>
      <c r="P958" s="1"/>
      <c r="Q958" s="1"/>
      <c r="R958" s="1"/>
      <c r="S958" s="1"/>
      <c r="T958" s="1"/>
      <c r="U958" s="1"/>
      <c r="V958" s="1"/>
      <c r="W958" s="1"/>
      <c r="X958" s="1"/>
      <c r="Y958" s="1"/>
      <c r="Z958" s="1"/>
      <c r="AA958" s="1"/>
      <c r="AB958" s="1"/>
      <c r="AC958" s="1"/>
    </row>
    <row r="959">
      <c r="A959" s="1"/>
      <c r="B959" s="1"/>
      <c r="C959" s="1"/>
      <c r="D959" s="1"/>
      <c r="E959" s="1"/>
      <c r="F959" s="2"/>
      <c r="G959" s="2"/>
      <c r="H959" s="1"/>
      <c r="I959" s="1"/>
      <c r="J959" s="1"/>
      <c r="K959" s="3"/>
      <c r="L959" s="1"/>
      <c r="M959" s="1"/>
      <c r="N959" s="1"/>
      <c r="O959" s="1"/>
      <c r="P959" s="1"/>
      <c r="Q959" s="1"/>
      <c r="R959" s="1"/>
      <c r="S959" s="1"/>
      <c r="T959" s="1"/>
      <c r="U959" s="1"/>
      <c r="V959" s="1"/>
      <c r="W959" s="1"/>
      <c r="X959" s="1"/>
      <c r="Y959" s="1"/>
      <c r="Z959" s="1"/>
      <c r="AA959" s="1"/>
      <c r="AB959" s="1"/>
      <c r="AC959" s="1"/>
    </row>
    <row r="960">
      <c r="A960" s="1"/>
      <c r="B960" s="1"/>
      <c r="C960" s="1"/>
      <c r="D960" s="1"/>
      <c r="E960" s="1"/>
      <c r="F960" s="2"/>
      <c r="G960" s="2"/>
      <c r="H960" s="1"/>
      <c r="I960" s="1"/>
      <c r="J960" s="1"/>
      <c r="K960" s="3"/>
      <c r="L960" s="1"/>
      <c r="M960" s="1"/>
      <c r="N960" s="1"/>
      <c r="O960" s="1"/>
      <c r="P960" s="1"/>
      <c r="Q960" s="1"/>
      <c r="R960" s="1"/>
      <c r="S960" s="1"/>
      <c r="T960" s="1"/>
      <c r="U960" s="1"/>
      <c r="V960" s="1"/>
      <c r="W960" s="1"/>
      <c r="X960" s="1"/>
      <c r="Y960" s="1"/>
      <c r="Z960" s="1"/>
      <c r="AA960" s="1"/>
      <c r="AB960" s="1"/>
      <c r="AC960" s="1"/>
    </row>
    <row r="961">
      <c r="A961" s="1"/>
      <c r="B961" s="1"/>
      <c r="C961" s="1"/>
      <c r="D961" s="1"/>
      <c r="E961" s="1"/>
      <c r="F961" s="2"/>
      <c r="G961" s="2"/>
      <c r="H961" s="1"/>
      <c r="I961" s="1"/>
      <c r="J961" s="1"/>
      <c r="K961" s="3"/>
      <c r="L961" s="1"/>
      <c r="M961" s="1"/>
      <c r="N961" s="1"/>
      <c r="O961" s="1"/>
      <c r="P961" s="1"/>
      <c r="Q961" s="1"/>
      <c r="R961" s="1"/>
      <c r="S961" s="1"/>
      <c r="T961" s="1"/>
      <c r="U961" s="1"/>
      <c r="V961" s="1"/>
      <c r="W961" s="1"/>
      <c r="X961" s="1"/>
      <c r="Y961" s="1"/>
      <c r="Z961" s="1"/>
      <c r="AA961" s="1"/>
      <c r="AB961" s="1"/>
      <c r="AC961" s="1"/>
    </row>
    <row r="962">
      <c r="A962" s="1"/>
      <c r="B962" s="1"/>
      <c r="C962" s="1"/>
      <c r="D962" s="1"/>
      <c r="E962" s="1"/>
      <c r="F962" s="2"/>
      <c r="G962" s="2"/>
      <c r="H962" s="1"/>
      <c r="I962" s="1"/>
      <c r="J962" s="1"/>
      <c r="K962" s="3"/>
      <c r="L962" s="1"/>
      <c r="M962" s="1"/>
      <c r="N962" s="1"/>
      <c r="O962" s="1"/>
      <c r="P962" s="1"/>
      <c r="Q962" s="1"/>
      <c r="R962" s="1"/>
      <c r="S962" s="1"/>
      <c r="T962" s="1"/>
      <c r="U962" s="1"/>
      <c r="V962" s="1"/>
      <c r="W962" s="1"/>
      <c r="X962" s="1"/>
      <c r="Y962" s="1"/>
      <c r="Z962" s="1"/>
      <c r="AA962" s="1"/>
      <c r="AB962" s="1"/>
      <c r="AC962" s="1"/>
    </row>
    <row r="963">
      <c r="A963" s="1"/>
      <c r="B963" s="1"/>
      <c r="C963" s="1"/>
      <c r="D963" s="1"/>
      <c r="E963" s="1"/>
      <c r="F963" s="2"/>
      <c r="G963" s="2"/>
      <c r="H963" s="1"/>
      <c r="I963" s="1"/>
      <c r="J963" s="1"/>
      <c r="K963" s="3"/>
      <c r="L963" s="1"/>
      <c r="M963" s="1"/>
      <c r="N963" s="1"/>
      <c r="O963" s="1"/>
      <c r="P963" s="1"/>
      <c r="Q963" s="1"/>
      <c r="R963" s="1"/>
      <c r="S963" s="1"/>
      <c r="T963" s="1"/>
      <c r="U963" s="1"/>
      <c r="V963" s="1"/>
      <c r="W963" s="1"/>
      <c r="X963" s="1"/>
      <c r="Y963" s="1"/>
      <c r="Z963" s="1"/>
      <c r="AA963" s="1"/>
      <c r="AB963" s="1"/>
      <c r="AC963" s="1"/>
    </row>
    <row r="964">
      <c r="A964" s="1"/>
      <c r="B964" s="1"/>
      <c r="C964" s="1"/>
      <c r="D964" s="1"/>
      <c r="E964" s="1"/>
      <c r="F964" s="2"/>
      <c r="G964" s="2"/>
      <c r="H964" s="1"/>
      <c r="I964" s="1"/>
      <c r="J964" s="1"/>
      <c r="K964" s="3"/>
      <c r="L964" s="1"/>
      <c r="M964" s="1"/>
      <c r="N964" s="1"/>
      <c r="O964" s="1"/>
      <c r="P964" s="1"/>
      <c r="Q964" s="1"/>
      <c r="R964" s="1"/>
      <c r="S964" s="1"/>
      <c r="T964" s="1"/>
      <c r="U964" s="1"/>
      <c r="V964" s="1"/>
      <c r="W964" s="1"/>
      <c r="X964" s="1"/>
      <c r="Y964" s="1"/>
      <c r="Z964" s="1"/>
      <c r="AA964" s="1"/>
      <c r="AB964" s="1"/>
      <c r="AC964" s="1"/>
    </row>
    <row r="965">
      <c r="A965" s="1"/>
      <c r="B965" s="1"/>
      <c r="C965" s="1"/>
      <c r="D965" s="1"/>
      <c r="E965" s="1"/>
      <c r="F965" s="2"/>
      <c r="G965" s="2"/>
      <c r="H965" s="1"/>
      <c r="I965" s="1"/>
      <c r="J965" s="1"/>
      <c r="K965" s="3"/>
      <c r="L965" s="1"/>
      <c r="M965" s="1"/>
      <c r="N965" s="1"/>
      <c r="O965" s="1"/>
      <c r="P965" s="1"/>
      <c r="Q965" s="1"/>
      <c r="R965" s="1"/>
      <c r="S965" s="1"/>
      <c r="T965" s="1"/>
      <c r="U965" s="1"/>
      <c r="V965" s="1"/>
      <c r="W965" s="1"/>
      <c r="X965" s="1"/>
      <c r="Y965" s="1"/>
      <c r="Z965" s="1"/>
      <c r="AA965" s="1"/>
      <c r="AB965" s="1"/>
      <c r="AC965" s="1"/>
    </row>
    <row r="966">
      <c r="A966" s="1"/>
      <c r="B966" s="1"/>
      <c r="C966" s="1"/>
      <c r="D966" s="1"/>
      <c r="E966" s="1"/>
      <c r="F966" s="2"/>
      <c r="G966" s="2"/>
      <c r="H966" s="1"/>
      <c r="I966" s="1"/>
      <c r="J966" s="1"/>
      <c r="K966" s="3"/>
      <c r="L966" s="1"/>
      <c r="M966" s="1"/>
      <c r="N966" s="1"/>
      <c r="O966" s="1"/>
      <c r="P966" s="1"/>
      <c r="Q966" s="1"/>
      <c r="R966" s="1"/>
      <c r="S966" s="1"/>
      <c r="T966" s="1"/>
      <c r="U966" s="1"/>
      <c r="V966" s="1"/>
      <c r="W966" s="1"/>
      <c r="X966" s="1"/>
      <c r="Y966" s="1"/>
      <c r="Z966" s="1"/>
      <c r="AA966" s="1"/>
      <c r="AB966" s="1"/>
      <c r="AC966" s="1"/>
    </row>
    <row r="967">
      <c r="A967" s="1"/>
      <c r="B967" s="1"/>
      <c r="C967" s="1"/>
      <c r="D967" s="1"/>
      <c r="E967" s="1"/>
      <c r="F967" s="2"/>
      <c r="G967" s="2"/>
      <c r="H967" s="1"/>
      <c r="I967" s="1"/>
      <c r="J967" s="1"/>
      <c r="K967" s="3"/>
      <c r="L967" s="1"/>
      <c r="M967" s="1"/>
      <c r="N967" s="1"/>
      <c r="O967" s="1"/>
      <c r="P967" s="1"/>
      <c r="Q967" s="1"/>
      <c r="R967" s="1"/>
      <c r="S967" s="1"/>
      <c r="T967" s="1"/>
      <c r="U967" s="1"/>
      <c r="V967" s="1"/>
      <c r="W967" s="1"/>
      <c r="X967" s="1"/>
      <c r="Y967" s="1"/>
      <c r="Z967" s="1"/>
      <c r="AA967" s="1"/>
      <c r="AB967" s="1"/>
      <c r="AC967" s="1"/>
    </row>
    <row r="968">
      <c r="A968" s="1"/>
      <c r="B968" s="1"/>
      <c r="C968" s="1"/>
      <c r="D968" s="1"/>
      <c r="E968" s="1"/>
      <c r="F968" s="2"/>
      <c r="G968" s="2"/>
      <c r="H968" s="1"/>
      <c r="I968" s="1"/>
      <c r="J968" s="1"/>
      <c r="K968" s="3"/>
      <c r="L968" s="1"/>
      <c r="M968" s="1"/>
      <c r="N968" s="1"/>
      <c r="O968" s="1"/>
      <c r="P968" s="1"/>
      <c r="Q968" s="1"/>
      <c r="R968" s="1"/>
      <c r="S968" s="1"/>
      <c r="T968" s="1"/>
      <c r="U968" s="1"/>
      <c r="V968" s="1"/>
      <c r="W968" s="1"/>
      <c r="X968" s="1"/>
      <c r="Y968" s="1"/>
      <c r="Z968" s="1"/>
      <c r="AA968" s="1"/>
      <c r="AB968" s="1"/>
      <c r="AC968" s="1"/>
    </row>
    <row r="969">
      <c r="A969" s="1"/>
      <c r="B969" s="1"/>
      <c r="C969" s="1"/>
      <c r="D969" s="1"/>
      <c r="E969" s="1"/>
      <c r="F969" s="2"/>
      <c r="G969" s="2"/>
      <c r="H969" s="1"/>
      <c r="I969" s="1"/>
      <c r="J969" s="1"/>
      <c r="K969" s="3"/>
      <c r="L969" s="1"/>
      <c r="M969" s="1"/>
      <c r="N969" s="1"/>
      <c r="O969" s="1"/>
      <c r="P969" s="1"/>
      <c r="Q969" s="1"/>
      <c r="R969" s="1"/>
      <c r="S969" s="1"/>
      <c r="T969" s="1"/>
      <c r="U969" s="1"/>
      <c r="V969" s="1"/>
      <c r="W969" s="1"/>
      <c r="X969" s="1"/>
      <c r="Y969" s="1"/>
      <c r="Z969" s="1"/>
      <c r="AA969" s="1"/>
      <c r="AB969" s="1"/>
      <c r="AC969" s="1"/>
    </row>
    <row r="970">
      <c r="A970" s="1"/>
      <c r="B970" s="1"/>
      <c r="C970" s="1"/>
      <c r="D970" s="1"/>
      <c r="E970" s="1"/>
      <c r="F970" s="2"/>
      <c r="G970" s="2"/>
      <c r="H970" s="1"/>
      <c r="I970" s="1"/>
      <c r="J970" s="1"/>
      <c r="K970" s="3"/>
      <c r="L970" s="1"/>
      <c r="M970" s="1"/>
      <c r="N970" s="1"/>
      <c r="O970" s="1"/>
      <c r="P970" s="1"/>
      <c r="Q970" s="1"/>
      <c r="R970" s="1"/>
      <c r="S970" s="1"/>
      <c r="T970" s="1"/>
      <c r="U970" s="1"/>
      <c r="V970" s="1"/>
      <c r="W970" s="1"/>
      <c r="X970" s="1"/>
      <c r="Y970" s="1"/>
      <c r="Z970" s="1"/>
      <c r="AA970" s="1"/>
      <c r="AB970" s="1"/>
      <c r="AC970" s="1"/>
    </row>
    <row r="971">
      <c r="A971" s="1"/>
      <c r="B971" s="1"/>
      <c r="C971" s="1"/>
      <c r="D971" s="1"/>
      <c r="E971" s="1"/>
      <c r="F971" s="2"/>
      <c r="G971" s="2"/>
      <c r="H971" s="1"/>
      <c r="I971" s="1"/>
      <c r="J971" s="1"/>
      <c r="K971" s="3"/>
      <c r="L971" s="1"/>
      <c r="M971" s="1"/>
      <c r="N971" s="1"/>
      <c r="O971" s="1"/>
      <c r="P971" s="1"/>
      <c r="Q971" s="1"/>
      <c r="R971" s="1"/>
      <c r="S971" s="1"/>
      <c r="T971" s="1"/>
      <c r="U971" s="1"/>
      <c r="V971" s="1"/>
      <c r="W971" s="1"/>
      <c r="X971" s="1"/>
      <c r="Y971" s="1"/>
      <c r="Z971" s="1"/>
      <c r="AA971" s="1"/>
      <c r="AB971" s="1"/>
      <c r="AC971" s="1"/>
    </row>
    <row r="972">
      <c r="A972" s="1"/>
      <c r="B972" s="1"/>
      <c r="C972" s="1"/>
      <c r="D972" s="1"/>
      <c r="E972" s="1"/>
      <c r="F972" s="2"/>
      <c r="G972" s="2"/>
      <c r="H972" s="1"/>
      <c r="I972" s="1"/>
      <c r="J972" s="1"/>
      <c r="K972" s="3"/>
      <c r="L972" s="1"/>
      <c r="M972" s="1"/>
      <c r="N972" s="1"/>
      <c r="O972" s="1"/>
      <c r="P972" s="1"/>
      <c r="Q972" s="1"/>
      <c r="R972" s="1"/>
      <c r="S972" s="1"/>
      <c r="T972" s="1"/>
      <c r="U972" s="1"/>
      <c r="V972" s="1"/>
      <c r="W972" s="1"/>
      <c r="X972" s="1"/>
      <c r="Y972" s="1"/>
      <c r="Z972" s="1"/>
      <c r="AA972" s="1"/>
      <c r="AB972" s="1"/>
      <c r="AC972" s="1"/>
    </row>
    <row r="973">
      <c r="A973" s="1"/>
      <c r="B973" s="1"/>
      <c r="C973" s="1"/>
      <c r="D973" s="1"/>
      <c r="E973" s="1"/>
      <c r="F973" s="2"/>
      <c r="G973" s="2"/>
      <c r="H973" s="1"/>
      <c r="I973" s="1"/>
      <c r="J973" s="1"/>
      <c r="K973" s="3"/>
      <c r="L973" s="1"/>
      <c r="M973" s="1"/>
      <c r="N973" s="1"/>
      <c r="O973" s="1"/>
      <c r="P973" s="1"/>
      <c r="Q973" s="1"/>
      <c r="R973" s="1"/>
      <c r="S973" s="1"/>
      <c r="T973" s="1"/>
      <c r="U973" s="1"/>
      <c r="V973" s="1"/>
      <c r="W973" s="1"/>
      <c r="X973" s="1"/>
      <c r="Y973" s="1"/>
      <c r="Z973" s="1"/>
      <c r="AA973" s="1"/>
      <c r="AB973" s="1"/>
      <c r="AC973" s="1"/>
    </row>
    <row r="974">
      <c r="A974" s="1"/>
      <c r="B974" s="1"/>
      <c r="C974" s="1"/>
      <c r="D974" s="1"/>
      <c r="E974" s="1"/>
      <c r="F974" s="2"/>
      <c r="G974" s="2"/>
      <c r="H974" s="1"/>
      <c r="I974" s="1"/>
      <c r="J974" s="1"/>
      <c r="K974" s="3"/>
      <c r="L974" s="1"/>
      <c r="M974" s="1"/>
      <c r="N974" s="1"/>
      <c r="O974" s="1"/>
      <c r="P974" s="1"/>
      <c r="Q974" s="1"/>
      <c r="R974" s="1"/>
      <c r="S974" s="1"/>
      <c r="T974" s="1"/>
      <c r="U974" s="1"/>
      <c r="V974" s="1"/>
      <c r="W974" s="1"/>
      <c r="X974" s="1"/>
      <c r="Y974" s="1"/>
      <c r="Z974" s="1"/>
      <c r="AA974" s="1"/>
      <c r="AB974" s="1"/>
      <c r="AC974" s="1"/>
    </row>
    <row r="975">
      <c r="A975" s="1"/>
      <c r="B975" s="1"/>
      <c r="C975" s="1"/>
      <c r="D975" s="1"/>
      <c r="E975" s="1"/>
      <c r="F975" s="2"/>
      <c r="G975" s="2"/>
      <c r="H975" s="1"/>
      <c r="I975" s="1"/>
      <c r="J975" s="1"/>
      <c r="K975" s="3"/>
      <c r="L975" s="1"/>
      <c r="M975" s="1"/>
      <c r="N975" s="1"/>
      <c r="O975" s="1"/>
      <c r="P975" s="1"/>
      <c r="Q975" s="1"/>
      <c r="R975" s="1"/>
      <c r="S975" s="1"/>
      <c r="T975" s="1"/>
      <c r="U975" s="1"/>
      <c r="V975" s="1"/>
      <c r="W975" s="1"/>
      <c r="X975" s="1"/>
      <c r="Y975" s="1"/>
      <c r="Z975" s="1"/>
      <c r="AA975" s="1"/>
      <c r="AB975" s="1"/>
      <c r="AC975" s="1"/>
    </row>
    <row r="976">
      <c r="A976" s="1"/>
      <c r="B976" s="1"/>
      <c r="C976" s="1"/>
      <c r="D976" s="1"/>
      <c r="E976" s="1"/>
      <c r="F976" s="2"/>
      <c r="G976" s="2"/>
      <c r="H976" s="1"/>
      <c r="I976" s="1"/>
      <c r="J976" s="1"/>
      <c r="K976" s="3"/>
      <c r="L976" s="1"/>
      <c r="M976" s="1"/>
      <c r="N976" s="1"/>
      <c r="O976" s="1"/>
      <c r="P976" s="1"/>
      <c r="Q976" s="1"/>
      <c r="R976" s="1"/>
      <c r="S976" s="1"/>
      <c r="T976" s="1"/>
      <c r="U976" s="1"/>
      <c r="V976" s="1"/>
      <c r="W976" s="1"/>
      <c r="X976" s="1"/>
      <c r="Y976" s="1"/>
      <c r="Z976" s="1"/>
      <c r="AA976" s="1"/>
      <c r="AB976" s="1"/>
      <c r="AC976" s="1"/>
    </row>
    <row r="977">
      <c r="A977" s="1"/>
      <c r="B977" s="1"/>
      <c r="C977" s="1"/>
      <c r="D977" s="1"/>
      <c r="E977" s="1"/>
      <c r="F977" s="2"/>
      <c r="G977" s="2"/>
      <c r="H977" s="1"/>
      <c r="I977" s="1"/>
      <c r="J977" s="1"/>
      <c r="K977" s="3"/>
      <c r="L977" s="1"/>
      <c r="M977" s="1"/>
      <c r="N977" s="1"/>
      <c r="O977" s="1"/>
      <c r="P977" s="1"/>
      <c r="Q977" s="1"/>
      <c r="R977" s="1"/>
      <c r="S977" s="1"/>
      <c r="T977" s="1"/>
      <c r="U977" s="1"/>
      <c r="V977" s="1"/>
      <c r="W977" s="1"/>
      <c r="X977" s="1"/>
      <c r="Y977" s="1"/>
      <c r="Z977" s="1"/>
      <c r="AA977" s="1"/>
      <c r="AB977" s="1"/>
      <c r="AC977" s="1"/>
    </row>
    <row r="978">
      <c r="A978" s="1"/>
      <c r="B978" s="1"/>
      <c r="C978" s="1"/>
      <c r="D978" s="1"/>
      <c r="E978" s="1"/>
      <c r="F978" s="2"/>
      <c r="G978" s="2"/>
      <c r="H978" s="1"/>
      <c r="I978" s="1"/>
      <c r="J978" s="1"/>
      <c r="K978" s="3"/>
      <c r="L978" s="1"/>
      <c r="M978" s="1"/>
      <c r="N978" s="1"/>
      <c r="O978" s="1"/>
      <c r="P978" s="1"/>
      <c r="Q978" s="1"/>
      <c r="R978" s="1"/>
      <c r="S978" s="1"/>
      <c r="T978" s="1"/>
      <c r="U978" s="1"/>
      <c r="V978" s="1"/>
      <c r="W978" s="1"/>
      <c r="X978" s="1"/>
      <c r="Y978" s="1"/>
      <c r="Z978" s="1"/>
      <c r="AA978" s="1"/>
      <c r="AB978" s="1"/>
      <c r="AC978" s="1"/>
    </row>
    <row r="979">
      <c r="A979" s="1"/>
      <c r="B979" s="1"/>
      <c r="C979" s="1"/>
      <c r="D979" s="1"/>
      <c r="E979" s="1"/>
      <c r="F979" s="2"/>
      <c r="G979" s="2"/>
      <c r="H979" s="1"/>
      <c r="I979" s="1"/>
      <c r="J979" s="1"/>
      <c r="K979" s="3"/>
      <c r="L979" s="1"/>
      <c r="M979" s="1"/>
      <c r="N979" s="1"/>
      <c r="O979" s="1"/>
      <c r="P979" s="1"/>
      <c r="Q979" s="1"/>
      <c r="R979" s="1"/>
      <c r="S979" s="1"/>
      <c r="T979" s="1"/>
      <c r="U979" s="1"/>
      <c r="V979" s="1"/>
      <c r="W979" s="1"/>
      <c r="X979" s="1"/>
      <c r="Y979" s="1"/>
      <c r="Z979" s="1"/>
      <c r="AA979" s="1"/>
      <c r="AB979" s="1"/>
      <c r="AC979" s="1"/>
    </row>
    <row r="980">
      <c r="A980" s="1"/>
      <c r="B980" s="1"/>
      <c r="C980" s="1"/>
      <c r="D980" s="1"/>
      <c r="E980" s="1"/>
      <c r="F980" s="2"/>
      <c r="G980" s="2"/>
      <c r="H980" s="1"/>
      <c r="I980" s="1"/>
      <c r="J980" s="1"/>
      <c r="K980" s="3"/>
      <c r="L980" s="1"/>
      <c r="M980" s="1"/>
      <c r="N980" s="1"/>
      <c r="O980" s="1"/>
      <c r="P980" s="1"/>
      <c r="Q980" s="1"/>
      <c r="R980" s="1"/>
      <c r="S980" s="1"/>
      <c r="T980" s="1"/>
      <c r="U980" s="1"/>
      <c r="V980" s="1"/>
      <c r="W980" s="1"/>
      <c r="X980" s="1"/>
      <c r="Y980" s="1"/>
      <c r="Z980" s="1"/>
      <c r="AA980" s="1"/>
      <c r="AB980" s="1"/>
      <c r="AC980" s="1"/>
    </row>
    <row r="981">
      <c r="A981" s="1"/>
      <c r="B981" s="1"/>
      <c r="C981" s="1"/>
      <c r="D981" s="1"/>
      <c r="E981" s="1"/>
      <c r="F981" s="2"/>
      <c r="G981" s="2"/>
      <c r="H981" s="1"/>
      <c r="I981" s="1"/>
      <c r="J981" s="1"/>
      <c r="K981" s="3"/>
      <c r="L981" s="1"/>
      <c r="M981" s="1"/>
      <c r="N981" s="1"/>
      <c r="O981" s="1"/>
      <c r="P981" s="1"/>
      <c r="Q981" s="1"/>
      <c r="R981" s="1"/>
      <c r="S981" s="1"/>
      <c r="T981" s="1"/>
      <c r="U981" s="1"/>
      <c r="V981" s="1"/>
      <c r="W981" s="1"/>
      <c r="X981" s="1"/>
      <c r="Y981" s="1"/>
      <c r="Z981" s="1"/>
      <c r="AA981" s="1"/>
      <c r="AB981" s="1"/>
      <c r="AC981" s="1"/>
    </row>
    <row r="982">
      <c r="A982" s="1"/>
      <c r="B982" s="1"/>
      <c r="C982" s="1"/>
      <c r="D982" s="1"/>
      <c r="E982" s="1"/>
      <c r="F982" s="2"/>
      <c r="G982" s="2"/>
      <c r="H982" s="1"/>
      <c r="I982" s="1"/>
      <c r="J982" s="1"/>
      <c r="K982" s="3"/>
      <c r="L982" s="1"/>
      <c r="M982" s="1"/>
      <c r="N982" s="1"/>
      <c r="O982" s="1"/>
      <c r="P982" s="1"/>
      <c r="Q982" s="1"/>
      <c r="R982" s="1"/>
      <c r="S982" s="1"/>
      <c r="T982" s="1"/>
      <c r="U982" s="1"/>
      <c r="V982" s="1"/>
      <c r="W982" s="1"/>
      <c r="X982" s="1"/>
      <c r="Y982" s="1"/>
      <c r="Z982" s="1"/>
      <c r="AA982" s="1"/>
      <c r="AB982" s="1"/>
      <c r="AC982" s="1"/>
    </row>
    <row r="983">
      <c r="A983" s="1"/>
      <c r="B983" s="1"/>
      <c r="C983" s="1"/>
      <c r="D983" s="1"/>
      <c r="E983" s="1"/>
      <c r="F983" s="2"/>
      <c r="G983" s="2"/>
      <c r="H983" s="1"/>
      <c r="I983" s="1"/>
      <c r="J983" s="1"/>
      <c r="K983" s="3"/>
      <c r="L983" s="1"/>
      <c r="M983" s="1"/>
      <c r="N983" s="1"/>
      <c r="O983" s="1"/>
      <c r="P983" s="1"/>
      <c r="Q983" s="1"/>
      <c r="R983" s="1"/>
      <c r="S983" s="1"/>
      <c r="T983" s="1"/>
      <c r="U983" s="1"/>
      <c r="V983" s="1"/>
      <c r="W983" s="1"/>
      <c r="X983" s="1"/>
      <c r="Y983" s="1"/>
      <c r="Z983" s="1"/>
      <c r="AA983" s="1"/>
      <c r="AB983" s="1"/>
      <c r="AC983" s="1"/>
    </row>
    <row r="984">
      <c r="A984" s="1"/>
      <c r="B984" s="1"/>
      <c r="C984" s="1"/>
      <c r="D984" s="1"/>
      <c r="E984" s="1"/>
      <c r="F984" s="2"/>
      <c r="G984" s="2"/>
      <c r="H984" s="1"/>
      <c r="I984" s="1"/>
      <c r="J984" s="1"/>
      <c r="K984" s="3"/>
      <c r="L984" s="1"/>
      <c r="M984" s="1"/>
      <c r="N984" s="1"/>
      <c r="O984" s="1"/>
      <c r="P984" s="1"/>
      <c r="Q984" s="1"/>
      <c r="R984" s="1"/>
      <c r="S984" s="1"/>
      <c r="T984" s="1"/>
      <c r="U984" s="1"/>
      <c r="V984" s="1"/>
      <c r="W984" s="1"/>
      <c r="X984" s="1"/>
      <c r="Y984" s="1"/>
      <c r="Z984" s="1"/>
      <c r="AA984" s="1"/>
      <c r="AB984" s="1"/>
      <c r="AC984" s="1"/>
    </row>
    <row r="985">
      <c r="A985" s="1"/>
      <c r="B985" s="1"/>
      <c r="C985" s="1"/>
      <c r="D985" s="1"/>
      <c r="E985" s="1"/>
      <c r="F985" s="2"/>
      <c r="G985" s="2"/>
      <c r="H985" s="1"/>
      <c r="I985" s="1"/>
      <c r="J985" s="1"/>
      <c r="K985" s="3"/>
      <c r="L985" s="1"/>
      <c r="M985" s="1"/>
      <c r="N985" s="1"/>
      <c r="O985" s="1"/>
      <c r="P985" s="1"/>
      <c r="Q985" s="1"/>
      <c r="R985" s="1"/>
      <c r="S985" s="1"/>
      <c r="T985" s="1"/>
      <c r="U985" s="1"/>
      <c r="V985" s="1"/>
      <c r="W985" s="1"/>
      <c r="X985" s="1"/>
      <c r="Y985" s="1"/>
      <c r="Z985" s="1"/>
      <c r="AA985" s="1"/>
      <c r="AB985" s="1"/>
      <c r="AC985" s="1"/>
    </row>
    <row r="986">
      <c r="A986" s="1"/>
      <c r="B986" s="1"/>
      <c r="C986" s="1"/>
      <c r="D986" s="1"/>
      <c r="E986" s="1"/>
      <c r="F986" s="2"/>
      <c r="G986" s="2"/>
      <c r="H986" s="1"/>
      <c r="I986" s="1"/>
      <c r="J986" s="1"/>
      <c r="K986" s="3"/>
      <c r="L986" s="1"/>
      <c r="M986" s="1"/>
      <c r="N986" s="1"/>
      <c r="O986" s="1"/>
      <c r="P986" s="1"/>
      <c r="Q986" s="1"/>
      <c r="R986" s="1"/>
      <c r="S986" s="1"/>
      <c r="T986" s="1"/>
      <c r="U986" s="1"/>
      <c r="V986" s="1"/>
      <c r="W986" s="1"/>
      <c r="X986" s="1"/>
      <c r="Y986" s="1"/>
      <c r="Z986" s="1"/>
      <c r="AA986" s="1"/>
      <c r="AB986" s="1"/>
      <c r="AC986" s="1"/>
    </row>
    <row r="987">
      <c r="A987" s="1"/>
      <c r="B987" s="1"/>
      <c r="C987" s="1"/>
      <c r="D987" s="1"/>
      <c r="E987" s="1"/>
      <c r="F987" s="2"/>
      <c r="G987" s="2"/>
      <c r="H987" s="1"/>
      <c r="I987" s="1"/>
      <c r="J987" s="1"/>
      <c r="K987" s="3"/>
      <c r="L987" s="1"/>
      <c r="M987" s="1"/>
      <c r="N987" s="1"/>
      <c r="O987" s="1"/>
      <c r="P987" s="1"/>
      <c r="Q987" s="1"/>
      <c r="R987" s="1"/>
      <c r="S987" s="1"/>
      <c r="T987" s="1"/>
      <c r="U987" s="1"/>
      <c r="V987" s="1"/>
      <c r="W987" s="1"/>
      <c r="X987" s="1"/>
      <c r="Y987" s="1"/>
      <c r="Z987" s="1"/>
      <c r="AA987" s="1"/>
      <c r="AB987" s="1"/>
      <c r="AC987" s="1"/>
    </row>
    <row r="988">
      <c r="A988" s="1"/>
      <c r="B988" s="1"/>
      <c r="C988" s="1"/>
      <c r="D988" s="1"/>
      <c r="E988" s="1"/>
      <c r="F988" s="2"/>
      <c r="G988" s="2"/>
      <c r="H988" s="1"/>
      <c r="I988" s="1"/>
      <c r="J988" s="1"/>
      <c r="K988" s="3"/>
      <c r="L988" s="1"/>
      <c r="M988" s="1"/>
      <c r="N988" s="1"/>
      <c r="O988" s="1"/>
      <c r="P988" s="1"/>
      <c r="Q988" s="1"/>
      <c r="R988" s="1"/>
      <c r="S988" s="1"/>
      <c r="T988" s="1"/>
      <c r="U988" s="1"/>
      <c r="V988" s="1"/>
      <c r="W988" s="1"/>
      <c r="X988" s="1"/>
      <c r="Y988" s="1"/>
      <c r="Z988" s="1"/>
      <c r="AA988" s="1"/>
      <c r="AB988" s="1"/>
      <c r="AC988" s="1"/>
    </row>
    <row r="989">
      <c r="A989" s="1"/>
      <c r="B989" s="1"/>
      <c r="C989" s="1"/>
      <c r="D989" s="1"/>
      <c r="E989" s="1"/>
      <c r="F989" s="2"/>
      <c r="G989" s="2"/>
      <c r="H989" s="1"/>
      <c r="I989" s="1"/>
      <c r="J989" s="1"/>
      <c r="K989" s="3"/>
      <c r="L989" s="1"/>
      <c r="M989" s="1"/>
      <c r="N989" s="1"/>
      <c r="O989" s="1"/>
      <c r="P989" s="1"/>
      <c r="Q989" s="1"/>
      <c r="R989" s="1"/>
      <c r="S989" s="1"/>
      <c r="T989" s="1"/>
      <c r="U989" s="1"/>
      <c r="V989" s="1"/>
      <c r="W989" s="1"/>
      <c r="X989" s="1"/>
      <c r="Y989" s="1"/>
      <c r="Z989" s="1"/>
      <c r="AA989" s="1"/>
      <c r="AB989" s="1"/>
      <c r="AC989" s="1"/>
    </row>
    <row r="990">
      <c r="A990" s="1"/>
      <c r="B990" s="1"/>
      <c r="C990" s="1"/>
      <c r="D990" s="1"/>
      <c r="E990" s="1"/>
      <c r="F990" s="2"/>
      <c r="G990" s="2"/>
      <c r="H990" s="1"/>
      <c r="I990" s="1"/>
      <c r="J990" s="1"/>
      <c r="K990" s="3"/>
      <c r="L990" s="1"/>
      <c r="M990" s="1"/>
      <c r="N990" s="1"/>
      <c r="O990" s="1"/>
      <c r="P990" s="1"/>
      <c r="Q990" s="1"/>
      <c r="R990" s="1"/>
      <c r="S990" s="1"/>
      <c r="T990" s="1"/>
      <c r="U990" s="1"/>
      <c r="V990" s="1"/>
      <c r="W990" s="1"/>
      <c r="X990" s="1"/>
      <c r="Y990" s="1"/>
      <c r="Z990" s="1"/>
      <c r="AA990" s="1"/>
      <c r="AB990" s="1"/>
      <c r="AC990" s="1"/>
    </row>
    <row r="991">
      <c r="A991" s="1"/>
      <c r="B991" s="1"/>
      <c r="C991" s="1"/>
      <c r="D991" s="1"/>
      <c r="E991" s="1"/>
      <c r="F991" s="2"/>
      <c r="G991" s="2"/>
      <c r="H991" s="1"/>
      <c r="I991" s="1"/>
      <c r="J991" s="1"/>
      <c r="K991" s="3"/>
      <c r="L991" s="1"/>
      <c r="M991" s="1"/>
      <c r="N991" s="1"/>
      <c r="O991" s="1"/>
      <c r="P991" s="1"/>
      <c r="Q991" s="1"/>
      <c r="R991" s="1"/>
      <c r="S991" s="1"/>
      <c r="T991" s="1"/>
      <c r="U991" s="1"/>
      <c r="V991" s="1"/>
      <c r="W991" s="1"/>
      <c r="X991" s="1"/>
      <c r="Y991" s="1"/>
      <c r="Z991" s="1"/>
      <c r="AA991" s="1"/>
      <c r="AB991" s="1"/>
      <c r="AC991" s="1"/>
    </row>
    <row r="992">
      <c r="A992" s="1"/>
      <c r="B992" s="1"/>
      <c r="C992" s="1"/>
      <c r="D992" s="1"/>
      <c r="E992" s="1"/>
      <c r="F992" s="2"/>
      <c r="G992" s="2"/>
      <c r="H992" s="1"/>
      <c r="I992" s="1"/>
      <c r="J992" s="1"/>
      <c r="K992" s="3"/>
      <c r="L992" s="1"/>
      <c r="M992" s="1"/>
      <c r="N992" s="1"/>
      <c r="O992" s="1"/>
      <c r="P992" s="1"/>
      <c r="Q992" s="1"/>
      <c r="R992" s="1"/>
      <c r="S992" s="1"/>
      <c r="T992" s="1"/>
      <c r="U992" s="1"/>
      <c r="V992" s="1"/>
      <c r="W992" s="1"/>
      <c r="X992" s="1"/>
      <c r="Y992" s="1"/>
      <c r="Z992" s="1"/>
      <c r="AA992" s="1"/>
      <c r="AB992" s="1"/>
      <c r="AC992" s="1"/>
    </row>
    <row r="993">
      <c r="A993" s="1"/>
      <c r="B993" s="1"/>
      <c r="C993" s="1"/>
      <c r="D993" s="1"/>
      <c r="E993" s="1"/>
      <c r="F993" s="2"/>
      <c r="G993" s="2"/>
      <c r="H993" s="1"/>
      <c r="I993" s="1"/>
      <c r="J993" s="1"/>
      <c r="K993" s="3"/>
      <c r="L993" s="1"/>
      <c r="M993" s="1"/>
      <c r="N993" s="1"/>
      <c r="O993" s="1"/>
      <c r="P993" s="1"/>
      <c r="Q993" s="1"/>
      <c r="R993" s="1"/>
      <c r="S993" s="1"/>
      <c r="T993" s="1"/>
      <c r="U993" s="1"/>
      <c r="V993" s="1"/>
      <c r="W993" s="1"/>
      <c r="X993" s="1"/>
      <c r="Y993" s="1"/>
      <c r="Z993" s="1"/>
      <c r="AA993" s="1"/>
      <c r="AB993" s="1"/>
      <c r="AC993" s="1"/>
    </row>
    <row r="994">
      <c r="A994" s="1"/>
      <c r="B994" s="1"/>
      <c r="C994" s="1"/>
      <c r="D994" s="1"/>
      <c r="E994" s="1"/>
      <c r="F994" s="2"/>
      <c r="G994" s="2"/>
      <c r="H994" s="1"/>
      <c r="I994" s="1"/>
      <c r="J994" s="1"/>
      <c r="K994" s="3"/>
      <c r="L994" s="1"/>
      <c r="M994" s="1"/>
      <c r="N994" s="1"/>
      <c r="O994" s="1"/>
      <c r="P994" s="1"/>
      <c r="Q994" s="1"/>
      <c r="R994" s="1"/>
      <c r="S994" s="1"/>
      <c r="T994" s="1"/>
      <c r="U994" s="1"/>
      <c r="V994" s="1"/>
      <c r="W994" s="1"/>
      <c r="X994" s="1"/>
      <c r="Y994" s="1"/>
      <c r="Z994" s="1"/>
      <c r="AA994" s="1"/>
      <c r="AB994" s="1"/>
      <c r="AC994" s="1"/>
    </row>
    <row r="995">
      <c r="A995" s="1"/>
      <c r="B995" s="1"/>
      <c r="C995" s="1"/>
      <c r="D995" s="1"/>
      <c r="E995" s="1"/>
      <c r="F995" s="2"/>
      <c r="G995" s="2"/>
      <c r="H995" s="1"/>
      <c r="I995" s="1"/>
      <c r="J995" s="1"/>
      <c r="K995" s="3"/>
      <c r="L995" s="1"/>
      <c r="M995" s="1"/>
      <c r="N995" s="1"/>
      <c r="O995" s="1"/>
      <c r="P995" s="1"/>
      <c r="Q995" s="1"/>
      <c r="R995" s="1"/>
      <c r="S995" s="1"/>
      <c r="T995" s="1"/>
      <c r="U995" s="1"/>
      <c r="V995" s="1"/>
      <c r="W995" s="1"/>
      <c r="X995" s="1"/>
      <c r="Y995" s="1"/>
      <c r="Z995" s="1"/>
      <c r="AA995" s="1"/>
      <c r="AB995" s="1"/>
      <c r="AC995" s="1"/>
    </row>
    <row r="996">
      <c r="A996" s="1"/>
      <c r="B996" s="1"/>
      <c r="C996" s="1"/>
      <c r="D996" s="1"/>
      <c r="E996" s="1"/>
      <c r="F996" s="2"/>
      <c r="G996" s="2"/>
      <c r="H996" s="1"/>
      <c r="I996" s="1"/>
      <c r="J996" s="1"/>
      <c r="K996" s="3"/>
      <c r="L996" s="1"/>
      <c r="M996" s="1"/>
      <c r="N996" s="1"/>
      <c r="O996" s="1"/>
      <c r="P996" s="1"/>
      <c r="Q996" s="1"/>
      <c r="R996" s="1"/>
      <c r="S996" s="1"/>
      <c r="T996" s="1"/>
      <c r="U996" s="1"/>
      <c r="V996" s="1"/>
      <c r="W996" s="1"/>
      <c r="X996" s="1"/>
      <c r="Y996" s="1"/>
      <c r="Z996" s="1"/>
      <c r="AA996" s="1"/>
      <c r="AB996" s="1"/>
      <c r="AC996" s="1"/>
    </row>
    <row r="997">
      <c r="A997" s="1"/>
      <c r="B997" s="1"/>
      <c r="C997" s="1"/>
      <c r="D997" s="1"/>
      <c r="E997" s="1"/>
      <c r="F997" s="2"/>
      <c r="G997" s="2"/>
      <c r="H997" s="1"/>
      <c r="I997" s="1"/>
      <c r="J997" s="1"/>
      <c r="K997" s="3"/>
      <c r="L997" s="1"/>
      <c r="M997" s="1"/>
      <c r="N997" s="1"/>
      <c r="O997" s="1"/>
      <c r="P997" s="1"/>
      <c r="Q997" s="1"/>
      <c r="R997" s="1"/>
      <c r="S997" s="1"/>
      <c r="T997" s="1"/>
      <c r="U997" s="1"/>
      <c r="V997" s="1"/>
      <c r="W997" s="1"/>
      <c r="X997" s="1"/>
      <c r="Y997" s="1"/>
      <c r="Z997" s="1"/>
      <c r="AA997" s="1"/>
      <c r="AB997" s="1"/>
      <c r="AC997" s="1"/>
    </row>
    <row r="998">
      <c r="A998" s="1"/>
      <c r="B998" s="1"/>
      <c r="C998" s="1"/>
      <c r="D998" s="1"/>
      <c r="E998" s="1"/>
      <c r="F998" s="2"/>
      <c r="G998" s="2"/>
      <c r="H998" s="1"/>
      <c r="I998" s="1"/>
      <c r="J998" s="1"/>
      <c r="K998" s="3"/>
      <c r="L998" s="1"/>
      <c r="M998" s="1"/>
      <c r="N998" s="1"/>
      <c r="O998" s="1"/>
      <c r="P998" s="1"/>
      <c r="Q998" s="1"/>
      <c r="R998" s="1"/>
      <c r="S998" s="1"/>
      <c r="T998" s="1"/>
      <c r="U998" s="1"/>
      <c r="V998" s="1"/>
      <c r="W998" s="1"/>
      <c r="X998" s="1"/>
      <c r="Y998" s="1"/>
      <c r="Z998" s="1"/>
      <c r="AA998" s="1"/>
      <c r="AB998" s="1"/>
      <c r="AC998" s="1"/>
    </row>
    <row r="999">
      <c r="A999" s="1"/>
      <c r="B999" s="1"/>
      <c r="C999" s="1"/>
      <c r="D999" s="1"/>
      <c r="E999" s="1"/>
      <c r="F999" s="2"/>
      <c r="G999" s="2"/>
      <c r="H999" s="1"/>
      <c r="I999" s="1"/>
      <c r="J999" s="1"/>
      <c r="K999" s="3"/>
      <c r="L999" s="1"/>
      <c r="M999" s="1"/>
      <c r="N999" s="1"/>
      <c r="O999" s="1"/>
      <c r="P999" s="1"/>
      <c r="Q999" s="1"/>
      <c r="R999" s="1"/>
      <c r="S999" s="1"/>
      <c r="T999" s="1"/>
      <c r="U999" s="1"/>
      <c r="V999" s="1"/>
      <c r="W999" s="1"/>
      <c r="X999" s="1"/>
      <c r="Y999" s="1"/>
      <c r="Z999" s="1"/>
      <c r="AA999" s="1"/>
      <c r="AB999" s="1"/>
      <c r="AC999" s="1"/>
    </row>
    <row r="1000">
      <c r="A1000" s="1"/>
      <c r="B1000" s="1"/>
      <c r="C1000" s="1"/>
      <c r="D1000" s="1"/>
      <c r="E1000" s="1"/>
      <c r="F1000" s="2"/>
      <c r="G1000" s="2"/>
      <c r="H1000" s="1"/>
      <c r="I1000" s="1"/>
      <c r="J1000" s="1"/>
      <c r="K1000" s="3"/>
      <c r="L1000" s="1"/>
      <c r="M1000" s="1"/>
      <c r="N1000" s="1"/>
      <c r="O1000" s="1"/>
      <c r="P1000" s="1"/>
      <c r="Q1000" s="1"/>
      <c r="R1000" s="1"/>
      <c r="S1000" s="1"/>
      <c r="T1000" s="1"/>
      <c r="U1000" s="1"/>
      <c r="V1000" s="1"/>
      <c r="W1000" s="1"/>
      <c r="X1000" s="1"/>
      <c r="Y1000" s="1"/>
      <c r="Z1000" s="1"/>
      <c r="AA1000" s="1"/>
      <c r="AB1000" s="1"/>
      <c r="AC1000" s="1"/>
    </row>
    <row r="1001">
      <c r="A1001" s="1"/>
      <c r="B1001" s="1"/>
      <c r="C1001" s="1"/>
      <c r="D1001" s="1"/>
      <c r="E1001" s="1"/>
      <c r="F1001" s="2"/>
      <c r="G1001" s="2"/>
      <c r="H1001" s="1"/>
      <c r="I1001" s="1"/>
      <c r="J1001" s="1"/>
      <c r="K1001" s="3"/>
      <c r="L1001" s="1"/>
      <c r="M1001" s="1"/>
      <c r="N1001" s="1"/>
      <c r="O1001" s="1"/>
      <c r="P1001" s="1"/>
      <c r="Q1001" s="1"/>
      <c r="R1001" s="1"/>
      <c r="S1001" s="1"/>
      <c r="T1001" s="1"/>
      <c r="U1001" s="1"/>
      <c r="V1001" s="1"/>
      <c r="W1001" s="1"/>
      <c r="X1001" s="1"/>
      <c r="Y1001" s="1"/>
      <c r="Z1001" s="1"/>
      <c r="AA1001" s="1"/>
      <c r="AB1001" s="1"/>
      <c r="AC1001" s="1"/>
    </row>
    <row r="1002">
      <c r="A1002" s="1"/>
      <c r="B1002" s="1"/>
      <c r="C1002" s="1"/>
      <c r="D1002" s="1"/>
      <c r="E1002" s="1"/>
      <c r="F1002" s="2"/>
      <c r="G1002" s="2"/>
      <c r="H1002" s="1"/>
      <c r="I1002" s="1"/>
      <c r="J1002" s="1"/>
      <c r="K1002" s="3"/>
      <c r="L1002" s="1"/>
      <c r="M1002" s="1"/>
      <c r="N1002" s="1"/>
      <c r="O1002" s="1"/>
      <c r="P1002" s="1"/>
      <c r="Q1002" s="1"/>
      <c r="R1002" s="1"/>
      <c r="S1002" s="1"/>
      <c r="T1002" s="1"/>
      <c r="U1002" s="1"/>
      <c r="V1002" s="1"/>
      <c r="W1002" s="1"/>
      <c r="X1002" s="1"/>
      <c r="Y1002" s="1"/>
      <c r="Z1002" s="1"/>
      <c r="AA1002" s="1"/>
      <c r="AB1002" s="1"/>
      <c r="AC1002" s="1"/>
    </row>
    <row r="1003">
      <c r="A1003" s="1"/>
      <c r="B1003" s="1"/>
      <c r="C1003" s="1"/>
      <c r="D1003" s="1"/>
      <c r="E1003" s="1"/>
      <c r="F1003" s="2"/>
      <c r="G1003" s="2"/>
      <c r="H1003" s="1"/>
      <c r="I1003" s="1"/>
      <c r="J1003" s="1"/>
      <c r="K1003" s="3"/>
      <c r="L1003" s="1"/>
      <c r="M1003" s="1"/>
      <c r="N1003" s="1"/>
      <c r="O1003" s="1"/>
      <c r="P1003" s="1"/>
      <c r="Q1003" s="1"/>
      <c r="R1003" s="1"/>
      <c r="S1003" s="1"/>
      <c r="T1003" s="1"/>
      <c r="U1003" s="1"/>
      <c r="V1003" s="1"/>
      <c r="W1003" s="1"/>
      <c r="X1003" s="1"/>
      <c r="Y1003" s="1"/>
      <c r="Z1003" s="1"/>
      <c r="AA1003" s="1"/>
      <c r="AB1003" s="1"/>
      <c r="AC1003" s="1"/>
    </row>
    <row r="1004">
      <c r="A1004" s="1"/>
      <c r="B1004" s="1"/>
      <c r="C1004" s="1"/>
      <c r="D1004" s="1"/>
      <c r="E1004" s="1"/>
      <c r="F1004" s="2"/>
      <c r="G1004" s="2"/>
      <c r="H1004" s="1"/>
      <c r="I1004" s="1"/>
      <c r="J1004" s="1"/>
      <c r="K1004" s="3"/>
      <c r="L1004" s="1"/>
      <c r="M1004" s="1"/>
      <c r="N1004" s="1"/>
      <c r="O1004" s="1"/>
      <c r="P1004" s="1"/>
      <c r="Q1004" s="1"/>
      <c r="R1004" s="1"/>
      <c r="S1004" s="1"/>
      <c r="T1004" s="1"/>
      <c r="U1004" s="1"/>
      <c r="V1004" s="1"/>
      <c r="W1004" s="1"/>
      <c r="X1004" s="1"/>
      <c r="Y1004" s="1"/>
      <c r="Z1004" s="1"/>
      <c r="AA1004" s="1"/>
      <c r="AB1004" s="1"/>
      <c r="AC1004" s="1"/>
    </row>
    <row r="1005">
      <c r="A1005" s="1"/>
      <c r="B1005" s="1"/>
      <c r="C1005" s="1"/>
      <c r="D1005" s="1"/>
      <c r="E1005" s="1"/>
      <c r="F1005" s="2"/>
      <c r="G1005" s="2"/>
      <c r="H1005" s="1"/>
      <c r="I1005" s="1"/>
      <c r="J1005" s="1"/>
      <c r="K1005" s="3"/>
      <c r="L1005" s="1"/>
      <c r="M1005" s="1"/>
      <c r="N1005" s="1"/>
      <c r="O1005" s="1"/>
      <c r="P1005" s="1"/>
      <c r="Q1005" s="1"/>
      <c r="R1005" s="1"/>
      <c r="S1005" s="1"/>
      <c r="T1005" s="1"/>
      <c r="U1005" s="1"/>
      <c r="V1005" s="1"/>
      <c r="W1005" s="1"/>
      <c r="X1005" s="1"/>
      <c r="Y1005" s="1"/>
      <c r="Z1005" s="1"/>
      <c r="AA1005" s="1"/>
      <c r="AB1005" s="1"/>
      <c r="AC1005" s="1"/>
    </row>
    <row r="1006">
      <c r="A1006" s="1"/>
      <c r="B1006" s="1"/>
      <c r="C1006" s="1"/>
      <c r="D1006" s="1"/>
      <c r="E1006" s="1"/>
      <c r="F1006" s="2"/>
      <c r="G1006" s="2"/>
      <c r="H1006" s="1"/>
      <c r="I1006" s="1"/>
      <c r="J1006" s="1"/>
      <c r="K1006" s="3"/>
      <c r="L1006" s="1"/>
      <c r="M1006" s="1"/>
      <c r="N1006" s="1"/>
      <c r="O1006" s="1"/>
      <c r="P1006" s="1"/>
      <c r="Q1006" s="1"/>
      <c r="R1006" s="1"/>
      <c r="S1006" s="1"/>
      <c r="T1006" s="1"/>
      <c r="U1006" s="1"/>
      <c r="V1006" s="1"/>
      <c r="W1006" s="1"/>
      <c r="X1006" s="1"/>
      <c r="Y1006" s="1"/>
      <c r="Z1006" s="1"/>
      <c r="AA1006" s="1"/>
      <c r="AB1006" s="1"/>
      <c r="AC1006" s="1"/>
    </row>
  </sheetData>
  <autoFilter ref="$A$2:$M$50"/>
  <hyperlinks>
    <hyperlink r:id="rId1" ref="H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24.5"/>
    <col customWidth="1" min="2" max="2" width="21.63"/>
    <col customWidth="1" min="3" max="3" width="10.88"/>
    <col customWidth="1" min="4" max="4" width="31.25"/>
    <col customWidth="1" min="5" max="5" width="9.0"/>
    <col customWidth="1" min="6" max="6" width="7.75"/>
    <col customWidth="1" min="7" max="7" width="11.5"/>
    <col customWidth="1" min="8" max="8" width="9.13"/>
  </cols>
  <sheetData>
    <row r="1">
      <c r="A1" s="41" t="s">
        <v>247</v>
      </c>
      <c r="B1" s="41" t="s">
        <v>41</v>
      </c>
      <c r="C1" s="41" t="s">
        <v>248</v>
      </c>
      <c r="D1" s="1"/>
      <c r="E1" s="1"/>
      <c r="F1" s="2"/>
      <c r="G1" s="2"/>
      <c r="H1" s="1"/>
      <c r="I1" s="1"/>
      <c r="J1" s="1"/>
      <c r="K1" s="1"/>
      <c r="L1" s="1"/>
      <c r="M1" s="1"/>
      <c r="N1" s="1"/>
      <c r="O1" s="1"/>
      <c r="P1" s="1"/>
      <c r="Q1" s="1"/>
      <c r="R1" s="1"/>
      <c r="S1" s="1"/>
      <c r="T1" s="1"/>
      <c r="U1" s="1"/>
      <c r="V1" s="1"/>
      <c r="W1" s="1"/>
      <c r="X1" s="1"/>
      <c r="Y1" s="1"/>
      <c r="Z1" s="1"/>
    </row>
    <row r="2">
      <c r="A2" s="4" t="s">
        <v>265</v>
      </c>
      <c r="B2" s="4" t="s">
        <v>266</v>
      </c>
      <c r="C2" s="3">
        <f>RESUMEN!C29</f>
        <v>60000</v>
      </c>
      <c r="D2" s="1"/>
      <c r="E2" s="1"/>
      <c r="F2" s="2"/>
      <c r="G2" s="2"/>
      <c r="H2" s="1"/>
      <c r="I2" s="1"/>
      <c r="J2" s="1"/>
      <c r="K2" s="1"/>
      <c r="L2" s="1"/>
      <c r="M2" s="1"/>
      <c r="N2" s="1"/>
      <c r="O2" s="1"/>
      <c r="P2" s="1"/>
      <c r="Q2" s="1"/>
      <c r="R2" s="1"/>
      <c r="S2" s="1"/>
      <c r="T2" s="1"/>
      <c r="U2" s="1"/>
      <c r="V2" s="1"/>
      <c r="W2" s="1"/>
      <c r="X2" s="1"/>
      <c r="Y2" s="1"/>
      <c r="Z2" s="1"/>
    </row>
    <row r="3">
      <c r="A3" s="4" t="s">
        <v>265</v>
      </c>
      <c r="B3" s="4" t="s">
        <v>267</v>
      </c>
      <c r="C3" s="4">
        <v>30.0</v>
      </c>
      <c r="D3" s="1"/>
      <c r="E3" s="1"/>
      <c r="F3" s="2"/>
      <c r="G3" s="2"/>
      <c r="H3" s="1"/>
      <c r="I3" s="1"/>
      <c r="J3" s="1"/>
      <c r="K3" s="1"/>
      <c r="L3" s="1"/>
      <c r="M3" s="1"/>
      <c r="N3" s="1"/>
      <c r="O3" s="1"/>
      <c r="P3" s="1"/>
      <c r="Q3" s="1"/>
      <c r="R3" s="1"/>
      <c r="S3" s="1"/>
      <c r="T3" s="1"/>
      <c r="U3" s="1"/>
      <c r="V3" s="1"/>
      <c r="W3" s="1"/>
      <c r="X3" s="1"/>
      <c r="Y3" s="1"/>
      <c r="Z3" s="1"/>
    </row>
    <row r="4">
      <c r="A4" s="4" t="s">
        <v>265</v>
      </c>
      <c r="B4" s="4" t="s">
        <v>358</v>
      </c>
      <c r="C4" s="4"/>
      <c r="D4" s="1"/>
      <c r="E4" s="1"/>
      <c r="F4" s="2"/>
      <c r="G4" s="2"/>
      <c r="H4" s="1"/>
      <c r="I4" s="1"/>
      <c r="J4" s="1"/>
      <c r="K4" s="1"/>
      <c r="L4" s="1"/>
      <c r="M4" s="1"/>
      <c r="N4" s="1"/>
      <c r="O4" s="1"/>
      <c r="P4" s="1"/>
      <c r="Q4" s="1"/>
      <c r="R4" s="1"/>
      <c r="S4" s="1"/>
      <c r="T4" s="1"/>
      <c r="U4" s="1"/>
      <c r="V4" s="1"/>
      <c r="W4" s="1"/>
      <c r="X4" s="1"/>
      <c r="Y4" s="1"/>
      <c r="Z4" s="1"/>
    </row>
    <row r="5">
      <c r="A5" s="4" t="s">
        <v>265</v>
      </c>
      <c r="B5" s="4" t="s">
        <v>359</v>
      </c>
      <c r="C5" s="4">
        <v>12.0</v>
      </c>
      <c r="D5" s="1"/>
      <c r="E5" s="1"/>
      <c r="F5" s="2"/>
      <c r="G5" s="2"/>
      <c r="H5" s="1"/>
      <c r="I5" s="1"/>
      <c r="J5" s="1"/>
      <c r="K5" s="1"/>
      <c r="L5" s="1"/>
      <c r="M5" s="1"/>
      <c r="N5" s="1"/>
      <c r="O5" s="1"/>
      <c r="P5" s="1"/>
      <c r="Q5" s="1"/>
      <c r="R5" s="1"/>
      <c r="S5" s="1"/>
      <c r="T5" s="1"/>
      <c r="U5" s="1"/>
      <c r="V5" s="1"/>
      <c r="W5" s="1"/>
      <c r="X5" s="1"/>
      <c r="Y5" s="1"/>
      <c r="Z5" s="1"/>
    </row>
    <row r="6">
      <c r="A6" s="4" t="s">
        <v>265</v>
      </c>
      <c r="B6" s="4" t="s">
        <v>360</v>
      </c>
      <c r="C6" s="4">
        <f>C5*C3</f>
        <v>360</v>
      </c>
      <c r="D6" s="1"/>
      <c r="E6" s="1"/>
      <c r="F6" s="2"/>
      <c r="G6" s="2"/>
      <c r="H6" s="1"/>
      <c r="I6" s="1"/>
      <c r="J6" s="1"/>
      <c r="K6" s="1"/>
      <c r="L6" s="1"/>
      <c r="M6" s="1"/>
      <c r="N6" s="1"/>
      <c r="O6" s="1"/>
      <c r="P6" s="1"/>
      <c r="Q6" s="1"/>
      <c r="R6" s="1"/>
      <c r="S6" s="1"/>
      <c r="T6" s="1"/>
      <c r="U6" s="1"/>
      <c r="V6" s="1"/>
      <c r="W6" s="1"/>
      <c r="X6" s="1"/>
      <c r="Y6" s="1"/>
      <c r="Z6" s="1"/>
    </row>
    <row r="7">
      <c r="A7" s="4" t="s">
        <v>265</v>
      </c>
      <c r="B7" s="4" t="s">
        <v>271</v>
      </c>
      <c r="C7" s="4">
        <v>2.0</v>
      </c>
      <c r="D7" s="1"/>
      <c r="E7" s="1"/>
      <c r="F7" s="2"/>
      <c r="G7" s="42"/>
      <c r="H7" s="42"/>
      <c r="I7" s="1"/>
      <c r="J7" s="1"/>
      <c r="K7" s="1"/>
      <c r="L7" s="1"/>
      <c r="M7" s="1"/>
      <c r="N7" s="1"/>
      <c r="O7" s="1"/>
      <c r="P7" s="1"/>
      <c r="Q7" s="1"/>
      <c r="R7" s="1"/>
      <c r="S7" s="1"/>
      <c r="T7" s="1"/>
      <c r="U7" s="1"/>
      <c r="V7" s="1"/>
      <c r="W7" s="1"/>
      <c r="X7" s="1"/>
      <c r="Y7" s="1"/>
      <c r="Z7" s="1"/>
    </row>
    <row r="8">
      <c r="A8" s="1"/>
      <c r="B8" s="1"/>
      <c r="C8" s="1"/>
      <c r="D8" s="1"/>
      <c r="E8" s="1"/>
      <c r="F8" s="2"/>
      <c r="G8" s="42"/>
      <c r="H8" s="43">
        <f>1-H9/C2</f>
        <v>0.4665</v>
      </c>
      <c r="I8" s="1"/>
      <c r="J8" s="1"/>
      <c r="K8" s="1"/>
      <c r="L8" s="1"/>
      <c r="M8" s="1"/>
      <c r="N8" s="1"/>
      <c r="O8" s="1"/>
      <c r="P8" s="1"/>
      <c r="Q8" s="1"/>
      <c r="R8" s="1"/>
      <c r="S8" s="1"/>
      <c r="T8" s="1"/>
      <c r="U8" s="1"/>
      <c r="V8" s="1"/>
      <c r="W8" s="1"/>
      <c r="X8" s="1"/>
      <c r="Y8" s="1"/>
      <c r="Z8" s="1"/>
    </row>
    <row r="9">
      <c r="A9" s="1"/>
      <c r="B9" s="1"/>
      <c r="C9" s="1"/>
      <c r="D9" s="1"/>
      <c r="E9" s="1"/>
      <c r="F9" s="2"/>
      <c r="G9" s="42">
        <f t="shared" ref="G9:H9" si="1">SUBTOTAL(9,G10:G1002)</f>
        <v>11523600</v>
      </c>
      <c r="H9" s="42">
        <f t="shared" si="1"/>
        <v>32010</v>
      </c>
      <c r="I9" s="1"/>
      <c r="J9" s="1"/>
      <c r="K9" s="1"/>
      <c r="L9" s="1"/>
      <c r="M9" s="1"/>
      <c r="N9" s="1"/>
      <c r="O9" s="1"/>
      <c r="P9" s="1"/>
      <c r="Q9" s="1"/>
      <c r="R9" s="1"/>
      <c r="S9" s="1"/>
      <c r="T9" s="1"/>
      <c r="U9" s="1"/>
      <c r="V9" s="1"/>
      <c r="W9" s="1"/>
      <c r="X9" s="1"/>
      <c r="Y9" s="1"/>
      <c r="Z9" s="1"/>
    </row>
    <row r="10" ht="20.25" customHeight="1">
      <c r="A10" s="41" t="s">
        <v>247</v>
      </c>
      <c r="B10" s="41" t="s">
        <v>41</v>
      </c>
      <c r="C10" s="41" t="s">
        <v>40</v>
      </c>
      <c r="D10" s="41" t="s">
        <v>361</v>
      </c>
      <c r="E10" s="41" t="s">
        <v>316</v>
      </c>
      <c r="F10" s="41" t="s">
        <v>42</v>
      </c>
      <c r="G10" s="41" t="s">
        <v>317</v>
      </c>
      <c r="H10" s="41" t="s">
        <v>362</v>
      </c>
      <c r="I10" s="4"/>
      <c r="J10" s="1"/>
      <c r="K10" s="1"/>
      <c r="L10" s="1"/>
      <c r="M10" s="1"/>
      <c r="N10" s="1"/>
      <c r="O10" s="1"/>
      <c r="P10" s="1"/>
      <c r="Q10" s="1"/>
      <c r="R10" s="1"/>
      <c r="S10" s="1"/>
      <c r="T10" s="1"/>
      <c r="U10" s="1"/>
      <c r="V10" s="1"/>
      <c r="W10" s="1"/>
      <c r="X10" s="1"/>
      <c r="Y10" s="1"/>
      <c r="Z10" s="1"/>
    </row>
    <row r="11">
      <c r="A11" s="4" t="s">
        <v>274</v>
      </c>
      <c r="B11" s="4" t="s">
        <v>275</v>
      </c>
      <c r="C11" s="4" t="s">
        <v>275</v>
      </c>
      <c r="D11" s="4" t="s">
        <v>363</v>
      </c>
      <c r="E11" s="4">
        <v>0.5</v>
      </c>
      <c r="F11" s="3">
        <v>1500.0</v>
      </c>
      <c r="G11" s="2">
        <f t="shared" ref="G11:G15" si="2">F11*E11*$C$6</f>
        <v>270000</v>
      </c>
      <c r="H11" s="2">
        <f t="shared" ref="H11:H15" si="3">E11*F11</f>
        <v>750</v>
      </c>
      <c r="I11" s="1"/>
      <c r="J11" s="1"/>
      <c r="K11" s="1"/>
      <c r="L11" s="1"/>
      <c r="M11" s="1"/>
      <c r="N11" s="1"/>
      <c r="O11" s="1"/>
      <c r="P11" s="1"/>
      <c r="Q11" s="1"/>
      <c r="R11" s="1"/>
      <c r="S11" s="1"/>
      <c r="T11" s="1"/>
      <c r="U11" s="1"/>
      <c r="V11" s="1"/>
      <c r="W11" s="1"/>
      <c r="X11" s="1"/>
      <c r="Y11" s="1"/>
      <c r="Z11" s="1"/>
    </row>
    <row r="12">
      <c r="A12" s="4" t="s">
        <v>274</v>
      </c>
      <c r="B12" s="4" t="s">
        <v>276</v>
      </c>
      <c r="C12" s="4" t="s">
        <v>276</v>
      </c>
      <c r="D12" s="3" t="s">
        <v>364</v>
      </c>
      <c r="E12" s="4">
        <v>0.06</v>
      </c>
      <c r="F12" s="3">
        <v>16000.0</v>
      </c>
      <c r="G12" s="2">
        <f t="shared" si="2"/>
        <v>345600</v>
      </c>
      <c r="H12" s="2">
        <f t="shared" si="3"/>
        <v>960</v>
      </c>
      <c r="I12" s="1"/>
      <c r="J12" s="1"/>
      <c r="K12" s="1"/>
      <c r="L12" s="1"/>
      <c r="M12" s="1"/>
      <c r="N12" s="1"/>
      <c r="O12" s="1"/>
      <c r="P12" s="1"/>
      <c r="Q12" s="1"/>
      <c r="R12" s="1"/>
      <c r="S12" s="1"/>
      <c r="T12" s="1"/>
      <c r="U12" s="1"/>
      <c r="V12" s="1"/>
      <c r="W12" s="1"/>
      <c r="X12" s="1"/>
      <c r="Y12" s="1"/>
      <c r="Z12" s="1"/>
    </row>
    <row r="13">
      <c r="A13" s="4" t="s">
        <v>274</v>
      </c>
      <c r="B13" s="4" t="s">
        <v>277</v>
      </c>
      <c r="C13" s="4" t="s">
        <v>299</v>
      </c>
      <c r="D13" s="1"/>
      <c r="E13" s="4">
        <v>1.0</v>
      </c>
      <c r="F13" s="3">
        <v>100.0</v>
      </c>
      <c r="G13" s="2">
        <f t="shared" si="2"/>
        <v>36000</v>
      </c>
      <c r="H13" s="2">
        <f t="shared" si="3"/>
        <v>100</v>
      </c>
      <c r="I13" s="1"/>
      <c r="J13" s="1"/>
      <c r="K13" s="1"/>
      <c r="L13" s="1"/>
      <c r="M13" s="1"/>
      <c r="N13" s="1"/>
      <c r="O13" s="1"/>
      <c r="P13" s="1"/>
      <c r="Q13" s="1"/>
      <c r="R13" s="1"/>
      <c r="S13" s="1"/>
      <c r="T13" s="1"/>
      <c r="U13" s="1"/>
      <c r="V13" s="1"/>
      <c r="W13" s="1"/>
      <c r="X13" s="1"/>
      <c r="Y13" s="1"/>
      <c r="Z13" s="1"/>
    </row>
    <row r="14">
      <c r="A14" s="4" t="s">
        <v>274</v>
      </c>
      <c r="B14" s="4" t="s">
        <v>277</v>
      </c>
      <c r="C14" s="4" t="s">
        <v>91</v>
      </c>
      <c r="D14" s="4" t="s">
        <v>337</v>
      </c>
      <c r="E14" s="4">
        <v>1.0</v>
      </c>
      <c r="F14" s="3">
        <v>200.0</v>
      </c>
      <c r="G14" s="2">
        <f t="shared" si="2"/>
        <v>72000</v>
      </c>
      <c r="H14" s="2">
        <f t="shared" si="3"/>
        <v>200</v>
      </c>
      <c r="I14" s="1"/>
      <c r="J14" s="1"/>
      <c r="K14" s="1"/>
      <c r="L14" s="1"/>
      <c r="M14" s="1"/>
      <c r="N14" s="1"/>
      <c r="O14" s="1"/>
      <c r="P14" s="1"/>
      <c r="Q14" s="1"/>
      <c r="R14" s="1"/>
      <c r="S14" s="1"/>
      <c r="T14" s="1"/>
      <c r="U14" s="1"/>
      <c r="V14" s="1"/>
      <c r="W14" s="1"/>
      <c r="X14" s="1"/>
      <c r="Y14" s="1"/>
      <c r="Z14" s="1"/>
    </row>
    <row r="15">
      <c r="A15" s="4" t="s">
        <v>274</v>
      </c>
      <c r="B15" s="4" t="s">
        <v>10</v>
      </c>
      <c r="C15" s="4" t="s">
        <v>10</v>
      </c>
      <c r="D15" s="1"/>
      <c r="E15" s="4">
        <v>1.0</v>
      </c>
      <c r="F15" s="3">
        <v>30000.0</v>
      </c>
      <c r="G15" s="2">
        <f t="shared" si="2"/>
        <v>10800000</v>
      </c>
      <c r="H15" s="2">
        <f t="shared" si="3"/>
        <v>30000</v>
      </c>
      <c r="I15" s="1"/>
      <c r="J15" s="1"/>
      <c r="K15" s="1"/>
      <c r="L15" s="1"/>
      <c r="M15" s="1"/>
      <c r="N15" s="1"/>
      <c r="O15" s="1"/>
      <c r="P15" s="1"/>
      <c r="Q15" s="1"/>
      <c r="R15" s="1"/>
      <c r="S15" s="1"/>
      <c r="T15" s="1"/>
      <c r="U15" s="1"/>
      <c r="V15" s="1"/>
      <c r="W15" s="1"/>
      <c r="X15" s="1"/>
      <c r="Y15" s="1"/>
      <c r="Z15" s="1"/>
    </row>
    <row r="16">
      <c r="A16" s="1"/>
      <c r="B16" s="1"/>
      <c r="C16" s="1"/>
      <c r="D16" s="1"/>
      <c r="E16" s="1"/>
      <c r="F16" s="2"/>
      <c r="G16" s="2"/>
      <c r="H16" s="1"/>
      <c r="I16" s="1"/>
      <c r="J16" s="1"/>
      <c r="K16" s="1"/>
      <c r="L16" s="1"/>
      <c r="M16" s="1"/>
      <c r="N16" s="1"/>
      <c r="O16" s="1"/>
      <c r="P16" s="1"/>
      <c r="Q16" s="1"/>
      <c r="R16" s="1"/>
      <c r="S16" s="1"/>
      <c r="T16" s="1"/>
      <c r="U16" s="1"/>
      <c r="V16" s="1"/>
      <c r="W16" s="1"/>
      <c r="X16" s="1"/>
      <c r="Y16" s="1"/>
      <c r="Z16" s="1"/>
    </row>
    <row r="17">
      <c r="A17" s="1"/>
      <c r="B17" s="1"/>
      <c r="C17" s="1"/>
      <c r="D17" s="1"/>
      <c r="E17" s="1"/>
      <c r="F17" s="2"/>
      <c r="G17" s="2"/>
      <c r="H17" s="1"/>
      <c r="I17" s="1"/>
      <c r="J17" s="1"/>
      <c r="K17" s="1"/>
      <c r="L17" s="1"/>
      <c r="M17" s="1"/>
      <c r="N17" s="1"/>
      <c r="O17" s="1"/>
      <c r="P17" s="1"/>
      <c r="Q17" s="1"/>
      <c r="R17" s="1"/>
      <c r="S17" s="1"/>
      <c r="T17" s="1"/>
      <c r="U17" s="1"/>
      <c r="V17" s="1"/>
      <c r="W17" s="1"/>
      <c r="X17" s="1"/>
      <c r="Y17" s="1"/>
      <c r="Z17" s="1"/>
    </row>
    <row r="18">
      <c r="A18" s="1"/>
      <c r="B18" s="1"/>
      <c r="C18" s="1"/>
      <c r="D18" s="1"/>
      <c r="E18" s="1"/>
      <c r="F18" s="2"/>
      <c r="G18" s="2"/>
      <c r="H18" s="1"/>
      <c r="I18" s="1"/>
      <c r="J18" s="1"/>
      <c r="K18" s="1"/>
      <c r="L18" s="1"/>
      <c r="M18" s="1"/>
      <c r="N18" s="1"/>
      <c r="O18" s="1"/>
      <c r="P18" s="1"/>
      <c r="Q18" s="1"/>
      <c r="R18" s="1"/>
      <c r="S18" s="1"/>
      <c r="T18" s="1"/>
      <c r="U18" s="1"/>
      <c r="V18" s="1"/>
      <c r="W18" s="1"/>
      <c r="X18" s="1"/>
      <c r="Y18" s="1"/>
      <c r="Z18" s="1"/>
    </row>
    <row r="19">
      <c r="A19" s="1"/>
      <c r="B19" s="1"/>
      <c r="C19" s="1"/>
      <c r="D19" s="1"/>
      <c r="E19" s="1"/>
      <c r="F19" s="2"/>
      <c r="G19" s="2"/>
      <c r="H19" s="1"/>
      <c r="I19" s="1"/>
      <c r="J19" s="1"/>
      <c r="K19" s="1"/>
      <c r="L19" s="1"/>
      <c r="M19" s="1"/>
      <c r="N19" s="1"/>
      <c r="O19" s="1"/>
      <c r="P19" s="1"/>
      <c r="Q19" s="1"/>
      <c r="R19" s="1"/>
      <c r="S19" s="1"/>
      <c r="T19" s="1"/>
      <c r="U19" s="1"/>
      <c r="V19" s="1"/>
      <c r="W19" s="1"/>
      <c r="X19" s="1"/>
      <c r="Y19" s="1"/>
      <c r="Z19" s="1"/>
    </row>
    <row r="20">
      <c r="A20" s="1"/>
      <c r="B20" s="1"/>
      <c r="C20" s="1"/>
      <c r="D20" s="1"/>
      <c r="E20" s="1"/>
      <c r="F20" s="2"/>
      <c r="G20" s="2"/>
      <c r="H20" s="1"/>
      <c r="I20" s="1"/>
      <c r="J20" s="1"/>
      <c r="K20" s="1"/>
      <c r="L20" s="1"/>
      <c r="M20" s="1"/>
      <c r="N20" s="1"/>
      <c r="O20" s="1"/>
      <c r="P20" s="1"/>
      <c r="Q20" s="1"/>
      <c r="R20" s="1"/>
      <c r="S20" s="1"/>
      <c r="T20" s="1"/>
      <c r="U20" s="1"/>
      <c r="V20" s="1"/>
      <c r="W20" s="1"/>
      <c r="X20" s="1"/>
      <c r="Y20" s="1"/>
      <c r="Z20" s="1"/>
    </row>
    <row r="21">
      <c r="A21" s="1"/>
      <c r="B21" s="1"/>
      <c r="C21" s="1"/>
      <c r="D21" s="1"/>
      <c r="E21" s="1"/>
      <c r="F21" s="2"/>
      <c r="G21" s="2"/>
      <c r="H21" s="1"/>
      <c r="I21" s="1"/>
      <c r="J21" s="1"/>
      <c r="K21" s="1"/>
      <c r="L21" s="1"/>
      <c r="M21" s="1"/>
      <c r="N21" s="1"/>
      <c r="O21" s="1"/>
      <c r="P21" s="1"/>
      <c r="Q21" s="1"/>
      <c r="R21" s="1"/>
      <c r="S21" s="1"/>
      <c r="T21" s="1"/>
      <c r="U21" s="1"/>
      <c r="V21" s="1"/>
      <c r="W21" s="1"/>
      <c r="X21" s="1"/>
      <c r="Y21" s="1"/>
      <c r="Z21" s="1"/>
    </row>
    <row r="22">
      <c r="A22" s="1"/>
      <c r="B22" s="1"/>
      <c r="C22" s="1"/>
      <c r="D22" s="1"/>
      <c r="E22" s="1"/>
      <c r="F22" s="2"/>
      <c r="G22" s="2"/>
      <c r="H22" s="1"/>
      <c r="I22" s="1"/>
      <c r="J22" s="1"/>
      <c r="K22" s="1"/>
      <c r="L22" s="1"/>
      <c r="M22" s="1"/>
      <c r="N22" s="1"/>
      <c r="O22" s="1"/>
      <c r="P22" s="1"/>
      <c r="Q22" s="1"/>
      <c r="R22" s="1"/>
      <c r="S22" s="1"/>
      <c r="T22" s="1"/>
      <c r="U22" s="1"/>
      <c r="V22" s="1"/>
      <c r="W22" s="1"/>
      <c r="X22" s="1"/>
      <c r="Y22" s="1"/>
      <c r="Z22" s="1"/>
    </row>
    <row r="23">
      <c r="A23" s="1"/>
      <c r="B23" s="1"/>
      <c r="C23" s="1"/>
      <c r="D23" s="1"/>
      <c r="E23" s="1"/>
      <c r="F23" s="2"/>
      <c r="G23" s="2"/>
      <c r="H23" s="1"/>
      <c r="I23" s="1"/>
      <c r="J23" s="1"/>
      <c r="K23" s="1"/>
      <c r="L23" s="1"/>
      <c r="M23" s="1"/>
      <c r="N23" s="1"/>
      <c r="O23" s="1"/>
      <c r="P23" s="1"/>
      <c r="Q23" s="1"/>
      <c r="R23" s="1"/>
      <c r="S23" s="1"/>
      <c r="T23" s="1"/>
      <c r="U23" s="1"/>
      <c r="V23" s="1"/>
      <c r="W23" s="1"/>
      <c r="X23" s="1"/>
      <c r="Y23" s="1"/>
      <c r="Z23" s="1"/>
    </row>
    <row r="24">
      <c r="A24" s="1"/>
      <c r="B24" s="1"/>
      <c r="C24" s="1"/>
      <c r="D24" s="1"/>
      <c r="E24" s="1"/>
      <c r="F24" s="2"/>
      <c r="G24" s="2"/>
      <c r="H24" s="1"/>
      <c r="I24" s="1"/>
      <c r="J24" s="1"/>
      <c r="K24" s="1"/>
      <c r="L24" s="1"/>
      <c r="M24" s="1"/>
      <c r="N24" s="1"/>
      <c r="O24" s="1"/>
      <c r="P24" s="1"/>
      <c r="Q24" s="1"/>
      <c r="R24" s="1"/>
      <c r="S24" s="1"/>
      <c r="T24" s="1"/>
      <c r="U24" s="1"/>
      <c r="V24" s="1"/>
      <c r="W24" s="1"/>
      <c r="X24" s="1"/>
      <c r="Y24" s="1"/>
      <c r="Z24" s="1"/>
    </row>
    <row r="25">
      <c r="A25" s="1"/>
      <c r="B25" s="1"/>
      <c r="C25" s="1"/>
      <c r="D25" s="1"/>
      <c r="E25" s="1"/>
      <c r="F25" s="2"/>
      <c r="G25" s="2"/>
      <c r="H25" s="1"/>
      <c r="I25" s="1"/>
      <c r="J25" s="1"/>
      <c r="K25" s="1"/>
      <c r="L25" s="1"/>
      <c r="M25" s="1"/>
      <c r="N25" s="1"/>
      <c r="O25" s="1"/>
      <c r="P25" s="1"/>
      <c r="Q25" s="1"/>
      <c r="R25" s="1"/>
      <c r="S25" s="1"/>
      <c r="T25" s="1"/>
      <c r="U25" s="1"/>
      <c r="V25" s="1"/>
      <c r="W25" s="1"/>
      <c r="X25" s="1"/>
      <c r="Y25" s="1"/>
      <c r="Z25" s="1"/>
    </row>
    <row r="26">
      <c r="A26" s="1"/>
      <c r="B26" s="1"/>
      <c r="C26" s="1"/>
      <c r="D26" s="1"/>
      <c r="E26" s="1"/>
      <c r="F26" s="2"/>
      <c r="G26" s="2"/>
      <c r="H26" s="1"/>
      <c r="I26" s="1"/>
      <c r="J26" s="1"/>
      <c r="K26" s="1"/>
      <c r="L26" s="1"/>
      <c r="M26" s="1"/>
      <c r="N26" s="1"/>
      <c r="O26" s="1"/>
      <c r="P26" s="1"/>
      <c r="Q26" s="1"/>
      <c r="R26" s="1"/>
      <c r="S26" s="1"/>
      <c r="T26" s="1"/>
      <c r="U26" s="1"/>
      <c r="V26" s="1"/>
      <c r="W26" s="1"/>
      <c r="X26" s="1"/>
      <c r="Y26" s="1"/>
      <c r="Z26" s="1"/>
    </row>
    <row r="27">
      <c r="A27" s="1"/>
      <c r="B27" s="1"/>
      <c r="C27" s="1"/>
      <c r="D27" s="1"/>
      <c r="E27" s="1"/>
      <c r="F27" s="2"/>
      <c r="G27" s="2"/>
      <c r="H27" s="1"/>
      <c r="I27" s="1"/>
      <c r="J27" s="1"/>
      <c r="K27" s="1"/>
      <c r="L27" s="1"/>
      <c r="M27" s="1"/>
      <c r="N27" s="1"/>
      <c r="O27" s="1"/>
      <c r="P27" s="1"/>
      <c r="Q27" s="1"/>
      <c r="R27" s="1"/>
      <c r="S27" s="1"/>
      <c r="T27" s="1"/>
      <c r="U27" s="1"/>
      <c r="V27" s="1"/>
      <c r="W27" s="1"/>
      <c r="X27" s="1"/>
      <c r="Y27" s="1"/>
      <c r="Z27" s="1"/>
    </row>
    <row r="28">
      <c r="A28" s="1"/>
      <c r="B28" s="1"/>
      <c r="C28" s="1"/>
      <c r="D28" s="1"/>
      <c r="E28" s="1"/>
      <c r="F28" s="2"/>
      <c r="G28" s="2"/>
      <c r="H28" s="1"/>
      <c r="I28" s="1"/>
      <c r="J28" s="1"/>
      <c r="K28" s="1"/>
      <c r="L28" s="1"/>
      <c r="M28" s="1"/>
      <c r="N28" s="1"/>
      <c r="O28" s="1"/>
      <c r="P28" s="1"/>
      <c r="Q28" s="1"/>
      <c r="R28" s="1"/>
      <c r="S28" s="1"/>
      <c r="T28" s="1"/>
      <c r="U28" s="1"/>
      <c r="V28" s="1"/>
      <c r="W28" s="1"/>
      <c r="X28" s="1"/>
      <c r="Y28" s="1"/>
      <c r="Z28" s="1"/>
    </row>
    <row r="29">
      <c r="A29" s="1"/>
      <c r="B29" s="1"/>
      <c r="C29" s="1"/>
      <c r="D29" s="1"/>
      <c r="E29" s="1"/>
      <c r="F29" s="2"/>
      <c r="G29" s="2"/>
      <c r="H29" s="1"/>
      <c r="I29" s="1"/>
      <c r="J29" s="1"/>
      <c r="K29" s="1"/>
      <c r="L29" s="1"/>
      <c r="M29" s="1"/>
      <c r="N29" s="1"/>
      <c r="O29" s="1"/>
      <c r="P29" s="1"/>
      <c r="Q29" s="1"/>
      <c r="R29" s="1"/>
      <c r="S29" s="1"/>
      <c r="T29" s="1"/>
      <c r="U29" s="1"/>
      <c r="V29" s="1"/>
      <c r="W29" s="1"/>
      <c r="X29" s="1"/>
      <c r="Y29" s="1"/>
      <c r="Z29" s="1"/>
    </row>
    <row r="30">
      <c r="A30" s="1"/>
      <c r="B30" s="1"/>
      <c r="C30" s="1"/>
      <c r="D30" s="1"/>
      <c r="E30" s="1"/>
      <c r="F30" s="2"/>
      <c r="G30" s="2"/>
      <c r="H30" s="1"/>
      <c r="I30" s="1"/>
      <c r="J30" s="1"/>
      <c r="K30" s="1"/>
      <c r="L30" s="1"/>
      <c r="M30" s="1"/>
      <c r="N30" s="1"/>
      <c r="O30" s="1"/>
      <c r="P30" s="1"/>
      <c r="Q30" s="1"/>
      <c r="R30" s="1"/>
      <c r="S30" s="1"/>
      <c r="T30" s="1"/>
      <c r="U30" s="1"/>
      <c r="V30" s="1"/>
      <c r="W30" s="1"/>
      <c r="X30" s="1"/>
      <c r="Y30" s="1"/>
      <c r="Z30" s="1"/>
    </row>
    <row r="31">
      <c r="A31" s="1"/>
      <c r="B31" s="1"/>
      <c r="C31" s="1"/>
      <c r="D31" s="1"/>
      <c r="E31" s="1"/>
      <c r="F31" s="2"/>
      <c r="G31" s="2"/>
      <c r="H31" s="1"/>
      <c r="I31" s="1"/>
      <c r="J31" s="1"/>
      <c r="K31" s="1"/>
      <c r="L31" s="1"/>
      <c r="M31" s="1"/>
      <c r="N31" s="1"/>
      <c r="O31" s="1"/>
      <c r="P31" s="1"/>
      <c r="Q31" s="1"/>
      <c r="R31" s="1"/>
      <c r="S31" s="1"/>
      <c r="T31" s="1"/>
      <c r="U31" s="1"/>
      <c r="V31" s="1"/>
      <c r="W31" s="1"/>
      <c r="X31" s="1"/>
      <c r="Y31" s="1"/>
      <c r="Z31" s="1"/>
    </row>
    <row r="32">
      <c r="A32" s="1"/>
      <c r="B32" s="1"/>
      <c r="C32" s="1"/>
      <c r="D32" s="1"/>
      <c r="E32" s="1"/>
      <c r="F32" s="2"/>
      <c r="G32" s="2"/>
      <c r="H32" s="1"/>
      <c r="I32" s="1"/>
      <c r="J32" s="1"/>
      <c r="K32" s="1"/>
      <c r="L32" s="1"/>
      <c r="M32" s="1"/>
      <c r="N32" s="1"/>
      <c r="O32" s="1"/>
      <c r="P32" s="1"/>
      <c r="Q32" s="1"/>
      <c r="R32" s="1"/>
      <c r="S32" s="1"/>
      <c r="T32" s="1"/>
      <c r="U32" s="1"/>
      <c r="V32" s="1"/>
      <c r="W32" s="1"/>
      <c r="X32" s="1"/>
      <c r="Y32" s="1"/>
      <c r="Z32" s="1"/>
    </row>
    <row r="33">
      <c r="A33" s="1"/>
      <c r="B33" s="1"/>
      <c r="C33" s="1"/>
      <c r="D33" s="1"/>
      <c r="E33" s="1"/>
      <c r="F33" s="2"/>
      <c r="G33" s="2"/>
      <c r="H33" s="1"/>
      <c r="I33" s="1"/>
      <c r="J33" s="1"/>
      <c r="K33" s="1"/>
      <c r="L33" s="1"/>
      <c r="M33" s="1"/>
      <c r="N33" s="1"/>
      <c r="O33" s="1"/>
      <c r="P33" s="1"/>
      <c r="Q33" s="1"/>
      <c r="R33" s="1"/>
      <c r="S33" s="1"/>
      <c r="T33" s="1"/>
      <c r="U33" s="1"/>
      <c r="V33" s="1"/>
      <c r="W33" s="1"/>
      <c r="X33" s="1"/>
      <c r="Y33" s="1"/>
      <c r="Z33" s="1"/>
    </row>
    <row r="34">
      <c r="A34" s="1"/>
      <c r="B34" s="1"/>
      <c r="C34" s="1"/>
      <c r="D34" s="1"/>
      <c r="E34" s="1"/>
      <c r="F34" s="2"/>
      <c r="G34" s="2"/>
      <c r="H34" s="1"/>
      <c r="I34" s="1"/>
      <c r="J34" s="1"/>
      <c r="K34" s="1"/>
      <c r="L34" s="1"/>
      <c r="M34" s="1"/>
      <c r="N34" s="1"/>
      <c r="O34" s="1"/>
      <c r="P34" s="1"/>
      <c r="Q34" s="1"/>
      <c r="R34" s="1"/>
      <c r="S34" s="1"/>
      <c r="T34" s="1"/>
      <c r="U34" s="1"/>
      <c r="V34" s="1"/>
      <c r="W34" s="1"/>
      <c r="X34" s="1"/>
      <c r="Y34" s="1"/>
      <c r="Z34" s="1"/>
    </row>
    <row r="35">
      <c r="A35" s="1"/>
      <c r="B35" s="1"/>
      <c r="C35" s="1"/>
      <c r="D35" s="1"/>
      <c r="E35" s="1"/>
      <c r="F35" s="2"/>
      <c r="G35" s="2"/>
      <c r="H35" s="1"/>
      <c r="I35" s="1"/>
      <c r="J35" s="1"/>
      <c r="K35" s="1"/>
      <c r="L35" s="1"/>
      <c r="M35" s="1"/>
      <c r="N35" s="1"/>
      <c r="O35" s="1"/>
      <c r="P35" s="1"/>
      <c r="Q35" s="1"/>
      <c r="R35" s="1"/>
      <c r="S35" s="1"/>
      <c r="T35" s="1"/>
      <c r="U35" s="1"/>
      <c r="V35" s="1"/>
      <c r="W35" s="1"/>
      <c r="X35" s="1"/>
      <c r="Y35" s="1"/>
      <c r="Z35" s="1"/>
    </row>
    <row r="36">
      <c r="A36" s="1"/>
      <c r="B36" s="1"/>
      <c r="C36" s="1"/>
      <c r="D36" s="1"/>
      <c r="E36" s="1"/>
      <c r="F36" s="2"/>
      <c r="G36" s="2"/>
      <c r="H36" s="1"/>
      <c r="I36" s="1"/>
      <c r="J36" s="1"/>
      <c r="K36" s="1"/>
      <c r="L36" s="1"/>
      <c r="M36" s="1"/>
      <c r="N36" s="1"/>
      <c r="O36" s="1"/>
      <c r="P36" s="1"/>
      <c r="Q36" s="1"/>
      <c r="R36" s="1"/>
      <c r="S36" s="1"/>
      <c r="T36" s="1"/>
      <c r="U36" s="1"/>
      <c r="V36" s="1"/>
      <c r="W36" s="1"/>
      <c r="X36" s="1"/>
      <c r="Y36" s="1"/>
      <c r="Z36" s="1"/>
    </row>
    <row r="37">
      <c r="A37" s="1"/>
      <c r="B37" s="1"/>
      <c r="C37" s="1"/>
      <c r="D37" s="1"/>
      <c r="E37" s="1"/>
      <c r="F37" s="2"/>
      <c r="G37" s="2"/>
      <c r="H37" s="1"/>
      <c r="I37" s="1"/>
      <c r="J37" s="1"/>
      <c r="K37" s="1"/>
      <c r="L37" s="1"/>
      <c r="M37" s="1"/>
      <c r="N37" s="1"/>
      <c r="O37" s="1"/>
      <c r="P37" s="1"/>
      <c r="Q37" s="1"/>
      <c r="R37" s="1"/>
      <c r="S37" s="1"/>
      <c r="T37" s="1"/>
      <c r="U37" s="1"/>
      <c r="V37" s="1"/>
      <c r="W37" s="1"/>
      <c r="X37" s="1"/>
      <c r="Y37" s="1"/>
      <c r="Z37" s="1"/>
    </row>
    <row r="38">
      <c r="A38" s="1"/>
      <c r="B38" s="1"/>
      <c r="C38" s="1"/>
      <c r="D38" s="1"/>
      <c r="E38" s="1"/>
      <c r="F38" s="2"/>
      <c r="G38" s="2"/>
      <c r="H38" s="1"/>
      <c r="I38" s="1"/>
      <c r="J38" s="1"/>
      <c r="K38" s="1"/>
      <c r="L38" s="1"/>
      <c r="M38" s="1"/>
      <c r="N38" s="1"/>
      <c r="O38" s="1"/>
      <c r="P38" s="1"/>
      <c r="Q38" s="1"/>
      <c r="R38" s="1"/>
      <c r="S38" s="1"/>
      <c r="T38" s="1"/>
      <c r="U38" s="1"/>
      <c r="V38" s="1"/>
      <c r="W38" s="1"/>
      <c r="X38" s="1"/>
      <c r="Y38" s="1"/>
      <c r="Z38" s="1"/>
    </row>
    <row r="39">
      <c r="A39" s="1"/>
      <c r="B39" s="1"/>
      <c r="C39" s="1"/>
      <c r="D39" s="1"/>
      <c r="E39" s="1"/>
      <c r="F39" s="2"/>
      <c r="G39" s="2"/>
      <c r="H39" s="1"/>
      <c r="I39" s="1"/>
      <c r="J39" s="1"/>
      <c r="K39" s="1"/>
      <c r="L39" s="1"/>
      <c r="M39" s="1"/>
      <c r="N39" s="1"/>
      <c r="O39" s="1"/>
      <c r="P39" s="1"/>
      <c r="Q39" s="1"/>
      <c r="R39" s="1"/>
      <c r="S39" s="1"/>
      <c r="T39" s="1"/>
      <c r="U39" s="1"/>
      <c r="V39" s="1"/>
      <c r="W39" s="1"/>
      <c r="X39" s="1"/>
      <c r="Y39" s="1"/>
      <c r="Z39" s="1"/>
    </row>
    <row r="40">
      <c r="A40" s="1"/>
      <c r="B40" s="1"/>
      <c r="C40" s="1"/>
      <c r="D40" s="1"/>
      <c r="E40" s="1"/>
      <c r="F40" s="2"/>
      <c r="G40" s="2"/>
      <c r="H40" s="1"/>
      <c r="I40" s="1"/>
      <c r="J40" s="1"/>
      <c r="K40" s="1"/>
      <c r="L40" s="1"/>
      <c r="M40" s="1"/>
      <c r="N40" s="1"/>
      <c r="O40" s="1"/>
      <c r="P40" s="1"/>
      <c r="Q40" s="1"/>
      <c r="R40" s="1"/>
      <c r="S40" s="1"/>
      <c r="T40" s="1"/>
      <c r="U40" s="1"/>
      <c r="V40" s="1"/>
      <c r="W40" s="1"/>
      <c r="X40" s="1"/>
      <c r="Y40" s="1"/>
      <c r="Z40" s="1"/>
    </row>
    <row r="41">
      <c r="A41" s="1"/>
      <c r="B41" s="1"/>
      <c r="C41" s="1"/>
      <c r="D41" s="1"/>
      <c r="E41" s="1"/>
      <c r="F41" s="2"/>
      <c r="G41" s="2"/>
      <c r="H41" s="1"/>
      <c r="I41" s="1"/>
      <c r="J41" s="1"/>
      <c r="K41" s="1"/>
      <c r="L41" s="1"/>
      <c r="M41" s="1"/>
      <c r="N41" s="1"/>
      <c r="O41" s="1"/>
      <c r="P41" s="1"/>
      <c r="Q41" s="1"/>
      <c r="R41" s="1"/>
      <c r="S41" s="1"/>
      <c r="T41" s="1"/>
      <c r="U41" s="1"/>
      <c r="V41" s="1"/>
      <c r="W41" s="1"/>
      <c r="X41" s="1"/>
      <c r="Y41" s="1"/>
      <c r="Z41" s="1"/>
    </row>
    <row r="42">
      <c r="A42" s="1"/>
      <c r="B42" s="1"/>
      <c r="C42" s="1"/>
      <c r="D42" s="1"/>
      <c r="E42" s="1"/>
      <c r="F42" s="2"/>
      <c r="G42" s="2"/>
      <c r="H42" s="1"/>
      <c r="I42" s="1"/>
      <c r="J42" s="1"/>
      <c r="K42" s="1"/>
      <c r="L42" s="1"/>
      <c r="M42" s="1"/>
      <c r="N42" s="1"/>
      <c r="O42" s="1"/>
      <c r="P42" s="1"/>
      <c r="Q42" s="1"/>
      <c r="R42" s="1"/>
      <c r="S42" s="1"/>
      <c r="T42" s="1"/>
      <c r="U42" s="1"/>
      <c r="V42" s="1"/>
      <c r="W42" s="1"/>
      <c r="X42" s="1"/>
      <c r="Y42" s="1"/>
      <c r="Z42" s="1"/>
    </row>
    <row r="43">
      <c r="A43" s="1"/>
      <c r="B43" s="1"/>
      <c r="C43" s="1"/>
      <c r="D43" s="1"/>
      <c r="E43" s="1"/>
      <c r="F43" s="2"/>
      <c r="G43" s="2"/>
      <c r="H43" s="1"/>
      <c r="I43" s="1"/>
      <c r="J43" s="1"/>
      <c r="K43" s="1"/>
      <c r="L43" s="1"/>
      <c r="M43" s="1"/>
      <c r="N43" s="1"/>
      <c r="O43" s="1"/>
      <c r="P43" s="1"/>
      <c r="Q43" s="1"/>
      <c r="R43" s="1"/>
      <c r="S43" s="1"/>
      <c r="T43" s="1"/>
      <c r="U43" s="1"/>
      <c r="V43" s="1"/>
      <c r="W43" s="1"/>
      <c r="X43" s="1"/>
      <c r="Y43" s="1"/>
      <c r="Z43" s="1"/>
    </row>
    <row r="44">
      <c r="A44" s="1"/>
      <c r="B44" s="1"/>
      <c r="C44" s="1"/>
      <c r="D44" s="1"/>
      <c r="E44" s="1"/>
      <c r="F44" s="2"/>
      <c r="G44" s="2"/>
      <c r="H44" s="1"/>
      <c r="I44" s="1"/>
      <c r="J44" s="1"/>
      <c r="K44" s="1"/>
      <c r="L44" s="1"/>
      <c r="M44" s="1"/>
      <c r="N44" s="1"/>
      <c r="O44" s="1"/>
      <c r="P44" s="1"/>
      <c r="Q44" s="1"/>
      <c r="R44" s="1"/>
      <c r="S44" s="1"/>
      <c r="T44" s="1"/>
      <c r="U44" s="1"/>
      <c r="V44" s="1"/>
      <c r="W44" s="1"/>
      <c r="X44" s="1"/>
      <c r="Y44" s="1"/>
      <c r="Z44" s="1"/>
    </row>
    <row r="45">
      <c r="A45" s="1"/>
      <c r="B45" s="1"/>
      <c r="C45" s="1"/>
      <c r="D45" s="1"/>
      <c r="E45" s="1"/>
      <c r="F45" s="2"/>
      <c r="G45" s="2"/>
      <c r="H45" s="1"/>
      <c r="I45" s="1"/>
      <c r="J45" s="1"/>
      <c r="K45" s="1"/>
      <c r="L45" s="1"/>
      <c r="M45" s="1"/>
      <c r="N45" s="1"/>
      <c r="O45" s="1"/>
      <c r="P45" s="1"/>
      <c r="Q45" s="1"/>
      <c r="R45" s="1"/>
      <c r="S45" s="1"/>
      <c r="T45" s="1"/>
      <c r="U45" s="1"/>
      <c r="V45" s="1"/>
      <c r="W45" s="1"/>
      <c r="X45" s="1"/>
      <c r="Y45" s="1"/>
      <c r="Z45" s="1"/>
    </row>
    <row r="46">
      <c r="A46" s="1"/>
      <c r="B46" s="1"/>
      <c r="C46" s="1"/>
      <c r="D46" s="1"/>
      <c r="E46" s="1"/>
      <c r="F46" s="2"/>
      <c r="G46" s="2"/>
      <c r="H46" s="1"/>
      <c r="I46" s="1"/>
      <c r="J46" s="1"/>
      <c r="K46" s="1"/>
      <c r="L46" s="1"/>
      <c r="M46" s="1"/>
      <c r="N46" s="1"/>
      <c r="O46" s="1"/>
      <c r="P46" s="1"/>
      <c r="Q46" s="1"/>
      <c r="R46" s="1"/>
      <c r="S46" s="1"/>
      <c r="T46" s="1"/>
      <c r="U46" s="1"/>
      <c r="V46" s="1"/>
      <c r="W46" s="1"/>
      <c r="X46" s="1"/>
      <c r="Y46" s="1"/>
      <c r="Z46" s="1"/>
    </row>
    <row r="47">
      <c r="A47" s="1"/>
      <c r="B47" s="1"/>
      <c r="C47" s="1"/>
      <c r="D47" s="1"/>
      <c r="E47" s="1"/>
      <c r="F47" s="2"/>
      <c r="G47" s="2"/>
      <c r="H47" s="1"/>
      <c r="I47" s="1"/>
      <c r="J47" s="1"/>
      <c r="K47" s="1"/>
      <c r="L47" s="1"/>
      <c r="M47" s="1"/>
      <c r="N47" s="1"/>
      <c r="O47" s="1"/>
      <c r="P47" s="1"/>
      <c r="Q47" s="1"/>
      <c r="R47" s="1"/>
      <c r="S47" s="1"/>
      <c r="T47" s="1"/>
      <c r="U47" s="1"/>
      <c r="V47" s="1"/>
      <c r="W47" s="1"/>
      <c r="X47" s="1"/>
      <c r="Y47" s="1"/>
      <c r="Z47" s="1"/>
    </row>
    <row r="48">
      <c r="A48" s="1"/>
      <c r="B48" s="1"/>
      <c r="C48" s="1"/>
      <c r="D48" s="1"/>
      <c r="E48" s="1"/>
      <c r="F48" s="2"/>
      <c r="G48" s="2"/>
      <c r="H48" s="1"/>
      <c r="I48" s="1"/>
      <c r="J48" s="1"/>
      <c r="K48" s="1"/>
      <c r="L48" s="1"/>
      <c r="M48" s="1"/>
      <c r="N48" s="1"/>
      <c r="O48" s="1"/>
      <c r="P48" s="1"/>
      <c r="Q48" s="1"/>
      <c r="R48" s="1"/>
      <c r="S48" s="1"/>
      <c r="T48" s="1"/>
      <c r="U48" s="1"/>
      <c r="V48" s="1"/>
      <c r="W48" s="1"/>
      <c r="X48" s="1"/>
      <c r="Y48" s="1"/>
      <c r="Z48" s="1"/>
    </row>
    <row r="49">
      <c r="A49" s="1"/>
      <c r="B49" s="1"/>
      <c r="C49" s="1"/>
      <c r="D49" s="1"/>
      <c r="E49" s="1"/>
      <c r="F49" s="2"/>
      <c r="G49" s="2"/>
      <c r="H49" s="1"/>
      <c r="I49" s="1"/>
      <c r="J49" s="1"/>
      <c r="K49" s="1"/>
      <c r="L49" s="1"/>
      <c r="M49" s="1"/>
      <c r="N49" s="1"/>
      <c r="O49" s="1"/>
      <c r="P49" s="1"/>
      <c r="Q49" s="1"/>
      <c r="R49" s="1"/>
      <c r="S49" s="1"/>
      <c r="T49" s="1"/>
      <c r="U49" s="1"/>
      <c r="V49" s="1"/>
      <c r="W49" s="1"/>
      <c r="X49" s="1"/>
      <c r="Y49" s="1"/>
      <c r="Z49" s="1"/>
    </row>
    <row r="50">
      <c r="A50" s="1"/>
      <c r="B50" s="1"/>
      <c r="C50" s="1"/>
      <c r="D50" s="1"/>
      <c r="E50" s="1"/>
      <c r="F50" s="2"/>
      <c r="G50" s="2"/>
      <c r="H50" s="1"/>
      <c r="I50" s="1"/>
      <c r="J50" s="1"/>
      <c r="K50" s="1"/>
      <c r="L50" s="1"/>
      <c r="M50" s="1"/>
      <c r="N50" s="1"/>
      <c r="O50" s="1"/>
      <c r="P50" s="1"/>
      <c r="Q50" s="1"/>
      <c r="R50" s="1"/>
      <c r="S50" s="1"/>
      <c r="T50" s="1"/>
      <c r="U50" s="1"/>
      <c r="V50" s="1"/>
      <c r="W50" s="1"/>
      <c r="X50" s="1"/>
      <c r="Y50" s="1"/>
      <c r="Z50" s="1"/>
    </row>
    <row r="51">
      <c r="A51" s="1"/>
      <c r="B51" s="1"/>
      <c r="C51" s="1"/>
      <c r="D51" s="1"/>
      <c r="E51" s="1"/>
      <c r="F51" s="2"/>
      <c r="G51" s="2"/>
      <c r="H51" s="1"/>
      <c r="I51" s="1"/>
      <c r="J51" s="1"/>
      <c r="K51" s="1"/>
      <c r="L51" s="1"/>
      <c r="M51" s="1"/>
      <c r="N51" s="1"/>
      <c r="O51" s="1"/>
      <c r="P51" s="1"/>
      <c r="Q51" s="1"/>
      <c r="R51" s="1"/>
      <c r="S51" s="1"/>
      <c r="T51" s="1"/>
      <c r="U51" s="1"/>
      <c r="V51" s="1"/>
      <c r="W51" s="1"/>
      <c r="X51" s="1"/>
      <c r="Y51" s="1"/>
      <c r="Z51" s="1"/>
    </row>
    <row r="52">
      <c r="A52" s="1"/>
      <c r="B52" s="1"/>
      <c r="C52" s="1"/>
      <c r="D52" s="1"/>
      <c r="E52" s="1"/>
      <c r="F52" s="2"/>
      <c r="G52" s="2"/>
      <c r="H52" s="1"/>
      <c r="I52" s="1"/>
      <c r="J52" s="1"/>
      <c r="K52" s="1"/>
      <c r="L52" s="1"/>
      <c r="M52" s="1"/>
      <c r="N52" s="1"/>
      <c r="O52" s="1"/>
      <c r="P52" s="1"/>
      <c r="Q52" s="1"/>
      <c r="R52" s="1"/>
      <c r="S52" s="1"/>
      <c r="T52" s="1"/>
      <c r="U52" s="1"/>
      <c r="V52" s="1"/>
      <c r="W52" s="1"/>
      <c r="X52" s="1"/>
      <c r="Y52" s="1"/>
      <c r="Z52" s="1"/>
    </row>
    <row r="53">
      <c r="A53" s="1"/>
      <c r="B53" s="1"/>
      <c r="C53" s="1"/>
      <c r="D53" s="1"/>
      <c r="E53" s="1"/>
      <c r="F53" s="2"/>
      <c r="G53" s="2"/>
      <c r="H53" s="1"/>
      <c r="I53" s="1"/>
      <c r="J53" s="1"/>
      <c r="K53" s="1"/>
      <c r="L53" s="1"/>
      <c r="M53" s="1"/>
      <c r="N53" s="1"/>
      <c r="O53" s="1"/>
      <c r="P53" s="1"/>
      <c r="Q53" s="1"/>
      <c r="R53" s="1"/>
      <c r="S53" s="1"/>
      <c r="T53" s="1"/>
      <c r="U53" s="1"/>
      <c r="V53" s="1"/>
      <c r="W53" s="1"/>
      <c r="X53" s="1"/>
      <c r="Y53" s="1"/>
      <c r="Z53" s="1"/>
    </row>
    <row r="54">
      <c r="A54" s="1"/>
      <c r="B54" s="1"/>
      <c r="C54" s="1"/>
      <c r="D54" s="1"/>
      <c r="E54" s="1"/>
      <c r="F54" s="2"/>
      <c r="G54" s="2"/>
      <c r="H54" s="1"/>
      <c r="I54" s="1"/>
      <c r="J54" s="1"/>
      <c r="K54" s="1"/>
      <c r="L54" s="1"/>
      <c r="M54" s="1"/>
      <c r="N54" s="1"/>
      <c r="O54" s="1"/>
      <c r="P54" s="1"/>
      <c r="Q54" s="1"/>
      <c r="R54" s="1"/>
      <c r="S54" s="1"/>
      <c r="T54" s="1"/>
      <c r="U54" s="1"/>
      <c r="V54" s="1"/>
      <c r="W54" s="1"/>
      <c r="X54" s="1"/>
      <c r="Y54" s="1"/>
      <c r="Z54" s="1"/>
    </row>
    <row r="55">
      <c r="A55" s="1"/>
      <c r="B55" s="1"/>
      <c r="C55" s="1"/>
      <c r="D55" s="1"/>
      <c r="E55" s="1"/>
      <c r="F55" s="2"/>
      <c r="G55" s="2"/>
      <c r="H55" s="1"/>
      <c r="I55" s="1"/>
      <c r="J55" s="1"/>
      <c r="K55" s="1"/>
      <c r="L55" s="1"/>
      <c r="M55" s="1"/>
      <c r="N55" s="1"/>
      <c r="O55" s="1"/>
      <c r="P55" s="1"/>
      <c r="Q55" s="1"/>
      <c r="R55" s="1"/>
      <c r="S55" s="1"/>
      <c r="T55" s="1"/>
      <c r="U55" s="1"/>
      <c r="V55" s="1"/>
      <c r="W55" s="1"/>
      <c r="X55" s="1"/>
      <c r="Y55" s="1"/>
      <c r="Z55" s="1"/>
    </row>
    <row r="56">
      <c r="A56" s="1"/>
      <c r="B56" s="1"/>
      <c r="C56" s="1"/>
      <c r="D56" s="1"/>
      <c r="E56" s="1"/>
      <c r="F56" s="2"/>
      <c r="G56" s="2"/>
      <c r="H56" s="1"/>
      <c r="I56" s="1"/>
      <c r="J56" s="1"/>
      <c r="K56" s="1"/>
      <c r="L56" s="1"/>
      <c r="M56" s="1"/>
      <c r="N56" s="1"/>
      <c r="O56" s="1"/>
      <c r="P56" s="1"/>
      <c r="Q56" s="1"/>
      <c r="R56" s="1"/>
      <c r="S56" s="1"/>
      <c r="T56" s="1"/>
      <c r="U56" s="1"/>
      <c r="V56" s="1"/>
      <c r="W56" s="1"/>
      <c r="X56" s="1"/>
      <c r="Y56" s="1"/>
      <c r="Z56" s="1"/>
    </row>
    <row r="57">
      <c r="A57" s="1"/>
      <c r="B57" s="1"/>
      <c r="C57" s="1"/>
      <c r="D57" s="1"/>
      <c r="E57" s="1"/>
      <c r="F57" s="2"/>
      <c r="G57" s="2"/>
      <c r="H57" s="1"/>
      <c r="I57" s="1"/>
      <c r="J57" s="1"/>
      <c r="K57" s="1"/>
      <c r="L57" s="1"/>
      <c r="M57" s="1"/>
      <c r="N57" s="1"/>
      <c r="O57" s="1"/>
      <c r="P57" s="1"/>
      <c r="Q57" s="1"/>
      <c r="R57" s="1"/>
      <c r="S57" s="1"/>
      <c r="T57" s="1"/>
      <c r="U57" s="1"/>
      <c r="V57" s="1"/>
      <c r="W57" s="1"/>
      <c r="X57" s="1"/>
      <c r="Y57" s="1"/>
      <c r="Z57" s="1"/>
    </row>
    <row r="58">
      <c r="A58" s="1"/>
      <c r="B58" s="1"/>
      <c r="C58" s="1"/>
      <c r="D58" s="1"/>
      <c r="E58" s="1"/>
      <c r="F58" s="2"/>
      <c r="G58" s="2"/>
      <c r="H58" s="1"/>
      <c r="I58" s="1"/>
      <c r="J58" s="1"/>
      <c r="K58" s="1"/>
      <c r="L58" s="1"/>
      <c r="M58" s="1"/>
      <c r="N58" s="1"/>
      <c r="O58" s="1"/>
      <c r="P58" s="1"/>
      <c r="Q58" s="1"/>
      <c r="R58" s="1"/>
      <c r="S58" s="1"/>
      <c r="T58" s="1"/>
      <c r="U58" s="1"/>
      <c r="V58" s="1"/>
      <c r="W58" s="1"/>
      <c r="X58" s="1"/>
      <c r="Y58" s="1"/>
      <c r="Z58" s="1"/>
    </row>
    <row r="59">
      <c r="A59" s="1"/>
      <c r="B59" s="1"/>
      <c r="C59" s="1"/>
      <c r="D59" s="1"/>
      <c r="E59" s="1"/>
      <c r="F59" s="2"/>
      <c r="G59" s="2"/>
      <c r="H59" s="1"/>
      <c r="I59" s="1"/>
      <c r="J59" s="1"/>
      <c r="K59" s="1"/>
      <c r="L59" s="1"/>
      <c r="M59" s="1"/>
      <c r="N59" s="1"/>
      <c r="O59" s="1"/>
      <c r="P59" s="1"/>
      <c r="Q59" s="1"/>
      <c r="R59" s="1"/>
      <c r="S59" s="1"/>
      <c r="T59" s="1"/>
      <c r="U59" s="1"/>
      <c r="V59" s="1"/>
      <c r="W59" s="1"/>
      <c r="X59" s="1"/>
      <c r="Y59" s="1"/>
      <c r="Z59" s="1"/>
    </row>
    <row r="60">
      <c r="A60" s="1"/>
      <c r="B60" s="1"/>
      <c r="C60" s="1"/>
      <c r="D60" s="1"/>
      <c r="E60" s="1"/>
      <c r="F60" s="2"/>
      <c r="G60" s="2"/>
      <c r="H60" s="1"/>
      <c r="I60" s="1"/>
      <c r="J60" s="1"/>
      <c r="K60" s="1"/>
      <c r="L60" s="1"/>
      <c r="M60" s="1"/>
      <c r="N60" s="1"/>
      <c r="O60" s="1"/>
      <c r="P60" s="1"/>
      <c r="Q60" s="1"/>
      <c r="R60" s="1"/>
      <c r="S60" s="1"/>
      <c r="T60" s="1"/>
      <c r="U60" s="1"/>
      <c r="V60" s="1"/>
      <c r="W60" s="1"/>
      <c r="X60" s="1"/>
      <c r="Y60" s="1"/>
      <c r="Z60" s="1"/>
    </row>
    <row r="61">
      <c r="A61" s="1"/>
      <c r="B61" s="1"/>
      <c r="C61" s="1"/>
      <c r="D61" s="1"/>
      <c r="E61" s="1"/>
      <c r="F61" s="2"/>
      <c r="G61" s="2"/>
      <c r="H61" s="1"/>
      <c r="I61" s="1"/>
      <c r="J61" s="1"/>
      <c r="K61" s="1"/>
      <c r="L61" s="1"/>
      <c r="M61" s="1"/>
      <c r="N61" s="1"/>
      <c r="O61" s="1"/>
      <c r="P61" s="1"/>
      <c r="Q61" s="1"/>
      <c r="R61" s="1"/>
      <c r="S61" s="1"/>
      <c r="T61" s="1"/>
      <c r="U61" s="1"/>
      <c r="V61" s="1"/>
      <c r="W61" s="1"/>
      <c r="X61" s="1"/>
      <c r="Y61" s="1"/>
      <c r="Z61" s="1"/>
    </row>
    <row r="62">
      <c r="A62" s="1"/>
      <c r="B62" s="1"/>
      <c r="C62" s="1"/>
      <c r="D62" s="1"/>
      <c r="E62" s="1"/>
      <c r="F62" s="2"/>
      <c r="G62" s="2"/>
      <c r="H62" s="1"/>
      <c r="I62" s="1"/>
      <c r="J62" s="1"/>
      <c r="K62" s="1"/>
      <c r="L62" s="1"/>
      <c r="M62" s="1"/>
      <c r="N62" s="1"/>
      <c r="O62" s="1"/>
      <c r="P62" s="1"/>
      <c r="Q62" s="1"/>
      <c r="R62" s="1"/>
      <c r="S62" s="1"/>
      <c r="T62" s="1"/>
      <c r="U62" s="1"/>
      <c r="V62" s="1"/>
      <c r="W62" s="1"/>
      <c r="X62" s="1"/>
      <c r="Y62" s="1"/>
      <c r="Z62" s="1"/>
    </row>
    <row r="63">
      <c r="A63" s="1"/>
      <c r="B63" s="1"/>
      <c r="C63" s="1"/>
      <c r="D63" s="1"/>
      <c r="E63" s="1"/>
      <c r="F63" s="2"/>
      <c r="G63" s="2"/>
      <c r="H63" s="1"/>
      <c r="I63" s="1"/>
      <c r="J63" s="1"/>
      <c r="K63" s="1"/>
      <c r="L63" s="1"/>
      <c r="M63" s="1"/>
      <c r="N63" s="1"/>
      <c r="O63" s="1"/>
      <c r="P63" s="1"/>
      <c r="Q63" s="1"/>
      <c r="R63" s="1"/>
      <c r="S63" s="1"/>
      <c r="T63" s="1"/>
      <c r="U63" s="1"/>
      <c r="V63" s="1"/>
      <c r="W63" s="1"/>
      <c r="X63" s="1"/>
      <c r="Y63" s="1"/>
      <c r="Z63" s="1"/>
    </row>
    <row r="64">
      <c r="A64" s="1"/>
      <c r="B64" s="1"/>
      <c r="C64" s="1"/>
      <c r="D64" s="1"/>
      <c r="E64" s="1"/>
      <c r="F64" s="2"/>
      <c r="G64" s="2"/>
      <c r="H64" s="1"/>
      <c r="I64" s="1"/>
      <c r="J64" s="1"/>
      <c r="K64" s="1"/>
      <c r="L64" s="1"/>
      <c r="M64" s="1"/>
      <c r="N64" s="1"/>
      <c r="O64" s="1"/>
      <c r="P64" s="1"/>
      <c r="Q64" s="1"/>
      <c r="R64" s="1"/>
      <c r="S64" s="1"/>
      <c r="T64" s="1"/>
      <c r="U64" s="1"/>
      <c r="V64" s="1"/>
      <c r="W64" s="1"/>
      <c r="X64" s="1"/>
      <c r="Y64" s="1"/>
      <c r="Z64" s="1"/>
    </row>
    <row r="65">
      <c r="A65" s="1"/>
      <c r="B65" s="1"/>
      <c r="C65" s="1"/>
      <c r="D65" s="1"/>
      <c r="E65" s="1"/>
      <c r="F65" s="2"/>
      <c r="G65" s="2"/>
      <c r="H65" s="1"/>
      <c r="I65" s="1"/>
      <c r="J65" s="1"/>
      <c r="K65" s="1"/>
      <c r="L65" s="1"/>
      <c r="M65" s="1"/>
      <c r="N65" s="1"/>
      <c r="O65" s="1"/>
      <c r="P65" s="1"/>
      <c r="Q65" s="1"/>
      <c r="R65" s="1"/>
      <c r="S65" s="1"/>
      <c r="T65" s="1"/>
      <c r="U65" s="1"/>
      <c r="V65" s="1"/>
      <c r="W65" s="1"/>
      <c r="X65" s="1"/>
      <c r="Y65" s="1"/>
      <c r="Z65" s="1"/>
    </row>
    <row r="66">
      <c r="A66" s="1"/>
      <c r="B66" s="1"/>
      <c r="C66" s="1"/>
      <c r="D66" s="1"/>
      <c r="E66" s="1"/>
      <c r="F66" s="2"/>
      <c r="G66" s="2"/>
      <c r="H66" s="1"/>
      <c r="I66" s="1"/>
      <c r="J66" s="1"/>
      <c r="K66" s="1"/>
      <c r="L66" s="1"/>
      <c r="M66" s="1"/>
      <c r="N66" s="1"/>
      <c r="O66" s="1"/>
      <c r="P66" s="1"/>
      <c r="Q66" s="1"/>
      <c r="R66" s="1"/>
      <c r="S66" s="1"/>
      <c r="T66" s="1"/>
      <c r="U66" s="1"/>
      <c r="V66" s="1"/>
      <c r="W66" s="1"/>
      <c r="X66" s="1"/>
      <c r="Y66" s="1"/>
      <c r="Z66" s="1"/>
    </row>
    <row r="67">
      <c r="A67" s="1"/>
      <c r="B67" s="1"/>
      <c r="C67" s="1"/>
      <c r="D67" s="1"/>
      <c r="E67" s="1"/>
      <c r="F67" s="2"/>
      <c r="G67" s="2"/>
      <c r="H67" s="1"/>
      <c r="I67" s="1"/>
      <c r="J67" s="1"/>
      <c r="K67" s="1"/>
      <c r="L67" s="1"/>
      <c r="M67" s="1"/>
      <c r="N67" s="1"/>
      <c r="O67" s="1"/>
      <c r="P67" s="1"/>
      <c r="Q67" s="1"/>
      <c r="R67" s="1"/>
      <c r="S67" s="1"/>
      <c r="T67" s="1"/>
      <c r="U67" s="1"/>
      <c r="V67" s="1"/>
      <c r="W67" s="1"/>
      <c r="X67" s="1"/>
      <c r="Y67" s="1"/>
      <c r="Z67" s="1"/>
    </row>
    <row r="68">
      <c r="A68" s="1"/>
      <c r="B68" s="1"/>
      <c r="C68" s="1"/>
      <c r="D68" s="1"/>
      <c r="E68" s="1"/>
      <c r="F68" s="2"/>
      <c r="G68" s="2"/>
      <c r="H68" s="1"/>
      <c r="I68" s="1"/>
      <c r="J68" s="1"/>
      <c r="K68" s="1"/>
      <c r="L68" s="1"/>
      <c r="M68" s="1"/>
      <c r="N68" s="1"/>
      <c r="O68" s="1"/>
      <c r="P68" s="1"/>
      <c r="Q68" s="1"/>
      <c r="R68" s="1"/>
      <c r="S68" s="1"/>
      <c r="T68" s="1"/>
      <c r="U68" s="1"/>
      <c r="V68" s="1"/>
      <c r="W68" s="1"/>
      <c r="X68" s="1"/>
      <c r="Y68" s="1"/>
      <c r="Z68" s="1"/>
    </row>
    <row r="69">
      <c r="A69" s="1"/>
      <c r="B69" s="1"/>
      <c r="C69" s="1"/>
      <c r="D69" s="1"/>
      <c r="E69" s="1"/>
      <c r="F69" s="2"/>
      <c r="G69" s="2"/>
      <c r="H69" s="1"/>
      <c r="I69" s="1"/>
      <c r="J69" s="1"/>
      <c r="K69" s="1"/>
      <c r="L69" s="1"/>
      <c r="M69" s="1"/>
      <c r="N69" s="1"/>
      <c r="O69" s="1"/>
      <c r="P69" s="1"/>
      <c r="Q69" s="1"/>
      <c r="R69" s="1"/>
      <c r="S69" s="1"/>
      <c r="T69" s="1"/>
      <c r="U69" s="1"/>
      <c r="V69" s="1"/>
      <c r="W69" s="1"/>
      <c r="X69" s="1"/>
      <c r="Y69" s="1"/>
      <c r="Z69" s="1"/>
    </row>
    <row r="70">
      <c r="A70" s="1"/>
      <c r="B70" s="1"/>
      <c r="C70" s="1"/>
      <c r="D70" s="1"/>
      <c r="E70" s="1"/>
      <c r="F70" s="2"/>
      <c r="G70" s="2"/>
      <c r="H70" s="1"/>
      <c r="I70" s="1"/>
      <c r="J70" s="1"/>
      <c r="K70" s="1"/>
      <c r="L70" s="1"/>
      <c r="M70" s="1"/>
      <c r="N70" s="1"/>
      <c r="O70" s="1"/>
      <c r="P70" s="1"/>
      <c r="Q70" s="1"/>
      <c r="R70" s="1"/>
      <c r="S70" s="1"/>
      <c r="T70" s="1"/>
      <c r="U70" s="1"/>
      <c r="V70" s="1"/>
      <c r="W70" s="1"/>
      <c r="X70" s="1"/>
      <c r="Y70" s="1"/>
      <c r="Z70" s="1"/>
    </row>
    <row r="71">
      <c r="A71" s="1"/>
      <c r="B71" s="1"/>
      <c r="C71" s="1"/>
      <c r="D71" s="1"/>
      <c r="E71" s="1"/>
      <c r="F71" s="2"/>
      <c r="G71" s="2"/>
      <c r="H71" s="1"/>
      <c r="I71" s="1"/>
      <c r="J71" s="1"/>
      <c r="K71" s="1"/>
      <c r="L71" s="1"/>
      <c r="M71" s="1"/>
      <c r="N71" s="1"/>
      <c r="O71" s="1"/>
      <c r="P71" s="1"/>
      <c r="Q71" s="1"/>
      <c r="R71" s="1"/>
      <c r="S71" s="1"/>
      <c r="T71" s="1"/>
      <c r="U71" s="1"/>
      <c r="V71" s="1"/>
      <c r="W71" s="1"/>
      <c r="X71" s="1"/>
      <c r="Y71" s="1"/>
      <c r="Z71" s="1"/>
    </row>
    <row r="72">
      <c r="A72" s="1"/>
      <c r="B72" s="1"/>
      <c r="C72" s="1"/>
      <c r="D72" s="1"/>
      <c r="E72" s="1"/>
      <c r="F72" s="2"/>
      <c r="G72" s="2"/>
      <c r="H72" s="1"/>
      <c r="I72" s="1"/>
      <c r="J72" s="1"/>
      <c r="K72" s="1"/>
      <c r="L72" s="1"/>
      <c r="M72" s="1"/>
      <c r="N72" s="1"/>
      <c r="O72" s="1"/>
      <c r="P72" s="1"/>
      <c r="Q72" s="1"/>
      <c r="R72" s="1"/>
      <c r="S72" s="1"/>
      <c r="T72" s="1"/>
      <c r="U72" s="1"/>
      <c r="V72" s="1"/>
      <c r="W72" s="1"/>
      <c r="X72" s="1"/>
      <c r="Y72" s="1"/>
      <c r="Z72" s="1"/>
    </row>
    <row r="73">
      <c r="A73" s="1"/>
      <c r="B73" s="1"/>
      <c r="C73" s="1"/>
      <c r="D73" s="1"/>
      <c r="E73" s="1"/>
      <c r="F73" s="2"/>
      <c r="G73" s="2"/>
      <c r="H73" s="1"/>
      <c r="I73" s="1"/>
      <c r="J73" s="1"/>
      <c r="K73" s="1"/>
      <c r="L73" s="1"/>
      <c r="M73" s="1"/>
      <c r="N73" s="1"/>
      <c r="O73" s="1"/>
      <c r="P73" s="1"/>
      <c r="Q73" s="1"/>
      <c r="R73" s="1"/>
      <c r="S73" s="1"/>
      <c r="T73" s="1"/>
      <c r="U73" s="1"/>
      <c r="V73" s="1"/>
      <c r="W73" s="1"/>
      <c r="X73" s="1"/>
      <c r="Y73" s="1"/>
      <c r="Z73" s="1"/>
    </row>
    <row r="74">
      <c r="A74" s="1"/>
      <c r="B74" s="1"/>
      <c r="C74" s="1"/>
      <c r="D74" s="1"/>
      <c r="E74" s="1"/>
      <c r="F74" s="2"/>
      <c r="G74" s="2"/>
      <c r="H74" s="1"/>
      <c r="I74" s="1"/>
      <c r="J74" s="1"/>
      <c r="K74" s="1"/>
      <c r="L74" s="1"/>
      <c r="M74" s="1"/>
      <c r="N74" s="1"/>
      <c r="O74" s="1"/>
      <c r="P74" s="1"/>
      <c r="Q74" s="1"/>
      <c r="R74" s="1"/>
      <c r="S74" s="1"/>
      <c r="T74" s="1"/>
      <c r="U74" s="1"/>
      <c r="V74" s="1"/>
      <c r="W74" s="1"/>
      <c r="X74" s="1"/>
      <c r="Y74" s="1"/>
      <c r="Z74" s="1"/>
    </row>
    <row r="75">
      <c r="A75" s="1"/>
      <c r="B75" s="1"/>
      <c r="C75" s="1"/>
      <c r="D75" s="1"/>
      <c r="E75" s="1"/>
      <c r="F75" s="2"/>
      <c r="G75" s="2"/>
      <c r="H75" s="1"/>
      <c r="I75" s="1"/>
      <c r="J75" s="1"/>
      <c r="K75" s="1"/>
      <c r="L75" s="1"/>
      <c r="M75" s="1"/>
      <c r="N75" s="1"/>
      <c r="O75" s="1"/>
      <c r="P75" s="1"/>
      <c r="Q75" s="1"/>
      <c r="R75" s="1"/>
      <c r="S75" s="1"/>
      <c r="T75" s="1"/>
      <c r="U75" s="1"/>
      <c r="V75" s="1"/>
      <c r="W75" s="1"/>
      <c r="X75" s="1"/>
      <c r="Y75" s="1"/>
      <c r="Z75" s="1"/>
    </row>
    <row r="76">
      <c r="A76" s="1"/>
      <c r="B76" s="1"/>
      <c r="C76" s="1"/>
      <c r="D76" s="1"/>
      <c r="E76" s="1"/>
      <c r="F76" s="2"/>
      <c r="G76" s="2"/>
      <c r="H76" s="1"/>
      <c r="I76" s="1"/>
      <c r="J76" s="1"/>
      <c r="K76" s="1"/>
      <c r="L76" s="1"/>
      <c r="M76" s="1"/>
      <c r="N76" s="1"/>
      <c r="O76" s="1"/>
      <c r="P76" s="1"/>
      <c r="Q76" s="1"/>
      <c r="R76" s="1"/>
      <c r="S76" s="1"/>
      <c r="T76" s="1"/>
      <c r="U76" s="1"/>
      <c r="V76" s="1"/>
      <c r="W76" s="1"/>
      <c r="X76" s="1"/>
      <c r="Y76" s="1"/>
      <c r="Z76" s="1"/>
    </row>
    <row r="77">
      <c r="A77" s="1"/>
      <c r="B77" s="1"/>
      <c r="C77" s="1"/>
      <c r="D77" s="1"/>
      <c r="E77" s="1"/>
      <c r="F77" s="2"/>
      <c r="G77" s="2"/>
      <c r="H77" s="1"/>
      <c r="I77" s="1"/>
      <c r="J77" s="1"/>
      <c r="K77" s="1"/>
      <c r="L77" s="1"/>
      <c r="M77" s="1"/>
      <c r="N77" s="1"/>
      <c r="O77" s="1"/>
      <c r="P77" s="1"/>
      <c r="Q77" s="1"/>
      <c r="R77" s="1"/>
      <c r="S77" s="1"/>
      <c r="T77" s="1"/>
      <c r="U77" s="1"/>
      <c r="V77" s="1"/>
      <c r="W77" s="1"/>
      <c r="X77" s="1"/>
      <c r="Y77" s="1"/>
      <c r="Z77" s="1"/>
    </row>
    <row r="78">
      <c r="A78" s="1"/>
      <c r="B78" s="1"/>
      <c r="C78" s="1"/>
      <c r="D78" s="1"/>
      <c r="E78" s="1"/>
      <c r="F78" s="2"/>
      <c r="G78" s="2"/>
      <c r="H78" s="1"/>
      <c r="I78" s="1"/>
      <c r="J78" s="1"/>
      <c r="K78" s="1"/>
      <c r="L78" s="1"/>
      <c r="M78" s="1"/>
      <c r="N78" s="1"/>
      <c r="O78" s="1"/>
      <c r="P78" s="1"/>
      <c r="Q78" s="1"/>
      <c r="R78" s="1"/>
      <c r="S78" s="1"/>
      <c r="T78" s="1"/>
      <c r="U78" s="1"/>
      <c r="V78" s="1"/>
      <c r="W78" s="1"/>
      <c r="X78" s="1"/>
      <c r="Y78" s="1"/>
      <c r="Z78" s="1"/>
    </row>
    <row r="79">
      <c r="A79" s="1"/>
      <c r="B79" s="1"/>
      <c r="C79" s="1"/>
      <c r="D79" s="1"/>
      <c r="E79" s="1"/>
      <c r="F79" s="2"/>
      <c r="G79" s="2"/>
      <c r="H79" s="1"/>
      <c r="I79" s="1"/>
      <c r="J79" s="1"/>
      <c r="K79" s="1"/>
      <c r="L79" s="1"/>
      <c r="M79" s="1"/>
      <c r="N79" s="1"/>
      <c r="O79" s="1"/>
      <c r="P79" s="1"/>
      <c r="Q79" s="1"/>
      <c r="R79" s="1"/>
      <c r="S79" s="1"/>
      <c r="T79" s="1"/>
      <c r="U79" s="1"/>
      <c r="V79" s="1"/>
      <c r="W79" s="1"/>
      <c r="X79" s="1"/>
      <c r="Y79" s="1"/>
      <c r="Z79" s="1"/>
    </row>
    <row r="80">
      <c r="A80" s="1"/>
      <c r="B80" s="1"/>
      <c r="C80" s="1"/>
      <c r="D80" s="1"/>
      <c r="E80" s="1"/>
      <c r="F80" s="2"/>
      <c r="G80" s="2"/>
      <c r="H80" s="1"/>
      <c r="I80" s="1"/>
      <c r="J80" s="1"/>
      <c r="K80" s="1"/>
      <c r="L80" s="1"/>
      <c r="M80" s="1"/>
      <c r="N80" s="1"/>
      <c r="O80" s="1"/>
      <c r="P80" s="1"/>
      <c r="Q80" s="1"/>
      <c r="R80" s="1"/>
      <c r="S80" s="1"/>
      <c r="T80" s="1"/>
      <c r="U80" s="1"/>
      <c r="V80" s="1"/>
      <c r="W80" s="1"/>
      <c r="X80" s="1"/>
      <c r="Y80" s="1"/>
      <c r="Z80" s="1"/>
    </row>
    <row r="81">
      <c r="A81" s="1"/>
      <c r="B81" s="1"/>
      <c r="C81" s="1"/>
      <c r="D81" s="1"/>
      <c r="E81" s="1"/>
      <c r="F81" s="2"/>
      <c r="G81" s="2"/>
      <c r="H81" s="1"/>
      <c r="I81" s="1"/>
      <c r="J81" s="1"/>
      <c r="K81" s="1"/>
      <c r="L81" s="1"/>
      <c r="M81" s="1"/>
      <c r="N81" s="1"/>
      <c r="O81" s="1"/>
      <c r="P81" s="1"/>
      <c r="Q81" s="1"/>
      <c r="R81" s="1"/>
      <c r="S81" s="1"/>
      <c r="T81" s="1"/>
      <c r="U81" s="1"/>
      <c r="V81" s="1"/>
      <c r="W81" s="1"/>
      <c r="X81" s="1"/>
      <c r="Y81" s="1"/>
      <c r="Z81" s="1"/>
    </row>
    <row r="82">
      <c r="A82" s="1"/>
      <c r="B82" s="1"/>
      <c r="C82" s="1"/>
      <c r="D82" s="1"/>
      <c r="E82" s="1"/>
      <c r="F82" s="2"/>
      <c r="G82" s="2"/>
      <c r="H82" s="1"/>
      <c r="I82" s="1"/>
      <c r="J82" s="1"/>
      <c r="K82" s="1"/>
      <c r="L82" s="1"/>
      <c r="M82" s="1"/>
      <c r="N82" s="1"/>
      <c r="O82" s="1"/>
      <c r="P82" s="1"/>
      <c r="Q82" s="1"/>
      <c r="R82" s="1"/>
      <c r="S82" s="1"/>
      <c r="T82" s="1"/>
      <c r="U82" s="1"/>
      <c r="V82" s="1"/>
      <c r="W82" s="1"/>
      <c r="X82" s="1"/>
      <c r="Y82" s="1"/>
      <c r="Z82" s="1"/>
    </row>
    <row r="83">
      <c r="A83" s="1"/>
      <c r="B83" s="1"/>
      <c r="C83" s="1"/>
      <c r="D83" s="1"/>
      <c r="E83" s="1"/>
      <c r="F83" s="2"/>
      <c r="G83" s="2"/>
      <c r="H83" s="1"/>
      <c r="I83" s="1"/>
      <c r="J83" s="1"/>
      <c r="K83" s="1"/>
      <c r="L83" s="1"/>
      <c r="M83" s="1"/>
      <c r="N83" s="1"/>
      <c r="O83" s="1"/>
      <c r="P83" s="1"/>
      <c r="Q83" s="1"/>
      <c r="R83" s="1"/>
      <c r="S83" s="1"/>
      <c r="T83" s="1"/>
      <c r="U83" s="1"/>
      <c r="V83" s="1"/>
      <c r="W83" s="1"/>
      <c r="X83" s="1"/>
      <c r="Y83" s="1"/>
      <c r="Z83" s="1"/>
    </row>
    <row r="84">
      <c r="A84" s="1"/>
      <c r="B84" s="1"/>
      <c r="C84" s="1"/>
      <c r="D84" s="1"/>
      <c r="E84" s="1"/>
      <c r="F84" s="2"/>
      <c r="G84" s="2"/>
      <c r="H84" s="1"/>
      <c r="I84" s="1"/>
      <c r="J84" s="1"/>
      <c r="K84" s="1"/>
      <c r="L84" s="1"/>
      <c r="M84" s="1"/>
      <c r="N84" s="1"/>
      <c r="O84" s="1"/>
      <c r="P84" s="1"/>
      <c r="Q84" s="1"/>
      <c r="R84" s="1"/>
      <c r="S84" s="1"/>
      <c r="T84" s="1"/>
      <c r="U84" s="1"/>
      <c r="V84" s="1"/>
      <c r="W84" s="1"/>
      <c r="X84" s="1"/>
      <c r="Y84" s="1"/>
      <c r="Z84" s="1"/>
    </row>
    <row r="85">
      <c r="A85" s="1"/>
      <c r="B85" s="1"/>
      <c r="C85" s="1"/>
      <c r="D85" s="1"/>
      <c r="E85" s="1"/>
      <c r="F85" s="2"/>
      <c r="G85" s="2"/>
      <c r="H85" s="1"/>
      <c r="I85" s="1"/>
      <c r="J85" s="1"/>
      <c r="K85" s="1"/>
      <c r="L85" s="1"/>
      <c r="M85" s="1"/>
      <c r="N85" s="1"/>
      <c r="O85" s="1"/>
      <c r="P85" s="1"/>
      <c r="Q85" s="1"/>
      <c r="R85" s="1"/>
      <c r="S85" s="1"/>
      <c r="T85" s="1"/>
      <c r="U85" s="1"/>
      <c r="V85" s="1"/>
      <c r="W85" s="1"/>
      <c r="X85" s="1"/>
      <c r="Y85" s="1"/>
      <c r="Z85" s="1"/>
    </row>
    <row r="86">
      <c r="A86" s="1"/>
      <c r="B86" s="1"/>
      <c r="C86" s="1"/>
      <c r="D86" s="1"/>
      <c r="E86" s="1"/>
      <c r="F86" s="2"/>
      <c r="G86" s="2"/>
      <c r="H86" s="1"/>
      <c r="I86" s="1"/>
      <c r="J86" s="1"/>
      <c r="K86" s="1"/>
      <c r="L86" s="1"/>
      <c r="M86" s="1"/>
      <c r="N86" s="1"/>
      <c r="O86" s="1"/>
      <c r="P86" s="1"/>
      <c r="Q86" s="1"/>
      <c r="R86" s="1"/>
      <c r="S86" s="1"/>
      <c r="T86" s="1"/>
      <c r="U86" s="1"/>
      <c r="V86" s="1"/>
      <c r="W86" s="1"/>
      <c r="X86" s="1"/>
      <c r="Y86" s="1"/>
      <c r="Z86" s="1"/>
    </row>
    <row r="87">
      <c r="A87" s="1"/>
      <c r="B87" s="1"/>
      <c r="C87" s="1"/>
      <c r="D87" s="1"/>
      <c r="E87" s="1"/>
      <c r="F87" s="2"/>
      <c r="G87" s="2"/>
      <c r="H87" s="1"/>
      <c r="I87" s="1"/>
      <c r="J87" s="1"/>
      <c r="K87" s="1"/>
      <c r="L87" s="1"/>
      <c r="M87" s="1"/>
      <c r="N87" s="1"/>
      <c r="O87" s="1"/>
      <c r="P87" s="1"/>
      <c r="Q87" s="1"/>
      <c r="R87" s="1"/>
      <c r="S87" s="1"/>
      <c r="T87" s="1"/>
      <c r="U87" s="1"/>
      <c r="V87" s="1"/>
      <c r="W87" s="1"/>
      <c r="X87" s="1"/>
      <c r="Y87" s="1"/>
      <c r="Z87" s="1"/>
    </row>
    <row r="88">
      <c r="A88" s="1"/>
      <c r="B88" s="1"/>
      <c r="C88" s="1"/>
      <c r="D88" s="1"/>
      <c r="E88" s="1"/>
      <c r="F88" s="2"/>
      <c r="G88" s="2"/>
      <c r="H88" s="1"/>
      <c r="I88" s="1"/>
      <c r="J88" s="1"/>
      <c r="K88" s="1"/>
      <c r="L88" s="1"/>
      <c r="M88" s="1"/>
      <c r="N88" s="1"/>
      <c r="O88" s="1"/>
      <c r="P88" s="1"/>
      <c r="Q88" s="1"/>
      <c r="R88" s="1"/>
      <c r="S88" s="1"/>
      <c r="T88" s="1"/>
      <c r="U88" s="1"/>
      <c r="V88" s="1"/>
      <c r="W88" s="1"/>
      <c r="X88" s="1"/>
      <c r="Y88" s="1"/>
      <c r="Z88" s="1"/>
    </row>
    <row r="89">
      <c r="A89" s="1"/>
      <c r="B89" s="1"/>
      <c r="C89" s="1"/>
      <c r="D89" s="1"/>
      <c r="E89" s="1"/>
      <c r="F89" s="2"/>
      <c r="G89" s="2"/>
      <c r="H89" s="1"/>
      <c r="I89" s="1"/>
      <c r="J89" s="1"/>
      <c r="K89" s="1"/>
      <c r="L89" s="1"/>
      <c r="M89" s="1"/>
      <c r="N89" s="1"/>
      <c r="O89" s="1"/>
      <c r="P89" s="1"/>
      <c r="Q89" s="1"/>
      <c r="R89" s="1"/>
      <c r="S89" s="1"/>
      <c r="T89" s="1"/>
      <c r="U89" s="1"/>
      <c r="V89" s="1"/>
      <c r="W89" s="1"/>
      <c r="X89" s="1"/>
      <c r="Y89" s="1"/>
      <c r="Z89" s="1"/>
    </row>
    <row r="90">
      <c r="A90" s="1"/>
      <c r="B90" s="1"/>
      <c r="C90" s="1"/>
      <c r="D90" s="1"/>
      <c r="E90" s="1"/>
      <c r="F90" s="2"/>
      <c r="G90" s="2"/>
      <c r="H90" s="1"/>
      <c r="I90" s="1"/>
      <c r="J90" s="1"/>
      <c r="K90" s="1"/>
      <c r="L90" s="1"/>
      <c r="M90" s="1"/>
      <c r="N90" s="1"/>
      <c r="O90" s="1"/>
      <c r="P90" s="1"/>
      <c r="Q90" s="1"/>
      <c r="R90" s="1"/>
      <c r="S90" s="1"/>
      <c r="T90" s="1"/>
      <c r="U90" s="1"/>
      <c r="V90" s="1"/>
      <c r="W90" s="1"/>
      <c r="X90" s="1"/>
      <c r="Y90" s="1"/>
      <c r="Z90" s="1"/>
    </row>
    <row r="91">
      <c r="A91" s="1"/>
      <c r="B91" s="1"/>
      <c r="C91" s="1"/>
      <c r="D91" s="1"/>
      <c r="E91" s="1"/>
      <c r="F91" s="2"/>
      <c r="G91" s="2"/>
      <c r="H91" s="1"/>
      <c r="I91" s="1"/>
      <c r="J91" s="1"/>
      <c r="K91" s="1"/>
      <c r="L91" s="1"/>
      <c r="M91" s="1"/>
      <c r="N91" s="1"/>
      <c r="O91" s="1"/>
      <c r="P91" s="1"/>
      <c r="Q91" s="1"/>
      <c r="R91" s="1"/>
      <c r="S91" s="1"/>
      <c r="T91" s="1"/>
      <c r="U91" s="1"/>
      <c r="V91" s="1"/>
      <c r="W91" s="1"/>
      <c r="X91" s="1"/>
      <c r="Y91" s="1"/>
      <c r="Z91" s="1"/>
    </row>
    <row r="92">
      <c r="A92" s="1"/>
      <c r="B92" s="1"/>
      <c r="C92" s="1"/>
      <c r="D92" s="1"/>
      <c r="E92" s="1"/>
      <c r="F92" s="2"/>
      <c r="G92" s="2"/>
      <c r="H92" s="1"/>
      <c r="I92" s="1"/>
      <c r="J92" s="1"/>
      <c r="K92" s="1"/>
      <c r="L92" s="1"/>
      <c r="M92" s="1"/>
      <c r="N92" s="1"/>
      <c r="O92" s="1"/>
      <c r="P92" s="1"/>
      <c r="Q92" s="1"/>
      <c r="R92" s="1"/>
      <c r="S92" s="1"/>
      <c r="T92" s="1"/>
      <c r="U92" s="1"/>
      <c r="V92" s="1"/>
      <c r="W92" s="1"/>
      <c r="X92" s="1"/>
      <c r="Y92" s="1"/>
      <c r="Z92" s="1"/>
    </row>
    <row r="93">
      <c r="A93" s="1"/>
      <c r="B93" s="1"/>
      <c r="C93" s="1"/>
      <c r="D93" s="1"/>
      <c r="E93" s="1"/>
      <c r="F93" s="2"/>
      <c r="G93" s="2"/>
      <c r="H93" s="1"/>
      <c r="I93" s="1"/>
      <c r="J93" s="1"/>
      <c r="K93" s="1"/>
      <c r="L93" s="1"/>
      <c r="M93" s="1"/>
      <c r="N93" s="1"/>
      <c r="O93" s="1"/>
      <c r="P93" s="1"/>
      <c r="Q93" s="1"/>
      <c r="R93" s="1"/>
      <c r="S93" s="1"/>
      <c r="T93" s="1"/>
      <c r="U93" s="1"/>
      <c r="V93" s="1"/>
      <c r="W93" s="1"/>
      <c r="X93" s="1"/>
      <c r="Y93" s="1"/>
      <c r="Z93" s="1"/>
    </row>
    <row r="94">
      <c r="A94" s="1"/>
      <c r="B94" s="1"/>
      <c r="C94" s="1"/>
      <c r="D94" s="1"/>
      <c r="E94" s="1"/>
      <c r="F94" s="2"/>
      <c r="G94" s="2"/>
      <c r="H94" s="1"/>
      <c r="I94" s="1"/>
      <c r="J94" s="1"/>
      <c r="K94" s="1"/>
      <c r="L94" s="1"/>
      <c r="M94" s="1"/>
      <c r="N94" s="1"/>
      <c r="O94" s="1"/>
      <c r="P94" s="1"/>
      <c r="Q94" s="1"/>
      <c r="R94" s="1"/>
      <c r="S94" s="1"/>
      <c r="T94" s="1"/>
      <c r="U94" s="1"/>
      <c r="V94" s="1"/>
      <c r="W94" s="1"/>
      <c r="X94" s="1"/>
      <c r="Y94" s="1"/>
      <c r="Z94" s="1"/>
    </row>
    <row r="95">
      <c r="A95" s="1"/>
      <c r="B95" s="1"/>
      <c r="C95" s="1"/>
      <c r="D95" s="1"/>
      <c r="E95" s="1"/>
      <c r="F95" s="2"/>
      <c r="G95" s="2"/>
      <c r="H95" s="1"/>
      <c r="I95" s="1"/>
      <c r="J95" s="1"/>
      <c r="K95" s="1"/>
      <c r="L95" s="1"/>
      <c r="M95" s="1"/>
      <c r="N95" s="1"/>
      <c r="O95" s="1"/>
      <c r="P95" s="1"/>
      <c r="Q95" s="1"/>
      <c r="R95" s="1"/>
      <c r="S95" s="1"/>
      <c r="T95" s="1"/>
      <c r="U95" s="1"/>
      <c r="V95" s="1"/>
      <c r="W95" s="1"/>
      <c r="X95" s="1"/>
      <c r="Y95" s="1"/>
      <c r="Z95" s="1"/>
    </row>
    <row r="96">
      <c r="A96" s="1"/>
      <c r="B96" s="1"/>
      <c r="C96" s="1"/>
      <c r="D96" s="1"/>
      <c r="E96" s="1"/>
      <c r="F96" s="2"/>
      <c r="G96" s="2"/>
      <c r="H96" s="1"/>
      <c r="I96" s="1"/>
      <c r="J96" s="1"/>
      <c r="K96" s="1"/>
      <c r="L96" s="1"/>
      <c r="M96" s="1"/>
      <c r="N96" s="1"/>
      <c r="O96" s="1"/>
      <c r="P96" s="1"/>
      <c r="Q96" s="1"/>
      <c r="R96" s="1"/>
      <c r="S96" s="1"/>
      <c r="T96" s="1"/>
      <c r="U96" s="1"/>
      <c r="V96" s="1"/>
      <c r="W96" s="1"/>
      <c r="X96" s="1"/>
      <c r="Y96" s="1"/>
      <c r="Z96" s="1"/>
    </row>
    <row r="97">
      <c r="A97" s="1"/>
      <c r="B97" s="1"/>
      <c r="C97" s="1"/>
      <c r="D97" s="1"/>
      <c r="E97" s="1"/>
      <c r="F97" s="2"/>
      <c r="G97" s="2"/>
      <c r="H97" s="1"/>
      <c r="I97" s="1"/>
      <c r="J97" s="1"/>
      <c r="K97" s="1"/>
      <c r="L97" s="1"/>
      <c r="M97" s="1"/>
      <c r="N97" s="1"/>
      <c r="O97" s="1"/>
      <c r="P97" s="1"/>
      <c r="Q97" s="1"/>
      <c r="R97" s="1"/>
      <c r="S97" s="1"/>
      <c r="T97" s="1"/>
      <c r="U97" s="1"/>
      <c r="V97" s="1"/>
      <c r="W97" s="1"/>
      <c r="X97" s="1"/>
      <c r="Y97" s="1"/>
      <c r="Z97" s="1"/>
    </row>
    <row r="98">
      <c r="A98" s="1"/>
      <c r="B98" s="1"/>
      <c r="C98" s="1"/>
      <c r="D98" s="1"/>
      <c r="E98" s="1"/>
      <c r="F98" s="2"/>
      <c r="G98" s="2"/>
      <c r="H98" s="1"/>
      <c r="I98" s="1"/>
      <c r="J98" s="1"/>
      <c r="K98" s="1"/>
      <c r="L98" s="1"/>
      <c r="M98" s="1"/>
      <c r="N98" s="1"/>
      <c r="O98" s="1"/>
      <c r="P98" s="1"/>
      <c r="Q98" s="1"/>
      <c r="R98" s="1"/>
      <c r="S98" s="1"/>
      <c r="T98" s="1"/>
      <c r="U98" s="1"/>
      <c r="V98" s="1"/>
      <c r="W98" s="1"/>
      <c r="X98" s="1"/>
      <c r="Y98" s="1"/>
      <c r="Z98" s="1"/>
    </row>
    <row r="99">
      <c r="A99" s="1"/>
      <c r="B99" s="1"/>
      <c r="C99" s="1"/>
      <c r="D99" s="1"/>
      <c r="E99" s="1"/>
      <c r="F99" s="2"/>
      <c r="G99" s="2"/>
      <c r="H99" s="1"/>
      <c r="I99" s="1"/>
      <c r="J99" s="1"/>
      <c r="K99" s="1"/>
      <c r="L99" s="1"/>
      <c r="M99" s="1"/>
      <c r="N99" s="1"/>
      <c r="O99" s="1"/>
      <c r="P99" s="1"/>
      <c r="Q99" s="1"/>
      <c r="R99" s="1"/>
      <c r="S99" s="1"/>
      <c r="T99" s="1"/>
      <c r="U99" s="1"/>
      <c r="V99" s="1"/>
      <c r="W99" s="1"/>
      <c r="X99" s="1"/>
      <c r="Y99" s="1"/>
      <c r="Z99" s="1"/>
    </row>
    <row r="100">
      <c r="A100" s="1"/>
      <c r="B100" s="1"/>
      <c r="C100" s="1"/>
      <c r="D100" s="1"/>
      <c r="E100" s="1"/>
      <c r="F100" s="2"/>
      <c r="G100" s="2"/>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2"/>
      <c r="G101" s="2"/>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2"/>
      <c r="G102" s="2"/>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2"/>
      <c r="G103" s="2"/>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2"/>
      <c r="G104" s="2"/>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2"/>
      <c r="G105" s="2"/>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2"/>
      <c r="G106" s="2"/>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2"/>
      <c r="G107" s="2"/>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2"/>
      <c r="G108" s="2"/>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2"/>
      <c r="G109" s="2"/>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2"/>
      <c r="G110" s="2"/>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2"/>
      <c r="G111" s="2"/>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2"/>
      <c r="G112" s="2"/>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2"/>
      <c r="G113" s="2"/>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2"/>
      <c r="G114" s="2"/>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2"/>
      <c r="G115" s="2"/>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2"/>
      <c r="G116" s="2"/>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2"/>
      <c r="G117" s="2"/>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2"/>
      <c r="G118" s="2"/>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2"/>
      <c r="G119" s="2"/>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2"/>
      <c r="G120" s="2"/>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2"/>
      <c r="G121" s="2"/>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2"/>
      <c r="G122" s="2"/>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2"/>
      <c r="G123" s="2"/>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2"/>
      <c r="G124" s="2"/>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2"/>
      <c r="G125" s="2"/>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2"/>
      <c r="G126" s="2"/>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2"/>
      <c r="G127" s="2"/>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2"/>
      <c r="G128" s="2"/>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2"/>
      <c r="G129" s="2"/>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2"/>
      <c r="G130" s="2"/>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2"/>
      <c r="G131" s="2"/>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2"/>
      <c r="G132" s="2"/>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2"/>
      <c r="G133" s="2"/>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2"/>
      <c r="G134" s="2"/>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2"/>
      <c r="G135" s="2"/>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2"/>
      <c r="G136" s="2"/>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2"/>
      <c r="G137" s="2"/>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2"/>
      <c r="G138" s="2"/>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2"/>
      <c r="G139" s="2"/>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2"/>
      <c r="G140" s="2"/>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2"/>
      <c r="G141" s="2"/>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2"/>
      <c r="G142" s="2"/>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2"/>
      <c r="G143" s="2"/>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2"/>
      <c r="G144" s="2"/>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2"/>
      <c r="G145" s="2"/>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2"/>
      <c r="G146" s="2"/>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2"/>
      <c r="G147" s="2"/>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2"/>
      <c r="G148" s="2"/>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2"/>
      <c r="G149" s="2"/>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2"/>
      <c r="G150" s="2"/>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2"/>
      <c r="G151" s="2"/>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2"/>
      <c r="G152" s="2"/>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2"/>
      <c r="G153" s="2"/>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2"/>
      <c r="G154" s="2"/>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2"/>
      <c r="G155" s="2"/>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2"/>
      <c r="G156" s="2"/>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2"/>
      <c r="G157" s="2"/>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2"/>
      <c r="G158" s="2"/>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2"/>
      <c r="G159" s="2"/>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2"/>
      <c r="G160" s="2"/>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2"/>
      <c r="G161" s="2"/>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2"/>
      <c r="G162" s="2"/>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2"/>
      <c r="G163" s="2"/>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2"/>
      <c r="G164" s="2"/>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2"/>
      <c r="G165" s="2"/>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2"/>
      <c r="G166" s="2"/>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2"/>
      <c r="G167" s="2"/>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2"/>
      <c r="G168" s="2"/>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2"/>
      <c r="G169" s="2"/>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2"/>
      <c r="G170" s="2"/>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2"/>
      <c r="G171" s="2"/>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2"/>
      <c r="G172" s="2"/>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2"/>
      <c r="G173" s="2"/>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2"/>
      <c r="G174" s="2"/>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2"/>
      <c r="G175" s="2"/>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2"/>
      <c r="G176" s="2"/>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2"/>
      <c r="G177" s="2"/>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2"/>
      <c r="G178" s="2"/>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2"/>
      <c r="G179" s="2"/>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2"/>
      <c r="G180" s="2"/>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2"/>
      <c r="G181" s="2"/>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2"/>
      <c r="G182" s="2"/>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2"/>
      <c r="G183" s="2"/>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2"/>
      <c r="G184" s="2"/>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2"/>
      <c r="G185" s="2"/>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2"/>
      <c r="G186" s="2"/>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2"/>
      <c r="G187" s="2"/>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2"/>
      <c r="G188" s="2"/>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2"/>
      <c r="G189" s="2"/>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2"/>
      <c r="G190" s="2"/>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2"/>
      <c r="G191" s="2"/>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2"/>
      <c r="G192" s="2"/>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2"/>
      <c r="G193" s="2"/>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2"/>
      <c r="G194" s="2"/>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2"/>
      <c r="G195" s="2"/>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2"/>
      <c r="G196" s="2"/>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2"/>
      <c r="G197" s="2"/>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2"/>
      <c r="G198" s="2"/>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2"/>
      <c r="G199" s="2"/>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2"/>
      <c r="G200" s="2"/>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2"/>
      <c r="G201" s="2"/>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2"/>
      <c r="G202" s="2"/>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2"/>
      <c r="G203" s="2"/>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2"/>
      <c r="G204" s="2"/>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2"/>
      <c r="G205" s="2"/>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2"/>
      <c r="G206" s="2"/>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2"/>
      <c r="G207" s="2"/>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2"/>
      <c r="G208" s="2"/>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2"/>
      <c r="G209" s="2"/>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2"/>
      <c r="G210" s="2"/>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2"/>
      <c r="G211" s="2"/>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2"/>
      <c r="G212" s="2"/>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2"/>
      <c r="G213" s="2"/>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2"/>
      <c r="G214" s="2"/>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2"/>
      <c r="G215" s="2"/>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2"/>
      <c r="G216" s="2"/>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2"/>
      <c r="G217" s="2"/>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2"/>
      <c r="G218" s="2"/>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2"/>
      <c r="G219" s="2"/>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2"/>
      <c r="G220" s="2"/>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2"/>
      <c r="G221" s="2"/>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2"/>
      <c r="G222" s="2"/>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2"/>
      <c r="G223" s="2"/>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2"/>
      <c r="G224" s="2"/>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2"/>
      <c r="G225" s="2"/>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2"/>
      <c r="G226" s="2"/>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2"/>
      <c r="G227" s="2"/>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2"/>
      <c r="G228" s="2"/>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2"/>
      <c r="G229" s="2"/>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2"/>
      <c r="G230" s="2"/>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2"/>
      <c r="G231" s="2"/>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2"/>
      <c r="G232" s="2"/>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2"/>
      <c r="G233" s="2"/>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2"/>
      <c r="G234" s="2"/>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2"/>
      <c r="G235" s="2"/>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2"/>
      <c r="G236" s="2"/>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2"/>
      <c r="G237" s="2"/>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2"/>
      <c r="G238" s="2"/>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2"/>
      <c r="G239" s="2"/>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2"/>
      <c r="G240" s="2"/>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2"/>
      <c r="G241" s="2"/>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2"/>
      <c r="G242" s="2"/>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2"/>
      <c r="G243" s="2"/>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2"/>
      <c r="G244" s="2"/>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2"/>
      <c r="G245" s="2"/>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2"/>
      <c r="G246" s="2"/>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2"/>
      <c r="G247" s="2"/>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2"/>
      <c r="G248" s="2"/>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2"/>
      <c r="G249" s="2"/>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2"/>
      <c r="G250" s="2"/>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2"/>
      <c r="G251" s="2"/>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2"/>
      <c r="G252" s="2"/>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2"/>
      <c r="G253" s="2"/>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2"/>
      <c r="G254" s="2"/>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2"/>
      <c r="G255" s="2"/>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2"/>
      <c r="G256" s="2"/>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2"/>
      <c r="G257" s="2"/>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2"/>
      <c r="G258" s="2"/>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2"/>
      <c r="G259" s="2"/>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2"/>
      <c r="G260" s="2"/>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2"/>
      <c r="G261" s="2"/>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2"/>
      <c r="G262" s="2"/>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2"/>
      <c r="G263" s="2"/>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2"/>
      <c r="G264" s="2"/>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2"/>
      <c r="G265" s="2"/>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2"/>
      <c r="G266" s="2"/>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2"/>
      <c r="G267" s="2"/>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2"/>
      <c r="G268" s="2"/>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2"/>
      <c r="G269" s="2"/>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2"/>
      <c r="G270" s="2"/>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2"/>
      <c r="G271" s="2"/>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2"/>
      <c r="G272" s="2"/>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2"/>
      <c r="G273" s="2"/>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2"/>
      <c r="G274" s="2"/>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2"/>
      <c r="G275" s="2"/>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2"/>
      <c r="G276" s="2"/>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2"/>
      <c r="G277" s="2"/>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2"/>
      <c r="G278" s="2"/>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2"/>
      <c r="G279" s="2"/>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2"/>
      <c r="G280" s="2"/>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2"/>
      <c r="G281" s="2"/>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2"/>
      <c r="G282" s="2"/>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2"/>
      <c r="G283" s="2"/>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2"/>
      <c r="G284" s="2"/>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2"/>
      <c r="G285" s="2"/>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2"/>
      <c r="G286" s="2"/>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2"/>
      <c r="G287" s="2"/>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2"/>
      <c r="G288" s="2"/>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2"/>
      <c r="G289" s="2"/>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2"/>
      <c r="G290" s="2"/>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2"/>
      <c r="G291" s="2"/>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2"/>
      <c r="G292" s="2"/>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2"/>
      <c r="G293" s="2"/>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2"/>
      <c r="G294" s="2"/>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2"/>
      <c r="G295" s="2"/>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2"/>
      <c r="G296" s="2"/>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2"/>
      <c r="G297" s="2"/>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2"/>
      <c r="G298" s="2"/>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2"/>
      <c r="G299" s="2"/>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2"/>
      <c r="G300" s="2"/>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2"/>
      <c r="G301" s="2"/>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2"/>
      <c r="G302" s="2"/>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2"/>
      <c r="G303" s="2"/>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2"/>
      <c r="G304" s="2"/>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2"/>
      <c r="G305" s="2"/>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2"/>
      <c r="G306" s="2"/>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2"/>
      <c r="G307" s="2"/>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2"/>
      <c r="G308" s="2"/>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2"/>
      <c r="G309" s="2"/>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2"/>
      <c r="G310" s="2"/>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2"/>
      <c r="G311" s="2"/>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2"/>
      <c r="G312" s="2"/>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2"/>
      <c r="G313" s="2"/>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2"/>
      <c r="G314" s="2"/>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2"/>
      <c r="G315" s="2"/>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2"/>
      <c r="G316" s="2"/>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2"/>
      <c r="G317" s="2"/>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2"/>
      <c r="G318" s="2"/>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2"/>
      <c r="G319" s="2"/>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2"/>
      <c r="G320" s="2"/>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2"/>
      <c r="G321" s="2"/>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2"/>
      <c r="G322" s="2"/>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2"/>
      <c r="G323" s="2"/>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2"/>
      <c r="G324" s="2"/>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2"/>
      <c r="G325" s="2"/>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2"/>
      <c r="G326" s="2"/>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2"/>
      <c r="G327" s="2"/>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2"/>
      <c r="G328" s="2"/>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2"/>
      <c r="G329" s="2"/>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2"/>
      <c r="G330" s="2"/>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2"/>
      <c r="G331" s="2"/>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2"/>
      <c r="G332" s="2"/>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2"/>
      <c r="G333" s="2"/>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2"/>
      <c r="G334" s="2"/>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2"/>
      <c r="G335" s="2"/>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2"/>
      <c r="G336" s="2"/>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2"/>
      <c r="G337" s="2"/>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2"/>
      <c r="G338" s="2"/>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2"/>
      <c r="G339" s="2"/>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2"/>
      <c r="G340" s="2"/>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2"/>
      <c r="G341" s="2"/>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2"/>
      <c r="G342" s="2"/>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2"/>
      <c r="G343" s="2"/>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2"/>
      <c r="G344" s="2"/>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2"/>
      <c r="G345" s="2"/>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2"/>
      <c r="G346" s="2"/>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2"/>
      <c r="G347" s="2"/>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2"/>
      <c r="G348" s="2"/>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2"/>
      <c r="G349" s="2"/>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2"/>
      <c r="G350" s="2"/>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2"/>
      <c r="G351" s="2"/>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2"/>
      <c r="G352" s="2"/>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2"/>
      <c r="G353" s="2"/>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2"/>
      <c r="G354" s="2"/>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2"/>
      <c r="G355" s="2"/>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2"/>
      <c r="G356" s="2"/>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2"/>
      <c r="G357" s="2"/>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2"/>
      <c r="G358" s="2"/>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2"/>
      <c r="G359" s="2"/>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2"/>
      <c r="G360" s="2"/>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2"/>
      <c r="G361" s="2"/>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2"/>
      <c r="G362" s="2"/>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2"/>
      <c r="G363" s="2"/>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2"/>
      <c r="G364" s="2"/>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2"/>
      <c r="G365" s="2"/>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2"/>
      <c r="G366" s="2"/>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2"/>
      <c r="G367" s="2"/>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2"/>
      <c r="G368" s="2"/>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2"/>
      <c r="G369" s="2"/>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2"/>
      <c r="G370" s="2"/>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2"/>
      <c r="G371" s="2"/>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2"/>
      <c r="G372" s="2"/>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2"/>
      <c r="G373" s="2"/>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2"/>
      <c r="G374" s="2"/>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2"/>
      <c r="G375" s="2"/>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2"/>
      <c r="G376" s="2"/>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2"/>
      <c r="G377" s="2"/>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2"/>
      <c r="G378" s="2"/>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2"/>
      <c r="G379" s="2"/>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2"/>
      <c r="G380" s="2"/>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2"/>
      <c r="G381" s="2"/>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2"/>
      <c r="G382" s="2"/>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2"/>
      <c r="G383" s="2"/>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2"/>
      <c r="G384" s="2"/>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2"/>
      <c r="G385" s="2"/>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2"/>
      <c r="G386" s="2"/>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2"/>
      <c r="G387" s="2"/>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2"/>
      <c r="G388" s="2"/>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2"/>
      <c r="G389" s="2"/>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2"/>
      <c r="G390" s="2"/>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2"/>
      <c r="G391" s="2"/>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2"/>
      <c r="G392" s="2"/>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2"/>
      <c r="G393" s="2"/>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2"/>
      <c r="G394" s="2"/>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2"/>
      <c r="G395" s="2"/>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2"/>
      <c r="G396" s="2"/>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2"/>
      <c r="G397" s="2"/>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2"/>
      <c r="G398" s="2"/>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2"/>
      <c r="G399" s="2"/>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2"/>
      <c r="G400" s="2"/>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2"/>
      <c r="G401" s="2"/>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2"/>
      <c r="G402" s="2"/>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2"/>
      <c r="G403" s="2"/>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2"/>
      <c r="G404" s="2"/>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2"/>
      <c r="G405" s="2"/>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2"/>
      <c r="G406" s="2"/>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2"/>
      <c r="G407" s="2"/>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2"/>
      <c r="G408" s="2"/>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2"/>
      <c r="G409" s="2"/>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2"/>
      <c r="G410" s="2"/>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2"/>
      <c r="G411" s="2"/>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2"/>
      <c r="G412" s="2"/>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2"/>
      <c r="G413" s="2"/>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2"/>
      <c r="G414" s="2"/>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2"/>
      <c r="G415" s="2"/>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2"/>
      <c r="G416" s="2"/>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2"/>
      <c r="G417" s="2"/>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2"/>
      <c r="G418" s="2"/>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2"/>
      <c r="G419" s="2"/>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2"/>
      <c r="G420" s="2"/>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2"/>
      <c r="G421" s="2"/>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2"/>
      <c r="G422" s="2"/>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2"/>
      <c r="G423" s="2"/>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2"/>
      <c r="G424" s="2"/>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2"/>
      <c r="G425" s="2"/>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2"/>
      <c r="G426" s="2"/>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2"/>
      <c r="G427" s="2"/>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2"/>
      <c r="G428" s="2"/>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2"/>
      <c r="G429" s="2"/>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2"/>
      <c r="G430" s="2"/>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2"/>
      <c r="G431" s="2"/>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2"/>
      <c r="G432" s="2"/>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2"/>
      <c r="G433" s="2"/>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2"/>
      <c r="G434" s="2"/>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2"/>
      <c r="G435" s="2"/>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2"/>
      <c r="G436" s="2"/>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2"/>
      <c r="G437" s="2"/>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2"/>
      <c r="G438" s="2"/>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2"/>
      <c r="G439" s="2"/>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2"/>
      <c r="G440" s="2"/>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2"/>
      <c r="G441" s="2"/>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2"/>
      <c r="G442" s="2"/>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2"/>
      <c r="G443" s="2"/>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2"/>
      <c r="G444" s="2"/>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2"/>
      <c r="G445" s="2"/>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2"/>
      <c r="G446" s="2"/>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2"/>
      <c r="G447" s="2"/>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2"/>
      <c r="G448" s="2"/>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2"/>
      <c r="G449" s="2"/>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2"/>
      <c r="G450" s="2"/>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2"/>
      <c r="G451" s="2"/>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2"/>
      <c r="G452" s="2"/>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2"/>
      <c r="G453" s="2"/>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2"/>
      <c r="G454" s="2"/>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2"/>
      <c r="G455" s="2"/>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2"/>
      <c r="G456" s="2"/>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2"/>
      <c r="G457" s="2"/>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2"/>
      <c r="G458" s="2"/>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2"/>
      <c r="G459" s="2"/>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2"/>
      <c r="G460" s="2"/>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2"/>
      <c r="G461" s="2"/>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2"/>
      <c r="G462" s="2"/>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2"/>
      <c r="G463" s="2"/>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2"/>
      <c r="G464" s="2"/>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2"/>
      <c r="G465" s="2"/>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2"/>
      <c r="G466" s="2"/>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2"/>
      <c r="G467" s="2"/>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2"/>
      <c r="G468" s="2"/>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2"/>
      <c r="G469" s="2"/>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2"/>
      <c r="G470" s="2"/>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2"/>
      <c r="G471" s="2"/>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2"/>
      <c r="G472" s="2"/>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2"/>
      <c r="G473" s="2"/>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2"/>
      <c r="G474" s="2"/>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2"/>
      <c r="G475" s="2"/>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2"/>
      <c r="G476" s="2"/>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2"/>
      <c r="G477" s="2"/>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2"/>
      <c r="G478" s="2"/>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2"/>
      <c r="G479" s="2"/>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2"/>
      <c r="G480" s="2"/>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2"/>
      <c r="G481" s="2"/>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2"/>
      <c r="G482" s="2"/>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2"/>
      <c r="G483" s="2"/>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2"/>
      <c r="G484" s="2"/>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2"/>
      <c r="G485" s="2"/>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2"/>
      <c r="G486" s="2"/>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2"/>
      <c r="G487" s="2"/>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2"/>
      <c r="G488" s="2"/>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2"/>
      <c r="G489" s="2"/>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2"/>
      <c r="G490" s="2"/>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2"/>
      <c r="G491" s="2"/>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2"/>
      <c r="G492" s="2"/>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2"/>
      <c r="G493" s="2"/>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2"/>
      <c r="G494" s="2"/>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2"/>
      <c r="G495" s="2"/>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2"/>
      <c r="G496" s="2"/>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2"/>
      <c r="G497" s="2"/>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2"/>
      <c r="G498" s="2"/>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2"/>
      <c r="G499" s="2"/>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2"/>
      <c r="G500" s="2"/>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2"/>
      <c r="G501" s="2"/>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2"/>
      <c r="G502" s="2"/>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2"/>
      <c r="G503" s="2"/>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2"/>
      <c r="G504" s="2"/>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2"/>
      <c r="G505" s="2"/>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2"/>
      <c r="G506" s="2"/>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2"/>
      <c r="G507" s="2"/>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2"/>
      <c r="G508" s="2"/>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2"/>
      <c r="G509" s="2"/>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2"/>
      <c r="G510" s="2"/>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2"/>
      <c r="G511" s="2"/>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2"/>
      <c r="G512" s="2"/>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2"/>
      <c r="G513" s="2"/>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2"/>
      <c r="G514" s="2"/>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2"/>
      <c r="G515" s="2"/>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2"/>
      <c r="G516" s="2"/>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2"/>
      <c r="G517" s="2"/>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2"/>
      <c r="G518" s="2"/>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2"/>
      <c r="G519" s="2"/>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2"/>
      <c r="G520" s="2"/>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2"/>
      <c r="G521" s="2"/>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2"/>
      <c r="G522" s="2"/>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2"/>
      <c r="G523" s="2"/>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2"/>
      <c r="G524" s="2"/>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2"/>
      <c r="G525" s="2"/>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2"/>
      <c r="G526" s="2"/>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2"/>
      <c r="G527" s="2"/>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2"/>
      <c r="G528" s="2"/>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2"/>
      <c r="G529" s="2"/>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2"/>
      <c r="G530" s="2"/>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2"/>
      <c r="G531" s="2"/>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2"/>
      <c r="G532" s="2"/>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2"/>
      <c r="G533" s="2"/>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2"/>
      <c r="G534" s="2"/>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2"/>
      <c r="G535" s="2"/>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2"/>
      <c r="G536" s="2"/>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2"/>
      <c r="G537" s="2"/>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2"/>
      <c r="G538" s="2"/>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2"/>
      <c r="G539" s="2"/>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2"/>
      <c r="G540" s="2"/>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2"/>
      <c r="G541" s="2"/>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2"/>
      <c r="G542" s="2"/>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2"/>
      <c r="G543" s="2"/>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2"/>
      <c r="G544" s="2"/>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2"/>
      <c r="G545" s="2"/>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2"/>
      <c r="G546" s="2"/>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2"/>
      <c r="G547" s="2"/>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2"/>
      <c r="G548" s="2"/>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2"/>
      <c r="G549" s="2"/>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2"/>
      <c r="G550" s="2"/>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2"/>
      <c r="G551" s="2"/>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2"/>
      <c r="G552" s="2"/>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2"/>
      <c r="G553" s="2"/>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2"/>
      <c r="G554" s="2"/>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2"/>
      <c r="G555" s="2"/>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2"/>
      <c r="G556" s="2"/>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2"/>
      <c r="G557" s="2"/>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2"/>
      <c r="G558" s="2"/>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2"/>
      <c r="G559" s="2"/>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2"/>
      <c r="G560" s="2"/>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2"/>
      <c r="G561" s="2"/>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2"/>
      <c r="G562" s="2"/>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2"/>
      <c r="G563" s="2"/>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2"/>
      <c r="G564" s="2"/>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2"/>
      <c r="G565" s="2"/>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2"/>
      <c r="G566" s="2"/>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2"/>
      <c r="G567" s="2"/>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2"/>
      <c r="G568" s="2"/>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2"/>
      <c r="G569" s="2"/>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2"/>
      <c r="G570" s="2"/>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2"/>
      <c r="G571" s="2"/>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2"/>
      <c r="G572" s="2"/>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2"/>
      <c r="G573" s="2"/>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2"/>
      <c r="G574" s="2"/>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2"/>
      <c r="G575" s="2"/>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2"/>
      <c r="G576" s="2"/>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2"/>
      <c r="G577" s="2"/>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2"/>
      <c r="G578" s="2"/>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2"/>
      <c r="G579" s="2"/>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2"/>
      <c r="G580" s="2"/>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2"/>
      <c r="G581" s="2"/>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2"/>
      <c r="G582" s="2"/>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2"/>
      <c r="G583" s="2"/>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2"/>
      <c r="G584" s="2"/>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2"/>
      <c r="G585" s="2"/>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2"/>
      <c r="G586" s="2"/>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2"/>
      <c r="G587" s="2"/>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2"/>
      <c r="G588" s="2"/>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2"/>
      <c r="G589" s="2"/>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2"/>
      <c r="G590" s="2"/>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2"/>
      <c r="G591" s="2"/>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2"/>
      <c r="G592" s="2"/>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2"/>
      <c r="G593" s="2"/>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2"/>
      <c r="G594" s="2"/>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2"/>
      <c r="G595" s="2"/>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2"/>
      <c r="G596" s="2"/>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2"/>
      <c r="G597" s="2"/>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2"/>
      <c r="G598" s="2"/>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2"/>
      <c r="G599" s="2"/>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2"/>
      <c r="G600" s="2"/>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2"/>
      <c r="G601" s="2"/>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2"/>
      <c r="G602" s="2"/>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2"/>
      <c r="G603" s="2"/>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2"/>
      <c r="G604" s="2"/>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2"/>
      <c r="G605" s="2"/>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2"/>
      <c r="G606" s="2"/>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2"/>
      <c r="G607" s="2"/>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2"/>
      <c r="G608" s="2"/>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2"/>
      <c r="G609" s="2"/>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2"/>
      <c r="G610" s="2"/>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2"/>
      <c r="G611" s="2"/>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2"/>
      <c r="G612" s="2"/>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2"/>
      <c r="G613" s="2"/>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2"/>
      <c r="G614" s="2"/>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2"/>
      <c r="G615" s="2"/>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2"/>
      <c r="G616" s="2"/>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2"/>
      <c r="G617" s="2"/>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2"/>
      <c r="G618" s="2"/>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2"/>
      <c r="G619" s="2"/>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2"/>
      <c r="G620" s="2"/>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2"/>
      <c r="G621" s="2"/>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2"/>
      <c r="G622" s="2"/>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2"/>
      <c r="G623" s="2"/>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2"/>
      <c r="G624" s="2"/>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2"/>
      <c r="G625" s="2"/>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2"/>
      <c r="G626" s="2"/>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2"/>
      <c r="G627" s="2"/>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2"/>
      <c r="G628" s="2"/>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2"/>
      <c r="G629" s="2"/>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2"/>
      <c r="G630" s="2"/>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2"/>
      <c r="G631" s="2"/>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2"/>
      <c r="G632" s="2"/>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2"/>
      <c r="G633" s="2"/>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2"/>
      <c r="G634" s="2"/>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2"/>
      <c r="G635" s="2"/>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2"/>
      <c r="G636" s="2"/>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2"/>
      <c r="G637" s="2"/>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2"/>
      <c r="G638" s="2"/>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2"/>
      <c r="G639" s="2"/>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2"/>
      <c r="G640" s="2"/>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2"/>
      <c r="G641" s="2"/>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2"/>
      <c r="G642" s="2"/>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2"/>
      <c r="G643" s="2"/>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2"/>
      <c r="G644" s="2"/>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2"/>
      <c r="G645" s="2"/>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2"/>
      <c r="G646" s="2"/>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2"/>
      <c r="G647" s="2"/>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2"/>
      <c r="G648" s="2"/>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2"/>
      <c r="G649" s="2"/>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2"/>
      <c r="G650" s="2"/>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2"/>
      <c r="G651" s="2"/>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2"/>
      <c r="G652" s="2"/>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2"/>
      <c r="G653" s="2"/>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2"/>
      <c r="G654" s="2"/>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2"/>
      <c r="G655" s="2"/>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2"/>
      <c r="G656" s="2"/>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2"/>
      <c r="G657" s="2"/>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2"/>
      <c r="G658" s="2"/>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2"/>
      <c r="G659" s="2"/>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2"/>
      <c r="G660" s="2"/>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2"/>
      <c r="G661" s="2"/>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2"/>
      <c r="G662" s="2"/>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2"/>
      <c r="G663" s="2"/>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2"/>
      <c r="G664" s="2"/>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2"/>
      <c r="G665" s="2"/>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2"/>
      <c r="G666" s="2"/>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2"/>
      <c r="G667" s="2"/>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2"/>
      <c r="G668" s="2"/>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2"/>
      <c r="G669" s="2"/>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2"/>
      <c r="G670" s="2"/>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2"/>
      <c r="G671" s="2"/>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2"/>
      <c r="G672" s="2"/>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2"/>
      <c r="G673" s="2"/>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2"/>
      <c r="G674" s="2"/>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2"/>
      <c r="G675" s="2"/>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2"/>
      <c r="G676" s="2"/>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2"/>
      <c r="G677" s="2"/>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2"/>
      <c r="G678" s="2"/>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2"/>
      <c r="G679" s="2"/>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2"/>
      <c r="G680" s="2"/>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2"/>
      <c r="G681" s="2"/>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2"/>
      <c r="G682" s="2"/>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2"/>
      <c r="G683" s="2"/>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2"/>
      <c r="G684" s="2"/>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2"/>
      <c r="G685" s="2"/>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2"/>
      <c r="G686" s="2"/>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2"/>
      <c r="G687" s="2"/>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2"/>
      <c r="G688" s="2"/>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2"/>
      <c r="G689" s="2"/>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2"/>
      <c r="G690" s="2"/>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2"/>
      <c r="G691" s="2"/>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2"/>
      <c r="G692" s="2"/>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2"/>
      <c r="G693" s="2"/>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2"/>
      <c r="G694" s="2"/>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2"/>
      <c r="G695" s="2"/>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2"/>
      <c r="G696" s="2"/>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2"/>
      <c r="G697" s="2"/>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2"/>
      <c r="G698" s="2"/>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2"/>
      <c r="G699" s="2"/>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2"/>
      <c r="G700" s="2"/>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2"/>
      <c r="G701" s="2"/>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2"/>
      <c r="G702" s="2"/>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2"/>
      <c r="G703" s="2"/>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2"/>
      <c r="G704" s="2"/>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2"/>
      <c r="G705" s="2"/>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2"/>
      <c r="G706" s="2"/>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2"/>
      <c r="G707" s="2"/>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2"/>
      <c r="G708" s="2"/>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2"/>
      <c r="G709" s="2"/>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2"/>
      <c r="G710" s="2"/>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2"/>
      <c r="G711" s="2"/>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2"/>
      <c r="G712" s="2"/>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2"/>
      <c r="G713" s="2"/>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2"/>
      <c r="G714" s="2"/>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2"/>
      <c r="G715" s="2"/>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2"/>
      <c r="G716" s="2"/>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2"/>
      <c r="G717" s="2"/>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2"/>
      <c r="G718" s="2"/>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2"/>
      <c r="G719" s="2"/>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2"/>
      <c r="G720" s="2"/>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2"/>
      <c r="G721" s="2"/>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2"/>
      <c r="G722" s="2"/>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2"/>
      <c r="G723" s="2"/>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2"/>
      <c r="G724" s="2"/>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2"/>
      <c r="G725" s="2"/>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2"/>
      <c r="G726" s="2"/>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2"/>
      <c r="G727" s="2"/>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2"/>
      <c r="G728" s="2"/>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2"/>
      <c r="G729" s="2"/>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2"/>
      <c r="G730" s="2"/>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2"/>
      <c r="G731" s="2"/>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2"/>
      <c r="G732" s="2"/>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2"/>
      <c r="G733" s="2"/>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2"/>
      <c r="G734" s="2"/>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2"/>
      <c r="G735" s="2"/>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2"/>
      <c r="G736" s="2"/>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2"/>
      <c r="G737" s="2"/>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2"/>
      <c r="G738" s="2"/>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2"/>
      <c r="G739" s="2"/>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2"/>
      <c r="G740" s="2"/>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2"/>
      <c r="G741" s="2"/>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2"/>
      <c r="G742" s="2"/>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2"/>
      <c r="G743" s="2"/>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2"/>
      <c r="G744" s="2"/>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2"/>
      <c r="G745" s="2"/>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2"/>
      <c r="G746" s="2"/>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2"/>
      <c r="G747" s="2"/>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2"/>
      <c r="G748" s="2"/>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2"/>
      <c r="G749" s="2"/>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2"/>
      <c r="G750" s="2"/>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2"/>
      <c r="G751" s="2"/>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2"/>
      <c r="G752" s="2"/>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2"/>
      <c r="G753" s="2"/>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2"/>
      <c r="G754" s="2"/>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2"/>
      <c r="G755" s="2"/>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2"/>
      <c r="G756" s="2"/>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2"/>
      <c r="G757" s="2"/>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2"/>
      <c r="G758" s="2"/>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2"/>
      <c r="G759" s="2"/>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2"/>
      <c r="G760" s="2"/>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2"/>
      <c r="G761" s="2"/>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2"/>
      <c r="G762" s="2"/>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2"/>
      <c r="G763" s="2"/>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2"/>
      <c r="G764" s="2"/>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2"/>
      <c r="G765" s="2"/>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2"/>
      <c r="G766" s="2"/>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2"/>
      <c r="G767" s="2"/>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2"/>
      <c r="G768" s="2"/>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2"/>
      <c r="G769" s="2"/>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2"/>
      <c r="G770" s="2"/>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2"/>
      <c r="G771" s="2"/>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2"/>
      <c r="G772" s="2"/>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2"/>
      <c r="G773" s="2"/>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2"/>
      <c r="G774" s="2"/>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2"/>
      <c r="G775" s="2"/>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2"/>
      <c r="G776" s="2"/>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2"/>
      <c r="G777" s="2"/>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2"/>
      <c r="G778" s="2"/>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2"/>
      <c r="G779" s="2"/>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2"/>
      <c r="G780" s="2"/>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2"/>
      <c r="G781" s="2"/>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2"/>
      <c r="G782" s="2"/>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2"/>
      <c r="G783" s="2"/>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2"/>
      <c r="G784" s="2"/>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2"/>
      <c r="G785" s="2"/>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2"/>
      <c r="G786" s="2"/>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2"/>
      <c r="G787" s="2"/>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2"/>
      <c r="G788" s="2"/>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2"/>
      <c r="G789" s="2"/>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2"/>
      <c r="G790" s="2"/>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2"/>
      <c r="G791" s="2"/>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2"/>
      <c r="G792" s="2"/>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2"/>
      <c r="G793" s="2"/>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2"/>
      <c r="G794" s="2"/>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2"/>
      <c r="G795" s="2"/>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2"/>
      <c r="G796" s="2"/>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2"/>
      <c r="G797" s="2"/>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2"/>
      <c r="G798" s="2"/>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2"/>
      <c r="G799" s="2"/>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2"/>
      <c r="G800" s="2"/>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2"/>
      <c r="G801" s="2"/>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2"/>
      <c r="G802" s="2"/>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2"/>
      <c r="G803" s="2"/>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2"/>
      <c r="G804" s="2"/>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2"/>
      <c r="G805" s="2"/>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2"/>
      <c r="G806" s="2"/>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2"/>
      <c r="G807" s="2"/>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2"/>
      <c r="G808" s="2"/>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2"/>
      <c r="G809" s="2"/>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2"/>
      <c r="G810" s="2"/>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2"/>
      <c r="G811" s="2"/>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2"/>
      <c r="G812" s="2"/>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2"/>
      <c r="G813" s="2"/>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2"/>
      <c r="G814" s="2"/>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2"/>
      <c r="G815" s="2"/>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2"/>
      <c r="G816" s="2"/>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2"/>
      <c r="G817" s="2"/>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2"/>
      <c r="G818" s="2"/>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2"/>
      <c r="G819" s="2"/>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2"/>
      <c r="G820" s="2"/>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2"/>
      <c r="G821" s="2"/>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2"/>
      <c r="G822" s="2"/>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2"/>
      <c r="G823" s="2"/>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2"/>
      <c r="G824" s="2"/>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2"/>
      <c r="G825" s="2"/>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2"/>
      <c r="G826" s="2"/>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2"/>
      <c r="G827" s="2"/>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2"/>
      <c r="G828" s="2"/>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2"/>
      <c r="G829" s="2"/>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2"/>
      <c r="G830" s="2"/>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2"/>
      <c r="G831" s="2"/>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2"/>
      <c r="G832" s="2"/>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2"/>
      <c r="G833" s="2"/>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2"/>
      <c r="G834" s="2"/>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2"/>
      <c r="G835" s="2"/>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2"/>
      <c r="G836" s="2"/>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2"/>
      <c r="G837" s="2"/>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2"/>
      <c r="G838" s="2"/>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2"/>
      <c r="G839" s="2"/>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2"/>
      <c r="G840" s="2"/>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2"/>
      <c r="G841" s="2"/>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2"/>
      <c r="G842" s="2"/>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2"/>
      <c r="G843" s="2"/>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2"/>
      <c r="G844" s="2"/>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2"/>
      <c r="G845" s="2"/>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2"/>
      <c r="G846" s="2"/>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2"/>
      <c r="G847" s="2"/>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2"/>
      <c r="G848" s="2"/>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2"/>
      <c r="G849" s="2"/>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2"/>
      <c r="G850" s="2"/>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2"/>
      <c r="G851" s="2"/>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2"/>
      <c r="G852" s="2"/>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2"/>
      <c r="G853" s="2"/>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2"/>
      <c r="G854" s="2"/>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2"/>
      <c r="G855" s="2"/>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2"/>
      <c r="G856" s="2"/>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2"/>
      <c r="G857" s="2"/>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2"/>
      <c r="G858" s="2"/>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2"/>
      <c r="G859" s="2"/>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2"/>
      <c r="G860" s="2"/>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2"/>
      <c r="G861" s="2"/>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2"/>
      <c r="G862" s="2"/>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2"/>
      <c r="G863" s="2"/>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2"/>
      <c r="G864" s="2"/>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2"/>
      <c r="G865" s="2"/>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2"/>
      <c r="G866" s="2"/>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2"/>
      <c r="G867" s="2"/>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2"/>
      <c r="G868" s="2"/>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2"/>
      <c r="G869" s="2"/>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2"/>
      <c r="G870" s="2"/>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2"/>
      <c r="G871" s="2"/>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2"/>
      <c r="G872" s="2"/>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2"/>
      <c r="G873" s="2"/>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2"/>
      <c r="G874" s="2"/>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2"/>
      <c r="G875" s="2"/>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2"/>
      <c r="G876" s="2"/>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2"/>
      <c r="G877" s="2"/>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2"/>
      <c r="G878" s="2"/>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2"/>
      <c r="G879" s="2"/>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2"/>
      <c r="G880" s="2"/>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2"/>
      <c r="G881" s="2"/>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2"/>
      <c r="G882" s="2"/>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2"/>
      <c r="G883" s="2"/>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2"/>
      <c r="G884" s="2"/>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2"/>
      <c r="G885" s="2"/>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2"/>
      <c r="G886" s="2"/>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2"/>
      <c r="G887" s="2"/>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2"/>
      <c r="G888" s="2"/>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2"/>
      <c r="G889" s="2"/>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2"/>
      <c r="G890" s="2"/>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2"/>
      <c r="G891" s="2"/>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2"/>
      <c r="G892" s="2"/>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2"/>
      <c r="G893" s="2"/>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2"/>
      <c r="G894" s="2"/>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2"/>
      <c r="G895" s="2"/>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2"/>
      <c r="G896" s="2"/>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2"/>
      <c r="G897" s="2"/>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2"/>
      <c r="G898" s="2"/>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2"/>
      <c r="G899" s="2"/>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2"/>
      <c r="G900" s="2"/>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2"/>
      <c r="G901" s="2"/>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2"/>
      <c r="G902" s="2"/>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2"/>
      <c r="G903" s="2"/>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2"/>
      <c r="G904" s="2"/>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2"/>
      <c r="G905" s="2"/>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2"/>
      <c r="G906" s="2"/>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2"/>
      <c r="G907" s="2"/>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2"/>
      <c r="G908" s="2"/>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2"/>
      <c r="G909" s="2"/>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2"/>
      <c r="G910" s="2"/>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2"/>
      <c r="G911" s="2"/>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2"/>
      <c r="G912" s="2"/>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2"/>
      <c r="G913" s="2"/>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2"/>
      <c r="G914" s="2"/>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2"/>
      <c r="G915" s="2"/>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2"/>
      <c r="G916" s="2"/>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2"/>
      <c r="G917" s="2"/>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2"/>
      <c r="G918" s="2"/>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2"/>
      <c r="G919" s="2"/>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2"/>
      <c r="G920" s="2"/>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2"/>
      <c r="G921" s="2"/>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2"/>
      <c r="G922" s="2"/>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2"/>
      <c r="G923" s="2"/>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2"/>
      <c r="G924" s="2"/>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2"/>
      <c r="G925" s="2"/>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2"/>
      <c r="G926" s="2"/>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2"/>
      <c r="G927" s="2"/>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2"/>
      <c r="G928" s="2"/>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2"/>
      <c r="G929" s="2"/>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2"/>
      <c r="G930" s="2"/>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2"/>
      <c r="G931" s="2"/>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2"/>
      <c r="G932" s="2"/>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2"/>
      <c r="G933" s="2"/>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2"/>
      <c r="G934" s="2"/>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2"/>
      <c r="G935" s="2"/>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2"/>
      <c r="G936" s="2"/>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2"/>
      <c r="G937" s="2"/>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2"/>
      <c r="G938" s="2"/>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2"/>
      <c r="G939" s="2"/>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2"/>
      <c r="G940" s="2"/>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2"/>
      <c r="G941" s="2"/>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2"/>
      <c r="G942" s="2"/>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2"/>
      <c r="G943" s="2"/>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2"/>
      <c r="G944" s="2"/>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2"/>
      <c r="G945" s="2"/>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2"/>
      <c r="G946" s="2"/>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2"/>
      <c r="G947" s="2"/>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2"/>
      <c r="G948" s="2"/>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2"/>
      <c r="G949" s="2"/>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2"/>
      <c r="G950" s="2"/>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2"/>
      <c r="G951" s="2"/>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2"/>
      <c r="G952" s="2"/>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2"/>
      <c r="G953" s="2"/>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2"/>
      <c r="G954" s="2"/>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2"/>
      <c r="G955" s="2"/>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2"/>
      <c r="G956" s="2"/>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2"/>
      <c r="G957" s="2"/>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2"/>
      <c r="G958" s="2"/>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2"/>
      <c r="G959" s="2"/>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2"/>
      <c r="G960" s="2"/>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2"/>
      <c r="G961" s="2"/>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2"/>
      <c r="G962" s="2"/>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2"/>
      <c r="G963" s="2"/>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2"/>
      <c r="G964" s="2"/>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2"/>
      <c r="G965" s="2"/>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2"/>
      <c r="G966" s="2"/>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2"/>
      <c r="G967" s="2"/>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2"/>
      <c r="G968" s="2"/>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2"/>
      <c r="G969" s="2"/>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2"/>
      <c r="G970" s="2"/>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2"/>
      <c r="G971" s="2"/>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2"/>
      <c r="G972" s="2"/>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2"/>
      <c r="G973" s="2"/>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2"/>
      <c r="G974" s="2"/>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2"/>
      <c r="G975" s="2"/>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2"/>
      <c r="G976" s="2"/>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2"/>
      <c r="G977" s="2"/>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2"/>
      <c r="G978" s="2"/>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2"/>
      <c r="G979" s="2"/>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2"/>
      <c r="G980" s="2"/>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2"/>
      <c r="G981" s="2"/>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2"/>
      <c r="G982" s="2"/>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2"/>
      <c r="G983" s="2"/>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2"/>
      <c r="G984" s="2"/>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2"/>
      <c r="G985" s="2"/>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2"/>
      <c r="G986" s="2"/>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2"/>
      <c r="G987" s="2"/>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2"/>
      <c r="G988" s="2"/>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2"/>
      <c r="G989" s="2"/>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2"/>
      <c r="G990" s="2"/>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2"/>
      <c r="G991" s="2"/>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2"/>
      <c r="G992" s="2"/>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2"/>
      <c r="G993" s="2"/>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2"/>
      <c r="G994" s="2"/>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2"/>
      <c r="G995" s="2"/>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2"/>
      <c r="G996" s="2"/>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2"/>
      <c r="G997" s="2"/>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2"/>
      <c r="G998" s="2"/>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2"/>
      <c r="G999" s="2"/>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2"/>
      <c r="G1000" s="2"/>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2"/>
      <c r="G1001" s="2"/>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2"/>
      <c r="G1002" s="2"/>
      <c r="H1002" s="1"/>
      <c r="I1002" s="1"/>
      <c r="J1002" s="1"/>
      <c r="K1002" s="1"/>
      <c r="L1002" s="1"/>
      <c r="M1002" s="1"/>
      <c r="N1002" s="1"/>
      <c r="O1002" s="1"/>
      <c r="P1002" s="1"/>
      <c r="Q1002" s="1"/>
      <c r="R1002" s="1"/>
      <c r="S1002" s="1"/>
      <c r="T1002" s="1"/>
      <c r="U1002" s="1"/>
      <c r="V1002" s="1"/>
      <c r="W1002" s="1"/>
      <c r="X1002" s="1"/>
      <c r="Y1002" s="1"/>
      <c r="Z1002"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16</v>
      </c>
      <c r="B1" s="4" t="s">
        <v>365</v>
      </c>
      <c r="C1" s="1"/>
      <c r="D1" s="1"/>
      <c r="E1" s="1"/>
      <c r="F1" s="1"/>
      <c r="G1" s="1"/>
      <c r="H1" s="1"/>
      <c r="I1" s="1"/>
      <c r="J1" s="1"/>
      <c r="K1" s="1"/>
      <c r="L1" s="1"/>
      <c r="M1" s="1"/>
      <c r="N1" s="1"/>
      <c r="O1" s="1"/>
      <c r="P1" s="1"/>
      <c r="Q1" s="1"/>
      <c r="R1" s="1"/>
      <c r="S1" s="1"/>
      <c r="T1" s="1"/>
      <c r="U1" s="1"/>
      <c r="V1" s="1"/>
      <c r="W1" s="1"/>
      <c r="X1" s="1"/>
      <c r="Y1" s="1"/>
      <c r="Z1" s="1"/>
    </row>
    <row r="2">
      <c r="A2" s="4" t="s">
        <v>366</v>
      </c>
      <c r="B2" s="4" t="s">
        <v>365</v>
      </c>
      <c r="C2" s="1"/>
      <c r="D2" s="1"/>
      <c r="E2" s="1"/>
      <c r="F2" s="1"/>
      <c r="G2" s="1"/>
      <c r="H2" s="1"/>
      <c r="I2" s="1"/>
      <c r="J2" s="1"/>
      <c r="K2" s="1"/>
      <c r="L2" s="1"/>
      <c r="M2" s="1"/>
      <c r="N2" s="1"/>
      <c r="O2" s="1"/>
      <c r="P2" s="1"/>
      <c r="Q2" s="1"/>
      <c r="R2" s="1"/>
      <c r="S2" s="1"/>
      <c r="T2" s="1"/>
      <c r="U2" s="1"/>
      <c r="V2" s="1"/>
      <c r="W2" s="1"/>
      <c r="X2" s="1"/>
      <c r="Y2" s="1"/>
      <c r="Z2" s="1"/>
    </row>
    <row r="3">
      <c r="A3" s="4" t="s">
        <v>367</v>
      </c>
      <c r="B3" s="4" t="s">
        <v>368</v>
      </c>
      <c r="C3" s="4" t="s">
        <v>369</v>
      </c>
      <c r="D3" s="4" t="s">
        <v>370</v>
      </c>
      <c r="E3" s="1"/>
      <c r="F3" s="1"/>
      <c r="G3" s="1"/>
      <c r="H3" s="1"/>
      <c r="I3" s="1"/>
      <c r="J3" s="1"/>
      <c r="K3" s="1"/>
      <c r="L3" s="1"/>
      <c r="M3" s="1"/>
      <c r="N3" s="1"/>
      <c r="O3" s="1"/>
      <c r="P3" s="1"/>
      <c r="Q3" s="1"/>
      <c r="R3" s="1"/>
      <c r="S3" s="1"/>
      <c r="T3" s="1"/>
      <c r="U3" s="1"/>
      <c r="V3" s="1"/>
      <c r="W3" s="1"/>
      <c r="X3" s="1"/>
      <c r="Y3" s="1"/>
      <c r="Z3" s="1"/>
    </row>
    <row r="4">
      <c r="A4" s="4" t="s">
        <v>371</v>
      </c>
      <c r="B4" s="4" t="s">
        <v>372</v>
      </c>
      <c r="C4" s="1"/>
      <c r="D4" s="1"/>
      <c r="E4" s="1"/>
      <c r="F4" s="1"/>
      <c r="G4" s="1"/>
      <c r="H4" s="1"/>
      <c r="I4" s="1"/>
      <c r="J4" s="1"/>
      <c r="K4" s="1"/>
      <c r="L4" s="1"/>
      <c r="M4" s="1"/>
      <c r="N4" s="1"/>
      <c r="O4" s="1"/>
      <c r="P4" s="1"/>
      <c r="Q4" s="1"/>
      <c r="R4" s="1"/>
      <c r="S4" s="1"/>
      <c r="T4" s="1"/>
      <c r="U4" s="1"/>
      <c r="V4" s="1"/>
      <c r="W4" s="1"/>
      <c r="X4" s="1"/>
      <c r="Y4" s="1"/>
      <c r="Z4" s="1"/>
    </row>
    <row r="5">
      <c r="A5" s="4" t="s">
        <v>373</v>
      </c>
      <c r="B5" s="4">
        <v>3.115929346E9</v>
      </c>
      <c r="C5" s="1"/>
      <c r="D5" s="1"/>
      <c r="E5" s="1"/>
      <c r="F5" s="1"/>
      <c r="G5" s="1"/>
      <c r="H5" s="1"/>
      <c r="I5" s="1"/>
      <c r="J5" s="1"/>
      <c r="K5" s="1"/>
      <c r="L5" s="1"/>
      <c r="M5" s="1"/>
      <c r="N5" s="1"/>
      <c r="O5" s="1"/>
      <c r="P5" s="1"/>
      <c r="Q5" s="1"/>
      <c r="R5" s="1"/>
      <c r="S5" s="1"/>
      <c r="T5" s="1"/>
      <c r="U5" s="1"/>
      <c r="V5" s="1"/>
      <c r="W5" s="1"/>
      <c r="X5" s="1"/>
      <c r="Y5" s="1"/>
      <c r="Z5" s="1"/>
    </row>
    <row r="6">
      <c r="A6" s="4" t="s">
        <v>374</v>
      </c>
      <c r="B6" s="4" t="s">
        <v>375</v>
      </c>
      <c r="C6" s="1"/>
      <c r="D6" s="1"/>
      <c r="E6" s="1"/>
      <c r="F6" s="1"/>
      <c r="G6" s="1"/>
      <c r="H6" s="1"/>
      <c r="I6" s="1"/>
      <c r="J6" s="1"/>
      <c r="K6" s="1"/>
      <c r="L6" s="1"/>
      <c r="M6" s="1"/>
      <c r="N6" s="1"/>
      <c r="O6" s="1"/>
      <c r="P6" s="1"/>
      <c r="Q6" s="1"/>
      <c r="R6" s="1"/>
      <c r="S6" s="1"/>
      <c r="T6" s="1"/>
      <c r="U6" s="1"/>
      <c r="V6" s="1"/>
      <c r="W6" s="1"/>
      <c r="X6" s="1"/>
      <c r="Y6" s="1"/>
      <c r="Z6" s="1"/>
    </row>
    <row r="7">
      <c r="A7" s="4" t="s">
        <v>376</v>
      </c>
      <c r="B7" s="4" t="s">
        <v>365</v>
      </c>
      <c r="C7" s="1"/>
      <c r="D7" s="1"/>
      <c r="E7" s="1"/>
      <c r="F7" s="1"/>
      <c r="G7" s="1"/>
      <c r="H7" s="1"/>
      <c r="I7" s="1"/>
      <c r="J7" s="1"/>
      <c r="K7" s="1"/>
      <c r="L7" s="1"/>
      <c r="M7" s="1"/>
      <c r="N7" s="1"/>
      <c r="O7" s="1"/>
      <c r="P7" s="1"/>
      <c r="Q7" s="1"/>
      <c r="R7" s="1"/>
      <c r="S7" s="1"/>
      <c r="T7" s="1"/>
      <c r="U7" s="1"/>
      <c r="V7" s="1"/>
      <c r="W7" s="1"/>
      <c r="X7" s="1"/>
      <c r="Y7" s="1"/>
      <c r="Z7" s="1"/>
    </row>
    <row r="8">
      <c r="A8" s="4" t="s">
        <v>377</v>
      </c>
      <c r="B8" s="4" t="s">
        <v>378</v>
      </c>
      <c r="C8" s="1"/>
      <c r="D8" s="1"/>
      <c r="E8" s="1"/>
      <c r="F8" s="1"/>
      <c r="G8" s="1"/>
      <c r="H8" s="1"/>
      <c r="I8" s="1"/>
      <c r="J8" s="1"/>
      <c r="K8" s="1"/>
      <c r="L8" s="1"/>
      <c r="M8" s="1"/>
      <c r="N8" s="1"/>
      <c r="O8" s="1"/>
      <c r="P8" s="1"/>
      <c r="Q8" s="1"/>
      <c r="R8" s="1"/>
      <c r="S8" s="1"/>
      <c r="T8" s="1"/>
      <c r="U8" s="1"/>
      <c r="V8" s="1"/>
      <c r="W8" s="1"/>
      <c r="X8" s="1"/>
      <c r="Y8" s="1"/>
      <c r="Z8" s="1"/>
    </row>
    <row r="9">
      <c r="A9" s="4" t="s">
        <v>379</v>
      </c>
      <c r="B9" s="4" t="s">
        <v>365</v>
      </c>
      <c r="C9" s="1"/>
      <c r="D9" s="1"/>
      <c r="E9" s="1"/>
      <c r="F9" s="1"/>
      <c r="G9" s="1"/>
      <c r="H9" s="1"/>
      <c r="I9" s="1"/>
      <c r="J9" s="1"/>
      <c r="K9" s="1"/>
      <c r="L9" s="1"/>
      <c r="M9" s="1"/>
      <c r="N9" s="1"/>
      <c r="O9" s="1"/>
      <c r="P9" s="1"/>
      <c r="Q9" s="1"/>
      <c r="R9" s="1"/>
      <c r="S9" s="1"/>
      <c r="T9" s="1"/>
      <c r="U9" s="1"/>
      <c r="V9" s="1"/>
      <c r="W9" s="1"/>
      <c r="X9" s="1"/>
      <c r="Y9" s="1"/>
      <c r="Z9" s="1"/>
    </row>
    <row r="10">
      <c r="A10" s="4" t="s">
        <v>380</v>
      </c>
      <c r="B10" s="1"/>
      <c r="C10" s="1"/>
      <c r="D10" s="1"/>
      <c r="E10" s="1"/>
      <c r="F10" s="1"/>
      <c r="G10" s="1"/>
      <c r="H10" s="1"/>
      <c r="I10" s="1"/>
      <c r="J10" s="1"/>
      <c r="K10" s="1"/>
      <c r="L10" s="1"/>
      <c r="M10" s="1"/>
      <c r="N10" s="1"/>
      <c r="O10" s="1"/>
      <c r="P10" s="1"/>
      <c r="Q10" s="1"/>
      <c r="R10" s="1"/>
      <c r="S10" s="1"/>
      <c r="T10" s="1"/>
      <c r="U10" s="1"/>
      <c r="V10" s="1"/>
      <c r="W10" s="1"/>
      <c r="X10" s="1"/>
      <c r="Y10" s="1"/>
      <c r="Z10" s="1"/>
    </row>
    <row r="11">
      <c r="A11" s="4" t="s">
        <v>381</v>
      </c>
      <c r="B11" s="1"/>
      <c r="C11" s="1"/>
      <c r="D11" s="1"/>
      <c r="E11" s="1"/>
      <c r="F11" s="1"/>
      <c r="G11" s="1"/>
      <c r="H11" s="1"/>
      <c r="I11" s="1"/>
      <c r="J11" s="1"/>
      <c r="K11" s="1"/>
      <c r="L11" s="1"/>
      <c r="M11" s="1"/>
      <c r="N11" s="1"/>
      <c r="O11" s="1"/>
      <c r="P11" s="1"/>
      <c r="Q11" s="1"/>
      <c r="R11" s="1"/>
      <c r="S11" s="1"/>
      <c r="T11" s="1"/>
      <c r="U11" s="1"/>
      <c r="V11" s="1"/>
      <c r="W11" s="1"/>
      <c r="X11" s="1"/>
      <c r="Y11" s="1"/>
      <c r="Z11" s="1"/>
    </row>
    <row r="12">
      <c r="A12" s="4" t="s">
        <v>23</v>
      </c>
      <c r="B12" s="4" t="s">
        <v>365</v>
      </c>
      <c r="C12" s="1"/>
      <c r="D12" s="1"/>
      <c r="E12" s="1"/>
      <c r="F12" s="1"/>
      <c r="G12" s="1"/>
      <c r="H12" s="1"/>
      <c r="I12" s="1"/>
      <c r="J12" s="1"/>
      <c r="K12" s="1"/>
      <c r="L12" s="1"/>
      <c r="M12" s="1"/>
      <c r="N12" s="1"/>
      <c r="O12" s="1"/>
      <c r="P12" s="1"/>
      <c r="Q12" s="1"/>
      <c r="R12" s="1"/>
      <c r="S12" s="1"/>
      <c r="T12" s="1"/>
      <c r="U12" s="1"/>
      <c r="V12" s="1"/>
      <c r="W12" s="1"/>
      <c r="X12" s="1"/>
      <c r="Y12" s="1"/>
      <c r="Z12" s="1"/>
    </row>
    <row r="13">
      <c r="A13" s="29"/>
      <c r="B13" s="1"/>
      <c r="C13" s="1"/>
      <c r="D13" s="1"/>
      <c r="E13" s="1"/>
      <c r="F13" s="1"/>
      <c r="G13" s="1"/>
      <c r="H13" s="1"/>
      <c r="I13" s="1"/>
      <c r="J13" s="1"/>
      <c r="K13" s="1"/>
      <c r="L13" s="1"/>
      <c r="M13" s="1"/>
      <c r="N13" s="1"/>
      <c r="O13" s="1"/>
      <c r="P13" s="1"/>
      <c r="Q13" s="1"/>
      <c r="R13" s="1"/>
      <c r="S13" s="1"/>
      <c r="T13" s="1"/>
      <c r="U13" s="1"/>
      <c r="V13" s="1"/>
      <c r="W13" s="1"/>
      <c r="X13" s="1"/>
      <c r="Y13" s="1"/>
      <c r="Z13" s="1"/>
    </row>
    <row r="14">
      <c r="A14" s="29" t="s">
        <v>382</v>
      </c>
      <c r="B14" s="1"/>
      <c r="C14" s="1"/>
      <c r="D14" s="1"/>
      <c r="E14" s="1"/>
      <c r="F14" s="1"/>
      <c r="G14" s="1"/>
      <c r="H14" s="1"/>
      <c r="I14" s="1"/>
      <c r="J14" s="1"/>
      <c r="K14" s="1"/>
      <c r="L14" s="1"/>
      <c r="M14" s="1"/>
      <c r="N14" s="1"/>
      <c r="O14" s="1"/>
      <c r="P14" s="1"/>
      <c r="Q14" s="1"/>
      <c r="R14" s="1"/>
      <c r="S14" s="1"/>
      <c r="T14" s="1"/>
      <c r="U14" s="1"/>
      <c r="V14" s="1"/>
      <c r="W14" s="1"/>
      <c r="X14" s="1"/>
      <c r="Y14" s="1"/>
      <c r="Z14" s="1"/>
    </row>
    <row r="15">
      <c r="A15" s="4" t="s">
        <v>383</v>
      </c>
      <c r="B15" s="4" t="s">
        <v>384</v>
      </c>
      <c r="C15" s="4"/>
      <c r="D15" s="1"/>
      <c r="E15" s="1"/>
      <c r="F15" s="1"/>
      <c r="G15" s="1"/>
      <c r="H15" s="1"/>
      <c r="I15" s="1"/>
      <c r="J15" s="1"/>
      <c r="K15" s="1"/>
      <c r="L15" s="1"/>
      <c r="M15" s="1"/>
      <c r="N15" s="1"/>
      <c r="O15" s="1"/>
      <c r="P15" s="1"/>
      <c r="Q15" s="1"/>
      <c r="R15" s="1"/>
      <c r="S15" s="1"/>
      <c r="T15" s="1"/>
      <c r="U15" s="1"/>
      <c r="V15" s="1"/>
      <c r="W15" s="1"/>
      <c r="X15" s="1"/>
      <c r="Y15" s="1"/>
      <c r="Z15" s="1"/>
    </row>
    <row r="16">
      <c r="A16" s="4" t="s">
        <v>385</v>
      </c>
      <c r="B16" s="4" t="s">
        <v>386</v>
      </c>
      <c r="C16" s="1"/>
      <c r="D16" s="1"/>
      <c r="E16" s="1"/>
      <c r="F16" s="1"/>
      <c r="G16" s="1"/>
      <c r="H16" s="1"/>
      <c r="I16" s="1"/>
      <c r="J16" s="1"/>
      <c r="K16" s="1"/>
      <c r="L16" s="1"/>
      <c r="M16" s="1"/>
      <c r="N16" s="1"/>
      <c r="O16" s="1"/>
      <c r="P16" s="1"/>
      <c r="Q16" s="1"/>
      <c r="R16" s="1"/>
      <c r="S16" s="1"/>
      <c r="T16" s="1"/>
      <c r="U16" s="1"/>
      <c r="V16" s="1"/>
      <c r="W16" s="1"/>
      <c r="X16" s="1"/>
      <c r="Y16" s="1"/>
      <c r="Z16" s="1"/>
    </row>
    <row r="17">
      <c r="A17" s="4" t="s">
        <v>387</v>
      </c>
      <c r="B17" s="4" t="s">
        <v>388</v>
      </c>
      <c r="C17" s="1"/>
      <c r="D17" s="1"/>
      <c r="E17" s="1"/>
      <c r="F17" s="1"/>
      <c r="G17" s="1"/>
      <c r="H17" s="1"/>
      <c r="I17" s="1"/>
      <c r="J17" s="1"/>
      <c r="K17" s="1"/>
      <c r="L17" s="1"/>
      <c r="M17" s="1"/>
      <c r="N17" s="1"/>
      <c r="O17" s="1"/>
      <c r="P17" s="1"/>
      <c r="Q17" s="1"/>
      <c r="R17" s="1"/>
      <c r="S17" s="1"/>
      <c r="T17" s="1"/>
      <c r="U17" s="1"/>
      <c r="V17" s="1"/>
      <c r="W17" s="1"/>
      <c r="X17" s="1"/>
      <c r="Y17" s="1"/>
      <c r="Z17" s="1"/>
    </row>
    <row r="18">
      <c r="A18" s="4" t="s">
        <v>389</v>
      </c>
      <c r="B18" s="4" t="s">
        <v>388</v>
      </c>
      <c r="C18" s="1"/>
      <c r="D18" s="1"/>
      <c r="E18" s="1"/>
      <c r="F18" s="1"/>
      <c r="G18" s="1"/>
      <c r="H18" s="1"/>
      <c r="I18" s="1"/>
      <c r="J18" s="1"/>
      <c r="K18" s="1"/>
      <c r="L18" s="1"/>
      <c r="M18" s="1"/>
      <c r="N18" s="1"/>
      <c r="O18" s="1"/>
      <c r="P18" s="1"/>
      <c r="Q18" s="1"/>
      <c r="R18" s="1"/>
      <c r="S18" s="1"/>
      <c r="T18" s="1"/>
      <c r="U18" s="1"/>
      <c r="V18" s="1"/>
      <c r="W18" s="1"/>
      <c r="X18" s="1"/>
      <c r="Y18" s="1"/>
      <c r="Z18" s="1"/>
    </row>
    <row r="19">
      <c r="A19" s="4" t="s">
        <v>390</v>
      </c>
      <c r="B19" s="4" t="s">
        <v>388</v>
      </c>
      <c r="C19" s="1"/>
      <c r="D19" s="1"/>
      <c r="E19" s="1"/>
      <c r="F19" s="1"/>
      <c r="G19" s="1"/>
      <c r="H19" s="1"/>
      <c r="I19" s="1"/>
      <c r="J19" s="1"/>
      <c r="K19" s="1"/>
      <c r="L19" s="1"/>
      <c r="M19" s="1"/>
      <c r="N19" s="1"/>
      <c r="O19" s="1"/>
      <c r="P19" s="1"/>
      <c r="Q19" s="1"/>
      <c r="R19" s="1"/>
      <c r="S19" s="1"/>
      <c r="T19" s="1"/>
      <c r="U19" s="1"/>
      <c r="V19" s="1"/>
      <c r="W19" s="1"/>
      <c r="X19" s="1"/>
      <c r="Y19" s="1"/>
      <c r="Z19" s="1"/>
    </row>
    <row r="20">
      <c r="A20" s="4" t="s">
        <v>201</v>
      </c>
      <c r="B20" s="4" t="s">
        <v>388</v>
      </c>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4" t="s">
        <v>391</v>
      </c>
      <c r="B22" s="4"/>
      <c r="C22" s="1"/>
      <c r="D22" s="1"/>
      <c r="E22" s="1"/>
      <c r="F22" s="1"/>
      <c r="G22" s="1"/>
      <c r="H22" s="1"/>
      <c r="I22" s="1"/>
      <c r="J22" s="1"/>
      <c r="K22" s="1"/>
      <c r="L22" s="1"/>
      <c r="M22" s="1"/>
      <c r="N22" s="1"/>
      <c r="O22" s="1"/>
      <c r="P22" s="1"/>
      <c r="Q22" s="1"/>
      <c r="R22" s="1"/>
      <c r="S22" s="1"/>
      <c r="T22" s="1"/>
      <c r="U22" s="1"/>
      <c r="V22" s="1"/>
      <c r="W22" s="1"/>
      <c r="X22" s="1"/>
      <c r="Y22" s="1"/>
      <c r="Z22" s="1"/>
    </row>
    <row r="23">
      <c r="A23" s="4" t="s">
        <v>367</v>
      </c>
      <c r="B23" s="1"/>
      <c r="C23" s="1"/>
      <c r="D23" s="1"/>
      <c r="E23" s="1"/>
      <c r="F23" s="1"/>
      <c r="G23" s="1"/>
      <c r="H23" s="1"/>
      <c r="I23" s="1"/>
      <c r="J23" s="1"/>
      <c r="K23" s="1"/>
      <c r="L23" s="1"/>
      <c r="M23" s="1"/>
      <c r="N23" s="1"/>
      <c r="O23" s="1"/>
      <c r="P23" s="1"/>
      <c r="Q23" s="1"/>
      <c r="R23" s="1"/>
      <c r="S23" s="1"/>
      <c r="T23" s="1"/>
      <c r="U23" s="1"/>
      <c r="V23" s="1"/>
      <c r="W23" s="1"/>
      <c r="X23" s="1"/>
      <c r="Y23" s="1"/>
      <c r="Z23" s="1"/>
    </row>
    <row r="24">
      <c r="A24" s="4" t="s">
        <v>392</v>
      </c>
      <c r="B24" s="4" t="s">
        <v>393</v>
      </c>
      <c r="C24" s="4" t="s">
        <v>394</v>
      </c>
      <c r="D24" s="1"/>
      <c r="E24" s="1"/>
      <c r="F24" s="1"/>
      <c r="G24" s="1"/>
      <c r="H24" s="1"/>
      <c r="I24" s="1"/>
      <c r="J24" s="1"/>
      <c r="K24" s="1"/>
      <c r="L24" s="1"/>
      <c r="M24" s="1"/>
      <c r="N24" s="1"/>
      <c r="O24" s="1"/>
      <c r="P24" s="1"/>
      <c r="Q24" s="1"/>
      <c r="R24" s="1"/>
      <c r="S24" s="1"/>
      <c r="T24" s="1"/>
      <c r="U24" s="1"/>
      <c r="V24" s="1"/>
      <c r="W24" s="1"/>
      <c r="X24" s="1"/>
      <c r="Y24" s="1"/>
      <c r="Z24" s="1"/>
    </row>
    <row r="25">
      <c r="A25" s="4" t="s">
        <v>395</v>
      </c>
      <c r="B25" s="4" t="s">
        <v>396</v>
      </c>
      <c r="C25" s="1"/>
      <c r="D25" s="1"/>
      <c r="E25" s="1"/>
      <c r="F25" s="1"/>
      <c r="G25" s="1"/>
      <c r="H25" s="1"/>
      <c r="I25" s="1"/>
      <c r="J25" s="1"/>
      <c r="K25" s="1"/>
      <c r="L25" s="1"/>
      <c r="M25" s="1"/>
      <c r="N25" s="1"/>
      <c r="O25" s="1"/>
      <c r="P25" s="1"/>
      <c r="Q25" s="1"/>
      <c r="R25" s="1"/>
      <c r="S25" s="1"/>
      <c r="T25" s="1"/>
      <c r="U25" s="1"/>
      <c r="V25" s="1"/>
      <c r="W25" s="1"/>
      <c r="X25" s="1"/>
      <c r="Y25" s="1"/>
      <c r="Z25" s="1"/>
    </row>
    <row r="26">
      <c r="A26" s="4" t="s">
        <v>397</v>
      </c>
      <c r="B26" s="1"/>
      <c r="C26" s="1"/>
      <c r="D26" s="1"/>
      <c r="E26" s="1"/>
      <c r="F26" s="1"/>
      <c r="G26" s="1"/>
      <c r="H26" s="1"/>
      <c r="I26" s="1"/>
      <c r="J26" s="1"/>
      <c r="K26" s="1"/>
      <c r="L26" s="1"/>
      <c r="M26" s="1"/>
      <c r="N26" s="1"/>
      <c r="O26" s="1"/>
      <c r="P26" s="1"/>
      <c r="Q26" s="1"/>
      <c r="R26" s="1"/>
      <c r="S26" s="1"/>
      <c r="T26" s="1"/>
      <c r="U26" s="1"/>
      <c r="V26" s="1"/>
      <c r="W26" s="1"/>
      <c r="X26" s="1"/>
      <c r="Y26" s="1"/>
      <c r="Z26" s="1"/>
    </row>
    <row r="27">
      <c r="A27" s="4" t="s">
        <v>398</v>
      </c>
      <c r="B27" s="1"/>
      <c r="C27" s="1"/>
      <c r="D27" s="1"/>
      <c r="E27" s="1"/>
      <c r="F27" s="1"/>
      <c r="G27" s="1"/>
      <c r="H27" s="1"/>
      <c r="I27" s="1"/>
      <c r="J27" s="1"/>
      <c r="K27" s="1"/>
      <c r="L27" s="1"/>
      <c r="M27" s="1"/>
      <c r="N27" s="1"/>
      <c r="O27" s="1"/>
      <c r="P27" s="1"/>
      <c r="Q27" s="1"/>
      <c r="R27" s="1"/>
      <c r="S27" s="1"/>
      <c r="T27" s="1"/>
      <c r="U27" s="1"/>
      <c r="V27" s="1"/>
      <c r="W27" s="1"/>
      <c r="X27" s="1"/>
      <c r="Y27" s="1"/>
      <c r="Z27" s="1"/>
    </row>
    <row r="28">
      <c r="A28" s="4" t="s">
        <v>399</v>
      </c>
      <c r="B28" s="1"/>
      <c r="C28" s="1"/>
      <c r="D28" s="1"/>
      <c r="E28" s="1"/>
      <c r="F28" s="1"/>
      <c r="G28" s="1"/>
      <c r="H28" s="1"/>
      <c r="I28" s="1"/>
      <c r="J28" s="1"/>
      <c r="K28" s="1"/>
      <c r="L28" s="1"/>
      <c r="M28" s="1"/>
      <c r="N28" s="1"/>
      <c r="O28" s="1"/>
      <c r="P28" s="1"/>
      <c r="Q28" s="1"/>
      <c r="R28" s="1"/>
      <c r="S28" s="1"/>
      <c r="T28" s="1"/>
      <c r="U28" s="1"/>
      <c r="V28" s="1"/>
      <c r="W28" s="1"/>
      <c r="X28" s="1"/>
      <c r="Y28" s="1"/>
      <c r="Z28" s="1"/>
    </row>
    <row r="29">
      <c r="A29" s="4" t="s">
        <v>400</v>
      </c>
      <c r="B29" s="4" t="s">
        <v>365</v>
      </c>
      <c r="C29" s="1"/>
      <c r="D29" s="1"/>
      <c r="E29" s="1"/>
      <c r="F29" s="1"/>
      <c r="G29" s="1"/>
      <c r="H29" s="1"/>
      <c r="I29" s="1"/>
      <c r="J29" s="1"/>
      <c r="K29" s="1"/>
      <c r="L29" s="1"/>
      <c r="M29" s="1"/>
      <c r="N29" s="1"/>
      <c r="O29" s="1"/>
      <c r="P29" s="1"/>
      <c r="Q29" s="1"/>
      <c r="R29" s="1"/>
      <c r="S29" s="1"/>
      <c r="T29" s="1"/>
      <c r="U29" s="1"/>
      <c r="V29" s="1"/>
      <c r="W29" s="1"/>
      <c r="X29" s="1"/>
      <c r="Y29" s="1"/>
      <c r="Z29" s="1"/>
    </row>
    <row r="30">
      <c r="A30" s="4" t="s">
        <v>401</v>
      </c>
      <c r="B30" s="4" t="s">
        <v>365</v>
      </c>
      <c r="C30" s="1"/>
      <c r="D30" s="1"/>
      <c r="E30" s="1"/>
      <c r="F30" s="1"/>
      <c r="G30" s="1"/>
      <c r="H30" s="1"/>
      <c r="I30" s="1"/>
      <c r="J30" s="1"/>
      <c r="K30" s="1"/>
      <c r="L30" s="1"/>
      <c r="M30" s="1"/>
      <c r="N30" s="1"/>
      <c r="O30" s="1"/>
      <c r="P30" s="1"/>
      <c r="Q30" s="1"/>
      <c r="R30" s="1"/>
      <c r="S30" s="1"/>
      <c r="T30" s="1"/>
      <c r="U30" s="1"/>
      <c r="V30" s="1"/>
      <c r="W30" s="1"/>
      <c r="X30" s="1"/>
      <c r="Y30" s="1"/>
      <c r="Z30" s="1"/>
    </row>
    <row r="31">
      <c r="A31" s="4" t="s">
        <v>402</v>
      </c>
      <c r="B31" s="4" t="s">
        <v>365</v>
      </c>
      <c r="C31" s="1"/>
      <c r="D31" s="1"/>
      <c r="E31" s="1"/>
      <c r="F31" s="1"/>
      <c r="G31" s="1"/>
      <c r="H31" s="1"/>
      <c r="I31" s="1"/>
      <c r="J31" s="1"/>
      <c r="K31" s="1"/>
      <c r="L31" s="1"/>
      <c r="M31" s="1"/>
      <c r="N31" s="1"/>
      <c r="O31" s="1"/>
      <c r="P31" s="1"/>
      <c r="Q31" s="1"/>
      <c r="R31" s="1"/>
      <c r="S31" s="1"/>
      <c r="T31" s="1"/>
      <c r="U31" s="1"/>
      <c r="V31" s="1"/>
      <c r="W31" s="1"/>
      <c r="X31" s="1"/>
      <c r="Y31" s="1"/>
      <c r="Z31" s="1"/>
    </row>
    <row r="32">
      <c r="A32" s="4" t="s">
        <v>403</v>
      </c>
      <c r="B32" s="4" t="s">
        <v>365</v>
      </c>
      <c r="C32" s="4" t="s">
        <v>404</v>
      </c>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4" t="s">
        <v>405</v>
      </c>
      <c r="B35" s="1"/>
      <c r="C35" s="1"/>
      <c r="D35" s="1"/>
      <c r="E35" s="1"/>
      <c r="F35" s="1"/>
      <c r="G35" s="1"/>
      <c r="H35" s="1"/>
      <c r="I35" s="1"/>
      <c r="J35" s="1"/>
      <c r="K35" s="1"/>
      <c r="L35" s="1"/>
      <c r="M35" s="1"/>
      <c r="N35" s="1"/>
      <c r="O35" s="1"/>
      <c r="P35" s="1"/>
      <c r="Q35" s="1"/>
      <c r="R35" s="1"/>
      <c r="S35" s="1"/>
      <c r="T35" s="1"/>
      <c r="U35" s="1"/>
      <c r="V35" s="1"/>
      <c r="W35" s="1"/>
      <c r="X35" s="1"/>
      <c r="Y35" s="1"/>
      <c r="Z35" s="1"/>
    </row>
    <row r="36">
      <c r="A36" s="4" t="s">
        <v>406</v>
      </c>
      <c r="B36" s="1"/>
      <c r="C36" s="1"/>
      <c r="D36" s="1"/>
      <c r="E36" s="1"/>
      <c r="F36" s="1"/>
      <c r="G36" s="1"/>
      <c r="H36" s="1"/>
      <c r="I36" s="1"/>
      <c r="J36" s="1"/>
      <c r="K36" s="1"/>
      <c r="L36" s="1"/>
      <c r="M36" s="1"/>
      <c r="N36" s="1"/>
      <c r="O36" s="1"/>
      <c r="P36" s="1"/>
      <c r="Q36" s="1"/>
      <c r="R36" s="1"/>
      <c r="S36" s="1"/>
      <c r="T36" s="1"/>
      <c r="U36" s="1"/>
      <c r="V36" s="1"/>
      <c r="W36" s="1"/>
      <c r="X36" s="1"/>
      <c r="Y36" s="1"/>
      <c r="Z36" s="1"/>
    </row>
    <row r="37">
      <c r="A37" s="4" t="s">
        <v>407</v>
      </c>
      <c r="B37" s="1"/>
      <c r="C37" s="1"/>
      <c r="D37" s="1"/>
      <c r="E37" s="1"/>
      <c r="F37" s="1"/>
      <c r="G37" s="1"/>
      <c r="H37" s="1"/>
      <c r="I37" s="1"/>
      <c r="J37" s="1"/>
      <c r="K37" s="1"/>
      <c r="L37" s="1"/>
      <c r="M37" s="1"/>
      <c r="N37" s="1"/>
      <c r="O37" s="1"/>
      <c r="P37" s="1"/>
      <c r="Q37" s="1"/>
      <c r="R37" s="1"/>
      <c r="S37" s="1"/>
      <c r="T37" s="1"/>
      <c r="U37" s="1"/>
      <c r="V37" s="1"/>
      <c r="W37" s="1"/>
      <c r="X37" s="1"/>
      <c r="Y37" s="1"/>
      <c r="Z37" s="1"/>
    </row>
    <row r="38">
      <c r="A38" s="4" t="s">
        <v>408</v>
      </c>
      <c r="B38" s="1"/>
      <c r="C38" s="1"/>
      <c r="D38" s="1"/>
      <c r="E38" s="1"/>
      <c r="F38" s="1"/>
      <c r="G38" s="1"/>
      <c r="H38" s="1"/>
      <c r="I38" s="1"/>
      <c r="J38" s="1"/>
      <c r="K38" s="1"/>
      <c r="L38" s="1"/>
      <c r="M38" s="1"/>
      <c r="N38" s="1"/>
      <c r="O38" s="1"/>
      <c r="P38" s="1"/>
      <c r="Q38" s="1"/>
      <c r="R38" s="1"/>
      <c r="S38" s="1"/>
      <c r="T38" s="1"/>
      <c r="U38" s="1"/>
      <c r="V38" s="1"/>
      <c r="W38" s="1"/>
      <c r="X38" s="1"/>
      <c r="Y38" s="1"/>
      <c r="Z38" s="1"/>
    </row>
    <row r="39">
      <c r="A39" s="4" t="s">
        <v>409</v>
      </c>
      <c r="B39" s="1"/>
      <c r="C39" s="1"/>
      <c r="D39" s="1"/>
      <c r="E39" s="1"/>
      <c r="F39" s="1"/>
      <c r="G39" s="1"/>
      <c r="H39" s="1"/>
      <c r="I39" s="1"/>
      <c r="J39" s="1"/>
      <c r="K39" s="1"/>
      <c r="L39" s="1"/>
      <c r="M39" s="1"/>
      <c r="N39" s="1"/>
      <c r="O39" s="1"/>
      <c r="P39" s="1"/>
      <c r="Q39" s="1"/>
      <c r="R39" s="1"/>
      <c r="S39" s="1"/>
      <c r="T39" s="1"/>
      <c r="U39" s="1"/>
      <c r="V39" s="1"/>
      <c r="W39" s="1"/>
      <c r="X39" s="1"/>
      <c r="Y39" s="1"/>
      <c r="Z39" s="1"/>
    </row>
    <row r="40">
      <c r="A40" s="4" t="s">
        <v>410</v>
      </c>
      <c r="B40" s="1"/>
      <c r="C40" s="1"/>
      <c r="D40" s="1"/>
      <c r="E40" s="1"/>
      <c r="F40" s="1"/>
      <c r="G40" s="1"/>
      <c r="H40" s="1"/>
      <c r="I40" s="1"/>
      <c r="J40" s="1"/>
      <c r="K40" s="1"/>
      <c r="L40" s="1"/>
      <c r="M40" s="1"/>
      <c r="N40" s="1"/>
      <c r="O40" s="1"/>
      <c r="P40" s="1"/>
      <c r="Q40" s="1"/>
      <c r="R40" s="1"/>
      <c r="S40" s="1"/>
      <c r="T40" s="1"/>
      <c r="U40" s="1"/>
      <c r="V40" s="1"/>
      <c r="W40" s="1"/>
      <c r="X40" s="1"/>
      <c r="Y40" s="1"/>
      <c r="Z40" s="1"/>
    </row>
    <row r="41">
      <c r="A41" s="4" t="s">
        <v>300</v>
      </c>
      <c r="B41" s="1"/>
      <c r="C41" s="1"/>
      <c r="D41" s="1"/>
      <c r="E41" s="1"/>
      <c r="F41" s="1"/>
      <c r="G41" s="1"/>
      <c r="H41" s="1"/>
      <c r="I41" s="1"/>
      <c r="J41" s="1"/>
      <c r="K41" s="1"/>
      <c r="L41" s="1"/>
      <c r="M41" s="1"/>
      <c r="N41" s="1"/>
      <c r="O41" s="1"/>
      <c r="P41" s="1"/>
      <c r="Q41" s="1"/>
      <c r="R41" s="1"/>
      <c r="S41" s="1"/>
      <c r="T41" s="1"/>
      <c r="U41" s="1"/>
      <c r="V41" s="1"/>
      <c r="W41" s="1"/>
      <c r="X41" s="1"/>
      <c r="Y41" s="1"/>
      <c r="Z41" s="1"/>
    </row>
    <row r="42">
      <c r="A42" s="4" t="s">
        <v>234</v>
      </c>
      <c r="B42" s="4" t="s">
        <v>365</v>
      </c>
      <c r="C42" s="1"/>
      <c r="D42" s="1"/>
      <c r="E42" s="1"/>
      <c r="F42" s="1"/>
      <c r="G42" s="1"/>
      <c r="H42" s="1"/>
      <c r="I42" s="1"/>
      <c r="J42" s="1"/>
      <c r="K42" s="1"/>
      <c r="L42" s="1"/>
      <c r="M42" s="1"/>
      <c r="N42" s="1"/>
      <c r="O42" s="1"/>
      <c r="P42" s="1"/>
      <c r="Q42" s="1"/>
      <c r="R42" s="1"/>
      <c r="S42" s="1"/>
      <c r="T42" s="1"/>
      <c r="U42" s="1"/>
      <c r="V42" s="1"/>
      <c r="W42" s="1"/>
      <c r="X42" s="1"/>
      <c r="Y42" s="1"/>
      <c r="Z42" s="1"/>
    </row>
    <row r="43">
      <c r="A43" s="4" t="s">
        <v>115</v>
      </c>
      <c r="B43" s="1"/>
      <c r="C43" s="1"/>
      <c r="D43" s="1"/>
      <c r="E43" s="1"/>
      <c r="F43" s="1"/>
      <c r="G43" s="1"/>
      <c r="H43" s="1"/>
      <c r="I43" s="1"/>
      <c r="J43" s="1"/>
      <c r="K43" s="1"/>
      <c r="L43" s="1"/>
      <c r="M43" s="1"/>
      <c r="N43" s="1"/>
      <c r="O43" s="1"/>
      <c r="P43" s="1"/>
      <c r="Q43" s="1"/>
      <c r="R43" s="1"/>
      <c r="S43" s="1"/>
      <c r="T43" s="1"/>
      <c r="U43" s="1"/>
      <c r="V43" s="1"/>
      <c r="W43" s="1"/>
      <c r="X43" s="1"/>
      <c r="Y43" s="1"/>
      <c r="Z43" s="1"/>
    </row>
    <row r="44">
      <c r="A44" s="4" t="s">
        <v>229</v>
      </c>
      <c r="B44" s="4" t="s">
        <v>365</v>
      </c>
      <c r="C44" s="1"/>
      <c r="D44" s="1"/>
      <c r="E44" s="1"/>
      <c r="F44" s="1"/>
      <c r="G44" s="1"/>
      <c r="H44" s="1"/>
      <c r="I44" s="1"/>
      <c r="J44" s="1"/>
      <c r="K44" s="1"/>
      <c r="L44" s="1"/>
      <c r="M44" s="1"/>
      <c r="N44" s="1"/>
      <c r="O44" s="1"/>
      <c r="P44" s="1"/>
      <c r="Q44" s="1"/>
      <c r="R44" s="1"/>
      <c r="S44" s="1"/>
      <c r="T44" s="1"/>
      <c r="U44" s="1"/>
      <c r="V44" s="1"/>
      <c r="W44" s="1"/>
      <c r="X44" s="1"/>
      <c r="Y44" s="1"/>
      <c r="Z44" s="1"/>
    </row>
    <row r="45">
      <c r="A45" s="4" t="s">
        <v>298</v>
      </c>
      <c r="B45" s="4" t="s">
        <v>365</v>
      </c>
      <c r="C45" s="1"/>
      <c r="D45" s="1"/>
      <c r="E45" s="1"/>
      <c r="F45" s="1"/>
      <c r="G45" s="1"/>
      <c r="H45" s="1"/>
      <c r="I45" s="1"/>
      <c r="J45" s="1"/>
      <c r="K45" s="1"/>
      <c r="L45" s="1"/>
      <c r="M45" s="1"/>
      <c r="N45" s="1"/>
      <c r="O45" s="1"/>
      <c r="P45" s="1"/>
      <c r="Q45" s="1"/>
      <c r="R45" s="1"/>
      <c r="S45" s="1"/>
      <c r="T45" s="1"/>
      <c r="U45" s="1"/>
      <c r="V45" s="1"/>
      <c r="W45" s="1"/>
      <c r="X45" s="1"/>
      <c r="Y45" s="1"/>
      <c r="Z45" s="1"/>
    </row>
    <row r="46">
      <c r="A46" s="4" t="s">
        <v>260</v>
      </c>
      <c r="B46" s="4" t="s">
        <v>411</v>
      </c>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t="s">
        <v>325</v>
      </c>
      <c r="B48" s="1"/>
      <c r="C48" s="1"/>
      <c r="D48" s="1"/>
      <c r="E48" s="1"/>
      <c r="F48" s="1"/>
      <c r="G48" s="1"/>
      <c r="H48" s="1"/>
      <c r="I48" s="1"/>
      <c r="J48" s="1"/>
      <c r="K48" s="1"/>
      <c r="L48" s="1"/>
      <c r="M48" s="1"/>
      <c r="N48" s="1"/>
      <c r="O48" s="1"/>
      <c r="P48" s="1"/>
      <c r="Q48" s="1"/>
      <c r="R48" s="1"/>
      <c r="S48" s="1"/>
      <c r="T48" s="1"/>
      <c r="U48" s="1"/>
      <c r="V48" s="1"/>
      <c r="W48" s="1"/>
      <c r="X48" s="1"/>
      <c r="Y48" s="1"/>
      <c r="Z48" s="1"/>
    </row>
    <row r="49">
      <c r="A49" s="1" t="s">
        <v>412</v>
      </c>
      <c r="B49" s="1"/>
      <c r="C49" s="1"/>
      <c r="D49" s="1"/>
      <c r="E49" s="1"/>
      <c r="F49" s="1"/>
      <c r="G49" s="1"/>
      <c r="H49" s="1"/>
      <c r="I49" s="1"/>
      <c r="J49" s="1"/>
      <c r="K49" s="1"/>
      <c r="L49" s="1"/>
      <c r="M49" s="1"/>
      <c r="N49" s="1"/>
      <c r="O49" s="1"/>
      <c r="P49" s="1"/>
      <c r="Q49" s="1"/>
      <c r="R49" s="1"/>
      <c r="S49" s="1"/>
      <c r="T49" s="1"/>
      <c r="U49" s="1"/>
      <c r="V49" s="1"/>
      <c r="W49" s="1"/>
      <c r="X49" s="1"/>
      <c r="Y49" s="1"/>
      <c r="Z49" s="1"/>
    </row>
    <row r="50">
      <c r="A50" s="1" t="s">
        <v>413</v>
      </c>
      <c r="B50" s="1"/>
      <c r="C50" s="1"/>
      <c r="D50" s="1"/>
      <c r="E50" s="1"/>
      <c r="F50" s="1"/>
      <c r="G50" s="1"/>
      <c r="H50" s="1"/>
      <c r="I50" s="1"/>
      <c r="J50" s="1"/>
      <c r="K50" s="1"/>
      <c r="L50" s="1"/>
      <c r="M50" s="1"/>
      <c r="N50" s="1"/>
      <c r="O50" s="1"/>
      <c r="P50" s="1"/>
      <c r="Q50" s="1"/>
      <c r="R50" s="1"/>
      <c r="S50" s="1"/>
      <c r="T50" s="1"/>
      <c r="U50" s="1"/>
      <c r="V50" s="1"/>
      <c r="W50" s="1"/>
      <c r="X50" s="1"/>
      <c r="Y50" s="1"/>
      <c r="Z50" s="1"/>
    </row>
    <row r="51">
      <c r="A51" s="1" t="s">
        <v>414</v>
      </c>
      <c r="B51" s="1"/>
      <c r="C51" s="1"/>
      <c r="D51" s="1"/>
      <c r="E51" s="1"/>
      <c r="F51" s="1"/>
      <c r="G51" s="1"/>
      <c r="H51" s="1"/>
      <c r="I51" s="1"/>
      <c r="J51" s="1"/>
      <c r="K51" s="1"/>
      <c r="L51" s="1"/>
      <c r="M51" s="1"/>
      <c r="N51" s="1"/>
      <c r="O51" s="1"/>
      <c r="P51" s="1"/>
      <c r="Q51" s="1"/>
      <c r="R51" s="1"/>
      <c r="S51" s="1"/>
      <c r="T51" s="1"/>
      <c r="U51" s="1"/>
      <c r="V51" s="1"/>
      <c r="W51" s="1"/>
      <c r="X51" s="1"/>
      <c r="Y51" s="1"/>
      <c r="Z51" s="1"/>
    </row>
    <row r="52">
      <c r="A52" s="1" t="s">
        <v>415</v>
      </c>
      <c r="B52" s="1"/>
      <c r="C52" s="1"/>
      <c r="D52" s="1"/>
      <c r="E52" s="1"/>
      <c r="F52" s="1"/>
      <c r="G52" s="1"/>
      <c r="H52" s="1"/>
      <c r="I52" s="1"/>
      <c r="J52" s="1"/>
      <c r="K52" s="1"/>
      <c r="L52" s="1"/>
      <c r="M52" s="1"/>
      <c r="N52" s="1"/>
      <c r="O52" s="1"/>
      <c r="P52" s="1"/>
      <c r="Q52" s="1"/>
      <c r="R52" s="1"/>
      <c r="S52" s="1"/>
      <c r="T52" s="1"/>
      <c r="U52" s="1"/>
      <c r="V52" s="1"/>
      <c r="W52" s="1"/>
      <c r="X52" s="1"/>
      <c r="Y52" s="1"/>
      <c r="Z52" s="1"/>
    </row>
    <row r="53">
      <c r="A53" s="1" t="s">
        <v>416</v>
      </c>
      <c r="B53" s="1"/>
      <c r="C53" s="1"/>
      <c r="D53" s="1"/>
      <c r="E53" s="1"/>
      <c r="F53" s="1"/>
      <c r="G53" s="1"/>
      <c r="H53" s="1"/>
      <c r="I53" s="1"/>
      <c r="J53" s="1"/>
      <c r="K53" s="1"/>
      <c r="L53" s="1"/>
      <c r="M53" s="1"/>
      <c r="N53" s="1"/>
      <c r="O53" s="1"/>
      <c r="P53" s="1"/>
      <c r="Q53" s="1"/>
      <c r="R53" s="1"/>
      <c r="S53" s="1"/>
      <c r="T53" s="1"/>
      <c r="U53" s="1"/>
      <c r="V53" s="1"/>
      <c r="W53" s="1"/>
      <c r="X53" s="1"/>
      <c r="Y53" s="1"/>
      <c r="Z53" s="1"/>
    </row>
    <row r="54">
      <c r="A54" s="1" t="s">
        <v>417</v>
      </c>
      <c r="B54" s="1"/>
      <c r="C54" s="1"/>
      <c r="D54" s="1"/>
      <c r="E54" s="1"/>
      <c r="F54" s="1"/>
      <c r="G54" s="1"/>
      <c r="H54" s="1"/>
      <c r="I54" s="1"/>
      <c r="J54" s="1"/>
      <c r="K54" s="1"/>
      <c r="L54" s="1"/>
      <c r="M54" s="1"/>
      <c r="N54" s="1"/>
      <c r="O54" s="1"/>
      <c r="P54" s="1"/>
      <c r="Q54" s="1"/>
      <c r="R54" s="1"/>
      <c r="S54" s="1"/>
      <c r="T54" s="1"/>
      <c r="U54" s="1"/>
      <c r="V54" s="1"/>
      <c r="W54" s="1"/>
      <c r="X54" s="1"/>
      <c r="Y54" s="1"/>
      <c r="Z54" s="1"/>
    </row>
    <row r="55">
      <c r="A55" s="1" t="s">
        <v>418</v>
      </c>
      <c r="B55" s="1"/>
      <c r="C55" s="1"/>
      <c r="D55" s="1"/>
      <c r="E55" s="1"/>
      <c r="F55" s="1"/>
      <c r="G55" s="1"/>
      <c r="H55" s="1"/>
      <c r="I55" s="1"/>
      <c r="J55" s="1"/>
      <c r="K55" s="1"/>
      <c r="L55" s="1"/>
      <c r="M55" s="1"/>
      <c r="N55" s="1"/>
      <c r="O55" s="1"/>
      <c r="P55" s="1"/>
      <c r="Q55" s="1"/>
      <c r="R55" s="1"/>
      <c r="S55" s="1"/>
      <c r="T55" s="1"/>
      <c r="U55" s="1"/>
      <c r="V55" s="1"/>
      <c r="W55" s="1"/>
      <c r="X55" s="1"/>
      <c r="Y55" s="1"/>
      <c r="Z55" s="1"/>
    </row>
    <row r="56">
      <c r="A56" s="1" t="s">
        <v>419</v>
      </c>
      <c r="B56" s="1"/>
      <c r="C56" s="1"/>
      <c r="D56" s="1"/>
      <c r="E56" s="1"/>
      <c r="F56" s="1"/>
      <c r="G56" s="1"/>
      <c r="H56" s="1"/>
      <c r="I56" s="1"/>
      <c r="J56" s="1"/>
      <c r="K56" s="1"/>
      <c r="L56" s="1"/>
      <c r="M56" s="1"/>
      <c r="N56" s="1"/>
      <c r="O56" s="1"/>
      <c r="P56" s="1"/>
      <c r="Q56" s="1"/>
      <c r="R56" s="1"/>
      <c r="S56" s="1"/>
      <c r="T56" s="1"/>
      <c r="U56" s="1"/>
      <c r="V56" s="1"/>
      <c r="W56" s="1"/>
      <c r="X56" s="1"/>
      <c r="Y56" s="1"/>
      <c r="Z56" s="1"/>
    </row>
    <row r="57">
      <c r="A57" s="1" t="s">
        <v>420</v>
      </c>
      <c r="B57" s="1"/>
      <c r="C57" s="1"/>
      <c r="D57" s="1"/>
      <c r="E57" s="1"/>
      <c r="F57" s="1"/>
      <c r="G57" s="1"/>
      <c r="H57" s="1"/>
      <c r="I57" s="1"/>
      <c r="J57" s="1"/>
      <c r="K57" s="1"/>
      <c r="L57" s="1"/>
      <c r="M57" s="1"/>
      <c r="N57" s="1"/>
      <c r="O57" s="1"/>
      <c r="P57" s="1"/>
      <c r="Q57" s="1"/>
      <c r="R57" s="1"/>
      <c r="S57" s="1"/>
      <c r="T57" s="1"/>
      <c r="U57" s="1"/>
      <c r="V57" s="1"/>
      <c r="W57" s="1"/>
      <c r="X57" s="1"/>
      <c r="Y57" s="1"/>
      <c r="Z57" s="1"/>
    </row>
    <row r="58">
      <c r="A58" s="1" t="s">
        <v>421</v>
      </c>
      <c r="B58" s="1"/>
      <c r="C58" s="1"/>
      <c r="D58" s="1"/>
      <c r="E58" s="1"/>
      <c r="F58" s="1"/>
      <c r="G58" s="1"/>
      <c r="H58" s="1"/>
      <c r="I58" s="1"/>
      <c r="J58" s="1"/>
      <c r="K58" s="1"/>
      <c r="L58" s="1"/>
      <c r="M58" s="1"/>
      <c r="N58" s="1"/>
      <c r="O58" s="1"/>
      <c r="P58" s="1"/>
      <c r="Q58" s="1"/>
      <c r="R58" s="1"/>
      <c r="S58" s="1"/>
      <c r="T58" s="1"/>
      <c r="U58" s="1"/>
      <c r="V58" s="1"/>
      <c r="W58" s="1"/>
      <c r="X58" s="1"/>
      <c r="Y58" s="1"/>
      <c r="Z58" s="1"/>
    </row>
    <row r="59">
      <c r="A59" s="1" t="s">
        <v>422</v>
      </c>
      <c r="B59" s="1"/>
      <c r="C59" s="1"/>
      <c r="D59" s="1"/>
      <c r="E59" s="1"/>
      <c r="F59" s="1"/>
      <c r="G59" s="1"/>
      <c r="H59" s="1"/>
      <c r="I59" s="1"/>
      <c r="J59" s="1"/>
      <c r="K59" s="1"/>
      <c r="L59" s="1"/>
      <c r="M59" s="1"/>
      <c r="N59" s="1"/>
      <c r="O59" s="1"/>
      <c r="P59" s="1"/>
      <c r="Q59" s="1"/>
      <c r="R59" s="1"/>
      <c r="S59" s="1"/>
      <c r="T59" s="1"/>
      <c r="U59" s="1"/>
      <c r="V59" s="1"/>
      <c r="W59" s="1"/>
      <c r="X59" s="1"/>
      <c r="Y59" s="1"/>
      <c r="Z59" s="1"/>
    </row>
    <row r="60">
      <c r="A60" s="1" t="s">
        <v>423</v>
      </c>
      <c r="B60" s="1"/>
      <c r="C60" s="1"/>
      <c r="D60" s="1"/>
      <c r="E60" s="1"/>
      <c r="F60" s="1"/>
      <c r="G60" s="1"/>
      <c r="H60" s="1"/>
      <c r="I60" s="1"/>
      <c r="J60" s="1"/>
      <c r="K60" s="1"/>
      <c r="L60" s="1"/>
      <c r="M60" s="1"/>
      <c r="N60" s="1"/>
      <c r="O60" s="1"/>
      <c r="P60" s="1"/>
      <c r="Q60" s="1"/>
      <c r="R60" s="1"/>
      <c r="S60" s="1"/>
      <c r="T60" s="1"/>
      <c r="U60" s="1"/>
      <c r="V60" s="1"/>
      <c r="W60" s="1"/>
      <c r="X60" s="1"/>
      <c r="Y60" s="1"/>
      <c r="Z60" s="1"/>
    </row>
    <row r="61">
      <c r="A61" s="1" t="s">
        <v>424</v>
      </c>
      <c r="B61" s="1"/>
      <c r="C61" s="1"/>
      <c r="D61" s="1"/>
      <c r="E61" s="1"/>
      <c r="F61" s="1"/>
      <c r="G61" s="1"/>
      <c r="H61" s="1"/>
      <c r="I61" s="1"/>
      <c r="J61" s="1"/>
      <c r="K61" s="1"/>
      <c r="L61" s="1"/>
      <c r="M61" s="1"/>
      <c r="N61" s="1"/>
      <c r="O61" s="1"/>
      <c r="P61" s="1"/>
      <c r="Q61" s="1"/>
      <c r="R61" s="1"/>
      <c r="S61" s="1"/>
      <c r="T61" s="1"/>
      <c r="U61" s="1"/>
      <c r="V61" s="1"/>
      <c r="W61" s="1"/>
      <c r="X61" s="1"/>
      <c r="Y61" s="1"/>
      <c r="Z61" s="1"/>
    </row>
    <row r="62">
      <c r="A62" s="1" t="s">
        <v>425</v>
      </c>
      <c r="B62" s="1"/>
      <c r="C62" s="1"/>
      <c r="D62" s="1"/>
      <c r="E62" s="1"/>
      <c r="F62" s="1"/>
      <c r="G62" s="1"/>
      <c r="H62" s="1"/>
      <c r="I62" s="1"/>
      <c r="J62" s="1"/>
      <c r="K62" s="1"/>
      <c r="L62" s="1"/>
      <c r="M62" s="1"/>
      <c r="N62" s="1"/>
      <c r="O62" s="1"/>
      <c r="P62" s="1"/>
      <c r="Q62" s="1"/>
      <c r="R62" s="1"/>
      <c r="S62" s="1"/>
      <c r="T62" s="1"/>
      <c r="U62" s="1"/>
      <c r="V62" s="1"/>
      <c r="W62" s="1"/>
      <c r="X62" s="1"/>
      <c r="Y62" s="1"/>
      <c r="Z62" s="1"/>
    </row>
    <row r="63">
      <c r="A63" s="1" t="s">
        <v>426</v>
      </c>
      <c r="B63" s="1"/>
      <c r="C63" s="1"/>
      <c r="D63" s="1"/>
      <c r="E63" s="1"/>
      <c r="F63" s="1"/>
      <c r="G63" s="1"/>
      <c r="H63" s="1"/>
      <c r="I63" s="1"/>
      <c r="J63" s="1"/>
      <c r="K63" s="1"/>
      <c r="L63" s="1"/>
      <c r="M63" s="1"/>
      <c r="N63" s="1"/>
      <c r="O63" s="1"/>
      <c r="P63" s="1"/>
      <c r="Q63" s="1"/>
      <c r="R63" s="1"/>
      <c r="S63" s="1"/>
      <c r="T63" s="1"/>
      <c r="U63" s="1"/>
      <c r="V63" s="1"/>
      <c r="W63" s="1"/>
      <c r="X63" s="1"/>
      <c r="Y63" s="1"/>
      <c r="Z63" s="1"/>
    </row>
    <row r="64">
      <c r="A64" s="1" t="s">
        <v>427</v>
      </c>
      <c r="B64" s="1"/>
      <c r="C64" s="1"/>
      <c r="D64" s="1"/>
      <c r="E64" s="1"/>
      <c r="F64" s="1"/>
      <c r="G64" s="1"/>
      <c r="H64" s="1"/>
      <c r="I64" s="1"/>
      <c r="J64" s="1"/>
      <c r="K64" s="1"/>
      <c r="L64" s="1"/>
      <c r="M64" s="1"/>
      <c r="N64" s="1"/>
      <c r="O64" s="1"/>
      <c r="P64" s="1"/>
      <c r="Q64" s="1"/>
      <c r="R64" s="1"/>
      <c r="S64" s="1"/>
      <c r="T64" s="1"/>
      <c r="U64" s="1"/>
      <c r="V64" s="1"/>
      <c r="W64" s="1"/>
      <c r="X64" s="1"/>
      <c r="Y64" s="1"/>
      <c r="Z64" s="1"/>
    </row>
    <row r="65">
      <c r="A65" s="1" t="s">
        <v>428</v>
      </c>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4"/>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75"/>
    <col customWidth="1" min="2" max="3" width="11.13"/>
    <col customWidth="1" min="4" max="4" width="64.88"/>
    <col customWidth="1" min="5" max="5" width="19.5"/>
    <col customWidth="1" min="6" max="6" width="10.38"/>
    <col customWidth="1" min="7" max="9" width="13.38"/>
    <col customWidth="1" min="10" max="10" width="10.75"/>
    <col customWidth="1" min="11" max="12" width="13.38"/>
  </cols>
  <sheetData>
    <row r="1">
      <c r="A1" s="30"/>
      <c r="B1" s="44"/>
      <c r="C1" s="44"/>
      <c r="D1" s="44"/>
      <c r="E1" s="45"/>
      <c r="F1" s="45">
        <f>SUBTOTAL(9,F3:F1014)</f>
        <v>1821</v>
      </c>
      <c r="G1" s="44"/>
      <c r="H1" s="42">
        <f>SUBTOTAL(9,H3:H1014)</f>
        <v>30043296</v>
      </c>
      <c r="I1" s="46">
        <v>2.0</v>
      </c>
      <c r="J1" s="47"/>
      <c r="K1" s="42">
        <f>SUBTOTAL(9,K3:K1014)</f>
        <v>60266000</v>
      </c>
      <c r="L1" s="44"/>
    </row>
    <row r="2">
      <c r="A2" s="48"/>
      <c r="B2" s="49"/>
      <c r="C2" s="49"/>
      <c r="D2" s="49"/>
      <c r="E2" s="50"/>
      <c r="F2" s="50"/>
      <c r="G2" s="48"/>
      <c r="H2" s="51"/>
      <c r="I2" s="48"/>
      <c r="J2" s="49"/>
      <c r="K2" s="51"/>
      <c r="L2" s="49"/>
    </row>
    <row r="3" ht="31.5" customHeight="1">
      <c r="A3" s="52" t="s">
        <v>429</v>
      </c>
      <c r="B3" s="49" t="s">
        <v>430</v>
      </c>
      <c r="C3" s="49" t="s">
        <v>431</v>
      </c>
      <c r="D3" s="49" t="s">
        <v>432</v>
      </c>
      <c r="E3" s="52" t="s">
        <v>433</v>
      </c>
      <c r="F3" s="53" t="s">
        <v>434</v>
      </c>
      <c r="G3" s="52" t="s">
        <v>435</v>
      </c>
      <c r="H3" s="51" t="s">
        <v>436</v>
      </c>
      <c r="I3" s="54" t="s">
        <v>437</v>
      </c>
      <c r="J3" s="49" t="s">
        <v>438</v>
      </c>
      <c r="K3" s="51" t="s">
        <v>439</v>
      </c>
      <c r="L3" s="49"/>
    </row>
    <row r="4">
      <c r="A4" s="55">
        <v>46186.0</v>
      </c>
      <c r="B4" s="1" t="s">
        <v>440</v>
      </c>
      <c r="C4" s="1" t="str">
        <f>VLOOKUP(B4,MAESTRA!I:K,2,0)</f>
        <v>*1143*</v>
      </c>
      <c r="D4" s="1" t="str">
        <f>VLOOKUP(B4,MAESTRA!I:K,3,0)</f>
        <v>JEANS DAMA 4 BOTONES TALLA 10</v>
      </c>
      <c r="E4" s="1" t="s">
        <v>441</v>
      </c>
      <c r="F4" s="45">
        <v>2.0</v>
      </c>
      <c r="G4" s="2">
        <v>32000.0</v>
      </c>
      <c r="H4" s="2">
        <f t="shared" ref="H4:H1014" si="1">G4*F4</f>
        <v>64000</v>
      </c>
      <c r="I4" s="2">
        <f t="shared" ref="I4:I1014" si="2">CEILING(G4*$I$1,1000)</f>
        <v>64000</v>
      </c>
      <c r="J4" s="47">
        <f t="shared" ref="J4:J1014" si="3">IFERROR((I4-G4)/G4,"")</f>
        <v>1</v>
      </c>
      <c r="K4" s="2">
        <f t="shared" ref="K4:K1014" si="4">I4*F4</f>
        <v>128000</v>
      </c>
      <c r="L4" s="1"/>
    </row>
    <row r="5">
      <c r="A5" s="55">
        <v>46186.0</v>
      </c>
      <c r="B5" s="1" t="s">
        <v>442</v>
      </c>
      <c r="C5" s="1" t="str">
        <f>VLOOKUP(B5,MAESTRA!I:K,2,0)</f>
        <v>*1142*</v>
      </c>
      <c r="D5" s="1" t="str">
        <f>VLOOKUP(B5,MAESTRA!I:K,3,0)</f>
        <v>JEANS DAMA 4 BOTONES TALLA 8</v>
      </c>
      <c r="E5" s="1" t="s">
        <v>441</v>
      </c>
      <c r="F5" s="45">
        <v>1.0</v>
      </c>
      <c r="G5" s="2">
        <v>32000.0</v>
      </c>
      <c r="H5" s="2">
        <f t="shared" si="1"/>
        <v>32000</v>
      </c>
      <c r="I5" s="2">
        <f t="shared" si="2"/>
        <v>64000</v>
      </c>
      <c r="J5" s="47">
        <f t="shared" si="3"/>
        <v>1</v>
      </c>
      <c r="K5" s="2">
        <f t="shared" si="4"/>
        <v>64000</v>
      </c>
      <c r="L5" s="1"/>
    </row>
    <row r="6">
      <c r="A6" s="55">
        <v>46186.0</v>
      </c>
      <c r="B6" s="1" t="s">
        <v>443</v>
      </c>
      <c r="C6" s="1" t="str">
        <f>VLOOKUP(B6,MAESTRA!I:K,2,0)</f>
        <v>*1152*</v>
      </c>
      <c r="D6" s="1" t="str">
        <f>VLOOKUP(B6,MAESTRA!I:K,3,0)</f>
        <v>JEANS DAMA 4 BOTONES SIN BOLSILLO TALLA 8</v>
      </c>
      <c r="E6" s="1" t="s">
        <v>441</v>
      </c>
      <c r="F6" s="45">
        <v>1.0</v>
      </c>
      <c r="G6" s="2">
        <v>32000.0</v>
      </c>
      <c r="H6" s="2">
        <f t="shared" si="1"/>
        <v>32000</v>
      </c>
      <c r="I6" s="2">
        <f t="shared" si="2"/>
        <v>64000</v>
      </c>
      <c r="J6" s="47">
        <f t="shared" si="3"/>
        <v>1</v>
      </c>
      <c r="K6" s="2">
        <f t="shared" si="4"/>
        <v>64000</v>
      </c>
      <c r="L6" s="1"/>
    </row>
    <row r="7">
      <c r="A7" s="55">
        <v>46186.0</v>
      </c>
      <c r="B7" s="1" t="s">
        <v>444</v>
      </c>
      <c r="C7" s="1" t="str">
        <f>VLOOKUP(B7,MAESTRA!I:K,2,0)</f>
        <v>*1146*</v>
      </c>
      <c r="D7" s="1" t="str">
        <f>VLOOKUP(B7,MAESTRA!I:K,3,0)</f>
        <v>JEANS DAMA 4 BOTONES TALLA 16</v>
      </c>
      <c r="E7" s="1" t="s">
        <v>441</v>
      </c>
      <c r="F7" s="45">
        <v>2.0</v>
      </c>
      <c r="G7" s="2">
        <v>32000.0</v>
      </c>
      <c r="H7" s="2">
        <f t="shared" si="1"/>
        <v>64000</v>
      </c>
      <c r="I7" s="2">
        <f t="shared" si="2"/>
        <v>64000</v>
      </c>
      <c r="J7" s="47">
        <f t="shared" si="3"/>
        <v>1</v>
      </c>
      <c r="K7" s="2">
        <f t="shared" si="4"/>
        <v>128000</v>
      </c>
      <c r="L7" s="1"/>
    </row>
    <row r="8">
      <c r="A8" s="55">
        <v>46186.0</v>
      </c>
      <c r="B8" s="1" t="s">
        <v>445</v>
      </c>
      <c r="C8" s="1" t="str">
        <f>VLOOKUP(B8,MAESTRA!I:K,2,0)</f>
        <v>*1156*</v>
      </c>
      <c r="D8" s="1" t="str">
        <f>VLOOKUP(B8,MAESTRA!I:K,3,0)</f>
        <v>JEANS DAMA 4 BOTONES SIN BOLSILLO TALLA 16</v>
      </c>
      <c r="E8" s="1" t="s">
        <v>441</v>
      </c>
      <c r="F8" s="45">
        <v>1.0</v>
      </c>
      <c r="G8" s="2">
        <v>32000.0</v>
      </c>
      <c r="H8" s="2">
        <f t="shared" si="1"/>
        <v>32000</v>
      </c>
      <c r="I8" s="2">
        <f t="shared" si="2"/>
        <v>64000</v>
      </c>
      <c r="J8" s="47">
        <f t="shared" si="3"/>
        <v>1</v>
      </c>
      <c r="K8" s="2">
        <f t="shared" si="4"/>
        <v>64000</v>
      </c>
      <c r="L8" s="1"/>
    </row>
    <row r="9">
      <c r="A9" s="55">
        <v>46186.0</v>
      </c>
      <c r="B9" s="1" t="s">
        <v>446</v>
      </c>
      <c r="C9" s="1" t="str">
        <f>VLOOKUP(B9,MAESTRA!I:K,2,0)</f>
        <v>*1114*</v>
      </c>
      <c r="D9" s="1" t="str">
        <f>VLOOKUP(B9,MAESTRA!I:K,3,0)</f>
        <v>JEANS DAMA 1 BOTON TALLA 12</v>
      </c>
      <c r="E9" s="1" t="s">
        <v>441</v>
      </c>
      <c r="F9" s="45">
        <v>1.0</v>
      </c>
      <c r="G9" s="2">
        <v>32000.0</v>
      </c>
      <c r="H9" s="2">
        <f t="shared" si="1"/>
        <v>32000</v>
      </c>
      <c r="I9" s="2">
        <f t="shared" si="2"/>
        <v>64000</v>
      </c>
      <c r="J9" s="47">
        <f t="shared" si="3"/>
        <v>1</v>
      </c>
      <c r="K9" s="2">
        <f t="shared" si="4"/>
        <v>64000</v>
      </c>
      <c r="L9" s="1"/>
    </row>
    <row r="10">
      <c r="A10" s="55">
        <v>46186.0</v>
      </c>
      <c r="B10" s="1" t="s">
        <v>447</v>
      </c>
      <c r="C10" s="1" t="str">
        <f>VLOOKUP(B10,MAESTRA!I:K,2,0)</f>
        <v>*1145*</v>
      </c>
      <c r="D10" s="1" t="str">
        <f>VLOOKUP(B10,MAESTRA!I:K,3,0)</f>
        <v>JEANS DAMA 4 BOTONES TALLA 14</v>
      </c>
      <c r="E10" s="1" t="s">
        <v>441</v>
      </c>
      <c r="F10" s="45">
        <v>1.0</v>
      </c>
      <c r="G10" s="2">
        <v>32000.0</v>
      </c>
      <c r="H10" s="2">
        <f t="shared" si="1"/>
        <v>32000</v>
      </c>
      <c r="I10" s="2">
        <f t="shared" si="2"/>
        <v>64000</v>
      </c>
      <c r="J10" s="47">
        <f t="shared" si="3"/>
        <v>1</v>
      </c>
      <c r="K10" s="2">
        <f t="shared" si="4"/>
        <v>64000</v>
      </c>
      <c r="L10" s="1"/>
    </row>
    <row r="11">
      <c r="A11" s="55">
        <v>46186.0</v>
      </c>
      <c r="B11" s="1" t="s">
        <v>448</v>
      </c>
      <c r="C11" s="1" t="str">
        <f>VLOOKUP(B11,MAESTRA!I:K,2,0)</f>
        <v>*1125*</v>
      </c>
      <c r="D11" s="1" t="str">
        <f>VLOOKUP(B11,MAESTRA!I:K,3,0)</f>
        <v>JEANS DAMA 1 BOTON BOTA RECTA TALLA 14</v>
      </c>
      <c r="E11" s="1" t="s">
        <v>441</v>
      </c>
      <c r="F11" s="45">
        <v>2.0</v>
      </c>
      <c r="G11" s="2">
        <v>38000.0</v>
      </c>
      <c r="H11" s="2">
        <f t="shared" si="1"/>
        <v>76000</v>
      </c>
      <c r="I11" s="2">
        <f t="shared" si="2"/>
        <v>76000</v>
      </c>
      <c r="J11" s="47">
        <f t="shared" si="3"/>
        <v>1</v>
      </c>
      <c r="K11" s="2">
        <f t="shared" si="4"/>
        <v>152000</v>
      </c>
      <c r="L11" s="1"/>
    </row>
    <row r="12">
      <c r="A12" s="55">
        <v>46186.0</v>
      </c>
      <c r="B12" s="1" t="s">
        <v>449</v>
      </c>
      <c r="C12" s="1" t="str">
        <f>VLOOKUP(B12,MAESTRA!I:K,2,0)</f>
        <v>*1123*</v>
      </c>
      <c r="D12" s="1" t="str">
        <f>VLOOKUP(B12,MAESTRA!I:K,3,0)</f>
        <v>JEANS DAMA 1 BOTON BOTA RECTA TALLA 10</v>
      </c>
      <c r="E12" s="1" t="s">
        <v>441</v>
      </c>
      <c r="F12" s="45">
        <v>1.0</v>
      </c>
      <c r="G12" s="2">
        <v>38000.0</v>
      </c>
      <c r="H12" s="2">
        <f t="shared" si="1"/>
        <v>38000</v>
      </c>
      <c r="I12" s="2">
        <f t="shared" si="2"/>
        <v>76000</v>
      </c>
      <c r="J12" s="47">
        <f t="shared" si="3"/>
        <v>1</v>
      </c>
      <c r="K12" s="2">
        <f t="shared" si="4"/>
        <v>76000</v>
      </c>
      <c r="L12" s="1"/>
    </row>
    <row r="13">
      <c r="A13" s="55">
        <v>46186.0</v>
      </c>
      <c r="B13" s="1" t="s">
        <v>450</v>
      </c>
      <c r="C13" s="1" t="str">
        <f>VLOOKUP(B13,MAESTRA!I:K,2,0)</f>
        <v>*1122*</v>
      </c>
      <c r="D13" s="1" t="str">
        <f>VLOOKUP(B13,MAESTRA!I:K,3,0)</f>
        <v>JEANS DAMA 1 BOTON BOTA RECTA TALLA 8</v>
      </c>
      <c r="E13" s="1" t="s">
        <v>441</v>
      </c>
      <c r="F13" s="45">
        <v>1.0</v>
      </c>
      <c r="G13" s="2">
        <v>38000.0</v>
      </c>
      <c r="H13" s="2">
        <f t="shared" si="1"/>
        <v>38000</v>
      </c>
      <c r="I13" s="2">
        <f t="shared" si="2"/>
        <v>76000</v>
      </c>
      <c r="J13" s="47">
        <f t="shared" si="3"/>
        <v>1</v>
      </c>
      <c r="K13" s="2">
        <f t="shared" si="4"/>
        <v>76000</v>
      </c>
      <c r="L13" s="1"/>
    </row>
    <row r="14">
      <c r="A14" s="55">
        <v>46186.0</v>
      </c>
      <c r="B14" s="1" t="s">
        <v>448</v>
      </c>
      <c r="C14" s="1" t="str">
        <f>VLOOKUP(B14,MAESTRA!I:K,2,0)</f>
        <v>*1125*</v>
      </c>
      <c r="D14" s="1" t="str">
        <f>VLOOKUP(B14,MAESTRA!I:K,3,0)</f>
        <v>JEANS DAMA 1 BOTON BOTA RECTA TALLA 14</v>
      </c>
      <c r="E14" s="1" t="s">
        <v>441</v>
      </c>
      <c r="F14" s="45">
        <v>2.0</v>
      </c>
      <c r="G14" s="2">
        <v>32000.0</v>
      </c>
      <c r="H14" s="2">
        <f t="shared" si="1"/>
        <v>64000</v>
      </c>
      <c r="I14" s="2">
        <f t="shared" si="2"/>
        <v>64000</v>
      </c>
      <c r="J14" s="47">
        <f t="shared" si="3"/>
        <v>1</v>
      </c>
      <c r="K14" s="2">
        <f t="shared" si="4"/>
        <v>128000</v>
      </c>
      <c r="L14" s="1"/>
    </row>
    <row r="15">
      <c r="A15" s="55">
        <v>46186.0</v>
      </c>
      <c r="B15" s="1" t="s">
        <v>451</v>
      </c>
      <c r="C15" s="1" t="str">
        <f>VLOOKUP(B15,MAESTRA!I:K,2,0)</f>
        <v>*1155*</v>
      </c>
      <c r="D15" s="1" t="str">
        <f>VLOOKUP(B15,MAESTRA!I:K,3,0)</f>
        <v>JEANS DAMA 4 BOTONES SIN BOLSILLO TALLA 14</v>
      </c>
      <c r="E15" s="1" t="s">
        <v>441</v>
      </c>
      <c r="F15" s="45">
        <v>1.0</v>
      </c>
      <c r="G15" s="2">
        <v>32000.0</v>
      </c>
      <c r="H15" s="2">
        <f t="shared" si="1"/>
        <v>32000</v>
      </c>
      <c r="I15" s="2">
        <f t="shared" si="2"/>
        <v>64000</v>
      </c>
      <c r="J15" s="47">
        <f t="shared" si="3"/>
        <v>1</v>
      </c>
      <c r="K15" s="2">
        <f t="shared" si="4"/>
        <v>64000</v>
      </c>
      <c r="L15" s="1"/>
    </row>
    <row r="16">
      <c r="A16" s="55">
        <v>46186.0</v>
      </c>
      <c r="B16" s="1" t="s">
        <v>447</v>
      </c>
      <c r="C16" s="1" t="str">
        <f>VLOOKUP(B16,MAESTRA!I:K,2,0)</f>
        <v>*1145*</v>
      </c>
      <c r="D16" s="1" t="str">
        <f>VLOOKUP(B16,MAESTRA!I:K,3,0)</f>
        <v>JEANS DAMA 4 BOTONES TALLA 14</v>
      </c>
      <c r="E16" s="1" t="s">
        <v>441</v>
      </c>
      <c r="F16" s="45">
        <v>1.0</v>
      </c>
      <c r="G16" s="2">
        <v>32000.0</v>
      </c>
      <c r="H16" s="2">
        <f t="shared" si="1"/>
        <v>32000</v>
      </c>
      <c r="I16" s="2">
        <f t="shared" si="2"/>
        <v>64000</v>
      </c>
      <c r="J16" s="47">
        <f t="shared" si="3"/>
        <v>1</v>
      </c>
      <c r="K16" s="2">
        <f t="shared" si="4"/>
        <v>64000</v>
      </c>
      <c r="L16" s="1"/>
    </row>
    <row r="17">
      <c r="A17" s="55">
        <v>46186.0</v>
      </c>
      <c r="B17" s="1" t="s">
        <v>452</v>
      </c>
      <c r="C17" s="1" t="str">
        <f>VLOOKUP(B17,MAESTRA!I:K,2,0)</f>
        <v>*1151*</v>
      </c>
      <c r="D17" s="1" t="str">
        <f>VLOOKUP(B17,MAESTRA!I:K,3,0)</f>
        <v>JEANS DAMA 4 BOTONES SIN BOLSILLO TALLA 6</v>
      </c>
      <c r="E17" s="1" t="s">
        <v>441</v>
      </c>
      <c r="F17" s="45">
        <v>1.0</v>
      </c>
      <c r="G17" s="2">
        <v>32000.0</v>
      </c>
      <c r="H17" s="2">
        <f t="shared" si="1"/>
        <v>32000</v>
      </c>
      <c r="I17" s="2">
        <f t="shared" si="2"/>
        <v>64000</v>
      </c>
      <c r="J17" s="47">
        <f t="shared" si="3"/>
        <v>1</v>
      </c>
      <c r="K17" s="2">
        <f t="shared" si="4"/>
        <v>64000</v>
      </c>
      <c r="L17" s="1"/>
    </row>
    <row r="18">
      <c r="A18" s="55">
        <v>46186.0</v>
      </c>
      <c r="B18" s="1" t="s">
        <v>453</v>
      </c>
      <c r="C18" s="1" t="str">
        <f>VLOOKUP(B18,MAESTRA!I:K,2,0)</f>
        <v>*1113*</v>
      </c>
      <c r="D18" s="1" t="str">
        <f>VLOOKUP(B18,MAESTRA!I:K,3,0)</f>
        <v>JEANS DAMA 1 BOTON TALLA 10</v>
      </c>
      <c r="E18" s="1" t="s">
        <v>441</v>
      </c>
      <c r="F18" s="45">
        <v>1.0</v>
      </c>
      <c r="G18" s="2">
        <v>32000.0</v>
      </c>
      <c r="H18" s="2">
        <f t="shared" si="1"/>
        <v>32000</v>
      </c>
      <c r="I18" s="2">
        <f t="shared" si="2"/>
        <v>64000</v>
      </c>
      <c r="J18" s="47">
        <f t="shared" si="3"/>
        <v>1</v>
      </c>
      <c r="K18" s="2">
        <f t="shared" si="4"/>
        <v>64000</v>
      </c>
      <c r="L18" s="1"/>
    </row>
    <row r="19">
      <c r="A19" s="55">
        <v>46186.0</v>
      </c>
      <c r="B19" s="1" t="s">
        <v>454</v>
      </c>
      <c r="C19" s="1" t="str">
        <f>VLOOKUP(B19,MAESTRA!I:K,2,0)</f>
        <v>*1115*</v>
      </c>
      <c r="D19" s="1" t="str">
        <f>VLOOKUP(B19,MAESTRA!I:K,3,0)</f>
        <v>JEANS DAMA 1 BOTON TALLA 14</v>
      </c>
      <c r="E19" s="1" t="s">
        <v>441</v>
      </c>
      <c r="F19" s="45">
        <v>1.0</v>
      </c>
      <c r="G19" s="2">
        <v>32000.0</v>
      </c>
      <c r="H19" s="2">
        <f t="shared" si="1"/>
        <v>32000</v>
      </c>
      <c r="I19" s="2">
        <f t="shared" si="2"/>
        <v>64000</v>
      </c>
      <c r="J19" s="47">
        <f t="shared" si="3"/>
        <v>1</v>
      </c>
      <c r="K19" s="2">
        <f t="shared" si="4"/>
        <v>64000</v>
      </c>
      <c r="L19" s="1"/>
    </row>
    <row r="20">
      <c r="A20" s="55">
        <v>46186.0</v>
      </c>
      <c r="B20" s="1" t="s">
        <v>455</v>
      </c>
      <c r="C20" s="1" t="str">
        <f>VLOOKUP(B20,MAESTRA!I:K,2,0)</f>
        <v>*1111*</v>
      </c>
      <c r="D20" s="1" t="str">
        <f>VLOOKUP(B20,MAESTRA!I:K,3,0)</f>
        <v>JEANS DAMA 1 BOTON TALLA 6</v>
      </c>
      <c r="E20" s="1" t="s">
        <v>441</v>
      </c>
      <c r="F20" s="45">
        <v>1.0</v>
      </c>
      <c r="G20" s="2">
        <v>32000.0</v>
      </c>
      <c r="H20" s="2">
        <f t="shared" si="1"/>
        <v>32000</v>
      </c>
      <c r="I20" s="2">
        <f t="shared" si="2"/>
        <v>64000</v>
      </c>
      <c r="J20" s="47">
        <f t="shared" si="3"/>
        <v>1</v>
      </c>
      <c r="K20" s="2">
        <f t="shared" si="4"/>
        <v>64000</v>
      </c>
      <c r="L20" s="1"/>
    </row>
    <row r="21">
      <c r="A21" s="55">
        <v>46186.0</v>
      </c>
      <c r="B21" s="1" t="s">
        <v>443</v>
      </c>
      <c r="C21" s="1" t="str">
        <f>VLOOKUP(B21,MAESTRA!I:K,2,0)</f>
        <v>*1152*</v>
      </c>
      <c r="D21" s="1" t="str">
        <f>VLOOKUP(B21,MAESTRA!I:K,3,0)</f>
        <v>JEANS DAMA 4 BOTONES SIN BOLSILLO TALLA 8</v>
      </c>
      <c r="E21" s="1" t="s">
        <v>441</v>
      </c>
      <c r="F21" s="45">
        <v>1.0</v>
      </c>
      <c r="G21" s="2">
        <v>32000.0</v>
      </c>
      <c r="H21" s="2">
        <f t="shared" si="1"/>
        <v>32000</v>
      </c>
      <c r="I21" s="2">
        <f t="shared" si="2"/>
        <v>64000</v>
      </c>
      <c r="J21" s="47">
        <f t="shared" si="3"/>
        <v>1</v>
      </c>
      <c r="K21" s="2">
        <f t="shared" si="4"/>
        <v>64000</v>
      </c>
      <c r="L21" s="1"/>
    </row>
    <row r="22">
      <c r="A22" s="55">
        <v>46186.0</v>
      </c>
      <c r="B22" s="1" t="s">
        <v>456</v>
      </c>
      <c r="C22" s="1" t="str">
        <f>VLOOKUP(B22,MAESTRA!I:K,2,0)</f>
        <v>*614531*</v>
      </c>
      <c r="D22" s="1" t="str">
        <f>VLOOKUP(B22,MAESTRA!I:K,3,0)</f>
        <v>BLUSAS DAMA BASICA ALGODON TALLA VA</v>
      </c>
      <c r="E22" s="1" t="s">
        <v>457</v>
      </c>
      <c r="F22" s="45">
        <v>6.0</v>
      </c>
      <c r="G22" s="2">
        <v>7000.0</v>
      </c>
      <c r="H22" s="2">
        <f t="shared" si="1"/>
        <v>42000</v>
      </c>
      <c r="I22" s="2">
        <f t="shared" si="2"/>
        <v>14000</v>
      </c>
      <c r="J22" s="47">
        <f t="shared" si="3"/>
        <v>1</v>
      </c>
      <c r="K22" s="2">
        <f t="shared" si="4"/>
        <v>84000</v>
      </c>
      <c r="L22" s="1"/>
    </row>
    <row r="23">
      <c r="A23" s="55">
        <v>46186.0</v>
      </c>
      <c r="B23" s="1" t="s">
        <v>458</v>
      </c>
      <c r="C23" s="1" t="str">
        <f>VLOOKUP(B23,MAESTRA!I:K,2,0)</f>
        <v>*4311626*</v>
      </c>
      <c r="D23" s="1" t="str">
        <f>VLOOKUP(B23,MAESTRA!I:K,3,0)</f>
        <v>BICICLETERO DAMA ALGODON TALLA M-L</v>
      </c>
      <c r="E23" s="1" t="s">
        <v>457</v>
      </c>
      <c r="F23" s="45">
        <v>3.0</v>
      </c>
      <c r="G23" s="2">
        <v>8500.0</v>
      </c>
      <c r="H23" s="2">
        <f t="shared" si="1"/>
        <v>25500</v>
      </c>
      <c r="I23" s="2">
        <f t="shared" si="2"/>
        <v>17000</v>
      </c>
      <c r="J23" s="47">
        <f t="shared" si="3"/>
        <v>1</v>
      </c>
      <c r="K23" s="2">
        <f t="shared" si="4"/>
        <v>51000</v>
      </c>
      <c r="L23" s="1"/>
    </row>
    <row r="24">
      <c r="A24" s="55">
        <v>46186.0</v>
      </c>
      <c r="B24" s="1" t="s">
        <v>459</v>
      </c>
      <c r="C24" s="1" t="str">
        <f>VLOOKUP(B24,MAESTRA!I:K,2,0)</f>
        <v>*4311618*</v>
      </c>
      <c r="D24" s="1" t="str">
        <f>VLOOKUP(B24,MAESTRA!I:K,3,0)</f>
        <v>BICICLETERO DAMA ALGODON TALLA 16-S</v>
      </c>
      <c r="E24" s="1" t="s">
        <v>457</v>
      </c>
      <c r="F24" s="45">
        <v>4.0</v>
      </c>
      <c r="G24" s="2">
        <v>7500.0</v>
      </c>
      <c r="H24" s="2">
        <f t="shared" si="1"/>
        <v>30000</v>
      </c>
      <c r="I24" s="2">
        <f t="shared" si="2"/>
        <v>15000</v>
      </c>
      <c r="J24" s="47">
        <f t="shared" si="3"/>
        <v>1</v>
      </c>
      <c r="K24" s="2">
        <f t="shared" si="4"/>
        <v>60000</v>
      </c>
      <c r="L24" s="1"/>
    </row>
    <row r="25">
      <c r="A25" s="55">
        <v>46186.0</v>
      </c>
      <c r="B25" s="1" t="s">
        <v>460</v>
      </c>
      <c r="C25" s="1" t="str">
        <f>VLOOKUP(B25,MAESTRA!I:K,2,0)</f>
        <v>*431165*</v>
      </c>
      <c r="D25" s="1" t="str">
        <f>VLOOKUP(B25,MAESTRA!I:K,3,0)</f>
        <v>BICICLETERO DAMA ALGODON TALLA 14</v>
      </c>
      <c r="E25" s="1" t="s">
        <v>457</v>
      </c>
      <c r="F25" s="45">
        <v>2.0</v>
      </c>
      <c r="G25" s="2">
        <v>7000.0</v>
      </c>
      <c r="H25" s="2">
        <f t="shared" si="1"/>
        <v>14000</v>
      </c>
      <c r="I25" s="2">
        <f t="shared" si="2"/>
        <v>14000</v>
      </c>
      <c r="J25" s="47">
        <f t="shared" si="3"/>
        <v>1</v>
      </c>
      <c r="K25" s="2">
        <f t="shared" si="4"/>
        <v>28000</v>
      </c>
      <c r="L25" s="1"/>
    </row>
    <row r="26">
      <c r="A26" s="55">
        <v>46186.0</v>
      </c>
      <c r="B26" s="1" t="s">
        <v>461</v>
      </c>
      <c r="C26" s="1" t="str">
        <f>VLOOKUP(B26,MAESTRA!I:K,2,0)</f>
        <v>*4411632*</v>
      </c>
      <c r="D26" s="1" t="str">
        <f>VLOOKUP(B26,MAESTRA!I:K,3,0)</f>
        <v>LEGGINS DAMA ALGODON TALLA XL</v>
      </c>
      <c r="E26" s="1" t="s">
        <v>457</v>
      </c>
      <c r="F26" s="45">
        <v>15.0</v>
      </c>
      <c r="G26" s="2">
        <v>17000.0</v>
      </c>
      <c r="H26" s="2">
        <f t="shared" si="1"/>
        <v>255000</v>
      </c>
      <c r="I26" s="2">
        <f t="shared" si="2"/>
        <v>34000</v>
      </c>
      <c r="J26" s="47">
        <f t="shared" si="3"/>
        <v>1</v>
      </c>
      <c r="K26" s="2">
        <f t="shared" si="4"/>
        <v>510000</v>
      </c>
      <c r="L26" s="1"/>
    </row>
    <row r="27">
      <c r="A27" s="55">
        <v>46186.0</v>
      </c>
      <c r="B27" s="1" t="s">
        <v>462</v>
      </c>
      <c r="C27" s="1" t="str">
        <f>VLOOKUP(B27,MAESTRA!I:K,2,0)</f>
        <v>*526616*</v>
      </c>
      <c r="D27" s="1" t="str">
        <f>VLOOKUP(B27,MAESTRA!I:K,3,0)</f>
        <v>BERMUDAS CABALLERO CAMUFLADO TALLA 36</v>
      </c>
      <c r="E27" s="1" t="s">
        <v>463</v>
      </c>
      <c r="F27" s="45">
        <v>1.0</v>
      </c>
      <c r="G27" s="2">
        <v>38000.0</v>
      </c>
      <c r="H27" s="2">
        <f t="shared" si="1"/>
        <v>38000</v>
      </c>
      <c r="I27" s="2">
        <f t="shared" si="2"/>
        <v>76000</v>
      </c>
      <c r="J27" s="47">
        <f t="shared" si="3"/>
        <v>1</v>
      </c>
      <c r="K27" s="2">
        <f t="shared" si="4"/>
        <v>76000</v>
      </c>
      <c r="L27" s="1"/>
    </row>
    <row r="28">
      <c r="A28" s="55">
        <v>46186.0</v>
      </c>
      <c r="B28" s="1" t="s">
        <v>464</v>
      </c>
      <c r="C28" s="1" t="str">
        <f>VLOOKUP(B28,MAESTRA!I:K,2,0)</f>
        <v>*526612*</v>
      </c>
      <c r="D28" s="1" t="str">
        <f>VLOOKUP(B28,MAESTRA!I:K,3,0)</f>
        <v>BERMUDAS CABALLERO CAMUFLADO TALLA 28</v>
      </c>
      <c r="E28" s="1" t="s">
        <v>463</v>
      </c>
      <c r="F28" s="45">
        <v>1.0</v>
      </c>
      <c r="G28" s="2">
        <v>38000.0</v>
      </c>
      <c r="H28" s="2">
        <f t="shared" si="1"/>
        <v>38000</v>
      </c>
      <c r="I28" s="2">
        <f t="shared" si="2"/>
        <v>76000</v>
      </c>
      <c r="J28" s="47">
        <f t="shared" si="3"/>
        <v>1</v>
      </c>
      <c r="K28" s="2">
        <f t="shared" si="4"/>
        <v>76000</v>
      </c>
      <c r="L28" s="1"/>
    </row>
    <row r="29">
      <c r="A29" s="55">
        <v>46186.0</v>
      </c>
      <c r="B29" s="1" t="s">
        <v>465</v>
      </c>
      <c r="C29" s="1" t="str">
        <f>VLOOKUP(B29,MAESTRA!I:K,2,0)</f>
        <v>*526613*</v>
      </c>
      <c r="D29" s="1" t="str">
        <f>VLOOKUP(B29,MAESTRA!I:K,3,0)</f>
        <v>BERMUDAS CABALLERO CAMUFLADO TALLA 30</v>
      </c>
      <c r="E29" s="1" t="s">
        <v>463</v>
      </c>
      <c r="F29" s="45">
        <v>1.0</v>
      </c>
      <c r="G29" s="2">
        <v>38000.0</v>
      </c>
      <c r="H29" s="2">
        <f t="shared" si="1"/>
        <v>38000</v>
      </c>
      <c r="I29" s="2">
        <f t="shared" si="2"/>
        <v>76000</v>
      </c>
      <c r="J29" s="47">
        <f t="shared" si="3"/>
        <v>1</v>
      </c>
      <c r="K29" s="2">
        <f t="shared" si="4"/>
        <v>76000</v>
      </c>
      <c r="L29" s="1"/>
    </row>
    <row r="30">
      <c r="A30" s="55">
        <v>46186.0</v>
      </c>
      <c r="B30" s="1" t="s">
        <v>466</v>
      </c>
      <c r="C30" s="1" t="str">
        <f>VLOOKUP(B30,MAESTRA!I:K,2,0)</f>
        <v>*526614*</v>
      </c>
      <c r="D30" s="1" t="str">
        <f>VLOOKUP(B30,MAESTRA!I:K,3,0)</f>
        <v>BERMUDAS CABALLERO CAMUFLADO TALLA 32</v>
      </c>
      <c r="E30" s="1" t="s">
        <v>463</v>
      </c>
      <c r="F30" s="45">
        <v>1.0</v>
      </c>
      <c r="G30" s="2">
        <v>38000.0</v>
      </c>
      <c r="H30" s="2">
        <f t="shared" si="1"/>
        <v>38000</v>
      </c>
      <c r="I30" s="2">
        <f t="shared" si="2"/>
        <v>76000</v>
      </c>
      <c r="J30" s="47">
        <f t="shared" si="3"/>
        <v>1</v>
      </c>
      <c r="K30" s="2">
        <f t="shared" si="4"/>
        <v>76000</v>
      </c>
      <c r="L30" s="1"/>
    </row>
    <row r="31">
      <c r="A31" s="55">
        <v>46186.0</v>
      </c>
      <c r="B31" s="1" t="s">
        <v>467</v>
      </c>
      <c r="C31" s="1" t="str">
        <f>VLOOKUP(B31,MAESTRA!I:K,2,0)</f>
        <v>*526615*</v>
      </c>
      <c r="D31" s="1" t="str">
        <f>VLOOKUP(B31,MAESTRA!I:K,3,0)</f>
        <v>BERMUDAS CABALLERO CAMUFLADO TALLA 34</v>
      </c>
      <c r="E31" s="1" t="s">
        <v>463</v>
      </c>
      <c r="F31" s="45">
        <v>1.0</v>
      </c>
      <c r="G31" s="2">
        <v>38000.0</v>
      </c>
      <c r="H31" s="2">
        <f t="shared" si="1"/>
        <v>38000</v>
      </c>
      <c r="I31" s="2">
        <f t="shared" si="2"/>
        <v>76000</v>
      </c>
      <c r="J31" s="47">
        <f t="shared" si="3"/>
        <v>1</v>
      </c>
      <c r="K31" s="2">
        <f t="shared" si="4"/>
        <v>76000</v>
      </c>
      <c r="L31" s="1"/>
    </row>
    <row r="32">
      <c r="A32" s="55">
        <v>46186.0</v>
      </c>
      <c r="B32" s="1" t="s">
        <v>468</v>
      </c>
      <c r="C32" s="1" t="str">
        <f>VLOOKUP(B32,MAESTRA!I:K,2,0)</f>
        <v>*527515*</v>
      </c>
      <c r="D32" s="1" t="str">
        <f>VLOOKUP(B32,MAESTRA!I:K,3,0)</f>
        <v>BERMUDAS CABALLERO CLASICA DRILL TALLA 34</v>
      </c>
      <c r="E32" s="1" t="s">
        <v>463</v>
      </c>
      <c r="F32" s="45">
        <v>1.0</v>
      </c>
      <c r="G32" s="2">
        <v>36000.0</v>
      </c>
      <c r="H32" s="2">
        <f t="shared" si="1"/>
        <v>36000</v>
      </c>
      <c r="I32" s="2">
        <f t="shared" si="2"/>
        <v>72000</v>
      </c>
      <c r="J32" s="47">
        <f t="shared" si="3"/>
        <v>1</v>
      </c>
      <c r="K32" s="2">
        <f t="shared" si="4"/>
        <v>72000</v>
      </c>
      <c r="L32" s="1"/>
    </row>
    <row r="33">
      <c r="A33" s="55">
        <v>46186.0</v>
      </c>
      <c r="B33" s="1" t="s">
        <v>469</v>
      </c>
      <c r="C33" s="1" t="str">
        <f>VLOOKUP(B33,MAESTRA!I:K,2,0)</f>
        <v>*527512*</v>
      </c>
      <c r="D33" s="1" t="str">
        <f>VLOOKUP(B33,MAESTRA!I:K,3,0)</f>
        <v>BERMUDAS CABALLERO CLASICA DRILL TALLA 28</v>
      </c>
      <c r="E33" s="1" t="s">
        <v>463</v>
      </c>
      <c r="F33" s="45">
        <v>1.0</v>
      </c>
      <c r="G33" s="2">
        <v>36000.0</v>
      </c>
      <c r="H33" s="2">
        <f t="shared" si="1"/>
        <v>36000</v>
      </c>
      <c r="I33" s="2">
        <f t="shared" si="2"/>
        <v>72000</v>
      </c>
      <c r="J33" s="47">
        <f t="shared" si="3"/>
        <v>1</v>
      </c>
      <c r="K33" s="2">
        <f t="shared" si="4"/>
        <v>72000</v>
      </c>
      <c r="L33" s="1"/>
    </row>
    <row r="34">
      <c r="A34" s="55">
        <v>46186.0</v>
      </c>
      <c r="B34" s="1" t="s">
        <v>470</v>
      </c>
      <c r="C34" s="1" t="str">
        <f>VLOOKUP(B34,MAESTRA!I:K,2,0)</f>
        <v>*527514*</v>
      </c>
      <c r="D34" s="1" t="str">
        <f>VLOOKUP(B34,MAESTRA!I:K,3,0)</f>
        <v>BERMUDAS CABALLERO CLASICA DRILL TALLA 32</v>
      </c>
      <c r="E34" s="1" t="s">
        <v>463</v>
      </c>
      <c r="F34" s="45">
        <v>1.0</v>
      </c>
      <c r="G34" s="2">
        <v>36000.0</v>
      </c>
      <c r="H34" s="2">
        <f t="shared" si="1"/>
        <v>36000</v>
      </c>
      <c r="I34" s="2">
        <f t="shared" si="2"/>
        <v>72000</v>
      </c>
      <c r="J34" s="47">
        <f t="shared" si="3"/>
        <v>1</v>
      </c>
      <c r="K34" s="2">
        <f t="shared" si="4"/>
        <v>72000</v>
      </c>
      <c r="L34" s="1"/>
    </row>
    <row r="35">
      <c r="A35" s="55">
        <v>46186.0</v>
      </c>
      <c r="B35" s="1" t="s">
        <v>471</v>
      </c>
      <c r="C35" s="1" t="str">
        <f>VLOOKUP(B35,MAESTRA!I:K,2,0)</f>
        <v>*527513*</v>
      </c>
      <c r="D35" s="1" t="str">
        <f>VLOOKUP(B35,MAESTRA!I:K,3,0)</f>
        <v>BERMUDAS CABALLERO CLASICA DRILL TALLA 30</v>
      </c>
      <c r="E35" s="1" t="s">
        <v>463</v>
      </c>
      <c r="F35" s="45">
        <v>1.0</v>
      </c>
      <c r="G35" s="2">
        <v>36000.0</v>
      </c>
      <c r="H35" s="2">
        <f t="shared" si="1"/>
        <v>36000</v>
      </c>
      <c r="I35" s="2">
        <f t="shared" si="2"/>
        <v>72000</v>
      </c>
      <c r="J35" s="47">
        <f t="shared" si="3"/>
        <v>1</v>
      </c>
      <c r="K35" s="2">
        <f t="shared" si="4"/>
        <v>72000</v>
      </c>
      <c r="L35" s="1"/>
    </row>
    <row r="36">
      <c r="A36" s="55">
        <v>46186.0</v>
      </c>
      <c r="B36" s="1" t="s">
        <v>472</v>
      </c>
      <c r="C36" s="1" t="str">
        <f>VLOOKUP(B36,MAESTRA!I:K,2,0)</f>
        <v>*4125131*</v>
      </c>
      <c r="D36" s="1" t="str">
        <f>VLOOKUP(B36,MAESTRA!I:K,3,0)</f>
        <v>SHORTS DAMA SHORT ARO TALLA VA</v>
      </c>
      <c r="E36" s="1" t="s">
        <v>463</v>
      </c>
      <c r="F36" s="45">
        <v>3.0</v>
      </c>
      <c r="G36" s="2">
        <v>26000.0</v>
      </c>
      <c r="H36" s="2">
        <f t="shared" si="1"/>
        <v>78000</v>
      </c>
      <c r="I36" s="2">
        <f t="shared" si="2"/>
        <v>52000</v>
      </c>
      <c r="J36" s="47">
        <f t="shared" si="3"/>
        <v>1</v>
      </c>
      <c r="K36" s="2">
        <f t="shared" si="4"/>
        <v>156000</v>
      </c>
      <c r="L36" s="1"/>
    </row>
    <row r="37">
      <c r="A37" s="55">
        <v>46186.0</v>
      </c>
      <c r="B37" s="1" t="s">
        <v>473</v>
      </c>
      <c r="C37" s="1" t="str">
        <f>VLOOKUP(B37,MAESTRA!I:K,2,0)</f>
        <v>*417431*</v>
      </c>
      <c r="D37" s="1" t="str">
        <f>VLOOKUP(B37,MAESTRA!I:K,3,0)</f>
        <v>SHORTS DAMA CINTURON ANCHO TALLA VA</v>
      </c>
      <c r="E37" s="1" t="s">
        <v>463</v>
      </c>
      <c r="F37" s="45">
        <v>3.0</v>
      </c>
      <c r="G37" s="2">
        <v>26000.0</v>
      </c>
      <c r="H37" s="2">
        <f t="shared" si="1"/>
        <v>78000</v>
      </c>
      <c r="I37" s="2">
        <f t="shared" si="2"/>
        <v>52000</v>
      </c>
      <c r="J37" s="47">
        <f t="shared" si="3"/>
        <v>1</v>
      </c>
      <c r="K37" s="2">
        <f t="shared" si="4"/>
        <v>156000</v>
      </c>
      <c r="L37" s="1"/>
    </row>
    <row r="38">
      <c r="A38" s="55">
        <v>46186.0</v>
      </c>
      <c r="B38" s="1" t="s">
        <v>474</v>
      </c>
      <c r="C38" s="1" t="str">
        <f>VLOOKUP(B38,MAESTRA!I:K,2,0)</f>
        <v>*5112131*</v>
      </c>
      <c r="D38" s="1" t="str">
        <f>VLOOKUP(B38,MAESTRA!I:K,3,0)</f>
        <v>BERMUDAS DAMA DRILL TALLA VA</v>
      </c>
      <c r="E38" s="1" t="s">
        <v>463</v>
      </c>
      <c r="F38" s="45">
        <v>9.0</v>
      </c>
      <c r="G38" s="2">
        <v>26000.0</v>
      </c>
      <c r="H38" s="2">
        <f t="shared" si="1"/>
        <v>234000</v>
      </c>
      <c r="I38" s="2">
        <f t="shared" si="2"/>
        <v>52000</v>
      </c>
      <c r="J38" s="47">
        <f t="shared" si="3"/>
        <v>1</v>
      </c>
      <c r="K38" s="2">
        <f t="shared" si="4"/>
        <v>468000</v>
      </c>
      <c r="L38" s="1"/>
    </row>
    <row r="39">
      <c r="A39" s="55">
        <v>46186.0</v>
      </c>
      <c r="B39" s="1" t="s">
        <v>475</v>
      </c>
      <c r="C39" s="1" t="str">
        <f>VLOOKUP(B39,MAESTRA!I:K,2,0)</f>
        <v>*1212110*</v>
      </c>
      <c r="D39" s="1" t="str">
        <f>VLOOKUP(B39,MAESTRA!I:K,3,0)</f>
        <v>PERFUMES DAMA PINK MINI</v>
      </c>
      <c r="E39" s="1" t="s">
        <v>476</v>
      </c>
      <c r="F39" s="45">
        <v>9.0</v>
      </c>
      <c r="G39" s="2">
        <v>5000.0</v>
      </c>
      <c r="H39" s="2">
        <f t="shared" si="1"/>
        <v>45000</v>
      </c>
      <c r="I39" s="2">
        <f t="shared" si="2"/>
        <v>10000</v>
      </c>
      <c r="J39" s="47">
        <f t="shared" si="3"/>
        <v>1</v>
      </c>
      <c r="K39" s="2">
        <f t="shared" si="4"/>
        <v>90000</v>
      </c>
      <c r="L39" s="1"/>
    </row>
    <row r="40">
      <c r="A40" s="55">
        <v>46186.0</v>
      </c>
      <c r="B40" s="1" t="s">
        <v>477</v>
      </c>
      <c r="C40" s="1" t="str">
        <f>VLOOKUP(B40,MAESTRA!I:K,2,0)</f>
        <v>*4711600*</v>
      </c>
      <c r="D40" s="1" t="str">
        <f>VLOOKUP(B40,MAESTRA!I:K,3,0)</f>
        <v>BRILLO DAMA LABIAL</v>
      </c>
      <c r="E40" s="1" t="s">
        <v>476</v>
      </c>
      <c r="F40" s="45">
        <v>6.0</v>
      </c>
      <c r="G40" s="2">
        <v>2500.0</v>
      </c>
      <c r="H40" s="2">
        <f t="shared" si="1"/>
        <v>15000</v>
      </c>
      <c r="I40" s="2">
        <f t="shared" si="2"/>
        <v>5000</v>
      </c>
      <c r="J40" s="47">
        <f t="shared" si="3"/>
        <v>1</v>
      </c>
      <c r="K40" s="2">
        <f t="shared" si="4"/>
        <v>30000</v>
      </c>
      <c r="L40" s="1"/>
    </row>
    <row r="41">
      <c r="A41" s="55">
        <v>46186.0</v>
      </c>
      <c r="B41" s="1" t="s">
        <v>478</v>
      </c>
      <c r="C41" s="1" t="str">
        <f>VLOOKUP(B41,MAESTRA!I:K,2,0)</f>
        <v>*46100*</v>
      </c>
      <c r="D41" s="1" t="str">
        <f>VLOOKUP(B41,MAESTRA!I:K,3,0)</f>
        <v>SPLASH DAMA -</v>
      </c>
      <c r="E41" s="1" t="s">
        <v>476</v>
      </c>
      <c r="F41" s="45">
        <v>2.0</v>
      </c>
      <c r="G41" s="2">
        <v>8500.0</v>
      </c>
      <c r="H41" s="2">
        <f t="shared" si="1"/>
        <v>17000</v>
      </c>
      <c r="I41" s="2">
        <f t="shared" si="2"/>
        <v>17000</v>
      </c>
      <c r="J41" s="47">
        <f t="shared" si="3"/>
        <v>1</v>
      </c>
      <c r="K41" s="2">
        <f t="shared" si="4"/>
        <v>34000</v>
      </c>
      <c r="L41" s="1"/>
    </row>
    <row r="42">
      <c r="A42" s="55">
        <v>46186.0</v>
      </c>
      <c r="B42" s="1" t="s">
        <v>479</v>
      </c>
      <c r="C42" s="1" t="str">
        <f>VLOOKUP(B42,MAESTRA!I:K,2,0)</f>
        <v>*46200*</v>
      </c>
      <c r="D42" s="1" t="str">
        <f>VLOOKUP(B42,MAESTRA!I:K,3,0)</f>
        <v>SPLASH CABALLERO -</v>
      </c>
      <c r="E42" s="1" t="s">
        <v>476</v>
      </c>
      <c r="F42" s="45">
        <v>2.0</v>
      </c>
      <c r="G42" s="2">
        <v>6500.0</v>
      </c>
      <c r="H42" s="2">
        <f t="shared" si="1"/>
        <v>13000</v>
      </c>
      <c r="I42" s="2">
        <f t="shared" si="2"/>
        <v>13000</v>
      </c>
      <c r="J42" s="47">
        <f t="shared" si="3"/>
        <v>1</v>
      </c>
      <c r="K42" s="2">
        <f t="shared" si="4"/>
        <v>26000</v>
      </c>
      <c r="L42" s="1"/>
    </row>
    <row r="43">
      <c r="A43" s="55">
        <v>46186.0</v>
      </c>
      <c r="B43" s="1" t="s">
        <v>480</v>
      </c>
      <c r="C43" s="1" t="str">
        <f>VLOOKUP(B43,MAESTRA!I:K,2,0)</f>
        <v>*1438630*</v>
      </c>
      <c r="D43" s="1" t="str">
        <f>VLOOKUP(B43,MAESTRA!I:K,3,0)</f>
        <v>GORRAS UNISEX COLOMBIA TALLA UN</v>
      </c>
      <c r="E43" s="1" t="s">
        <v>481</v>
      </c>
      <c r="F43" s="45">
        <v>6.0</v>
      </c>
      <c r="G43" s="2">
        <v>28000.0</v>
      </c>
      <c r="H43" s="2">
        <f t="shared" si="1"/>
        <v>168000</v>
      </c>
      <c r="I43" s="2">
        <f t="shared" si="2"/>
        <v>56000</v>
      </c>
      <c r="J43" s="47">
        <f t="shared" si="3"/>
        <v>1</v>
      </c>
      <c r="K43" s="2">
        <f t="shared" si="4"/>
        <v>336000</v>
      </c>
      <c r="L43" s="1"/>
    </row>
    <row r="44">
      <c r="A44" s="55">
        <v>46186.0</v>
      </c>
      <c r="B44" s="1" t="s">
        <v>482</v>
      </c>
      <c r="C44" s="1" t="str">
        <f>VLOOKUP(B44,MAESTRA!I:K,2,0)</f>
        <v>*14327530*</v>
      </c>
      <c r="D44" s="1" t="str">
        <f>VLOOKUP(B44,MAESTRA!I:K,3,0)</f>
        <v>GORRAS UNISEX VARIOS TALLA UN</v>
      </c>
      <c r="E44" s="1" t="s">
        <v>481</v>
      </c>
      <c r="F44" s="45">
        <v>17.0</v>
      </c>
      <c r="G44" s="2">
        <v>16000.0</v>
      </c>
      <c r="H44" s="2">
        <f t="shared" si="1"/>
        <v>272000</v>
      </c>
      <c r="I44" s="2">
        <f t="shared" si="2"/>
        <v>32000</v>
      </c>
      <c r="J44" s="47">
        <f t="shared" si="3"/>
        <v>1</v>
      </c>
      <c r="K44" s="2">
        <f t="shared" si="4"/>
        <v>544000</v>
      </c>
      <c r="L44" s="1"/>
    </row>
    <row r="45">
      <c r="A45" s="55">
        <v>46186.0</v>
      </c>
      <c r="B45" s="1" t="s">
        <v>483</v>
      </c>
      <c r="C45" s="1" t="str">
        <f>VLOOKUP(B45,MAESTRA!I:K,2,0)</f>
        <v>*1532540*</v>
      </c>
      <c r="D45" s="1" t="str">
        <f>VLOOKUP(B45,MAESTRA!I:K,3,0)</f>
        <v>MALETAS UNISEX SPRAY GROUND</v>
      </c>
      <c r="E45" s="1" t="s">
        <v>484</v>
      </c>
      <c r="F45" s="45">
        <v>1.0</v>
      </c>
      <c r="G45" s="2">
        <v>60000.0</v>
      </c>
      <c r="H45" s="2">
        <f t="shared" si="1"/>
        <v>60000</v>
      </c>
      <c r="I45" s="2">
        <f t="shared" si="2"/>
        <v>120000</v>
      </c>
      <c r="J45" s="47">
        <f t="shared" si="3"/>
        <v>1</v>
      </c>
      <c r="K45" s="2">
        <f t="shared" si="4"/>
        <v>120000</v>
      </c>
      <c r="L45" s="1"/>
    </row>
    <row r="46">
      <c r="A46" s="55">
        <v>46186.0</v>
      </c>
      <c r="B46" s="1" t="s">
        <v>485</v>
      </c>
      <c r="C46" s="1" t="str">
        <f>VLOOKUP(B46,MAESTRA!I:K,2,0)</f>
        <v>*161480*</v>
      </c>
      <c r="D46" s="1" t="str">
        <f>VLOOKUP(B46,MAESTRA!I:K,3,0)</f>
        <v>LLAVEROS DAMA BOMBA</v>
      </c>
      <c r="E46" s="1" t="s">
        <v>484</v>
      </c>
      <c r="F46" s="45">
        <v>6.0</v>
      </c>
      <c r="G46" s="2">
        <v>6000.0</v>
      </c>
      <c r="H46" s="2">
        <f t="shared" si="1"/>
        <v>36000</v>
      </c>
      <c r="I46" s="2">
        <f t="shared" si="2"/>
        <v>12000</v>
      </c>
      <c r="J46" s="47">
        <f t="shared" si="3"/>
        <v>1</v>
      </c>
      <c r="K46" s="2">
        <f t="shared" si="4"/>
        <v>72000</v>
      </c>
      <c r="L46" s="1"/>
    </row>
    <row r="47">
      <c r="A47" s="55">
        <v>46186.0</v>
      </c>
      <c r="B47" s="1" t="s">
        <v>486</v>
      </c>
      <c r="C47" s="1" t="str">
        <f>VLOOKUP(B47,MAESTRA!I:K,2,0)</f>
        <v>*161720*</v>
      </c>
      <c r="D47" s="1" t="str">
        <f>VLOOKUP(B47,MAESTRA!I:K,3,0)</f>
        <v>LLAVEROS DAMA CEREZAS BRILLANTE</v>
      </c>
      <c r="E47" s="1" t="s">
        <v>484</v>
      </c>
      <c r="F47" s="45">
        <v>2.0</v>
      </c>
      <c r="G47" s="2">
        <v>17000.0</v>
      </c>
      <c r="H47" s="2">
        <f t="shared" si="1"/>
        <v>34000</v>
      </c>
      <c r="I47" s="2">
        <f t="shared" si="2"/>
        <v>34000</v>
      </c>
      <c r="J47" s="47">
        <f t="shared" si="3"/>
        <v>1</v>
      </c>
      <c r="K47" s="2">
        <f t="shared" si="4"/>
        <v>68000</v>
      </c>
      <c r="L47" s="1"/>
    </row>
    <row r="48">
      <c r="A48" s="55">
        <v>46186.0</v>
      </c>
      <c r="B48" s="1" t="s">
        <v>487</v>
      </c>
      <c r="C48" s="1" t="str">
        <f>VLOOKUP(B48,MAESTRA!I:K,2,0)</f>
        <v>*171460*</v>
      </c>
      <c r="D48" s="1" t="str">
        <f>VLOOKUP(B48,MAESTRA!I:K,3,0)</f>
        <v>BOLSOS DAMA BAUL</v>
      </c>
      <c r="E48" s="1" t="s">
        <v>484</v>
      </c>
      <c r="F48" s="45">
        <v>1.0</v>
      </c>
      <c r="G48" s="2">
        <v>45000.0</v>
      </c>
      <c r="H48" s="2">
        <f t="shared" si="1"/>
        <v>45000</v>
      </c>
      <c r="I48" s="2">
        <f t="shared" si="2"/>
        <v>90000</v>
      </c>
      <c r="J48" s="47">
        <f t="shared" si="3"/>
        <v>1</v>
      </c>
      <c r="K48" s="2">
        <f t="shared" si="4"/>
        <v>90000</v>
      </c>
      <c r="L48" s="1"/>
    </row>
    <row r="49">
      <c r="A49" s="55">
        <v>46186.0</v>
      </c>
      <c r="B49" s="1" t="s">
        <v>488</v>
      </c>
      <c r="C49" s="1" t="str">
        <f>VLOOKUP(B49,MAESTRA!I:K,2,0)</f>
        <v>*221030*</v>
      </c>
      <c r="D49" s="1" t="str">
        <f>VLOOKUP(B49,MAESTRA!I:K,3,0)</f>
        <v>CORREAS DAMA - TALLA UN</v>
      </c>
      <c r="E49" s="1" t="s">
        <v>484</v>
      </c>
      <c r="F49" s="45">
        <v>6.0</v>
      </c>
      <c r="G49" s="2">
        <v>9000.0</v>
      </c>
      <c r="H49" s="2">
        <f t="shared" si="1"/>
        <v>54000</v>
      </c>
      <c r="I49" s="2">
        <f t="shared" si="2"/>
        <v>18000</v>
      </c>
      <c r="J49" s="47">
        <f t="shared" si="3"/>
        <v>1</v>
      </c>
      <c r="K49" s="2">
        <f t="shared" si="4"/>
        <v>108000</v>
      </c>
      <c r="L49" s="1"/>
    </row>
    <row r="50">
      <c r="A50" s="55">
        <v>46186.0</v>
      </c>
      <c r="B50" s="1" t="s">
        <v>489</v>
      </c>
      <c r="C50" s="1" t="str">
        <f>VLOOKUP(B50,MAESTRA!I:K,2,0)</f>
        <v>*171570*</v>
      </c>
      <c r="D50" s="1" t="str">
        <f>VLOOKUP(B50,MAESTRA!I:K,3,0)</f>
        <v>BOLSOS DAMA CADENA DORADA</v>
      </c>
      <c r="E50" s="1" t="s">
        <v>484</v>
      </c>
      <c r="F50" s="45">
        <v>1.0</v>
      </c>
      <c r="G50" s="2">
        <v>30000.0</v>
      </c>
      <c r="H50" s="2">
        <f t="shared" si="1"/>
        <v>30000</v>
      </c>
      <c r="I50" s="2">
        <f t="shared" si="2"/>
        <v>60000</v>
      </c>
      <c r="J50" s="47">
        <f t="shared" si="3"/>
        <v>1</v>
      </c>
      <c r="K50" s="2">
        <f t="shared" si="4"/>
        <v>60000</v>
      </c>
      <c r="L50" s="1"/>
    </row>
    <row r="51">
      <c r="A51" s="55">
        <v>46186.0</v>
      </c>
      <c r="B51" s="1" t="s">
        <v>490</v>
      </c>
      <c r="C51" s="1" t="str">
        <f>VLOOKUP(B51,MAESTRA!I:K,2,0)</f>
        <v>*183130*</v>
      </c>
      <c r="D51" s="1" t="str">
        <f>VLOOKUP(B51,MAESTRA!I:K,3,0)</f>
        <v>CARRIEL UNISEX ADIDAS</v>
      </c>
      <c r="E51" s="1" t="s">
        <v>484</v>
      </c>
      <c r="F51" s="45">
        <v>2.0</v>
      </c>
      <c r="G51" s="2">
        <v>24000.0</v>
      </c>
      <c r="H51" s="2">
        <f t="shared" si="1"/>
        <v>48000</v>
      </c>
      <c r="I51" s="2">
        <f t="shared" si="2"/>
        <v>48000</v>
      </c>
      <c r="J51" s="47">
        <f t="shared" si="3"/>
        <v>1</v>
      </c>
      <c r="K51" s="2">
        <f t="shared" si="4"/>
        <v>96000</v>
      </c>
      <c r="L51" s="1"/>
    </row>
    <row r="52">
      <c r="A52" s="55">
        <v>46186.0</v>
      </c>
      <c r="B52" s="1" t="s">
        <v>491</v>
      </c>
      <c r="C52" s="1" t="str">
        <f>VLOOKUP(B52,MAESTRA!I:K,2,0)</f>
        <v>*1921180*</v>
      </c>
      <c r="D52" s="1" t="str">
        <f>VLOOKUP(B52,MAESTRA!I:K,3,0)</f>
        <v>PECHERAS CABALLERO DIFERENTES MARCAS</v>
      </c>
      <c r="E52" s="1" t="s">
        <v>484</v>
      </c>
      <c r="F52" s="45">
        <v>3.0</v>
      </c>
      <c r="G52" s="2">
        <v>24000.0</v>
      </c>
      <c r="H52" s="2">
        <f t="shared" si="1"/>
        <v>72000</v>
      </c>
      <c r="I52" s="2">
        <f t="shared" si="2"/>
        <v>48000</v>
      </c>
      <c r="J52" s="47">
        <f t="shared" si="3"/>
        <v>1</v>
      </c>
      <c r="K52" s="2">
        <f t="shared" si="4"/>
        <v>144000</v>
      </c>
      <c r="L52" s="1"/>
    </row>
    <row r="53">
      <c r="A53" s="55">
        <v>46186.0</v>
      </c>
      <c r="B53" s="1" t="s">
        <v>492</v>
      </c>
      <c r="C53" s="1" t="str">
        <f>VLOOKUP(B53,MAESTRA!I:K,2,0)</f>
        <v>*201540*</v>
      </c>
      <c r="D53" s="1" t="str">
        <f>VLOOKUP(B53,MAESTRA!I:K,3,0)</f>
        <v>CANGUROS DAMA BRILLO</v>
      </c>
      <c r="E53" s="1" t="s">
        <v>484</v>
      </c>
      <c r="F53" s="45">
        <v>1.0</v>
      </c>
      <c r="G53" s="2">
        <v>38000.0</v>
      </c>
      <c r="H53" s="2">
        <f t="shared" si="1"/>
        <v>38000</v>
      </c>
      <c r="I53" s="2">
        <f t="shared" si="2"/>
        <v>76000</v>
      </c>
      <c r="J53" s="47">
        <f t="shared" si="3"/>
        <v>1</v>
      </c>
      <c r="K53" s="2">
        <f t="shared" si="4"/>
        <v>76000</v>
      </c>
      <c r="L53" s="1"/>
    </row>
    <row r="54">
      <c r="A54" s="55">
        <v>46186.0</v>
      </c>
      <c r="B54" s="1" t="s">
        <v>493</v>
      </c>
      <c r="C54" s="1" t="str">
        <f>VLOOKUP(B54,MAESTRA!I:K,2,0)</f>
        <v>*203130*</v>
      </c>
      <c r="D54" s="1" t="str">
        <f>VLOOKUP(B54,MAESTRA!I:K,3,0)</f>
        <v>CANGUROS UNISEX ADIDAS</v>
      </c>
      <c r="E54" s="1" t="s">
        <v>484</v>
      </c>
      <c r="F54" s="45">
        <v>2.0</v>
      </c>
      <c r="G54" s="2">
        <v>20000.0</v>
      </c>
      <c r="H54" s="2">
        <f t="shared" si="1"/>
        <v>40000</v>
      </c>
      <c r="I54" s="2">
        <f t="shared" si="2"/>
        <v>40000</v>
      </c>
      <c r="J54" s="47">
        <f t="shared" si="3"/>
        <v>1</v>
      </c>
      <c r="K54" s="2">
        <f t="shared" si="4"/>
        <v>80000</v>
      </c>
      <c r="L54" s="1"/>
    </row>
    <row r="55">
      <c r="A55" s="55">
        <v>46186.0</v>
      </c>
      <c r="B55" s="1" t="s">
        <v>494</v>
      </c>
      <c r="C55" s="1" t="str">
        <f>VLOOKUP(B55,MAESTRA!I:K,2,0)</f>
        <v>*20100*</v>
      </c>
      <c r="D55" s="1" t="str">
        <f>VLOOKUP(B55,MAESTRA!I:K,3,0)</f>
        <v>CANGUROS DAMA -</v>
      </c>
      <c r="E55" s="1" t="s">
        <v>484</v>
      </c>
      <c r="F55" s="45">
        <v>1.0</v>
      </c>
      <c r="G55" s="2">
        <v>22000.0</v>
      </c>
      <c r="H55" s="2">
        <f t="shared" si="1"/>
        <v>22000</v>
      </c>
      <c r="I55" s="2">
        <f t="shared" si="2"/>
        <v>44000</v>
      </c>
      <c r="J55" s="47">
        <f t="shared" si="3"/>
        <v>1</v>
      </c>
      <c r="K55" s="2">
        <f t="shared" si="4"/>
        <v>44000</v>
      </c>
      <c r="L55" s="1"/>
    </row>
    <row r="56">
      <c r="A56" s="55">
        <v>46186.0</v>
      </c>
      <c r="B56" s="1" t="s">
        <v>494</v>
      </c>
      <c r="C56" s="1" t="str">
        <f>VLOOKUP(B56,MAESTRA!I:K,2,0)</f>
        <v>*20100*</v>
      </c>
      <c r="D56" s="1" t="str">
        <f>VLOOKUP(B56,MAESTRA!I:K,3,0)</f>
        <v>CANGUROS DAMA -</v>
      </c>
      <c r="E56" s="1" t="s">
        <v>484</v>
      </c>
      <c r="F56" s="45">
        <v>1.0</v>
      </c>
      <c r="G56" s="2">
        <v>28000.0</v>
      </c>
      <c r="H56" s="2">
        <f t="shared" si="1"/>
        <v>28000</v>
      </c>
      <c r="I56" s="2">
        <f t="shared" si="2"/>
        <v>56000</v>
      </c>
      <c r="J56" s="47">
        <f t="shared" si="3"/>
        <v>1</v>
      </c>
      <c r="K56" s="2">
        <f t="shared" si="4"/>
        <v>56000</v>
      </c>
      <c r="L56" s="1"/>
    </row>
    <row r="57">
      <c r="A57" s="55">
        <v>46186.0</v>
      </c>
      <c r="B57" s="1" t="s">
        <v>495</v>
      </c>
      <c r="C57" s="1" t="str">
        <f>VLOOKUP(B57,MAESTRA!I:K,2,0)</f>
        <v>*1831320*</v>
      </c>
      <c r="D57" s="1" t="str">
        <f>VLOOKUP(B57,MAESTRA!I:K,3,0)</f>
        <v>CARRIEL UNISEX FASHION</v>
      </c>
      <c r="E57" s="1" t="s">
        <v>484</v>
      </c>
      <c r="F57" s="45">
        <v>3.0</v>
      </c>
      <c r="G57" s="2">
        <v>33000.0</v>
      </c>
      <c r="H57" s="2">
        <f t="shared" si="1"/>
        <v>99000</v>
      </c>
      <c r="I57" s="2">
        <f t="shared" si="2"/>
        <v>66000</v>
      </c>
      <c r="J57" s="47">
        <f t="shared" si="3"/>
        <v>1</v>
      </c>
      <c r="K57" s="2">
        <f t="shared" si="4"/>
        <v>198000</v>
      </c>
      <c r="L57" s="1"/>
    </row>
    <row r="58">
      <c r="A58" s="55">
        <v>46186.0</v>
      </c>
      <c r="B58" s="1" t="s">
        <v>496</v>
      </c>
      <c r="C58" s="1" t="str">
        <f>VLOOKUP(B58,MAESTRA!I:K,2,0)</f>
        <v>*1712150*</v>
      </c>
      <c r="D58" s="1" t="str">
        <f>VLOOKUP(B58,MAESTRA!I:K,3,0)</f>
        <v>BOLSOS DAMA PLAYERO TOUS</v>
      </c>
      <c r="E58" s="1" t="s">
        <v>484</v>
      </c>
      <c r="F58" s="45">
        <v>1.0</v>
      </c>
      <c r="G58" s="2">
        <v>52000.0</v>
      </c>
      <c r="H58" s="2">
        <f t="shared" si="1"/>
        <v>52000</v>
      </c>
      <c r="I58" s="2">
        <f t="shared" si="2"/>
        <v>104000</v>
      </c>
      <c r="J58" s="47">
        <f t="shared" si="3"/>
        <v>1</v>
      </c>
      <c r="K58" s="2">
        <f t="shared" si="4"/>
        <v>104000</v>
      </c>
      <c r="L58" s="1"/>
    </row>
    <row r="59">
      <c r="A59" s="55">
        <v>46186.0</v>
      </c>
      <c r="B59" s="1" t="s">
        <v>497</v>
      </c>
      <c r="C59" s="1" t="str">
        <f>VLOOKUP(B59,MAESTRA!I:K,2,0)</f>
        <v>*1712710*</v>
      </c>
      <c r="D59" s="1" t="str">
        <f>VLOOKUP(B59,MAESTRA!I:K,3,0)</f>
        <v>BOLSOS DAMA TULA</v>
      </c>
      <c r="E59" s="1" t="s">
        <v>484</v>
      </c>
      <c r="F59" s="45">
        <v>1.0</v>
      </c>
      <c r="G59" s="2">
        <v>50000.0</v>
      </c>
      <c r="H59" s="2">
        <f t="shared" si="1"/>
        <v>50000</v>
      </c>
      <c r="I59" s="2">
        <f t="shared" si="2"/>
        <v>100000</v>
      </c>
      <c r="J59" s="47">
        <f t="shared" si="3"/>
        <v>1</v>
      </c>
      <c r="K59" s="2">
        <f t="shared" si="4"/>
        <v>100000</v>
      </c>
      <c r="L59" s="1"/>
    </row>
    <row r="60">
      <c r="A60" s="55">
        <v>46186.0</v>
      </c>
      <c r="B60" s="1" t="s">
        <v>498</v>
      </c>
      <c r="C60" s="1" t="str">
        <f>VLOOKUP(B60,MAESTRA!I:K,2,0)</f>
        <v>*1711820*</v>
      </c>
      <c r="D60" s="1" t="str">
        <f>VLOOKUP(B60,MAESTRA!I:K,3,0)</f>
        <v>BOLSOS DAMA MANOS LIBRES</v>
      </c>
      <c r="E60" s="1" t="s">
        <v>484</v>
      </c>
      <c r="F60" s="45">
        <v>1.0</v>
      </c>
      <c r="G60" s="2">
        <v>29000.0</v>
      </c>
      <c r="H60" s="2">
        <f t="shared" si="1"/>
        <v>29000</v>
      </c>
      <c r="I60" s="2">
        <f t="shared" si="2"/>
        <v>58000</v>
      </c>
      <c r="J60" s="47">
        <f t="shared" si="3"/>
        <v>1</v>
      </c>
      <c r="K60" s="2">
        <f t="shared" si="4"/>
        <v>58000</v>
      </c>
      <c r="L60" s="1"/>
    </row>
    <row r="61">
      <c r="A61" s="55">
        <v>46186.0</v>
      </c>
      <c r="B61" s="1" t="s">
        <v>499</v>
      </c>
      <c r="C61" s="1" t="str">
        <f>VLOOKUP(B61,MAESTRA!I:K,2,0)</f>
        <v>*1832740*</v>
      </c>
      <c r="D61" s="1" t="str">
        <f>VLOOKUP(B61,MAESTRA!I:K,3,0)</f>
        <v>CARRIEL UNISEX VALANT</v>
      </c>
      <c r="E61" s="1" t="s">
        <v>484</v>
      </c>
      <c r="F61" s="45">
        <v>1.0</v>
      </c>
      <c r="G61" s="2">
        <v>22000.0</v>
      </c>
      <c r="H61" s="2">
        <f t="shared" si="1"/>
        <v>22000</v>
      </c>
      <c r="I61" s="2">
        <f t="shared" si="2"/>
        <v>44000</v>
      </c>
      <c r="J61" s="47">
        <f t="shared" si="3"/>
        <v>1</v>
      </c>
      <c r="K61" s="2">
        <f t="shared" si="4"/>
        <v>44000</v>
      </c>
      <c r="L61" s="1"/>
    </row>
    <row r="62">
      <c r="A62" s="55">
        <v>46186.0</v>
      </c>
      <c r="B62" s="1" t="s">
        <v>489</v>
      </c>
      <c r="C62" s="1" t="str">
        <f>VLOOKUP(B62,MAESTRA!I:K,2,0)</f>
        <v>*171570*</v>
      </c>
      <c r="D62" s="1" t="str">
        <f>VLOOKUP(B62,MAESTRA!I:K,3,0)</f>
        <v>BOLSOS DAMA CADENA DORADA</v>
      </c>
      <c r="E62" s="1" t="s">
        <v>484</v>
      </c>
      <c r="F62" s="45">
        <v>1.0</v>
      </c>
      <c r="G62" s="2">
        <v>32000.0</v>
      </c>
      <c r="H62" s="2">
        <f t="shared" si="1"/>
        <v>32000</v>
      </c>
      <c r="I62" s="2">
        <f t="shared" si="2"/>
        <v>64000</v>
      </c>
      <c r="J62" s="47">
        <f t="shared" si="3"/>
        <v>1</v>
      </c>
      <c r="K62" s="2">
        <f t="shared" si="4"/>
        <v>64000</v>
      </c>
      <c r="L62" s="1"/>
    </row>
    <row r="63">
      <c r="A63" s="55">
        <v>46186.0</v>
      </c>
      <c r="B63" s="1" t="s">
        <v>500</v>
      </c>
      <c r="C63" s="1" t="str">
        <f>VLOOKUP(B63,MAESTRA!I:K,2,0)</f>
        <v>*17100*</v>
      </c>
      <c r="D63" s="1" t="str">
        <f>VLOOKUP(B63,MAESTRA!I:K,3,0)</f>
        <v>BOLSOS DAMA -</v>
      </c>
      <c r="E63" s="1" t="s">
        <v>484</v>
      </c>
      <c r="F63" s="45">
        <v>1.0</v>
      </c>
      <c r="G63" s="2">
        <v>35000.0</v>
      </c>
      <c r="H63" s="2">
        <f t="shared" si="1"/>
        <v>35000</v>
      </c>
      <c r="I63" s="2">
        <f t="shared" si="2"/>
        <v>70000</v>
      </c>
      <c r="J63" s="47">
        <f t="shared" si="3"/>
        <v>1</v>
      </c>
      <c r="K63" s="2">
        <f t="shared" si="4"/>
        <v>70000</v>
      </c>
      <c r="L63" s="1"/>
    </row>
    <row r="64">
      <c r="A64" s="55">
        <v>46186.0</v>
      </c>
      <c r="B64" s="1" t="s">
        <v>500</v>
      </c>
      <c r="C64" s="1" t="str">
        <f>VLOOKUP(B64,MAESTRA!I:K,2,0)</f>
        <v>*17100*</v>
      </c>
      <c r="D64" s="1" t="str">
        <f>VLOOKUP(B64,MAESTRA!I:K,3,0)</f>
        <v>BOLSOS DAMA -</v>
      </c>
      <c r="E64" s="1" t="s">
        <v>484</v>
      </c>
      <c r="F64" s="45">
        <v>1.0</v>
      </c>
      <c r="G64" s="2">
        <v>30000.0</v>
      </c>
      <c r="H64" s="2">
        <f t="shared" si="1"/>
        <v>30000</v>
      </c>
      <c r="I64" s="2">
        <f t="shared" si="2"/>
        <v>60000</v>
      </c>
      <c r="J64" s="47">
        <f t="shared" si="3"/>
        <v>1</v>
      </c>
      <c r="K64" s="2">
        <f t="shared" si="4"/>
        <v>60000</v>
      </c>
      <c r="L64" s="1"/>
    </row>
    <row r="65">
      <c r="A65" s="55">
        <v>46186.0</v>
      </c>
      <c r="B65" s="1" t="s">
        <v>501</v>
      </c>
      <c r="C65" s="1" t="str">
        <f>VLOOKUP(B65,MAESTRA!I:K,2,0)</f>
        <v>*171730*</v>
      </c>
      <c r="D65" s="1" t="str">
        <f>VLOOKUP(B65,MAESTRA!I:K,3,0)</f>
        <v>BOLSOS DAMA CHAPA DORADA</v>
      </c>
      <c r="E65" s="1" t="s">
        <v>484</v>
      </c>
      <c r="F65" s="45">
        <v>1.0</v>
      </c>
      <c r="G65" s="2">
        <v>30000.0</v>
      </c>
      <c r="H65" s="2">
        <f t="shared" si="1"/>
        <v>30000</v>
      </c>
      <c r="I65" s="2">
        <f t="shared" si="2"/>
        <v>60000</v>
      </c>
      <c r="J65" s="47">
        <f t="shared" si="3"/>
        <v>1</v>
      </c>
      <c r="K65" s="2">
        <f t="shared" si="4"/>
        <v>60000</v>
      </c>
      <c r="L65" s="1"/>
    </row>
    <row r="66">
      <c r="A66" s="55">
        <v>46186.0</v>
      </c>
      <c r="B66" s="1" t="s">
        <v>502</v>
      </c>
      <c r="C66" s="1" t="str">
        <f>VLOOKUP(B66,MAESTRA!I:K,2,0)</f>
        <v>*213860*</v>
      </c>
      <c r="D66" s="1" t="str">
        <f>VLOOKUP(B66,MAESTRA!I:K,3,0)</f>
        <v>CAJAS REGALO UNISEX COLOMBIA</v>
      </c>
      <c r="E66" s="1" t="s">
        <v>503</v>
      </c>
      <c r="F66" s="45">
        <v>12.0</v>
      </c>
      <c r="G66" s="2">
        <v>1800.0</v>
      </c>
      <c r="H66" s="2">
        <f t="shared" si="1"/>
        <v>21600</v>
      </c>
      <c r="I66" s="2">
        <f t="shared" si="2"/>
        <v>4000</v>
      </c>
      <c r="J66" s="47">
        <f t="shared" si="3"/>
        <v>1.222222222</v>
      </c>
      <c r="K66" s="2">
        <f t="shared" si="4"/>
        <v>48000</v>
      </c>
      <c r="L66" s="1"/>
    </row>
    <row r="67">
      <c r="A67" s="55">
        <v>46186.0</v>
      </c>
      <c r="B67" s="1" t="s">
        <v>504</v>
      </c>
      <c r="C67" s="1" t="str">
        <f>VLOOKUP(B67,MAESTRA!I:K,2,0)</f>
        <v>*48300*</v>
      </c>
      <c r="D67" s="1" t="str">
        <f>VLOOKUP(B67,MAESTRA!I:K,3,0)</f>
        <v>BOLSAS JOYERIA UNISEX -</v>
      </c>
      <c r="E67" s="1" t="s">
        <v>503</v>
      </c>
      <c r="F67" s="45">
        <v>100.0</v>
      </c>
      <c r="G67" s="2">
        <v>200.0</v>
      </c>
      <c r="H67" s="2">
        <f t="shared" si="1"/>
        <v>20000</v>
      </c>
      <c r="I67" s="2">
        <f t="shared" si="2"/>
        <v>1000</v>
      </c>
      <c r="J67" s="47">
        <f t="shared" si="3"/>
        <v>4</v>
      </c>
      <c r="K67" s="2">
        <f t="shared" si="4"/>
        <v>100000</v>
      </c>
      <c r="L67" s="1"/>
    </row>
    <row r="68">
      <c r="A68" s="55">
        <v>46186.0</v>
      </c>
      <c r="B68" s="1" t="s">
        <v>505</v>
      </c>
      <c r="C68" s="1" t="str">
        <f>VLOOKUP(B68,MAESTRA!I:K,2,0)</f>
        <v>*49300*</v>
      </c>
      <c r="D68" s="1" t="str">
        <f>VLOOKUP(B68,MAESTRA!I:K,3,0)</f>
        <v>CAJAS JOYERIA UNISEX -</v>
      </c>
      <c r="E68" s="1" t="s">
        <v>503</v>
      </c>
      <c r="F68" s="45">
        <v>24.0</v>
      </c>
      <c r="G68" s="2">
        <v>1250.0</v>
      </c>
      <c r="H68" s="2">
        <f t="shared" si="1"/>
        <v>30000</v>
      </c>
      <c r="I68" s="2">
        <f t="shared" si="2"/>
        <v>3000</v>
      </c>
      <c r="J68" s="47">
        <f t="shared" si="3"/>
        <v>1.4</v>
      </c>
      <c r="K68" s="2">
        <f t="shared" si="4"/>
        <v>72000</v>
      </c>
      <c r="L68" s="1"/>
    </row>
    <row r="69">
      <c r="A69" s="55">
        <v>46186.0</v>
      </c>
      <c r="B69" s="1" t="s">
        <v>506</v>
      </c>
      <c r="C69" s="1" t="str">
        <f>VLOOKUP(B69,MAESTRA!I:K,2,0)</f>
        <v>*2221910*</v>
      </c>
      <c r="D69" s="1" t="str">
        <f>VLOOKUP(B69,MAESTRA!I:K,3,0)</f>
        <v>CORREAS CABALLERO MONT BLANC</v>
      </c>
      <c r="E69" s="1" t="s">
        <v>484</v>
      </c>
      <c r="F69" s="45">
        <v>1.0</v>
      </c>
      <c r="G69" s="2">
        <v>35000.0</v>
      </c>
      <c r="H69" s="2">
        <f t="shared" si="1"/>
        <v>35000</v>
      </c>
      <c r="I69" s="2">
        <f t="shared" si="2"/>
        <v>70000</v>
      </c>
      <c r="J69" s="47">
        <f t="shared" si="3"/>
        <v>1</v>
      </c>
      <c r="K69" s="2">
        <f t="shared" si="4"/>
        <v>70000</v>
      </c>
      <c r="L69" s="1"/>
    </row>
    <row r="70">
      <c r="A70" s="55">
        <v>46186.0</v>
      </c>
      <c r="B70" s="1" t="s">
        <v>507</v>
      </c>
      <c r="C70" s="1" t="str">
        <f>VLOOKUP(B70,MAESTRA!I:K,2,0)</f>
        <v>*502620*</v>
      </c>
      <c r="D70" s="1" t="str">
        <f>VLOOKUP(B70,MAESTRA!I:K,3,0)</f>
        <v>CINTURON+BILLETERA CABALLERO CAJA VERSACE</v>
      </c>
      <c r="E70" s="1" t="s">
        <v>484</v>
      </c>
      <c r="F70" s="45">
        <v>2.0</v>
      </c>
      <c r="G70" s="2">
        <v>30000.0</v>
      </c>
      <c r="H70" s="2">
        <f t="shared" si="1"/>
        <v>60000</v>
      </c>
      <c r="I70" s="2">
        <f t="shared" si="2"/>
        <v>60000</v>
      </c>
      <c r="J70" s="47">
        <f t="shared" si="3"/>
        <v>1</v>
      </c>
      <c r="K70" s="2">
        <f t="shared" si="4"/>
        <v>120000</v>
      </c>
      <c r="L70" s="1"/>
    </row>
    <row r="71">
      <c r="A71" s="55">
        <v>46186.0</v>
      </c>
      <c r="B71" s="1" t="s">
        <v>508</v>
      </c>
      <c r="C71" s="1" t="str">
        <f>VLOOKUP(B71,MAESTRA!I:K,2,0)</f>
        <v>*502600*</v>
      </c>
      <c r="D71" s="1" t="str">
        <f>VLOOKUP(B71,MAESTRA!I:K,3,0)</f>
        <v>CINTURON+BILLETERA CABALLERO CAJA GUCCI</v>
      </c>
      <c r="E71" s="1" t="s">
        <v>484</v>
      </c>
      <c r="F71" s="45">
        <v>1.0</v>
      </c>
      <c r="G71" s="2">
        <v>38000.0</v>
      </c>
      <c r="H71" s="2">
        <f t="shared" si="1"/>
        <v>38000</v>
      </c>
      <c r="I71" s="2">
        <f t="shared" si="2"/>
        <v>76000</v>
      </c>
      <c r="J71" s="47">
        <f t="shared" si="3"/>
        <v>1</v>
      </c>
      <c r="K71" s="2">
        <f t="shared" si="4"/>
        <v>76000</v>
      </c>
      <c r="L71" s="1"/>
    </row>
    <row r="72">
      <c r="A72" s="55">
        <v>46186.0</v>
      </c>
      <c r="B72" s="1" t="s">
        <v>509</v>
      </c>
      <c r="C72" s="1" t="str">
        <f>VLOOKUP(B72,MAESTRA!I:K,2,0)</f>
        <v>*502610*</v>
      </c>
      <c r="D72" s="1" t="str">
        <f>VLOOKUP(B72,MAESTRA!I:K,3,0)</f>
        <v>CINTURON+BILLETERA CABALLERO CAJA HERMES</v>
      </c>
      <c r="E72" s="1" t="s">
        <v>484</v>
      </c>
      <c r="F72" s="45">
        <v>1.0</v>
      </c>
      <c r="G72" s="2">
        <v>38000.0</v>
      </c>
      <c r="H72" s="2">
        <f t="shared" si="1"/>
        <v>38000</v>
      </c>
      <c r="I72" s="2">
        <f t="shared" si="2"/>
        <v>76000</v>
      </c>
      <c r="J72" s="47">
        <f t="shared" si="3"/>
        <v>1</v>
      </c>
      <c r="K72" s="2">
        <f t="shared" si="4"/>
        <v>76000</v>
      </c>
      <c r="L72" s="1"/>
    </row>
    <row r="73">
      <c r="A73" s="55">
        <v>46186.0</v>
      </c>
      <c r="B73" s="1" t="s">
        <v>510</v>
      </c>
      <c r="C73" s="1" t="str">
        <f>VLOOKUP(B73,MAESTRA!I:K,2,0)</f>
        <v>*2321910*</v>
      </c>
      <c r="D73" s="1" t="str">
        <f>VLOOKUP(B73,MAESTRA!I:K,3,0)</f>
        <v>BILLETERAS CABALLERO MONT BLANC</v>
      </c>
      <c r="E73" s="1" t="s">
        <v>484</v>
      </c>
      <c r="F73" s="45">
        <v>1.0</v>
      </c>
      <c r="G73" s="2">
        <v>35000.0</v>
      </c>
      <c r="H73" s="2">
        <f t="shared" si="1"/>
        <v>35000</v>
      </c>
      <c r="I73" s="2">
        <f t="shared" si="2"/>
        <v>70000</v>
      </c>
      <c r="J73" s="47">
        <f t="shared" si="3"/>
        <v>1</v>
      </c>
      <c r="K73" s="2">
        <f t="shared" si="4"/>
        <v>70000</v>
      </c>
      <c r="L73" s="1"/>
    </row>
    <row r="74">
      <c r="A74" s="55">
        <v>46186.0</v>
      </c>
      <c r="B74" s="1" t="s">
        <v>511</v>
      </c>
      <c r="C74" s="1" t="str">
        <f>VLOOKUP(B74,MAESTRA!I:K,2,0)</f>
        <v>*222630*</v>
      </c>
      <c r="D74" s="1" t="str">
        <f>VLOOKUP(B74,MAESTRA!I:K,3,0)</f>
        <v>CORREAS CABALLERO CALVIN KLEIN</v>
      </c>
      <c r="E74" s="1" t="s">
        <v>484</v>
      </c>
      <c r="F74" s="45">
        <v>1.0</v>
      </c>
      <c r="G74" s="2">
        <v>35000.0</v>
      </c>
      <c r="H74" s="2">
        <f t="shared" si="1"/>
        <v>35000</v>
      </c>
      <c r="I74" s="2">
        <f t="shared" si="2"/>
        <v>70000</v>
      </c>
      <c r="J74" s="47">
        <f t="shared" si="3"/>
        <v>1</v>
      </c>
      <c r="K74" s="2">
        <f t="shared" si="4"/>
        <v>70000</v>
      </c>
      <c r="L74" s="1"/>
    </row>
    <row r="75">
      <c r="A75" s="55">
        <v>46186.0</v>
      </c>
      <c r="B75" s="1" t="s">
        <v>512</v>
      </c>
      <c r="C75" s="1" t="str">
        <f>VLOOKUP(B75,MAESTRA!I:K,2,0)</f>
        <v>*232630*</v>
      </c>
      <c r="D75" s="1" t="str">
        <f>VLOOKUP(B75,MAESTRA!I:K,3,0)</f>
        <v>BILLETERAS CABALLERO CALVIN KLEIN</v>
      </c>
      <c r="E75" s="1" t="s">
        <v>484</v>
      </c>
      <c r="F75" s="45">
        <v>1.0</v>
      </c>
      <c r="G75" s="2">
        <v>35000.0</v>
      </c>
      <c r="H75" s="2">
        <f t="shared" si="1"/>
        <v>35000</v>
      </c>
      <c r="I75" s="2">
        <f t="shared" si="2"/>
        <v>70000</v>
      </c>
      <c r="J75" s="47">
        <f t="shared" si="3"/>
        <v>1</v>
      </c>
      <c r="K75" s="2">
        <f t="shared" si="4"/>
        <v>70000</v>
      </c>
      <c r="L75" s="1"/>
    </row>
    <row r="76">
      <c r="A76" s="55">
        <v>46186.0</v>
      </c>
      <c r="B76" s="1" t="s">
        <v>513</v>
      </c>
      <c r="C76" s="1" t="str">
        <f>VLOOKUP(B76,MAESTRA!I:K,2,0)</f>
        <v>*2221780*</v>
      </c>
      <c r="D76" s="1" t="str">
        <f>VLOOKUP(B76,MAESTRA!I:K,3,0)</f>
        <v>CORREAS CABALLERO LOUIS VUITTON</v>
      </c>
      <c r="E76" s="1" t="s">
        <v>484</v>
      </c>
      <c r="F76" s="45">
        <v>1.0</v>
      </c>
      <c r="G76" s="2">
        <v>30000.0</v>
      </c>
      <c r="H76" s="2">
        <f t="shared" si="1"/>
        <v>30000</v>
      </c>
      <c r="I76" s="2">
        <f t="shared" si="2"/>
        <v>60000</v>
      </c>
      <c r="J76" s="47">
        <f t="shared" si="3"/>
        <v>1</v>
      </c>
      <c r="K76" s="2">
        <f t="shared" si="4"/>
        <v>60000</v>
      </c>
      <c r="L76" s="1"/>
    </row>
    <row r="77">
      <c r="A77" s="55">
        <v>46186.0</v>
      </c>
      <c r="B77" s="1" t="s">
        <v>514</v>
      </c>
      <c r="C77" s="1" t="str">
        <f>VLOOKUP(B77,MAESTRA!I:K,2,0)</f>
        <v>*2321780*</v>
      </c>
      <c r="D77" s="1" t="str">
        <f>VLOOKUP(B77,MAESTRA!I:K,3,0)</f>
        <v>BILLETERAS CABALLERO LOUIS VUITTON</v>
      </c>
      <c r="E77" s="1" t="s">
        <v>484</v>
      </c>
      <c r="F77" s="45">
        <v>1.0</v>
      </c>
      <c r="G77" s="2">
        <v>35000.0</v>
      </c>
      <c r="H77" s="2">
        <f t="shared" si="1"/>
        <v>35000</v>
      </c>
      <c r="I77" s="2">
        <f t="shared" si="2"/>
        <v>70000</v>
      </c>
      <c r="J77" s="47">
        <f t="shared" si="3"/>
        <v>1</v>
      </c>
      <c r="K77" s="2">
        <f t="shared" si="4"/>
        <v>70000</v>
      </c>
      <c r="L77" s="1"/>
    </row>
    <row r="78">
      <c r="A78" s="55">
        <v>46186.0</v>
      </c>
      <c r="B78" s="1" t="s">
        <v>515</v>
      </c>
      <c r="C78" s="1" t="str">
        <f>VLOOKUP(B78,MAESTRA!I:K,2,0)</f>
        <v>*2221330*</v>
      </c>
      <c r="D78" s="1" t="str">
        <f>VLOOKUP(B78,MAESTRA!I:K,3,0)</f>
        <v>CORREAS CABALLERO FERREGAMO</v>
      </c>
      <c r="E78" s="1" t="s">
        <v>484</v>
      </c>
      <c r="F78" s="45">
        <v>1.0</v>
      </c>
      <c r="G78" s="2">
        <v>24000.0</v>
      </c>
      <c r="H78" s="2">
        <f t="shared" si="1"/>
        <v>24000</v>
      </c>
      <c r="I78" s="2">
        <f t="shared" si="2"/>
        <v>48000</v>
      </c>
      <c r="J78" s="47">
        <f t="shared" si="3"/>
        <v>1</v>
      </c>
      <c r="K78" s="2">
        <f t="shared" si="4"/>
        <v>48000</v>
      </c>
      <c r="L78" s="1"/>
    </row>
    <row r="79">
      <c r="A79" s="55">
        <v>46186.0</v>
      </c>
      <c r="B79" s="1" t="s">
        <v>516</v>
      </c>
      <c r="C79" s="1" t="str">
        <f>VLOOKUP(B79,MAESTRA!I:K,2,0)</f>
        <v>*8118130*</v>
      </c>
      <c r="D79" s="1" t="str">
        <f>VLOOKUP(B79,MAESTRA!I:K,3,0)</f>
        <v>VESTIDOS DAMA MANGA LARGA TALLA UN</v>
      </c>
      <c r="E79" s="1" t="s">
        <v>517</v>
      </c>
      <c r="F79" s="45">
        <v>3.0</v>
      </c>
      <c r="G79" s="2">
        <v>40000.0</v>
      </c>
      <c r="H79" s="2">
        <f t="shared" si="1"/>
        <v>120000</v>
      </c>
      <c r="I79" s="2">
        <f t="shared" si="2"/>
        <v>80000</v>
      </c>
      <c r="J79" s="47">
        <f t="shared" si="3"/>
        <v>1</v>
      </c>
      <c r="K79" s="2">
        <f t="shared" si="4"/>
        <v>240000</v>
      </c>
      <c r="L79" s="1"/>
    </row>
    <row r="80">
      <c r="A80" s="55">
        <v>46186.0</v>
      </c>
      <c r="B80" s="1" t="s">
        <v>518</v>
      </c>
      <c r="C80" s="1" t="str">
        <f>VLOOKUP(B80,MAESTRA!I:K,2,0)</f>
        <v>*8111230*</v>
      </c>
      <c r="D80" s="1" t="str">
        <f>VLOOKUP(B80,MAESTRA!I:K,3,0)</f>
        <v>VESTIDOS DAMA DE TIRAS TALLA UN</v>
      </c>
      <c r="E80" s="1" t="s">
        <v>517</v>
      </c>
      <c r="F80" s="45">
        <v>3.0</v>
      </c>
      <c r="G80" s="2">
        <v>35000.0</v>
      </c>
      <c r="H80" s="2">
        <f t="shared" si="1"/>
        <v>105000</v>
      </c>
      <c r="I80" s="2">
        <f t="shared" si="2"/>
        <v>70000</v>
      </c>
      <c r="J80" s="47">
        <f t="shared" si="3"/>
        <v>1</v>
      </c>
      <c r="K80" s="2">
        <f t="shared" si="4"/>
        <v>210000</v>
      </c>
      <c r="L80" s="1"/>
    </row>
    <row r="81">
      <c r="A81" s="55">
        <v>46186.0</v>
      </c>
      <c r="B81" s="1" t="s">
        <v>519</v>
      </c>
      <c r="C81" s="1" t="str">
        <f>VLOOKUP(B81,MAESTRA!I:K,2,0)</f>
        <v>*613430*</v>
      </c>
      <c r="D81" s="1" t="str">
        <f>VLOOKUP(B81,MAESTRA!I:K,3,0)</f>
        <v>BLUSAS DAMA ASIMETRICA 1 HOMBRO TALLA UN</v>
      </c>
      <c r="E81" s="1" t="s">
        <v>517</v>
      </c>
      <c r="F81" s="45">
        <v>5.0</v>
      </c>
      <c r="G81" s="2">
        <v>22000.0</v>
      </c>
      <c r="H81" s="2">
        <f t="shared" si="1"/>
        <v>110000</v>
      </c>
      <c r="I81" s="2">
        <f t="shared" si="2"/>
        <v>44000</v>
      </c>
      <c r="J81" s="47">
        <f t="shared" si="3"/>
        <v>1</v>
      </c>
      <c r="K81" s="2">
        <f t="shared" si="4"/>
        <v>220000</v>
      </c>
      <c r="L81" s="1"/>
    </row>
    <row r="82">
      <c r="A82" s="55">
        <v>46186.0</v>
      </c>
      <c r="B82" s="1" t="s">
        <v>520</v>
      </c>
      <c r="C82" s="1" t="str">
        <f>VLOOKUP(B82,MAESTRA!I:K,2,0)</f>
        <v>*51126330*</v>
      </c>
      <c r="D82" s="1" t="str">
        <f>VLOOKUP(B82,MAESTRA!I:K,3,0)</f>
        <v>STRAPLE DAMA TIRA CUELLO TALLA UN</v>
      </c>
      <c r="E82" s="1" t="s">
        <v>517</v>
      </c>
      <c r="F82" s="45">
        <v>5.0</v>
      </c>
      <c r="G82" s="2">
        <v>20000.0</v>
      </c>
      <c r="H82" s="2">
        <f t="shared" si="1"/>
        <v>100000</v>
      </c>
      <c r="I82" s="2">
        <f t="shared" si="2"/>
        <v>40000</v>
      </c>
      <c r="J82" s="47">
        <f t="shared" si="3"/>
        <v>1</v>
      </c>
      <c r="K82" s="2">
        <f t="shared" si="4"/>
        <v>200000</v>
      </c>
      <c r="L82" s="1"/>
    </row>
    <row r="83">
      <c r="A83" s="55">
        <v>46186.0</v>
      </c>
      <c r="B83" s="1" t="s">
        <v>521</v>
      </c>
      <c r="C83" s="1" t="str">
        <f>VLOOKUP(B83,MAESTRA!I:K,2,0)</f>
        <v>*715030*</v>
      </c>
      <c r="D83" s="1" t="str">
        <f>VLOOKUP(B83,MAESTRA!I:K,3,0)</f>
        <v>TEJIDOS DAMA BOTONES TALLA UN</v>
      </c>
      <c r="E83" s="1" t="s">
        <v>522</v>
      </c>
      <c r="F83" s="45">
        <v>4.0</v>
      </c>
      <c r="G83" s="2">
        <v>30000.0</v>
      </c>
      <c r="H83" s="2">
        <f t="shared" si="1"/>
        <v>120000</v>
      </c>
      <c r="I83" s="2">
        <f t="shared" si="2"/>
        <v>60000</v>
      </c>
      <c r="J83" s="47">
        <f t="shared" si="3"/>
        <v>1</v>
      </c>
      <c r="K83" s="2">
        <f t="shared" si="4"/>
        <v>240000</v>
      </c>
      <c r="L83" s="1"/>
    </row>
    <row r="84">
      <c r="A84" s="55">
        <v>46186.0</v>
      </c>
      <c r="B84" s="1" t="s">
        <v>523</v>
      </c>
      <c r="C84" s="1" t="str">
        <f>VLOOKUP(B84,MAESTRA!I:K,2,0)</f>
        <v>*7110830*</v>
      </c>
      <c r="D84" s="1" t="str">
        <f>VLOOKUP(B84,MAESTRA!I:K,3,0)</f>
        <v>TEJIDOS DAMA CUELLO REDONDO TALLA UN</v>
      </c>
      <c r="E84" s="1" t="s">
        <v>522</v>
      </c>
      <c r="F84" s="45">
        <v>4.0</v>
      </c>
      <c r="G84" s="2">
        <v>30000.0</v>
      </c>
      <c r="H84" s="2">
        <f t="shared" si="1"/>
        <v>120000</v>
      </c>
      <c r="I84" s="2">
        <f t="shared" si="2"/>
        <v>60000</v>
      </c>
      <c r="J84" s="47">
        <f t="shared" si="3"/>
        <v>1</v>
      </c>
      <c r="K84" s="2">
        <f t="shared" si="4"/>
        <v>240000</v>
      </c>
      <c r="L84" s="1"/>
    </row>
    <row r="85">
      <c r="A85" s="55">
        <v>46186.0</v>
      </c>
      <c r="B85" s="1" t="s">
        <v>524</v>
      </c>
      <c r="C85" s="1" t="str">
        <f>VLOOKUP(B85,MAESTRA!I:K,2,0)</f>
        <v>*521030*</v>
      </c>
      <c r="D85" s="1" t="str">
        <f>VLOOKUP(B85,MAESTRA!I:K,3,0)</f>
        <v>BATAS TEJIDO DAMA - TALLA UN</v>
      </c>
      <c r="E85" s="1" t="s">
        <v>522</v>
      </c>
      <c r="F85" s="45">
        <v>6.0</v>
      </c>
      <c r="G85" s="2">
        <v>23000.0</v>
      </c>
      <c r="H85" s="2">
        <f t="shared" si="1"/>
        <v>138000</v>
      </c>
      <c r="I85" s="2">
        <f t="shared" si="2"/>
        <v>46000</v>
      </c>
      <c r="J85" s="47">
        <f t="shared" si="3"/>
        <v>1</v>
      </c>
      <c r="K85" s="2">
        <f t="shared" si="4"/>
        <v>276000</v>
      </c>
      <c r="L85" s="1"/>
    </row>
    <row r="86">
      <c r="A86" s="55">
        <v>46186.0</v>
      </c>
      <c r="B86" s="1" t="s">
        <v>525</v>
      </c>
      <c r="C86" s="1" t="str">
        <f>VLOOKUP(B86,MAESTRA!I:K,2,0)</f>
        <v>*2414931*</v>
      </c>
      <c r="D86" s="1" t="str">
        <f>VLOOKUP(B86,MAESTRA!I:K,3,0)</f>
        <v>MEDIAS DAMA BORDADA VALANT TALLA VA</v>
      </c>
      <c r="E86" s="1" t="s">
        <v>526</v>
      </c>
      <c r="F86" s="45">
        <v>12.0</v>
      </c>
      <c r="G86" s="2">
        <v>3000.0</v>
      </c>
      <c r="H86" s="2">
        <f t="shared" si="1"/>
        <v>36000</v>
      </c>
      <c r="I86" s="2">
        <f t="shared" si="2"/>
        <v>6000</v>
      </c>
      <c r="J86" s="47">
        <f t="shared" si="3"/>
        <v>1</v>
      </c>
      <c r="K86" s="2">
        <f t="shared" si="4"/>
        <v>72000</v>
      </c>
      <c r="L86" s="1"/>
    </row>
    <row r="87">
      <c r="A87" s="55">
        <v>46186.0</v>
      </c>
      <c r="B87" s="1" t="s">
        <v>527</v>
      </c>
      <c r="C87" s="1" t="str">
        <f>VLOOKUP(B87,MAESTRA!I:K,2,0)</f>
        <v>*24125531*</v>
      </c>
      <c r="D87" s="1" t="str">
        <f>VLOOKUP(B87,MAESTRA!I:K,3,0)</f>
        <v>MEDIAS DAMA TALONERA HOLALA TALLA VA</v>
      </c>
      <c r="E87" s="1" t="s">
        <v>526</v>
      </c>
      <c r="F87" s="45">
        <v>36.0</v>
      </c>
      <c r="G87" s="2">
        <v>2000.0</v>
      </c>
      <c r="H87" s="2">
        <f t="shared" si="1"/>
        <v>72000</v>
      </c>
      <c r="I87" s="2">
        <f t="shared" si="2"/>
        <v>4000</v>
      </c>
      <c r="J87" s="47">
        <f t="shared" si="3"/>
        <v>1</v>
      </c>
      <c r="K87" s="2">
        <f t="shared" si="4"/>
        <v>144000</v>
      </c>
      <c r="L87" s="1"/>
    </row>
    <row r="88">
      <c r="A88" s="55">
        <v>46186.0</v>
      </c>
      <c r="B88" s="1" t="s">
        <v>528</v>
      </c>
      <c r="C88" s="1" t="str">
        <f>VLOOKUP(B88,MAESTRA!I:K,2,0)</f>
        <v>*24125631*</v>
      </c>
      <c r="D88" s="1" t="str">
        <f>VLOOKUP(B88,MAESTRA!I:K,3,0)</f>
        <v>MEDIAS DAMA TALONERA TOBILLERA TALLA VA</v>
      </c>
      <c r="E88" s="1" t="s">
        <v>526</v>
      </c>
      <c r="F88" s="45">
        <v>36.0</v>
      </c>
      <c r="G88" s="2">
        <v>1083.0</v>
      </c>
      <c r="H88" s="2">
        <f t="shared" si="1"/>
        <v>38988</v>
      </c>
      <c r="I88" s="2">
        <f t="shared" si="2"/>
        <v>3000</v>
      </c>
      <c r="J88" s="47">
        <f t="shared" si="3"/>
        <v>1.770083102</v>
      </c>
      <c r="K88" s="2">
        <f t="shared" si="4"/>
        <v>108000</v>
      </c>
      <c r="L88" s="1"/>
    </row>
    <row r="89">
      <c r="A89" s="55">
        <v>46186.0</v>
      </c>
      <c r="B89" s="1" t="s">
        <v>529</v>
      </c>
      <c r="C89" s="1" t="str">
        <f>VLOOKUP(B89,MAESTRA!I:K,2,0)</f>
        <v>*24113431*</v>
      </c>
      <c r="D89" s="1" t="str">
        <f>VLOOKUP(B89,MAESTRA!I:K,3,0)</f>
        <v>MEDIAS DAMA FINA HOLALA TALLA VA</v>
      </c>
      <c r="E89" s="1" t="s">
        <v>526</v>
      </c>
      <c r="F89" s="45">
        <v>12.0</v>
      </c>
      <c r="G89" s="2">
        <v>2167.0</v>
      </c>
      <c r="H89" s="2">
        <f t="shared" si="1"/>
        <v>26004</v>
      </c>
      <c r="I89" s="2">
        <f t="shared" si="2"/>
        <v>5000</v>
      </c>
      <c r="J89" s="47">
        <f t="shared" si="3"/>
        <v>1.307337333</v>
      </c>
      <c r="K89" s="2">
        <f t="shared" si="4"/>
        <v>60000</v>
      </c>
      <c r="L89" s="1"/>
    </row>
    <row r="90">
      <c r="A90" s="55">
        <v>46186.0</v>
      </c>
      <c r="B90" s="1" t="s">
        <v>530</v>
      </c>
      <c r="C90" s="1" t="str">
        <f>VLOOKUP(B90,MAESTRA!I:K,2,0)</f>
        <v>*24118331*</v>
      </c>
      <c r="D90" s="1" t="str">
        <f>VLOOKUP(B90,MAESTRA!I:K,3,0)</f>
        <v>MEDIAS DAMA MARCADA HOLALA TALLA VA</v>
      </c>
      <c r="E90" s="1" t="s">
        <v>526</v>
      </c>
      <c r="F90" s="45">
        <v>12.0</v>
      </c>
      <c r="G90" s="2">
        <v>2333.0</v>
      </c>
      <c r="H90" s="2">
        <f t="shared" si="1"/>
        <v>27996</v>
      </c>
      <c r="I90" s="2">
        <f t="shared" si="2"/>
        <v>5000</v>
      </c>
      <c r="J90" s="47">
        <f t="shared" si="3"/>
        <v>1.143163309</v>
      </c>
      <c r="K90" s="2">
        <f t="shared" si="4"/>
        <v>60000</v>
      </c>
      <c r="L90" s="1"/>
    </row>
    <row r="91">
      <c r="A91" s="55">
        <v>46186.0</v>
      </c>
      <c r="B91" s="1" t="s">
        <v>531</v>
      </c>
      <c r="C91" s="1" t="str">
        <f>VLOOKUP(B91,MAESTRA!I:K,2,0)</f>
        <v>*242331*</v>
      </c>
      <c r="D91" s="1" t="str">
        <f>VLOOKUP(B91,MAESTRA!I:K,3,0)</f>
        <v>MEDIAS CABALLERO 3/4 VALANT TALLA VA</v>
      </c>
      <c r="E91" s="1" t="s">
        <v>526</v>
      </c>
      <c r="F91" s="45">
        <v>12.0</v>
      </c>
      <c r="G91" s="2">
        <v>2000.0</v>
      </c>
      <c r="H91" s="2">
        <f t="shared" si="1"/>
        <v>24000</v>
      </c>
      <c r="I91" s="2">
        <f t="shared" si="2"/>
        <v>4000</v>
      </c>
      <c r="J91" s="47">
        <f t="shared" si="3"/>
        <v>1</v>
      </c>
      <c r="K91" s="2">
        <f t="shared" si="4"/>
        <v>48000</v>
      </c>
      <c r="L91" s="1"/>
    </row>
    <row r="92">
      <c r="A92" s="55">
        <v>46186.0</v>
      </c>
      <c r="B92" s="1" t="s">
        <v>532</v>
      </c>
      <c r="C92" s="1" t="str">
        <f>VLOOKUP(B92,MAESTRA!I:K,2,0)</f>
        <v>*24216531*</v>
      </c>
      <c r="D92" s="1" t="str">
        <f>VLOOKUP(B92,MAESTRA!I:K,3,0)</f>
        <v>MEDIAS CABALLERO LARGA HOLALA TALLA VA</v>
      </c>
      <c r="E92" s="1" t="s">
        <v>526</v>
      </c>
      <c r="F92" s="45">
        <v>12.0</v>
      </c>
      <c r="G92" s="2">
        <v>3167.0</v>
      </c>
      <c r="H92" s="2">
        <f t="shared" si="1"/>
        <v>38004</v>
      </c>
      <c r="I92" s="2">
        <f t="shared" si="2"/>
        <v>7000</v>
      </c>
      <c r="J92" s="47">
        <f t="shared" si="3"/>
        <v>1.210293653</v>
      </c>
      <c r="K92" s="2">
        <f t="shared" si="4"/>
        <v>84000</v>
      </c>
      <c r="L92" s="1"/>
    </row>
    <row r="93">
      <c r="A93" s="55">
        <v>46186.0</v>
      </c>
      <c r="B93" s="1" t="s">
        <v>533</v>
      </c>
      <c r="C93" s="1" t="str">
        <f>VLOOKUP(B93,MAESTRA!I:K,2,0)</f>
        <v>*2422640*</v>
      </c>
      <c r="D93" s="1" t="str">
        <f>VLOOKUP(B93,MAESTRA!I:K,3,0)</f>
        <v>MEDIAS CABALLERO TOBILLERA COTLINE</v>
      </c>
      <c r="E93" s="1" t="s">
        <v>526</v>
      </c>
      <c r="F93" s="45">
        <v>12.0</v>
      </c>
      <c r="G93" s="2">
        <v>1500.0</v>
      </c>
      <c r="H93" s="2">
        <f t="shared" si="1"/>
        <v>18000</v>
      </c>
      <c r="I93" s="2">
        <f t="shared" si="2"/>
        <v>3000</v>
      </c>
      <c r="J93" s="47">
        <f t="shared" si="3"/>
        <v>1</v>
      </c>
      <c r="K93" s="2">
        <f t="shared" si="4"/>
        <v>36000</v>
      </c>
      <c r="L93" s="1"/>
    </row>
    <row r="94">
      <c r="A94" s="55">
        <v>46186.0</v>
      </c>
      <c r="B94" s="1" t="s">
        <v>534</v>
      </c>
      <c r="C94" s="1" t="str">
        <f>VLOOKUP(B94,MAESTRA!I:K,2,0)</f>
        <v>*242760*</v>
      </c>
      <c r="D94" s="1" t="str">
        <f>VLOOKUP(B94,MAESTRA!I:K,3,0)</f>
        <v>MEDIAS CABALLERO CLASICA FINA</v>
      </c>
      <c r="E94" s="1" t="s">
        <v>526</v>
      </c>
      <c r="F94" s="45">
        <v>12.0</v>
      </c>
      <c r="G94" s="2">
        <v>2667.0</v>
      </c>
      <c r="H94" s="2">
        <f t="shared" si="1"/>
        <v>32004</v>
      </c>
      <c r="I94" s="2">
        <f t="shared" si="2"/>
        <v>6000</v>
      </c>
      <c r="J94" s="47">
        <f t="shared" si="3"/>
        <v>1.249718785</v>
      </c>
      <c r="K94" s="2">
        <f t="shared" si="4"/>
        <v>72000</v>
      </c>
      <c r="L94" s="1"/>
    </row>
    <row r="95">
      <c r="A95" s="55">
        <v>46186.0</v>
      </c>
      <c r="B95" s="1" t="s">
        <v>535</v>
      </c>
      <c r="C95" s="1" t="str">
        <f>VLOOKUP(B95,MAESTRA!I:K,2,0)</f>
        <v>*242770*</v>
      </c>
      <c r="D95" s="1" t="str">
        <f>VLOOKUP(B95,MAESTRA!I:K,3,0)</f>
        <v>MEDIAS CABALLERO CLASICAS</v>
      </c>
      <c r="E95" s="1" t="s">
        <v>526</v>
      </c>
      <c r="F95" s="45">
        <v>12.0</v>
      </c>
      <c r="G95" s="2">
        <v>1500.0</v>
      </c>
      <c r="H95" s="2">
        <f t="shared" si="1"/>
        <v>18000</v>
      </c>
      <c r="I95" s="2">
        <f t="shared" si="2"/>
        <v>3000</v>
      </c>
      <c r="J95" s="47">
        <f t="shared" si="3"/>
        <v>1</v>
      </c>
      <c r="K95" s="2">
        <f t="shared" si="4"/>
        <v>36000</v>
      </c>
      <c r="L95" s="1"/>
    </row>
    <row r="96">
      <c r="A96" s="55">
        <v>46186.0</v>
      </c>
      <c r="B96" s="1" t="s">
        <v>536</v>
      </c>
      <c r="C96" s="1" t="str">
        <f>VLOOKUP(B96,MAESTRA!I:K,2,0)</f>
        <v>*2422650*</v>
      </c>
      <c r="D96" s="1" t="str">
        <f>VLOOKUP(B96,MAESTRA!I:K,3,0)</f>
        <v>MEDIAS CABALLERO TOBILLERA GRUESA</v>
      </c>
      <c r="E96" s="1" t="s">
        <v>526</v>
      </c>
      <c r="F96" s="45">
        <v>12.0</v>
      </c>
      <c r="G96" s="2">
        <v>2000.0</v>
      </c>
      <c r="H96" s="2">
        <f t="shared" si="1"/>
        <v>24000</v>
      </c>
      <c r="I96" s="2">
        <f t="shared" si="2"/>
        <v>4000</v>
      </c>
      <c r="J96" s="47">
        <f t="shared" si="3"/>
        <v>1</v>
      </c>
      <c r="K96" s="2">
        <f t="shared" si="4"/>
        <v>48000</v>
      </c>
      <c r="L96" s="1"/>
    </row>
    <row r="97">
      <c r="A97" s="55">
        <v>46186.0</v>
      </c>
      <c r="B97" s="1" t="s">
        <v>537</v>
      </c>
      <c r="C97" s="1" t="str">
        <f>VLOOKUP(B97,MAESTRA!I:K,2,0)</f>
        <v>*2422590*</v>
      </c>
      <c r="D97" s="1" t="str">
        <f>VLOOKUP(B97,MAESTRA!I:K,3,0)</f>
        <v>MEDIAS CABALLERO TERCO NYLON</v>
      </c>
      <c r="E97" s="1" t="s">
        <v>526</v>
      </c>
      <c r="F97" s="45">
        <v>12.0</v>
      </c>
      <c r="G97" s="2">
        <v>2000.0</v>
      </c>
      <c r="H97" s="2">
        <f t="shared" si="1"/>
        <v>24000</v>
      </c>
      <c r="I97" s="2">
        <f t="shared" si="2"/>
        <v>4000</v>
      </c>
      <c r="J97" s="47">
        <f t="shared" si="3"/>
        <v>1</v>
      </c>
      <c r="K97" s="2">
        <f t="shared" si="4"/>
        <v>48000</v>
      </c>
      <c r="L97" s="1"/>
    </row>
    <row r="98">
      <c r="A98" s="55">
        <v>46186.0</v>
      </c>
      <c r="B98" s="1" t="s">
        <v>538</v>
      </c>
      <c r="C98" s="1" t="str">
        <f>VLOOKUP(B98,MAESTRA!I:K,2,0)</f>
        <v>*2118432*</v>
      </c>
      <c r="D98" s="1" t="str">
        <f>VLOOKUP(B98,MAESTRA!I:K,3,0)</f>
        <v>PANTALONES DAMA MARIPOSA TALLA XL</v>
      </c>
      <c r="E98" s="1" t="s">
        <v>539</v>
      </c>
      <c r="F98" s="45">
        <v>2.0</v>
      </c>
      <c r="G98" s="2">
        <v>35000.0</v>
      </c>
      <c r="H98" s="2">
        <f t="shared" si="1"/>
        <v>70000</v>
      </c>
      <c r="I98" s="2">
        <f t="shared" si="2"/>
        <v>70000</v>
      </c>
      <c r="J98" s="47">
        <f t="shared" si="3"/>
        <v>1</v>
      </c>
      <c r="K98" s="2">
        <f t="shared" si="4"/>
        <v>140000</v>
      </c>
      <c r="L98" s="1"/>
    </row>
    <row r="99">
      <c r="A99" s="55">
        <v>46186.0</v>
      </c>
      <c r="B99" s="1" t="s">
        <v>540</v>
      </c>
      <c r="C99" s="1" t="str">
        <f>VLOOKUP(B99,MAESTRA!I:K,2,0)</f>
        <v>*2118430*</v>
      </c>
      <c r="D99" s="1" t="str">
        <f>VLOOKUP(B99,MAESTRA!I:K,3,0)</f>
        <v>PANTALONES DAMA MARIPOSA TALLA UN</v>
      </c>
      <c r="E99" s="1" t="s">
        <v>539</v>
      </c>
      <c r="F99" s="45">
        <v>2.0</v>
      </c>
      <c r="G99" s="2">
        <v>35000.0</v>
      </c>
      <c r="H99" s="2">
        <f t="shared" si="1"/>
        <v>70000</v>
      </c>
      <c r="I99" s="2">
        <f t="shared" si="2"/>
        <v>70000</v>
      </c>
      <c r="J99" s="47">
        <f t="shared" si="3"/>
        <v>1</v>
      </c>
      <c r="K99" s="2">
        <f t="shared" si="4"/>
        <v>140000</v>
      </c>
      <c r="L99" s="1"/>
    </row>
    <row r="100">
      <c r="A100" s="55">
        <v>46186.0</v>
      </c>
      <c r="B100" s="1" t="s">
        <v>541</v>
      </c>
      <c r="C100" s="1" t="str">
        <f>VLOOKUP(B100,MAESTRA!I:K,2,0)</f>
        <v>*2124032*</v>
      </c>
      <c r="D100" s="1" t="str">
        <f>VLOOKUP(B100,MAESTRA!I:K,3,0)</f>
        <v>PANTALONES DAMA ROMA TALLA XL</v>
      </c>
      <c r="E100" s="1" t="s">
        <v>539</v>
      </c>
      <c r="F100" s="45">
        <v>2.0</v>
      </c>
      <c r="G100" s="2">
        <v>42000.0</v>
      </c>
      <c r="H100" s="2">
        <f t="shared" si="1"/>
        <v>84000</v>
      </c>
      <c r="I100" s="2">
        <f t="shared" si="2"/>
        <v>84000</v>
      </c>
      <c r="J100" s="47">
        <f t="shared" si="3"/>
        <v>1</v>
      </c>
      <c r="K100" s="2">
        <f t="shared" si="4"/>
        <v>168000</v>
      </c>
      <c r="L100" s="1"/>
    </row>
    <row r="101">
      <c r="A101" s="55">
        <v>46186.0</v>
      </c>
      <c r="B101" s="1" t="s">
        <v>542</v>
      </c>
      <c r="C101" s="1" t="str">
        <f>VLOOKUP(B101,MAESTRA!I:K,2,0)</f>
        <v>*2124030*</v>
      </c>
      <c r="D101" s="1" t="str">
        <f>VLOOKUP(B101,MAESTRA!I:K,3,0)</f>
        <v>PANTALONES DAMA ROMA TALLA UN</v>
      </c>
      <c r="E101" s="1" t="s">
        <v>539</v>
      </c>
      <c r="F101" s="45">
        <v>2.0</v>
      </c>
      <c r="G101" s="2">
        <v>42000.0</v>
      </c>
      <c r="H101" s="2">
        <f t="shared" si="1"/>
        <v>84000</v>
      </c>
      <c r="I101" s="2">
        <f t="shared" si="2"/>
        <v>84000</v>
      </c>
      <c r="J101" s="47">
        <f t="shared" si="3"/>
        <v>1</v>
      </c>
      <c r="K101" s="2">
        <f t="shared" si="4"/>
        <v>168000</v>
      </c>
      <c r="L101" s="1"/>
    </row>
    <row r="102">
      <c r="A102" s="55">
        <v>46186.0</v>
      </c>
      <c r="B102" s="1" t="s">
        <v>543</v>
      </c>
      <c r="C102" s="1" t="str">
        <f>VLOOKUP(B102,MAESTRA!I:K,2,0)</f>
        <v>*2113730*</v>
      </c>
      <c r="D102" s="1" t="str">
        <f>VLOOKUP(B102,MAESTRA!I:K,3,0)</f>
        <v>PANTALONES DAMA GAMUSA TALLA UN</v>
      </c>
      <c r="E102" s="1" t="s">
        <v>539</v>
      </c>
      <c r="F102" s="45">
        <v>3.0</v>
      </c>
      <c r="G102" s="2">
        <v>35000.0</v>
      </c>
      <c r="H102" s="2">
        <f t="shared" si="1"/>
        <v>105000</v>
      </c>
      <c r="I102" s="2">
        <f t="shared" si="2"/>
        <v>70000</v>
      </c>
      <c r="J102" s="47">
        <f t="shared" si="3"/>
        <v>1</v>
      </c>
      <c r="K102" s="2">
        <f t="shared" si="4"/>
        <v>210000</v>
      </c>
      <c r="L102" s="1"/>
    </row>
    <row r="103">
      <c r="A103" s="55">
        <v>46186.0</v>
      </c>
      <c r="B103" s="1" t="s">
        <v>544</v>
      </c>
      <c r="C103" s="1" t="str">
        <f>VLOOKUP(B103,MAESTRA!I:K,2,0)</f>
        <v>*2113732*</v>
      </c>
      <c r="D103" s="1" t="str">
        <f>VLOOKUP(B103,MAESTRA!I:K,3,0)</f>
        <v>PANTALONES DAMA GAMUSA TALLA XL</v>
      </c>
      <c r="E103" s="1" t="s">
        <v>539</v>
      </c>
      <c r="F103" s="45">
        <v>3.0</v>
      </c>
      <c r="G103" s="2">
        <v>35000.0</v>
      </c>
      <c r="H103" s="2">
        <f t="shared" si="1"/>
        <v>105000</v>
      </c>
      <c r="I103" s="2">
        <f t="shared" si="2"/>
        <v>70000</v>
      </c>
      <c r="J103" s="47">
        <f t="shared" si="3"/>
        <v>1</v>
      </c>
      <c r="K103" s="2">
        <f t="shared" si="4"/>
        <v>210000</v>
      </c>
      <c r="L103" s="1"/>
    </row>
    <row r="104">
      <c r="A104" s="55">
        <v>46186.0</v>
      </c>
      <c r="B104" s="1" t="s">
        <v>545</v>
      </c>
      <c r="C104" s="1" t="str">
        <f>VLOOKUP(B104,MAESTRA!I:K,2,0)</f>
        <v>*25215332*</v>
      </c>
      <c r="D104" s="1" t="str">
        <f>VLOOKUP(B104,MAESTRA!I:K,3,0)</f>
        <v>CHAQUETAS CABALLERO JEAN CLASICA TALLA XL</v>
      </c>
      <c r="E104" s="1" t="s">
        <v>546</v>
      </c>
      <c r="F104" s="45">
        <v>1.0</v>
      </c>
      <c r="G104" s="2">
        <v>50000.0</v>
      </c>
      <c r="H104" s="2">
        <f t="shared" si="1"/>
        <v>50000</v>
      </c>
      <c r="I104" s="2">
        <f t="shared" si="2"/>
        <v>100000</v>
      </c>
      <c r="J104" s="47">
        <f t="shared" si="3"/>
        <v>1</v>
      </c>
      <c r="K104" s="2">
        <f t="shared" si="4"/>
        <v>100000</v>
      </c>
      <c r="L104" s="1"/>
    </row>
    <row r="105">
      <c r="A105" s="55">
        <v>46186.0</v>
      </c>
      <c r="B105" s="1" t="s">
        <v>547</v>
      </c>
      <c r="C105" s="1" t="str">
        <f>VLOOKUP(B105,MAESTRA!I:K,2,0)</f>
        <v>*25215325*</v>
      </c>
      <c r="D105" s="1" t="str">
        <f>VLOOKUP(B105,MAESTRA!I:K,3,0)</f>
        <v>CHAQUETAS CABALLERO JEAN CLASICA TALLA M</v>
      </c>
      <c r="E105" s="1" t="s">
        <v>546</v>
      </c>
      <c r="F105" s="45">
        <v>1.0</v>
      </c>
      <c r="G105" s="2">
        <v>50000.0</v>
      </c>
      <c r="H105" s="2">
        <f t="shared" si="1"/>
        <v>50000</v>
      </c>
      <c r="I105" s="2">
        <f t="shared" si="2"/>
        <v>100000</v>
      </c>
      <c r="J105" s="47">
        <f t="shared" si="3"/>
        <v>1</v>
      </c>
      <c r="K105" s="2">
        <f t="shared" si="4"/>
        <v>100000</v>
      </c>
      <c r="L105" s="1"/>
    </row>
    <row r="106">
      <c r="A106" s="55">
        <v>46186.0</v>
      </c>
      <c r="B106" s="1" t="s">
        <v>548</v>
      </c>
      <c r="C106" s="1" t="str">
        <f>VLOOKUP(B106,MAESTRA!I:K,2,0)</f>
        <v>*25215323*</v>
      </c>
      <c r="D106" s="1" t="str">
        <f>VLOOKUP(B106,MAESTRA!I:K,3,0)</f>
        <v>CHAQUETAS CABALLERO JEAN CLASICA TALLA L</v>
      </c>
      <c r="E106" s="1" t="s">
        <v>546</v>
      </c>
      <c r="F106" s="45">
        <v>1.0</v>
      </c>
      <c r="G106" s="2">
        <v>50000.0</v>
      </c>
      <c r="H106" s="2">
        <f t="shared" si="1"/>
        <v>50000</v>
      </c>
      <c r="I106" s="2">
        <f t="shared" si="2"/>
        <v>100000</v>
      </c>
      <c r="J106" s="47">
        <f t="shared" si="3"/>
        <v>1</v>
      </c>
      <c r="K106" s="2">
        <f t="shared" si="4"/>
        <v>100000</v>
      </c>
      <c r="L106" s="1"/>
    </row>
    <row r="107">
      <c r="A107" s="55">
        <v>46186.0</v>
      </c>
      <c r="B107" s="1" t="s">
        <v>549</v>
      </c>
      <c r="C107" s="1" t="str">
        <f>VLOOKUP(B107,MAESTRA!I:K,2,0)</f>
        <v>*25215425*</v>
      </c>
      <c r="D107" s="1" t="str">
        <f>VLOOKUP(B107,MAESTRA!I:K,3,0)</f>
        <v>CHAQUETAS CABALLERO JEAN OVEJERA TALLA M</v>
      </c>
      <c r="E107" s="1" t="s">
        <v>546</v>
      </c>
      <c r="F107" s="45">
        <v>1.0</v>
      </c>
      <c r="G107" s="2">
        <v>55000.0</v>
      </c>
      <c r="H107" s="2">
        <f t="shared" si="1"/>
        <v>55000</v>
      </c>
      <c r="I107" s="2">
        <f t="shared" si="2"/>
        <v>110000</v>
      </c>
      <c r="J107" s="47">
        <f t="shared" si="3"/>
        <v>1</v>
      </c>
      <c r="K107" s="2">
        <f t="shared" si="4"/>
        <v>110000</v>
      </c>
      <c r="L107" s="1"/>
    </row>
    <row r="108">
      <c r="A108" s="55">
        <v>46186.0</v>
      </c>
      <c r="B108" s="1" t="s">
        <v>550</v>
      </c>
      <c r="C108" s="1" t="str">
        <f>VLOOKUP(B108,MAESTRA!I:K,2,0)</f>
        <v>*25215423*</v>
      </c>
      <c r="D108" s="1" t="str">
        <f>VLOOKUP(B108,MAESTRA!I:K,3,0)</f>
        <v>CHAQUETAS CABALLERO JEAN OVEJERA TALLA L</v>
      </c>
      <c r="E108" s="1" t="s">
        <v>546</v>
      </c>
      <c r="F108" s="45">
        <v>1.0</v>
      </c>
      <c r="G108" s="2">
        <v>55000.0</v>
      </c>
      <c r="H108" s="2">
        <f t="shared" si="1"/>
        <v>55000</v>
      </c>
      <c r="I108" s="2">
        <f t="shared" si="2"/>
        <v>110000</v>
      </c>
      <c r="J108" s="47">
        <f t="shared" si="3"/>
        <v>1</v>
      </c>
      <c r="K108" s="2">
        <f t="shared" si="4"/>
        <v>110000</v>
      </c>
      <c r="L108" s="1"/>
    </row>
    <row r="109">
      <c r="A109" s="55">
        <v>46186.0</v>
      </c>
      <c r="B109" s="1" t="s">
        <v>551</v>
      </c>
      <c r="C109" s="1" t="str">
        <f>VLOOKUP(B109,MAESTRA!I:K,2,0)</f>
        <v>*25215432*</v>
      </c>
      <c r="D109" s="1" t="str">
        <f>VLOOKUP(B109,MAESTRA!I:K,3,0)</f>
        <v>CHAQUETAS CABALLERO JEAN OVEJERA TALLA XL</v>
      </c>
      <c r="E109" s="1" t="s">
        <v>546</v>
      </c>
      <c r="F109" s="45">
        <v>1.0</v>
      </c>
      <c r="G109" s="2">
        <v>55000.0</v>
      </c>
      <c r="H109" s="2">
        <f t="shared" si="1"/>
        <v>55000</v>
      </c>
      <c r="I109" s="2">
        <f t="shared" si="2"/>
        <v>110000</v>
      </c>
      <c r="J109" s="47">
        <f t="shared" si="3"/>
        <v>1</v>
      </c>
      <c r="K109" s="2">
        <f t="shared" si="4"/>
        <v>110000</v>
      </c>
      <c r="L109" s="1"/>
    </row>
    <row r="110">
      <c r="A110" s="55">
        <v>46186.0</v>
      </c>
      <c r="B110" s="1" t="s">
        <v>552</v>
      </c>
      <c r="C110" s="1" t="str">
        <f>VLOOKUP(B110,MAESTRA!I:K,2,0)</f>
        <v>*25115325*</v>
      </c>
      <c r="D110" s="1" t="str">
        <f>VLOOKUP(B110,MAESTRA!I:K,3,0)</f>
        <v>CHAQUETAS DAMA JEAN CLASICA TALLA M</v>
      </c>
      <c r="E110" s="1" t="s">
        <v>546</v>
      </c>
      <c r="F110" s="45">
        <v>1.0</v>
      </c>
      <c r="G110" s="2">
        <v>42000.0</v>
      </c>
      <c r="H110" s="2">
        <f t="shared" si="1"/>
        <v>42000</v>
      </c>
      <c r="I110" s="2">
        <f t="shared" si="2"/>
        <v>84000</v>
      </c>
      <c r="J110" s="47">
        <f t="shared" si="3"/>
        <v>1</v>
      </c>
      <c r="K110" s="2">
        <f t="shared" si="4"/>
        <v>84000</v>
      </c>
      <c r="L110" s="1"/>
    </row>
    <row r="111">
      <c r="A111" s="55">
        <v>46186.0</v>
      </c>
      <c r="B111" s="1" t="s">
        <v>553</v>
      </c>
      <c r="C111" s="1" t="str">
        <f>VLOOKUP(B111,MAESTRA!I:K,2,0)</f>
        <v>*25115323*</v>
      </c>
      <c r="D111" s="1" t="str">
        <f>VLOOKUP(B111,MAESTRA!I:K,3,0)</f>
        <v>CHAQUETAS DAMA JEAN CLASICA TALLA L</v>
      </c>
      <c r="E111" s="1" t="s">
        <v>546</v>
      </c>
      <c r="F111" s="45">
        <v>1.0</v>
      </c>
      <c r="G111" s="2">
        <v>42000.0</v>
      </c>
      <c r="H111" s="2">
        <f t="shared" si="1"/>
        <v>42000</v>
      </c>
      <c r="I111" s="2">
        <f t="shared" si="2"/>
        <v>84000</v>
      </c>
      <c r="J111" s="47">
        <f t="shared" si="3"/>
        <v>1</v>
      </c>
      <c r="K111" s="2">
        <f t="shared" si="4"/>
        <v>84000</v>
      </c>
      <c r="L111" s="1"/>
    </row>
    <row r="112">
      <c r="A112" s="55">
        <v>46186.0</v>
      </c>
      <c r="B112" s="1" t="s">
        <v>554</v>
      </c>
      <c r="C112" s="1" t="str">
        <f>VLOOKUP(B112,MAESTRA!I:K,2,0)</f>
        <v>*25115432*</v>
      </c>
      <c r="D112" s="1" t="str">
        <f>VLOOKUP(B112,MAESTRA!I:K,3,0)</f>
        <v>CHAQUETAS DAMA JEAN OVEJERA TALLA XL</v>
      </c>
      <c r="E112" s="1" t="s">
        <v>546</v>
      </c>
      <c r="F112" s="45">
        <v>1.0</v>
      </c>
      <c r="G112" s="2">
        <v>50000.0</v>
      </c>
      <c r="H112" s="2">
        <f t="shared" si="1"/>
        <v>50000</v>
      </c>
      <c r="I112" s="2">
        <f t="shared" si="2"/>
        <v>100000</v>
      </c>
      <c r="J112" s="47">
        <f t="shared" si="3"/>
        <v>1</v>
      </c>
      <c r="K112" s="2">
        <f t="shared" si="4"/>
        <v>100000</v>
      </c>
      <c r="L112" s="1"/>
    </row>
    <row r="113">
      <c r="A113" s="55">
        <v>46186.0</v>
      </c>
      <c r="B113" s="1" t="s">
        <v>555</v>
      </c>
      <c r="C113" s="1" t="str">
        <f>VLOOKUP(B113,MAESTRA!I:K,2,0)</f>
        <v>*25115423*</v>
      </c>
      <c r="D113" s="1" t="str">
        <f>VLOOKUP(B113,MAESTRA!I:K,3,0)</f>
        <v>CHAQUETAS DAMA JEAN OVEJERA TALLA L</v>
      </c>
      <c r="E113" s="1" t="s">
        <v>546</v>
      </c>
      <c r="F113" s="45">
        <v>1.0</v>
      </c>
      <c r="G113" s="2">
        <v>50000.0</v>
      </c>
      <c r="H113" s="2">
        <f t="shared" si="1"/>
        <v>50000</v>
      </c>
      <c r="I113" s="2">
        <f t="shared" si="2"/>
        <v>100000</v>
      </c>
      <c r="J113" s="47">
        <f t="shared" si="3"/>
        <v>1</v>
      </c>
      <c r="K113" s="2">
        <f t="shared" si="4"/>
        <v>100000</v>
      </c>
      <c r="L113" s="1"/>
    </row>
    <row r="114">
      <c r="A114" s="55">
        <v>46186.0</v>
      </c>
      <c r="B114" s="1" t="s">
        <v>556</v>
      </c>
      <c r="C114" s="1" t="str">
        <f>VLOOKUP(B114,MAESTRA!I:K,2,0)</f>
        <v>*25115425*</v>
      </c>
      <c r="D114" s="1" t="str">
        <f>VLOOKUP(B114,MAESTRA!I:K,3,0)</f>
        <v>CHAQUETAS DAMA JEAN OVEJERA TALLA M</v>
      </c>
      <c r="E114" s="1" t="s">
        <v>546</v>
      </c>
      <c r="F114" s="45">
        <v>1.0</v>
      </c>
      <c r="G114" s="2">
        <v>50000.0</v>
      </c>
      <c r="H114" s="2">
        <f t="shared" si="1"/>
        <v>50000</v>
      </c>
      <c r="I114" s="2">
        <f t="shared" si="2"/>
        <v>100000</v>
      </c>
      <c r="J114" s="47">
        <f t="shared" si="3"/>
        <v>1</v>
      </c>
      <c r="K114" s="2">
        <f t="shared" si="4"/>
        <v>100000</v>
      </c>
      <c r="L114" s="1"/>
    </row>
    <row r="115">
      <c r="A115" s="55">
        <v>46186.0</v>
      </c>
      <c r="B115" s="1" t="s">
        <v>557</v>
      </c>
      <c r="C115" s="1" t="str">
        <f>VLOOKUP(B115,MAESTRA!I:K,2,0)</f>
        <v>*25115527*</v>
      </c>
      <c r="D115" s="1" t="str">
        <f>VLOOKUP(B115,MAESTRA!I:K,3,0)</f>
        <v>CHAQUETAS DAMA JEAN TORERA OVEJERA TALLA S</v>
      </c>
      <c r="E115" s="1" t="s">
        <v>546</v>
      </c>
      <c r="F115" s="45">
        <v>1.0</v>
      </c>
      <c r="G115" s="2">
        <v>45000.0</v>
      </c>
      <c r="H115" s="2">
        <f t="shared" si="1"/>
        <v>45000</v>
      </c>
      <c r="I115" s="2">
        <f t="shared" si="2"/>
        <v>90000</v>
      </c>
      <c r="J115" s="47">
        <f t="shared" si="3"/>
        <v>1</v>
      </c>
      <c r="K115" s="2">
        <f t="shared" si="4"/>
        <v>90000</v>
      </c>
      <c r="L115" s="1"/>
    </row>
    <row r="116">
      <c r="A116" s="55">
        <v>46186.0</v>
      </c>
      <c r="B116" s="1" t="s">
        <v>558</v>
      </c>
      <c r="C116" s="1" t="str">
        <f>VLOOKUP(B116,MAESTRA!I:K,2,0)</f>
        <v>*25115525*</v>
      </c>
      <c r="D116" s="1" t="str">
        <f>VLOOKUP(B116,MAESTRA!I:K,3,0)</f>
        <v>CHAQUETAS DAMA JEAN TORERA OVEJERA TALLA M</v>
      </c>
      <c r="E116" s="1" t="s">
        <v>546</v>
      </c>
      <c r="F116" s="45">
        <v>1.0</v>
      </c>
      <c r="G116" s="2">
        <v>45000.0</v>
      </c>
      <c r="H116" s="2">
        <f t="shared" si="1"/>
        <v>45000</v>
      </c>
      <c r="I116" s="2">
        <f t="shared" si="2"/>
        <v>90000</v>
      </c>
      <c r="J116" s="47">
        <f t="shared" si="3"/>
        <v>1</v>
      </c>
      <c r="K116" s="2">
        <f t="shared" si="4"/>
        <v>90000</v>
      </c>
      <c r="L116" s="1"/>
    </row>
    <row r="117">
      <c r="A117" s="55">
        <v>46186.0</v>
      </c>
      <c r="B117" s="1" t="s">
        <v>559</v>
      </c>
      <c r="C117" s="1" t="str">
        <f>VLOOKUP(B117,MAESTRA!I:K,2,0)</f>
        <v>*11395*</v>
      </c>
      <c r="D117" s="1" t="str">
        <f>VLOOKUP(B117,MAESTRA!I:K,3,0)</f>
        <v>JEANS DAMA BAGGI TALLA 14</v>
      </c>
      <c r="E117" s="1" t="s">
        <v>560</v>
      </c>
      <c r="F117" s="45">
        <v>2.0</v>
      </c>
      <c r="G117" s="2">
        <v>55000.0</v>
      </c>
      <c r="H117" s="2">
        <f t="shared" si="1"/>
        <v>110000</v>
      </c>
      <c r="I117" s="2">
        <f t="shared" si="2"/>
        <v>110000</v>
      </c>
      <c r="J117" s="47">
        <f t="shared" si="3"/>
        <v>1</v>
      </c>
      <c r="K117" s="2">
        <f t="shared" si="4"/>
        <v>220000</v>
      </c>
      <c r="L117" s="1"/>
    </row>
    <row r="118">
      <c r="A118" s="55">
        <v>46186.0</v>
      </c>
      <c r="B118" s="1" t="s">
        <v>561</v>
      </c>
      <c r="C118" s="1" t="str">
        <f>VLOOKUP(B118,MAESTRA!I:K,2,0)</f>
        <v>*11394*</v>
      </c>
      <c r="D118" s="1" t="str">
        <f>VLOOKUP(B118,MAESTRA!I:K,3,0)</f>
        <v>JEANS DAMA BAGGI TALLA 12</v>
      </c>
      <c r="E118" s="1" t="s">
        <v>560</v>
      </c>
      <c r="F118" s="45">
        <v>2.0</v>
      </c>
      <c r="G118" s="2">
        <v>55000.0</v>
      </c>
      <c r="H118" s="2">
        <f t="shared" si="1"/>
        <v>110000</v>
      </c>
      <c r="I118" s="2">
        <f t="shared" si="2"/>
        <v>110000</v>
      </c>
      <c r="J118" s="47">
        <f t="shared" si="3"/>
        <v>1</v>
      </c>
      <c r="K118" s="2">
        <f t="shared" si="4"/>
        <v>220000</v>
      </c>
      <c r="L118" s="1"/>
    </row>
    <row r="119">
      <c r="A119" s="55">
        <v>46186.0</v>
      </c>
      <c r="B119" s="1" t="s">
        <v>562</v>
      </c>
      <c r="C119" s="1" t="str">
        <f>VLOOKUP(B119,MAESTRA!I:K,2,0)</f>
        <v>*11392*</v>
      </c>
      <c r="D119" s="1" t="str">
        <f>VLOOKUP(B119,MAESTRA!I:K,3,0)</f>
        <v>JEANS DAMA BAGGI TALLA 8</v>
      </c>
      <c r="E119" s="1" t="s">
        <v>560</v>
      </c>
      <c r="F119" s="45">
        <v>2.0</v>
      </c>
      <c r="G119" s="2">
        <v>55000.0</v>
      </c>
      <c r="H119" s="2">
        <f t="shared" si="1"/>
        <v>110000</v>
      </c>
      <c r="I119" s="2">
        <f t="shared" si="2"/>
        <v>110000</v>
      </c>
      <c r="J119" s="47">
        <f t="shared" si="3"/>
        <v>1</v>
      </c>
      <c r="K119" s="2">
        <f t="shared" si="4"/>
        <v>220000</v>
      </c>
      <c r="L119" s="1"/>
    </row>
    <row r="120">
      <c r="A120" s="55">
        <v>46186.0</v>
      </c>
      <c r="B120" s="1" t="s">
        <v>563</v>
      </c>
      <c r="C120" s="1" t="str">
        <f>VLOOKUP(B120,MAESTRA!I:K,2,0)</f>
        <v>*11393*</v>
      </c>
      <c r="D120" s="1" t="str">
        <f>VLOOKUP(B120,MAESTRA!I:K,3,0)</f>
        <v>JEANS DAMA BAGGI TALLA 10</v>
      </c>
      <c r="E120" s="1" t="s">
        <v>560</v>
      </c>
      <c r="F120" s="45">
        <v>2.0</v>
      </c>
      <c r="G120" s="2">
        <v>55000.0</v>
      </c>
      <c r="H120" s="2">
        <f t="shared" si="1"/>
        <v>110000</v>
      </c>
      <c r="I120" s="2">
        <f t="shared" si="2"/>
        <v>110000</v>
      </c>
      <c r="J120" s="47">
        <f t="shared" si="3"/>
        <v>1</v>
      </c>
      <c r="K120" s="2">
        <f t="shared" si="4"/>
        <v>220000</v>
      </c>
      <c r="L120" s="1"/>
    </row>
    <row r="121">
      <c r="A121" s="55">
        <v>46186.0</v>
      </c>
      <c r="B121" s="1" t="s">
        <v>564</v>
      </c>
      <c r="C121" s="1" t="str">
        <f>VLOOKUP(B121,MAESTRA!I:K,2,0)</f>
        <v>*11406*</v>
      </c>
      <c r="D121" s="1" t="str">
        <f>VLOOKUP(B121,MAESTRA!I:K,3,0)</f>
        <v>JEANS DAMA BAGGI CON BRILLANTES TALLA 16</v>
      </c>
      <c r="E121" s="1" t="s">
        <v>560</v>
      </c>
      <c r="F121" s="45">
        <v>1.0</v>
      </c>
      <c r="G121" s="2">
        <v>55000.0</v>
      </c>
      <c r="H121" s="2">
        <f t="shared" si="1"/>
        <v>55000</v>
      </c>
      <c r="I121" s="2">
        <f t="shared" si="2"/>
        <v>110000</v>
      </c>
      <c r="J121" s="47">
        <f t="shared" si="3"/>
        <v>1</v>
      </c>
      <c r="K121" s="2">
        <f t="shared" si="4"/>
        <v>110000</v>
      </c>
      <c r="L121" s="1"/>
    </row>
    <row r="122">
      <c r="A122" s="55">
        <v>46186.0</v>
      </c>
      <c r="B122" s="1" t="s">
        <v>565</v>
      </c>
      <c r="C122" s="1" t="str">
        <f>VLOOKUP(B122,MAESTRA!I:K,2,0)</f>
        <v>*1119127*</v>
      </c>
      <c r="D122" s="1" t="str">
        <f>VLOOKUP(B122,MAESTRA!I:K,3,0)</f>
        <v>CAMISETAS DAMA CON BRILLANTES TALLA S</v>
      </c>
      <c r="E122" s="1" t="s">
        <v>503</v>
      </c>
      <c r="F122" s="45">
        <v>2.0</v>
      </c>
      <c r="G122" s="2">
        <v>14000.0</v>
      </c>
      <c r="H122" s="2">
        <f t="shared" si="1"/>
        <v>28000</v>
      </c>
      <c r="I122" s="2">
        <f t="shared" si="2"/>
        <v>28000</v>
      </c>
      <c r="J122" s="47">
        <f t="shared" si="3"/>
        <v>1</v>
      </c>
      <c r="K122" s="2">
        <f t="shared" si="4"/>
        <v>56000</v>
      </c>
      <c r="L122" s="1"/>
    </row>
    <row r="123">
      <c r="A123" s="55">
        <v>46186.0</v>
      </c>
      <c r="B123" s="1" t="s">
        <v>566</v>
      </c>
      <c r="C123" s="1" t="str">
        <f>VLOOKUP(B123,MAESTRA!I:K,2,0)</f>
        <v>*1119125*</v>
      </c>
      <c r="D123" s="1" t="str">
        <f>VLOOKUP(B123,MAESTRA!I:K,3,0)</f>
        <v>CAMISETAS DAMA CON BRILLANTES TALLA M</v>
      </c>
      <c r="E123" s="1" t="s">
        <v>503</v>
      </c>
      <c r="F123" s="45">
        <v>2.0</v>
      </c>
      <c r="G123" s="2">
        <v>14000.0</v>
      </c>
      <c r="H123" s="2">
        <f t="shared" si="1"/>
        <v>28000</v>
      </c>
      <c r="I123" s="2">
        <f t="shared" si="2"/>
        <v>28000</v>
      </c>
      <c r="J123" s="47">
        <f t="shared" si="3"/>
        <v>1</v>
      </c>
      <c r="K123" s="2">
        <f t="shared" si="4"/>
        <v>56000</v>
      </c>
      <c r="L123" s="1"/>
    </row>
    <row r="124">
      <c r="A124" s="55">
        <v>46186.0</v>
      </c>
      <c r="B124" s="1" t="s">
        <v>567</v>
      </c>
      <c r="C124" s="1" t="str">
        <f>VLOOKUP(B124,MAESTRA!I:K,2,0)</f>
        <v>*1119123*</v>
      </c>
      <c r="D124" s="1" t="str">
        <f>VLOOKUP(B124,MAESTRA!I:K,3,0)</f>
        <v>CAMISETAS DAMA CON BRILLANTES TALLA L</v>
      </c>
      <c r="E124" s="1" t="s">
        <v>503</v>
      </c>
      <c r="F124" s="45">
        <v>3.0</v>
      </c>
      <c r="G124" s="2">
        <v>14000.0</v>
      </c>
      <c r="H124" s="2">
        <f t="shared" si="1"/>
        <v>42000</v>
      </c>
      <c r="I124" s="2">
        <f t="shared" si="2"/>
        <v>28000</v>
      </c>
      <c r="J124" s="47">
        <f t="shared" si="3"/>
        <v>1</v>
      </c>
      <c r="K124" s="2">
        <f t="shared" si="4"/>
        <v>84000</v>
      </c>
      <c r="L124" s="1"/>
    </row>
    <row r="125">
      <c r="A125" s="55">
        <v>46186.0</v>
      </c>
      <c r="B125" s="1" t="s">
        <v>568</v>
      </c>
      <c r="C125" s="1" t="str">
        <f>VLOOKUP(B125,MAESTRA!I:K,2,0)</f>
        <v>*1119132*</v>
      </c>
      <c r="D125" s="1" t="str">
        <f>VLOOKUP(B125,MAESTRA!I:K,3,0)</f>
        <v>CAMISETAS DAMA CON BRILLANTES TALLA XL</v>
      </c>
      <c r="E125" s="1" t="s">
        <v>503</v>
      </c>
      <c r="F125" s="45">
        <v>1.0</v>
      </c>
      <c r="G125" s="2">
        <v>14000.0</v>
      </c>
      <c r="H125" s="2">
        <f t="shared" si="1"/>
        <v>14000</v>
      </c>
      <c r="I125" s="2">
        <f t="shared" si="2"/>
        <v>28000</v>
      </c>
      <c r="J125" s="47">
        <f t="shared" si="3"/>
        <v>1</v>
      </c>
      <c r="K125" s="2">
        <f t="shared" si="4"/>
        <v>28000</v>
      </c>
      <c r="L125" s="1"/>
    </row>
    <row r="126">
      <c r="A126" s="55">
        <v>46186.0</v>
      </c>
      <c r="B126" s="1" t="s">
        <v>569</v>
      </c>
      <c r="C126" s="1" t="str">
        <f>VLOOKUP(B126,MAESTRA!I:K,2,0)</f>
        <v>*123913*</v>
      </c>
      <c r="D126" s="1" t="str">
        <f>VLOOKUP(B126,MAESTRA!I:K,3,0)</f>
        <v>JEANS CABALLERO BAGGI TALLA 30</v>
      </c>
      <c r="E126" s="1" t="s">
        <v>560</v>
      </c>
      <c r="F126" s="45">
        <v>1.0</v>
      </c>
      <c r="G126" s="2">
        <v>55000.0</v>
      </c>
      <c r="H126" s="2">
        <f t="shared" si="1"/>
        <v>55000</v>
      </c>
      <c r="I126" s="2">
        <f t="shared" si="2"/>
        <v>110000</v>
      </c>
      <c r="J126" s="47">
        <f t="shared" si="3"/>
        <v>1</v>
      </c>
      <c r="K126" s="2">
        <f t="shared" si="4"/>
        <v>110000</v>
      </c>
      <c r="L126" s="1"/>
    </row>
    <row r="127">
      <c r="A127" s="55">
        <v>46186.0</v>
      </c>
      <c r="B127" s="1" t="s">
        <v>570</v>
      </c>
      <c r="C127" s="1" t="str">
        <f>VLOOKUP(B127,MAESTRA!I:K,2,0)</f>
        <v>*123914*</v>
      </c>
      <c r="D127" s="1" t="str">
        <f>VLOOKUP(B127,MAESTRA!I:K,3,0)</f>
        <v>JEANS CABALLERO BAGGI TALLA 32</v>
      </c>
      <c r="E127" s="1" t="s">
        <v>560</v>
      </c>
      <c r="F127" s="45">
        <v>1.0</v>
      </c>
      <c r="G127" s="2">
        <v>55000.0</v>
      </c>
      <c r="H127" s="2">
        <f t="shared" si="1"/>
        <v>55000</v>
      </c>
      <c r="I127" s="2">
        <f t="shared" si="2"/>
        <v>110000</v>
      </c>
      <c r="J127" s="47">
        <f t="shared" si="3"/>
        <v>1</v>
      </c>
      <c r="K127" s="2">
        <f t="shared" si="4"/>
        <v>110000</v>
      </c>
      <c r="L127" s="1"/>
    </row>
    <row r="128">
      <c r="A128" s="55">
        <v>46186.0</v>
      </c>
      <c r="B128" s="1" t="s">
        <v>571</v>
      </c>
      <c r="C128" s="1" t="str">
        <f>VLOOKUP(B128,MAESTRA!I:K,2,0)</f>
        <v>*123915*</v>
      </c>
      <c r="D128" s="1" t="str">
        <f>VLOOKUP(B128,MAESTRA!I:K,3,0)</f>
        <v>JEANS CABALLERO BAGGI TALLA 34</v>
      </c>
      <c r="E128" s="1" t="s">
        <v>560</v>
      </c>
      <c r="F128" s="45">
        <v>1.0</v>
      </c>
      <c r="G128" s="2">
        <v>55000.0</v>
      </c>
      <c r="H128" s="2">
        <f t="shared" si="1"/>
        <v>55000</v>
      </c>
      <c r="I128" s="2">
        <f t="shared" si="2"/>
        <v>110000</v>
      </c>
      <c r="J128" s="47">
        <f t="shared" si="3"/>
        <v>1</v>
      </c>
      <c r="K128" s="2">
        <f t="shared" si="4"/>
        <v>110000</v>
      </c>
      <c r="L128" s="1"/>
    </row>
    <row r="129">
      <c r="A129" s="55">
        <v>46186.0</v>
      </c>
      <c r="B129" s="1" t="s">
        <v>572</v>
      </c>
      <c r="C129" s="1" t="str">
        <f>VLOOKUP(B129,MAESTRA!I:K,2,0)</f>
        <v>*102023*</v>
      </c>
      <c r="D129" s="1" t="str">
        <f>VLOOKUP(B129,MAESTRA!I:K,3,0)</f>
        <v>CAMISAS CABALLERO - TALLA L</v>
      </c>
      <c r="E129" s="1" t="s">
        <v>573</v>
      </c>
      <c r="F129" s="45">
        <v>2.0</v>
      </c>
      <c r="G129" s="2">
        <v>24000.0</v>
      </c>
      <c r="H129" s="2">
        <f t="shared" si="1"/>
        <v>48000</v>
      </c>
      <c r="I129" s="2">
        <f t="shared" si="2"/>
        <v>48000</v>
      </c>
      <c r="J129" s="47">
        <f t="shared" si="3"/>
        <v>1</v>
      </c>
      <c r="K129" s="2">
        <f t="shared" si="4"/>
        <v>96000</v>
      </c>
      <c r="L129" s="1"/>
    </row>
    <row r="130">
      <c r="A130" s="55">
        <v>46186.0</v>
      </c>
      <c r="B130" s="1" t="s">
        <v>574</v>
      </c>
      <c r="C130" s="1" t="str">
        <f>VLOOKUP(B130,MAESTRA!I:K,2,0)</f>
        <v>*10215223*</v>
      </c>
      <c r="D130" s="1" t="str">
        <f>VLOOKUP(B130,MAESTRA!I:K,3,0)</f>
        <v>CAMISAS CABALLERO JEAN TALLA L</v>
      </c>
      <c r="E130" s="1" t="s">
        <v>573</v>
      </c>
      <c r="F130" s="45">
        <v>1.0</v>
      </c>
      <c r="G130" s="2">
        <v>35000.0</v>
      </c>
      <c r="H130" s="2">
        <f t="shared" si="1"/>
        <v>35000</v>
      </c>
      <c r="I130" s="2">
        <f t="shared" si="2"/>
        <v>70000</v>
      </c>
      <c r="J130" s="47">
        <f t="shared" si="3"/>
        <v>1</v>
      </c>
      <c r="K130" s="2">
        <f t="shared" si="4"/>
        <v>70000</v>
      </c>
      <c r="L130" s="1"/>
    </row>
    <row r="131">
      <c r="A131" s="55">
        <v>46186.0</v>
      </c>
      <c r="B131" s="1" t="s">
        <v>575</v>
      </c>
      <c r="C131" s="1" t="str">
        <f>VLOOKUP(B131,MAESTRA!I:K,2,0)</f>
        <v>*102025*</v>
      </c>
      <c r="D131" s="1" t="str">
        <f>VLOOKUP(B131,MAESTRA!I:K,3,0)</f>
        <v>CAMISAS CABALLERO - TALLA M</v>
      </c>
      <c r="E131" s="1" t="s">
        <v>573</v>
      </c>
      <c r="F131" s="45">
        <v>3.0</v>
      </c>
      <c r="G131" s="2">
        <v>24000.0</v>
      </c>
      <c r="H131" s="2">
        <f t="shared" si="1"/>
        <v>72000</v>
      </c>
      <c r="I131" s="2">
        <f t="shared" si="2"/>
        <v>48000</v>
      </c>
      <c r="J131" s="47">
        <f t="shared" si="3"/>
        <v>1</v>
      </c>
      <c r="K131" s="2">
        <f t="shared" si="4"/>
        <v>144000</v>
      </c>
      <c r="L131" s="1"/>
    </row>
    <row r="132">
      <c r="A132" s="55">
        <v>46186.0</v>
      </c>
      <c r="B132" s="1" t="s">
        <v>576</v>
      </c>
      <c r="C132" s="1" t="str">
        <f>VLOOKUP(B132,MAESTRA!I:K,2,0)</f>
        <v>*10215225*</v>
      </c>
      <c r="D132" s="1" t="str">
        <f>VLOOKUP(B132,MAESTRA!I:K,3,0)</f>
        <v>CAMISAS CABALLERO JEAN TALLA M</v>
      </c>
      <c r="E132" s="1" t="s">
        <v>573</v>
      </c>
      <c r="F132" s="45">
        <v>1.0</v>
      </c>
      <c r="G132" s="2">
        <v>35000.0</v>
      </c>
      <c r="H132" s="2">
        <f t="shared" si="1"/>
        <v>35000</v>
      </c>
      <c r="I132" s="2">
        <f t="shared" si="2"/>
        <v>70000</v>
      </c>
      <c r="J132" s="47">
        <f t="shared" si="3"/>
        <v>1</v>
      </c>
      <c r="K132" s="2">
        <f t="shared" si="4"/>
        <v>70000</v>
      </c>
      <c r="L132" s="1"/>
    </row>
    <row r="133">
      <c r="A133" s="55">
        <v>46186.0</v>
      </c>
      <c r="B133" s="1" t="s">
        <v>577</v>
      </c>
      <c r="C133" s="1" t="str">
        <f>VLOOKUP(B133,MAESTRA!I:K,2,0)</f>
        <v>*102027*</v>
      </c>
      <c r="D133" s="1" t="str">
        <f>VLOOKUP(B133,MAESTRA!I:K,3,0)</f>
        <v>CAMISAS CABALLERO - TALLA S</v>
      </c>
      <c r="E133" s="1" t="s">
        <v>573</v>
      </c>
      <c r="F133" s="45">
        <v>2.0</v>
      </c>
      <c r="G133" s="2">
        <v>24000.0</v>
      </c>
      <c r="H133" s="2">
        <f t="shared" si="1"/>
        <v>48000</v>
      </c>
      <c r="I133" s="2">
        <f t="shared" si="2"/>
        <v>48000</v>
      </c>
      <c r="J133" s="47">
        <f t="shared" si="3"/>
        <v>1</v>
      </c>
      <c r="K133" s="2">
        <f t="shared" si="4"/>
        <v>96000</v>
      </c>
      <c r="L133" s="1"/>
    </row>
    <row r="134">
      <c r="A134" s="55">
        <v>46186.0</v>
      </c>
      <c r="B134" s="1" t="s">
        <v>578</v>
      </c>
      <c r="C134" s="1" t="str">
        <f>VLOOKUP(B134,MAESTRA!I:K,2,0)</f>
        <v>*102032*</v>
      </c>
      <c r="D134" s="1" t="str">
        <f>VLOOKUP(B134,MAESTRA!I:K,3,0)</f>
        <v>CAMISAS CABALLERO - TALLA XL</v>
      </c>
      <c r="E134" s="1" t="s">
        <v>573</v>
      </c>
      <c r="F134" s="45">
        <v>2.0</v>
      </c>
      <c r="G134" s="2">
        <v>24000.0</v>
      </c>
      <c r="H134" s="2">
        <f t="shared" si="1"/>
        <v>48000</v>
      </c>
      <c r="I134" s="2">
        <f t="shared" si="2"/>
        <v>48000</v>
      </c>
      <c r="J134" s="47">
        <f t="shared" si="3"/>
        <v>1</v>
      </c>
      <c r="K134" s="2">
        <f t="shared" si="4"/>
        <v>96000</v>
      </c>
      <c r="L134" s="1"/>
    </row>
    <row r="135">
      <c r="A135" s="55">
        <v>46186.0</v>
      </c>
      <c r="B135" s="1" t="s">
        <v>579</v>
      </c>
      <c r="C135" s="1" t="str">
        <f>VLOOKUP(B135,MAESTRA!I:K,2,0)</f>
        <v>*3811430*</v>
      </c>
      <c r="D135" s="1" t="str">
        <f>VLOOKUP(B135,MAESTRA!I:K,3,0)</f>
        <v>BODY DAMA AFELPADO TALLA UN</v>
      </c>
      <c r="E135" s="1" t="s">
        <v>580</v>
      </c>
      <c r="F135" s="45">
        <v>1.0</v>
      </c>
      <c r="G135" s="2">
        <v>26000.0</v>
      </c>
      <c r="H135" s="2">
        <f t="shared" si="1"/>
        <v>26000</v>
      </c>
      <c r="I135" s="2">
        <f t="shared" si="2"/>
        <v>52000</v>
      </c>
      <c r="J135" s="47">
        <f t="shared" si="3"/>
        <v>1</v>
      </c>
      <c r="K135" s="2">
        <f t="shared" si="4"/>
        <v>52000</v>
      </c>
      <c r="L135" s="1"/>
    </row>
    <row r="136">
      <c r="A136" s="55">
        <v>46186.0</v>
      </c>
      <c r="B136" s="1" t="s">
        <v>581</v>
      </c>
      <c r="C136" s="1" t="str">
        <f>VLOOKUP(B136,MAESTRA!I:K,2,0)</f>
        <v>*615230*</v>
      </c>
      <c r="D136" s="1" t="str">
        <f>VLOOKUP(B136,MAESTRA!I:K,3,0)</f>
        <v>BLUSAS DAMA BRILLANTE TALLA UN</v>
      </c>
      <c r="E136" s="1" t="s">
        <v>580</v>
      </c>
      <c r="F136" s="45">
        <v>3.0</v>
      </c>
      <c r="G136" s="2">
        <v>26000.0</v>
      </c>
      <c r="H136" s="2">
        <f t="shared" si="1"/>
        <v>78000</v>
      </c>
      <c r="I136" s="2">
        <f t="shared" si="2"/>
        <v>52000</v>
      </c>
      <c r="J136" s="47">
        <f t="shared" si="3"/>
        <v>1</v>
      </c>
      <c r="K136" s="2">
        <f t="shared" si="4"/>
        <v>156000</v>
      </c>
      <c r="L136" s="1"/>
    </row>
    <row r="137">
      <c r="A137" s="55">
        <v>46186.0</v>
      </c>
      <c r="B137" s="1" t="s">
        <v>582</v>
      </c>
      <c r="C137" s="1" t="str">
        <f>VLOOKUP(B137,MAESTRA!I:K,2,0)</f>
        <v>*6118430*</v>
      </c>
      <c r="D137" s="1" t="str">
        <f>VLOOKUP(B137,MAESTRA!I:K,3,0)</f>
        <v>BLUSAS DAMA MARIPOSA TALLA UN</v>
      </c>
      <c r="E137" s="1" t="s">
        <v>580</v>
      </c>
      <c r="F137" s="45">
        <v>2.0</v>
      </c>
      <c r="G137" s="2">
        <v>18000.0</v>
      </c>
      <c r="H137" s="2">
        <f t="shared" si="1"/>
        <v>36000</v>
      </c>
      <c r="I137" s="2">
        <f t="shared" si="2"/>
        <v>36000</v>
      </c>
      <c r="J137" s="47">
        <f t="shared" si="3"/>
        <v>1</v>
      </c>
      <c r="K137" s="2">
        <f t="shared" si="4"/>
        <v>72000</v>
      </c>
      <c r="L137" s="1"/>
    </row>
    <row r="138">
      <c r="A138" s="55">
        <v>46186.0</v>
      </c>
      <c r="B138" s="1" t="s">
        <v>583</v>
      </c>
      <c r="C138" s="1" t="str">
        <f>VLOOKUP(B138,MAESTRA!I:K,2,0)</f>
        <v>*612430*</v>
      </c>
      <c r="D138" s="1" t="str">
        <f>VLOOKUP(B138,MAESTRA!I:K,3,0)</f>
        <v>BLUSAS DAMA AMBAR TALLA UN</v>
      </c>
      <c r="E138" s="1" t="s">
        <v>580</v>
      </c>
      <c r="F138" s="45">
        <v>7.0</v>
      </c>
      <c r="G138" s="2">
        <v>23000.0</v>
      </c>
      <c r="H138" s="2">
        <f t="shared" si="1"/>
        <v>161000</v>
      </c>
      <c r="I138" s="2">
        <f t="shared" si="2"/>
        <v>46000</v>
      </c>
      <c r="J138" s="47">
        <f t="shared" si="3"/>
        <v>1</v>
      </c>
      <c r="K138" s="2">
        <f t="shared" si="4"/>
        <v>322000</v>
      </c>
      <c r="L138" s="1"/>
    </row>
    <row r="139">
      <c r="A139" s="55">
        <v>46186.0</v>
      </c>
      <c r="B139" s="1" t="s">
        <v>584</v>
      </c>
      <c r="C139" s="1" t="str">
        <f>VLOOKUP(B139,MAESTRA!I:K,2,0)</f>
        <v>*3814730*</v>
      </c>
      <c r="D139" s="1" t="str">
        <f>VLOOKUP(B139,MAESTRA!I:K,3,0)</f>
        <v>BODY DAMA BODY COSMO TALLA UN</v>
      </c>
      <c r="E139" s="1" t="s">
        <v>580</v>
      </c>
      <c r="F139" s="45">
        <v>2.0</v>
      </c>
      <c r="G139" s="2">
        <v>23000.0</v>
      </c>
      <c r="H139" s="2">
        <f t="shared" si="1"/>
        <v>46000</v>
      </c>
      <c r="I139" s="2">
        <f t="shared" si="2"/>
        <v>46000</v>
      </c>
      <c r="J139" s="47">
        <f t="shared" si="3"/>
        <v>1</v>
      </c>
      <c r="K139" s="2">
        <f t="shared" si="4"/>
        <v>92000</v>
      </c>
      <c r="L139" s="1"/>
    </row>
    <row r="140">
      <c r="A140" s="55">
        <v>46186.0</v>
      </c>
      <c r="B140" s="1" t="s">
        <v>585</v>
      </c>
      <c r="C140" s="1" t="str">
        <f>VLOOKUP(B140,MAESTRA!I:K,2,0)</f>
        <v>*38119930*</v>
      </c>
      <c r="D140" s="1" t="str">
        <f>VLOOKUP(B140,MAESTRA!I:K,3,0)</f>
        <v>BODY DAMA OTRA CLASE TALLA UN</v>
      </c>
      <c r="E140" s="1" t="s">
        <v>580</v>
      </c>
      <c r="F140" s="45">
        <v>1.0</v>
      </c>
      <c r="G140" s="2">
        <v>23000.0</v>
      </c>
      <c r="H140" s="2">
        <f t="shared" si="1"/>
        <v>23000</v>
      </c>
      <c r="I140" s="2">
        <f t="shared" si="2"/>
        <v>46000</v>
      </c>
      <c r="J140" s="47">
        <f t="shared" si="3"/>
        <v>1</v>
      </c>
      <c r="K140" s="2">
        <f t="shared" si="4"/>
        <v>46000</v>
      </c>
      <c r="L140" s="1"/>
    </row>
    <row r="141">
      <c r="A141" s="55">
        <v>46186.0</v>
      </c>
      <c r="B141" s="1" t="s">
        <v>586</v>
      </c>
      <c r="C141" s="1" t="str">
        <f>VLOOKUP(B141,MAESTRA!I:K,2,0)</f>
        <v>*11121625*</v>
      </c>
      <c r="D141" s="1" t="str">
        <f>VLOOKUP(B141,MAESTRA!I:K,3,0)</f>
        <v>CAMISETAS DAMA POLO TALLA M</v>
      </c>
      <c r="E141" s="1" t="s">
        <v>587</v>
      </c>
      <c r="F141" s="45">
        <v>2.0</v>
      </c>
      <c r="G141" s="2">
        <v>21000.0</v>
      </c>
      <c r="H141" s="2">
        <f t="shared" si="1"/>
        <v>42000</v>
      </c>
      <c r="I141" s="2">
        <f t="shared" si="2"/>
        <v>42000</v>
      </c>
      <c r="J141" s="47">
        <f t="shared" si="3"/>
        <v>1</v>
      </c>
      <c r="K141" s="2">
        <f t="shared" si="4"/>
        <v>84000</v>
      </c>
      <c r="L141" s="1"/>
    </row>
    <row r="142">
      <c r="A142" s="55">
        <v>46186.0</v>
      </c>
      <c r="B142" s="1" t="s">
        <v>588</v>
      </c>
      <c r="C142" s="1" t="str">
        <f>VLOOKUP(B142,MAESTRA!I:K,2,0)</f>
        <v>*11121627*</v>
      </c>
      <c r="D142" s="1" t="str">
        <f>VLOOKUP(B142,MAESTRA!I:K,3,0)</f>
        <v>CAMISETAS DAMA POLO TALLA S</v>
      </c>
      <c r="E142" s="1" t="s">
        <v>587</v>
      </c>
      <c r="F142" s="45">
        <v>2.0</v>
      </c>
      <c r="G142" s="2">
        <v>21000.0</v>
      </c>
      <c r="H142" s="2">
        <f t="shared" si="1"/>
        <v>42000</v>
      </c>
      <c r="I142" s="2">
        <f t="shared" si="2"/>
        <v>42000</v>
      </c>
      <c r="J142" s="47">
        <f t="shared" si="3"/>
        <v>1</v>
      </c>
      <c r="K142" s="2">
        <f t="shared" si="4"/>
        <v>84000</v>
      </c>
      <c r="L142" s="1"/>
    </row>
    <row r="143">
      <c r="A143" s="55">
        <v>46186.0</v>
      </c>
      <c r="B143" s="1" t="s">
        <v>589</v>
      </c>
      <c r="C143" s="1" t="str">
        <f>VLOOKUP(B143,MAESTRA!I:K,2,0)</f>
        <v>*11222032*</v>
      </c>
      <c r="D143" s="1" t="str">
        <f>VLOOKUP(B143,MAESTRA!I:K,3,0)</f>
        <v>CAMISETAS CABALLERO POLO TIPO GALLETA TALLA XL</v>
      </c>
      <c r="E143" s="1" t="s">
        <v>587</v>
      </c>
      <c r="F143" s="45">
        <v>2.0</v>
      </c>
      <c r="G143" s="2">
        <v>25000.0</v>
      </c>
      <c r="H143" s="2">
        <f t="shared" si="1"/>
        <v>50000</v>
      </c>
      <c r="I143" s="2">
        <f t="shared" si="2"/>
        <v>50000</v>
      </c>
      <c r="J143" s="47">
        <f t="shared" si="3"/>
        <v>1</v>
      </c>
      <c r="K143" s="2">
        <f t="shared" si="4"/>
        <v>100000</v>
      </c>
      <c r="L143" s="1"/>
    </row>
    <row r="144">
      <c r="A144" s="55">
        <v>46186.0</v>
      </c>
      <c r="B144" s="1" t="s">
        <v>590</v>
      </c>
      <c r="C144" s="1" t="str">
        <f>VLOOKUP(B144,MAESTRA!I:K,2,0)</f>
        <v>*11222027*</v>
      </c>
      <c r="D144" s="1" t="str">
        <f>VLOOKUP(B144,MAESTRA!I:K,3,0)</f>
        <v>CAMISETAS CABALLERO POLO TIPO GALLETA TALLA S</v>
      </c>
      <c r="E144" s="1" t="s">
        <v>587</v>
      </c>
      <c r="F144" s="45">
        <v>2.0</v>
      </c>
      <c r="G144" s="2">
        <v>25000.0</v>
      </c>
      <c r="H144" s="2">
        <f t="shared" si="1"/>
        <v>50000</v>
      </c>
      <c r="I144" s="2">
        <f t="shared" si="2"/>
        <v>50000</v>
      </c>
      <c r="J144" s="47">
        <f t="shared" si="3"/>
        <v>1</v>
      </c>
      <c r="K144" s="2">
        <f t="shared" si="4"/>
        <v>100000</v>
      </c>
      <c r="L144" s="1"/>
    </row>
    <row r="145">
      <c r="A145" s="55">
        <v>46186.0</v>
      </c>
      <c r="B145" s="1" t="s">
        <v>591</v>
      </c>
      <c r="C145" s="1" t="str">
        <f>VLOOKUP(B145,MAESTRA!I:K,2,0)</f>
        <v>*11222025*</v>
      </c>
      <c r="D145" s="1" t="str">
        <f>VLOOKUP(B145,MAESTRA!I:K,3,0)</f>
        <v>CAMISETAS CABALLERO POLO TIPO GALLETA TALLA M</v>
      </c>
      <c r="E145" s="1" t="s">
        <v>587</v>
      </c>
      <c r="F145" s="45">
        <v>2.0</v>
      </c>
      <c r="G145" s="2">
        <v>25000.0</v>
      </c>
      <c r="H145" s="2">
        <f t="shared" si="1"/>
        <v>50000</v>
      </c>
      <c r="I145" s="2">
        <f t="shared" si="2"/>
        <v>50000</v>
      </c>
      <c r="J145" s="47">
        <f t="shared" si="3"/>
        <v>1</v>
      </c>
      <c r="K145" s="2">
        <f t="shared" si="4"/>
        <v>100000</v>
      </c>
      <c r="L145" s="1"/>
    </row>
    <row r="146">
      <c r="A146" s="55">
        <v>46186.0</v>
      </c>
      <c r="B146" s="1" t="s">
        <v>592</v>
      </c>
      <c r="C146" s="1" t="str">
        <f>VLOOKUP(B146,MAESTRA!I:K,2,0)</f>
        <v>*11222023*</v>
      </c>
      <c r="D146" s="1" t="str">
        <f>VLOOKUP(B146,MAESTRA!I:K,3,0)</f>
        <v>CAMISETAS CABALLERO POLO TIPO GALLETA TALLA L</v>
      </c>
      <c r="E146" s="1" t="s">
        <v>587</v>
      </c>
      <c r="F146" s="45">
        <v>2.0</v>
      </c>
      <c r="G146" s="2">
        <v>25000.0</v>
      </c>
      <c r="H146" s="2">
        <f t="shared" si="1"/>
        <v>50000</v>
      </c>
      <c r="I146" s="2">
        <f t="shared" si="2"/>
        <v>50000</v>
      </c>
      <c r="J146" s="47">
        <f t="shared" si="3"/>
        <v>1</v>
      </c>
      <c r="K146" s="2">
        <f t="shared" si="4"/>
        <v>100000</v>
      </c>
      <c r="L146" s="1"/>
    </row>
    <row r="147">
      <c r="A147" s="55">
        <v>46186.0</v>
      </c>
      <c r="B147" s="1" t="s">
        <v>593</v>
      </c>
      <c r="C147" s="1" t="str">
        <f>VLOOKUP(B147,MAESTRA!I:K,2,0)</f>
        <v>*11210827*</v>
      </c>
      <c r="D147" s="1" t="str">
        <f>VLOOKUP(B147,MAESTRA!I:K,3,0)</f>
        <v>CAMISETAS CABALLERO CUELLO REDONDO TALLA S</v>
      </c>
      <c r="E147" s="1" t="s">
        <v>587</v>
      </c>
      <c r="F147" s="45">
        <v>2.0</v>
      </c>
      <c r="G147" s="2">
        <v>20000.0</v>
      </c>
      <c r="H147" s="2">
        <f t="shared" si="1"/>
        <v>40000</v>
      </c>
      <c r="I147" s="2">
        <f t="shared" si="2"/>
        <v>40000</v>
      </c>
      <c r="J147" s="47">
        <f t="shared" si="3"/>
        <v>1</v>
      </c>
      <c r="K147" s="2">
        <f t="shared" si="4"/>
        <v>80000</v>
      </c>
      <c r="L147" s="1"/>
    </row>
    <row r="148">
      <c r="A148" s="55">
        <v>46186.0</v>
      </c>
      <c r="B148" s="1" t="s">
        <v>594</v>
      </c>
      <c r="C148" s="1" t="str">
        <f>VLOOKUP(B148,MAESTRA!I:K,2,0)</f>
        <v>*11210825*</v>
      </c>
      <c r="D148" s="1" t="str">
        <f>VLOOKUP(B148,MAESTRA!I:K,3,0)</f>
        <v>CAMISETAS CABALLERO CUELLO REDONDO TALLA M</v>
      </c>
      <c r="E148" s="1" t="s">
        <v>587</v>
      </c>
      <c r="F148" s="45">
        <v>2.0</v>
      </c>
      <c r="G148" s="2">
        <v>20000.0</v>
      </c>
      <c r="H148" s="2">
        <f t="shared" si="1"/>
        <v>40000</v>
      </c>
      <c r="I148" s="2">
        <f t="shared" si="2"/>
        <v>40000</v>
      </c>
      <c r="J148" s="47">
        <f t="shared" si="3"/>
        <v>1</v>
      </c>
      <c r="K148" s="2">
        <f t="shared" si="4"/>
        <v>80000</v>
      </c>
      <c r="L148" s="1"/>
    </row>
    <row r="149">
      <c r="A149" s="55">
        <v>46186.0</v>
      </c>
      <c r="B149" s="1" t="s">
        <v>595</v>
      </c>
      <c r="C149" s="1" t="str">
        <f>VLOOKUP(B149,MAESTRA!I:K,2,0)</f>
        <v>*11210823*</v>
      </c>
      <c r="D149" s="1" t="str">
        <f>VLOOKUP(B149,MAESTRA!I:K,3,0)</f>
        <v>CAMISETAS CABALLERO CUELLO REDONDO TALLA L</v>
      </c>
      <c r="E149" s="1" t="s">
        <v>587</v>
      </c>
      <c r="F149" s="45">
        <v>2.0</v>
      </c>
      <c r="G149" s="2">
        <v>20000.0</v>
      </c>
      <c r="H149" s="2">
        <f t="shared" si="1"/>
        <v>40000</v>
      </c>
      <c r="I149" s="2">
        <f t="shared" si="2"/>
        <v>40000</v>
      </c>
      <c r="J149" s="47">
        <f t="shared" si="3"/>
        <v>1</v>
      </c>
      <c r="K149" s="2">
        <f t="shared" si="4"/>
        <v>80000</v>
      </c>
      <c r="L149" s="1"/>
    </row>
    <row r="150">
      <c r="A150" s="55">
        <v>46186.0</v>
      </c>
      <c r="B150" s="1" t="s">
        <v>596</v>
      </c>
      <c r="C150" s="1" t="str">
        <f>VLOOKUP(B150,MAESTRA!I:K,2,0)</f>
        <v>*11210832*</v>
      </c>
      <c r="D150" s="1" t="str">
        <f>VLOOKUP(B150,MAESTRA!I:K,3,0)</f>
        <v>CAMISETAS CABALLERO CUELLO REDONDO TALLA XL</v>
      </c>
      <c r="E150" s="1" t="s">
        <v>587</v>
      </c>
      <c r="F150" s="45">
        <v>2.0</v>
      </c>
      <c r="G150" s="2">
        <v>20000.0</v>
      </c>
      <c r="H150" s="2">
        <f t="shared" si="1"/>
        <v>40000</v>
      </c>
      <c r="I150" s="2">
        <f t="shared" si="2"/>
        <v>40000</v>
      </c>
      <c r="J150" s="47">
        <f t="shared" si="3"/>
        <v>1</v>
      </c>
      <c r="K150" s="2">
        <f t="shared" si="4"/>
        <v>80000</v>
      </c>
      <c r="L150" s="1"/>
    </row>
    <row r="151">
      <c r="A151" s="55">
        <v>46186.0</v>
      </c>
      <c r="B151" s="1" t="s">
        <v>597</v>
      </c>
      <c r="C151" s="1" t="str">
        <f>VLOOKUP(B151,MAESTRA!I:K,2,0)</f>
        <v>*11221827*</v>
      </c>
      <c r="D151" s="1" t="str">
        <f>VLOOKUP(B151,MAESTRA!I:K,3,0)</f>
        <v>CAMISETAS CABALLERO POLO SEDA FRIA TALLA S</v>
      </c>
      <c r="E151" s="1" t="s">
        <v>587</v>
      </c>
      <c r="F151" s="45">
        <v>2.0</v>
      </c>
      <c r="G151" s="2">
        <v>24000.0</v>
      </c>
      <c r="H151" s="2">
        <f t="shared" si="1"/>
        <v>48000</v>
      </c>
      <c r="I151" s="2">
        <f t="shared" si="2"/>
        <v>48000</v>
      </c>
      <c r="J151" s="47">
        <f t="shared" si="3"/>
        <v>1</v>
      </c>
      <c r="K151" s="2">
        <f t="shared" si="4"/>
        <v>96000</v>
      </c>
      <c r="L151" s="1"/>
    </row>
    <row r="152">
      <c r="A152" s="55">
        <v>46186.0</v>
      </c>
      <c r="B152" s="1" t="s">
        <v>598</v>
      </c>
      <c r="C152" s="1" t="str">
        <f>VLOOKUP(B152,MAESTRA!I:K,2,0)</f>
        <v>*11221825*</v>
      </c>
      <c r="D152" s="1" t="str">
        <f>VLOOKUP(B152,MAESTRA!I:K,3,0)</f>
        <v>CAMISETAS CABALLERO POLO SEDA FRIA TALLA M</v>
      </c>
      <c r="E152" s="1" t="s">
        <v>587</v>
      </c>
      <c r="F152" s="45">
        <v>2.0</v>
      </c>
      <c r="G152" s="2">
        <v>24000.0</v>
      </c>
      <c r="H152" s="2">
        <f t="shared" si="1"/>
        <v>48000</v>
      </c>
      <c r="I152" s="2">
        <f t="shared" si="2"/>
        <v>48000</v>
      </c>
      <c r="J152" s="47">
        <f t="shared" si="3"/>
        <v>1</v>
      </c>
      <c r="K152" s="2">
        <f t="shared" si="4"/>
        <v>96000</v>
      </c>
      <c r="L152" s="1"/>
    </row>
    <row r="153">
      <c r="A153" s="55">
        <v>46186.0</v>
      </c>
      <c r="B153" s="1" t="s">
        <v>599</v>
      </c>
      <c r="C153" s="1" t="str">
        <f>VLOOKUP(B153,MAESTRA!I:K,2,0)</f>
        <v>*11221823*</v>
      </c>
      <c r="D153" s="1" t="str">
        <f>VLOOKUP(B153,MAESTRA!I:K,3,0)</f>
        <v>CAMISETAS CABALLERO POLO SEDA FRIA TALLA L</v>
      </c>
      <c r="E153" s="1" t="s">
        <v>587</v>
      </c>
      <c r="F153" s="45">
        <v>2.0</v>
      </c>
      <c r="G153" s="2">
        <v>24000.0</v>
      </c>
      <c r="H153" s="2">
        <f t="shared" si="1"/>
        <v>48000</v>
      </c>
      <c r="I153" s="2">
        <f t="shared" si="2"/>
        <v>48000</v>
      </c>
      <c r="J153" s="47">
        <f t="shared" si="3"/>
        <v>1</v>
      </c>
      <c r="K153" s="2">
        <f t="shared" si="4"/>
        <v>96000</v>
      </c>
      <c r="L153" s="1"/>
    </row>
    <row r="154">
      <c r="A154" s="55">
        <v>46186.0</v>
      </c>
      <c r="B154" s="1" t="s">
        <v>600</v>
      </c>
      <c r="C154" s="1" t="str">
        <f>VLOOKUP(B154,MAESTRA!I:K,2,0)</f>
        <v>*11221832*</v>
      </c>
      <c r="D154" s="1" t="str">
        <f>VLOOKUP(B154,MAESTRA!I:K,3,0)</f>
        <v>CAMISETAS CABALLERO POLO SEDA FRIA TALLA XL</v>
      </c>
      <c r="E154" s="1" t="s">
        <v>587</v>
      </c>
      <c r="F154" s="45">
        <v>2.0</v>
      </c>
      <c r="G154" s="2">
        <v>24000.0</v>
      </c>
      <c r="H154" s="2">
        <f t="shared" si="1"/>
        <v>48000</v>
      </c>
      <c r="I154" s="2">
        <f t="shared" si="2"/>
        <v>48000</v>
      </c>
      <c r="J154" s="47">
        <f t="shared" si="3"/>
        <v>1</v>
      </c>
      <c r="K154" s="2">
        <f t="shared" si="4"/>
        <v>96000</v>
      </c>
      <c r="L154" s="1"/>
    </row>
    <row r="155">
      <c r="A155" s="55">
        <v>46186.0</v>
      </c>
      <c r="B155" s="1" t="s">
        <v>601</v>
      </c>
      <c r="C155" s="1" t="str">
        <f>VLOOKUP(B155,MAESTRA!I:K,2,0)</f>
        <v>*211974*</v>
      </c>
      <c r="D155" s="1" t="str">
        <f>VLOOKUP(B155,MAESTRA!I:K,3,0)</f>
        <v>PANTALONES DAMA NOCHE TALLA 12</v>
      </c>
      <c r="E155" s="1" t="s">
        <v>602</v>
      </c>
      <c r="F155" s="45">
        <v>2.0</v>
      </c>
      <c r="G155" s="2">
        <v>46000.0</v>
      </c>
      <c r="H155" s="2">
        <f t="shared" si="1"/>
        <v>92000</v>
      </c>
      <c r="I155" s="2">
        <f t="shared" si="2"/>
        <v>92000</v>
      </c>
      <c r="J155" s="47">
        <f t="shared" si="3"/>
        <v>1</v>
      </c>
      <c r="K155" s="2">
        <f t="shared" si="4"/>
        <v>184000</v>
      </c>
      <c r="L155" s="1"/>
    </row>
    <row r="156">
      <c r="A156" s="55">
        <v>46186.0</v>
      </c>
      <c r="B156" s="1" t="s">
        <v>603</v>
      </c>
      <c r="C156" s="1" t="str">
        <f>VLOOKUP(B156,MAESTRA!I:K,2,0)</f>
        <v>*211975*</v>
      </c>
      <c r="D156" s="1" t="str">
        <f>VLOOKUP(B156,MAESTRA!I:K,3,0)</f>
        <v>PANTALONES DAMA NOCHE TALLA 14</v>
      </c>
      <c r="E156" s="1" t="s">
        <v>602</v>
      </c>
      <c r="F156" s="45">
        <v>1.0</v>
      </c>
      <c r="G156" s="2">
        <v>46000.0</v>
      </c>
      <c r="H156" s="2">
        <f t="shared" si="1"/>
        <v>46000</v>
      </c>
      <c r="I156" s="2">
        <f t="shared" si="2"/>
        <v>92000</v>
      </c>
      <c r="J156" s="47">
        <f t="shared" si="3"/>
        <v>1</v>
      </c>
      <c r="K156" s="2">
        <f t="shared" si="4"/>
        <v>92000</v>
      </c>
      <c r="L156" s="1"/>
    </row>
    <row r="157">
      <c r="A157" s="55">
        <v>46186.0</v>
      </c>
      <c r="B157" s="1" t="s">
        <v>604</v>
      </c>
      <c r="C157" s="1" t="str">
        <f>VLOOKUP(B157,MAESTRA!I:K,2,0)</f>
        <v>*211973*</v>
      </c>
      <c r="D157" s="1" t="str">
        <f>VLOOKUP(B157,MAESTRA!I:K,3,0)</f>
        <v>PANTALONES DAMA NOCHE TALLA 10</v>
      </c>
      <c r="E157" s="1" t="s">
        <v>602</v>
      </c>
      <c r="F157" s="45">
        <v>1.0</v>
      </c>
      <c r="G157" s="2">
        <v>46000.0</v>
      </c>
      <c r="H157" s="2">
        <f t="shared" si="1"/>
        <v>46000</v>
      </c>
      <c r="I157" s="2">
        <f t="shared" si="2"/>
        <v>92000</v>
      </c>
      <c r="J157" s="47">
        <f t="shared" si="3"/>
        <v>1</v>
      </c>
      <c r="K157" s="2">
        <f t="shared" si="4"/>
        <v>92000</v>
      </c>
      <c r="L157" s="1"/>
    </row>
    <row r="158">
      <c r="A158" s="55">
        <v>46186.0</v>
      </c>
      <c r="B158" s="1" t="s">
        <v>605</v>
      </c>
      <c r="C158" s="1" t="str">
        <f>VLOOKUP(B158,MAESTRA!I:K,2,0)</f>
        <v>*911371*</v>
      </c>
      <c r="D158" s="1" t="str">
        <f>VLOOKUP(B158,MAESTRA!I:K,3,0)</f>
        <v>FALDAS DAMA GAMUSA TALLA 6</v>
      </c>
      <c r="E158" s="1" t="s">
        <v>602</v>
      </c>
      <c r="F158" s="45">
        <v>1.0</v>
      </c>
      <c r="G158" s="2">
        <v>48000.0</v>
      </c>
      <c r="H158" s="2">
        <f t="shared" si="1"/>
        <v>48000</v>
      </c>
      <c r="I158" s="2">
        <f t="shared" si="2"/>
        <v>96000</v>
      </c>
      <c r="J158" s="47">
        <f t="shared" si="3"/>
        <v>1</v>
      </c>
      <c r="K158" s="2">
        <f t="shared" si="4"/>
        <v>96000</v>
      </c>
      <c r="L158" s="1"/>
    </row>
    <row r="159">
      <c r="A159" s="55">
        <v>46186.0</v>
      </c>
      <c r="B159" s="1" t="s">
        <v>606</v>
      </c>
      <c r="C159" s="1" t="str">
        <f>VLOOKUP(B159,MAESTRA!I:K,2,0)</f>
        <v>*911372*</v>
      </c>
      <c r="D159" s="1" t="str">
        <f>VLOOKUP(B159,MAESTRA!I:K,3,0)</f>
        <v>FALDAS DAMA GAMUSA TALLA 8</v>
      </c>
      <c r="E159" s="1" t="s">
        <v>602</v>
      </c>
      <c r="F159" s="45">
        <v>1.0</v>
      </c>
      <c r="G159" s="2">
        <v>48000.0</v>
      </c>
      <c r="H159" s="2">
        <f t="shared" si="1"/>
        <v>48000</v>
      </c>
      <c r="I159" s="2">
        <f t="shared" si="2"/>
        <v>96000</v>
      </c>
      <c r="J159" s="47">
        <f t="shared" si="3"/>
        <v>1</v>
      </c>
      <c r="K159" s="2">
        <f t="shared" si="4"/>
        <v>96000</v>
      </c>
      <c r="L159" s="1"/>
    </row>
    <row r="160">
      <c r="A160" s="55">
        <v>46186.0</v>
      </c>
      <c r="B160" s="1" t="s">
        <v>607</v>
      </c>
      <c r="C160" s="1" t="str">
        <f>VLOOKUP(B160,MAESTRA!I:K,2,0)</f>
        <v>*911374*</v>
      </c>
      <c r="D160" s="1" t="str">
        <f>VLOOKUP(B160,MAESTRA!I:K,3,0)</f>
        <v>FALDAS DAMA GAMUSA TALLA 12</v>
      </c>
      <c r="E160" s="1" t="s">
        <v>602</v>
      </c>
      <c r="F160" s="45">
        <v>1.0</v>
      </c>
      <c r="G160" s="2">
        <v>48000.0</v>
      </c>
      <c r="H160" s="2">
        <f t="shared" si="1"/>
        <v>48000</v>
      </c>
      <c r="I160" s="2">
        <f t="shared" si="2"/>
        <v>96000</v>
      </c>
      <c r="J160" s="47">
        <f t="shared" si="3"/>
        <v>1</v>
      </c>
      <c r="K160" s="2">
        <f t="shared" si="4"/>
        <v>96000</v>
      </c>
      <c r="L160" s="1"/>
    </row>
    <row r="161">
      <c r="A161" s="55">
        <v>46186.0</v>
      </c>
      <c r="B161" s="1" t="s">
        <v>608</v>
      </c>
      <c r="C161" s="1" t="str">
        <f>VLOOKUP(B161,MAESTRA!I:K,2,0)</f>
        <v>*911373*</v>
      </c>
      <c r="D161" s="1" t="str">
        <f>VLOOKUP(B161,MAESTRA!I:K,3,0)</f>
        <v>FALDAS DAMA GAMUSA TALLA 10</v>
      </c>
      <c r="E161" s="1" t="s">
        <v>602</v>
      </c>
      <c r="F161" s="45">
        <v>1.0</v>
      </c>
      <c r="G161" s="2">
        <v>48000.0</v>
      </c>
      <c r="H161" s="2">
        <f t="shared" si="1"/>
        <v>48000</v>
      </c>
      <c r="I161" s="2">
        <f t="shared" si="2"/>
        <v>96000</v>
      </c>
      <c r="J161" s="47">
        <f t="shared" si="3"/>
        <v>1</v>
      </c>
      <c r="K161" s="2">
        <f t="shared" si="4"/>
        <v>96000</v>
      </c>
      <c r="L161" s="1"/>
    </row>
    <row r="162">
      <c r="A162" s="55">
        <v>46186.0</v>
      </c>
      <c r="B162" s="1" t="s">
        <v>609</v>
      </c>
      <c r="C162" s="1" t="str">
        <f>VLOOKUP(B162,MAESTRA!I:K,2,0)</f>
        <v>*25113725*</v>
      </c>
      <c r="D162" s="1" t="str">
        <f>VLOOKUP(B162,MAESTRA!I:K,3,0)</f>
        <v>CHAQUETAS DAMA GAMUSA TALLA M</v>
      </c>
      <c r="E162" s="1" t="s">
        <v>610</v>
      </c>
      <c r="F162" s="45">
        <v>2.0</v>
      </c>
      <c r="G162" s="2">
        <v>50000.0</v>
      </c>
      <c r="H162" s="2">
        <f t="shared" si="1"/>
        <v>100000</v>
      </c>
      <c r="I162" s="2">
        <f t="shared" si="2"/>
        <v>100000</v>
      </c>
      <c r="J162" s="47">
        <f t="shared" si="3"/>
        <v>1</v>
      </c>
      <c r="K162" s="2">
        <f t="shared" si="4"/>
        <v>200000</v>
      </c>
      <c r="L162" s="1"/>
    </row>
    <row r="163">
      <c r="A163" s="55">
        <v>46186.0</v>
      </c>
      <c r="B163" s="1" t="s">
        <v>611</v>
      </c>
      <c r="C163" s="1" t="str">
        <f>VLOOKUP(B163,MAESTRA!I:K,2,0)</f>
        <v>*25113723*</v>
      </c>
      <c r="D163" s="1" t="str">
        <f>VLOOKUP(B163,MAESTRA!I:K,3,0)</f>
        <v>CHAQUETAS DAMA GAMUSA TALLA L</v>
      </c>
      <c r="E163" s="1" t="s">
        <v>610</v>
      </c>
      <c r="F163" s="45">
        <v>2.0</v>
      </c>
      <c r="G163" s="2">
        <v>50000.0</v>
      </c>
      <c r="H163" s="2">
        <f t="shared" si="1"/>
        <v>100000</v>
      </c>
      <c r="I163" s="2">
        <f t="shared" si="2"/>
        <v>100000</v>
      </c>
      <c r="J163" s="47">
        <f t="shared" si="3"/>
        <v>1</v>
      </c>
      <c r="K163" s="2">
        <f t="shared" si="4"/>
        <v>200000</v>
      </c>
      <c r="L163" s="1"/>
    </row>
    <row r="164">
      <c r="A164" s="55">
        <v>46186.0</v>
      </c>
      <c r="B164" s="1" t="s">
        <v>612</v>
      </c>
      <c r="C164" s="1" t="str">
        <f>VLOOKUP(B164,MAESTRA!I:K,2,0)</f>
        <v>*25120525*</v>
      </c>
      <c r="D164" s="1" t="str">
        <f>VLOOKUP(B164,MAESTRA!I:K,3,0)</f>
        <v>CHAQUETAS DAMA PAÑO TALLA M</v>
      </c>
      <c r="E164" s="1" t="s">
        <v>613</v>
      </c>
      <c r="F164" s="45">
        <v>2.0</v>
      </c>
      <c r="G164" s="2">
        <v>45000.0</v>
      </c>
      <c r="H164" s="2">
        <f t="shared" si="1"/>
        <v>90000</v>
      </c>
      <c r="I164" s="2">
        <f t="shared" si="2"/>
        <v>90000</v>
      </c>
      <c r="J164" s="47">
        <f t="shared" si="3"/>
        <v>1</v>
      </c>
      <c r="K164" s="2">
        <f t="shared" si="4"/>
        <v>180000</v>
      </c>
      <c r="L164" s="1"/>
    </row>
    <row r="165">
      <c r="A165" s="55">
        <v>46186.0</v>
      </c>
      <c r="B165" s="1" t="s">
        <v>614</v>
      </c>
      <c r="C165" s="1" t="str">
        <f>VLOOKUP(B165,MAESTRA!I:K,2,0)</f>
        <v>*25120523*</v>
      </c>
      <c r="D165" s="1" t="str">
        <f>VLOOKUP(B165,MAESTRA!I:K,3,0)</f>
        <v>CHAQUETAS DAMA PAÑO TALLA L</v>
      </c>
      <c r="E165" s="1" t="s">
        <v>613</v>
      </c>
      <c r="F165" s="45">
        <v>3.0</v>
      </c>
      <c r="G165" s="2">
        <v>45000.0</v>
      </c>
      <c r="H165" s="2">
        <f t="shared" si="1"/>
        <v>135000</v>
      </c>
      <c r="I165" s="2">
        <f t="shared" si="2"/>
        <v>90000</v>
      </c>
      <c r="J165" s="47">
        <f t="shared" si="3"/>
        <v>1</v>
      </c>
      <c r="K165" s="2">
        <f t="shared" si="4"/>
        <v>270000</v>
      </c>
      <c r="L165" s="1"/>
    </row>
    <row r="166">
      <c r="A166" s="55">
        <v>46186.0</v>
      </c>
      <c r="B166" s="1" t="s">
        <v>615</v>
      </c>
      <c r="C166" s="1" t="str">
        <f>VLOOKUP(B166,MAESTRA!I:K,2,0)</f>
        <v>*2314534*</v>
      </c>
      <c r="D166" s="1" t="str">
        <f>VLOOKUP(B166,MAESTRA!I:K,3,0)</f>
        <v>PANTALONES UNISEX IMPERMEABLE TALLA XXL</v>
      </c>
      <c r="E166" s="1" t="s">
        <v>616</v>
      </c>
      <c r="F166" s="45">
        <v>2.0</v>
      </c>
      <c r="G166" s="2">
        <v>20000.0</v>
      </c>
      <c r="H166" s="2">
        <f t="shared" si="1"/>
        <v>40000</v>
      </c>
      <c r="I166" s="2">
        <f t="shared" si="2"/>
        <v>40000</v>
      </c>
      <c r="J166" s="47">
        <f t="shared" si="3"/>
        <v>1</v>
      </c>
      <c r="K166" s="2">
        <f t="shared" si="4"/>
        <v>80000</v>
      </c>
      <c r="L166" s="1"/>
    </row>
    <row r="167">
      <c r="A167" s="55">
        <v>46186.0</v>
      </c>
      <c r="B167" s="1" t="s">
        <v>617</v>
      </c>
      <c r="C167" s="1" t="str">
        <f>VLOOKUP(B167,MAESTRA!I:K,2,0)</f>
        <v>*2314532*</v>
      </c>
      <c r="D167" s="1" t="str">
        <f>VLOOKUP(B167,MAESTRA!I:K,3,0)</f>
        <v>PANTALONES UNISEX IMPERMEABLE TALLA XL</v>
      </c>
      <c r="E167" s="1" t="s">
        <v>616</v>
      </c>
      <c r="F167" s="45">
        <v>4.0</v>
      </c>
      <c r="G167" s="2">
        <v>23000.0</v>
      </c>
      <c r="H167" s="2">
        <f t="shared" si="1"/>
        <v>92000</v>
      </c>
      <c r="I167" s="2">
        <f t="shared" si="2"/>
        <v>46000</v>
      </c>
      <c r="J167" s="47">
        <f t="shared" si="3"/>
        <v>1</v>
      </c>
      <c r="K167" s="2">
        <f t="shared" si="4"/>
        <v>184000</v>
      </c>
      <c r="L167" s="1"/>
    </row>
    <row r="168">
      <c r="A168" s="55">
        <v>46186.0</v>
      </c>
      <c r="B168" s="1" t="s">
        <v>618</v>
      </c>
      <c r="C168" s="1" t="str">
        <f>VLOOKUP(B168,MAESTRA!I:K,2,0)</f>
        <v>*2314523*</v>
      </c>
      <c r="D168" s="1" t="str">
        <f>VLOOKUP(B168,MAESTRA!I:K,3,0)</f>
        <v>PANTALONES UNISEX IMPERMEABLE TALLA L</v>
      </c>
      <c r="E168" s="1" t="s">
        <v>616</v>
      </c>
      <c r="F168" s="45">
        <v>4.0</v>
      </c>
      <c r="G168" s="2">
        <v>23000.0</v>
      </c>
      <c r="H168" s="2">
        <f t="shared" si="1"/>
        <v>92000</v>
      </c>
      <c r="I168" s="2">
        <f t="shared" si="2"/>
        <v>46000</v>
      </c>
      <c r="J168" s="47">
        <f t="shared" si="3"/>
        <v>1</v>
      </c>
      <c r="K168" s="2">
        <f t="shared" si="4"/>
        <v>184000</v>
      </c>
      <c r="L168" s="1"/>
    </row>
    <row r="169">
      <c r="A169" s="55">
        <v>46186.0</v>
      </c>
      <c r="B169" s="1" t="s">
        <v>617</v>
      </c>
      <c r="C169" s="1" t="str">
        <f>VLOOKUP(B169,MAESTRA!I:K,2,0)</f>
        <v>*2314532*</v>
      </c>
      <c r="D169" s="1" t="str">
        <f>VLOOKUP(B169,MAESTRA!I:K,3,0)</f>
        <v>PANTALONES UNISEX IMPERMEABLE TALLA XL</v>
      </c>
      <c r="E169" s="1" t="s">
        <v>616</v>
      </c>
      <c r="F169" s="45">
        <v>3.0</v>
      </c>
      <c r="G169" s="2">
        <v>16000.0</v>
      </c>
      <c r="H169" s="2">
        <f t="shared" si="1"/>
        <v>48000</v>
      </c>
      <c r="I169" s="2">
        <f t="shared" si="2"/>
        <v>32000</v>
      </c>
      <c r="J169" s="47">
        <f t="shared" si="3"/>
        <v>1</v>
      </c>
      <c r="K169" s="2">
        <f t="shared" si="4"/>
        <v>96000</v>
      </c>
      <c r="L169" s="1"/>
    </row>
    <row r="170">
      <c r="A170" s="55">
        <v>46186.0</v>
      </c>
      <c r="B170" s="1" t="s">
        <v>619</v>
      </c>
      <c r="C170" s="1" t="str">
        <f>VLOOKUP(B170,MAESTRA!I:K,2,0)</f>
        <v>*2314530*</v>
      </c>
      <c r="D170" s="1" t="str">
        <f>VLOOKUP(B170,MAESTRA!I:K,3,0)</f>
        <v>PANTALONES UNISEX IMPERMEABLE TALLA UN</v>
      </c>
      <c r="E170" s="1" t="s">
        <v>616</v>
      </c>
      <c r="F170" s="45">
        <v>1.0</v>
      </c>
      <c r="G170" s="2">
        <v>16000.0</v>
      </c>
      <c r="H170" s="2">
        <f t="shared" si="1"/>
        <v>16000</v>
      </c>
      <c r="I170" s="2">
        <f t="shared" si="2"/>
        <v>32000</v>
      </c>
      <c r="J170" s="47">
        <f t="shared" si="3"/>
        <v>1</v>
      </c>
      <c r="K170" s="2">
        <f t="shared" si="4"/>
        <v>32000</v>
      </c>
      <c r="L170" s="1"/>
    </row>
    <row r="171">
      <c r="A171" s="55">
        <v>46186.0</v>
      </c>
      <c r="B171" s="1" t="s">
        <v>620</v>
      </c>
      <c r="C171" s="1" t="str">
        <f>VLOOKUP(B171,MAESTRA!I:K,2,0)</f>
        <v>*2327625*</v>
      </c>
      <c r="D171" s="1" t="str">
        <f>VLOOKUP(B171,MAESTRA!I:K,3,0)</f>
        <v>PANTALONES UNISEX VIOTO TALLA M</v>
      </c>
      <c r="E171" s="1" t="s">
        <v>616</v>
      </c>
      <c r="F171" s="45">
        <v>2.0</v>
      </c>
      <c r="G171" s="2">
        <v>16000.0</v>
      </c>
      <c r="H171" s="2">
        <f t="shared" si="1"/>
        <v>32000</v>
      </c>
      <c r="I171" s="2">
        <f t="shared" si="2"/>
        <v>32000</v>
      </c>
      <c r="J171" s="47">
        <f t="shared" si="3"/>
        <v>1</v>
      </c>
      <c r="K171" s="2">
        <f t="shared" si="4"/>
        <v>64000</v>
      </c>
      <c r="L171" s="1"/>
    </row>
    <row r="172">
      <c r="A172" s="55">
        <v>46186.0</v>
      </c>
      <c r="B172" s="1" t="s">
        <v>621</v>
      </c>
      <c r="C172" s="1" t="str">
        <f>VLOOKUP(B172,MAESTRA!I:K,2,0)</f>
        <v>*2314525*</v>
      </c>
      <c r="D172" s="1" t="str">
        <f>VLOOKUP(B172,MAESTRA!I:K,3,0)</f>
        <v>PANTALONES UNISEX IMPERMEABLE TALLA M</v>
      </c>
      <c r="E172" s="1" t="s">
        <v>616</v>
      </c>
      <c r="F172" s="45">
        <v>3.0</v>
      </c>
      <c r="G172" s="2">
        <v>16000.0</v>
      </c>
      <c r="H172" s="2">
        <f t="shared" si="1"/>
        <v>48000</v>
      </c>
      <c r="I172" s="2">
        <f t="shared" si="2"/>
        <v>32000</v>
      </c>
      <c r="J172" s="47">
        <f t="shared" si="3"/>
        <v>1</v>
      </c>
      <c r="K172" s="2">
        <f t="shared" si="4"/>
        <v>96000</v>
      </c>
      <c r="L172" s="1"/>
    </row>
    <row r="173">
      <c r="A173" s="55">
        <v>46186.0</v>
      </c>
      <c r="B173" s="1" t="s">
        <v>618</v>
      </c>
      <c r="C173" s="1" t="str">
        <f>VLOOKUP(B173,MAESTRA!I:K,2,0)</f>
        <v>*2314523*</v>
      </c>
      <c r="D173" s="1" t="str">
        <f>VLOOKUP(B173,MAESTRA!I:K,3,0)</f>
        <v>PANTALONES UNISEX IMPERMEABLE TALLA L</v>
      </c>
      <c r="E173" s="1" t="s">
        <v>616</v>
      </c>
      <c r="F173" s="45">
        <v>2.0</v>
      </c>
      <c r="G173" s="2">
        <v>16000.0</v>
      </c>
      <c r="H173" s="2">
        <f t="shared" si="1"/>
        <v>32000</v>
      </c>
      <c r="I173" s="2">
        <f t="shared" si="2"/>
        <v>32000</v>
      </c>
      <c r="J173" s="47">
        <f t="shared" si="3"/>
        <v>1</v>
      </c>
      <c r="K173" s="2">
        <f t="shared" si="4"/>
        <v>64000</v>
      </c>
      <c r="L173" s="1"/>
    </row>
    <row r="174">
      <c r="A174" s="55">
        <v>46186.0</v>
      </c>
      <c r="B174" s="1" t="s">
        <v>622</v>
      </c>
      <c r="C174" s="1" t="str">
        <f>VLOOKUP(B174,MAESTRA!I:K,2,0)</f>
        <v>*2327623*</v>
      </c>
      <c r="D174" s="1" t="str">
        <f>VLOOKUP(B174,MAESTRA!I:K,3,0)</f>
        <v>PANTALONES UNISEX VIOTO TALLA L</v>
      </c>
      <c r="E174" s="1" t="s">
        <v>616</v>
      </c>
      <c r="F174" s="45">
        <v>2.0</v>
      </c>
      <c r="G174" s="2">
        <v>16000.0</v>
      </c>
      <c r="H174" s="2">
        <f t="shared" si="1"/>
        <v>32000</v>
      </c>
      <c r="I174" s="2">
        <f t="shared" si="2"/>
        <v>32000</v>
      </c>
      <c r="J174" s="47">
        <f t="shared" si="3"/>
        <v>1</v>
      </c>
      <c r="K174" s="2">
        <f t="shared" si="4"/>
        <v>64000</v>
      </c>
      <c r="L174" s="1"/>
    </row>
    <row r="175">
      <c r="A175" s="55">
        <v>46186.0</v>
      </c>
      <c r="B175" s="1" t="s">
        <v>623</v>
      </c>
      <c r="C175" s="1" t="str">
        <f>VLOOKUP(B175,MAESTRA!I:K,2,0)</f>
        <v>*2327632*</v>
      </c>
      <c r="D175" s="1" t="str">
        <f>VLOOKUP(B175,MAESTRA!I:K,3,0)</f>
        <v>PANTALONES UNISEX VIOTO TALLA XL</v>
      </c>
      <c r="E175" s="1" t="s">
        <v>616</v>
      </c>
      <c r="F175" s="45">
        <v>2.0</v>
      </c>
      <c r="G175" s="2">
        <v>16000.0</v>
      </c>
      <c r="H175" s="2">
        <f t="shared" si="1"/>
        <v>32000</v>
      </c>
      <c r="I175" s="2">
        <f t="shared" si="2"/>
        <v>32000</v>
      </c>
      <c r="J175" s="47">
        <f t="shared" si="3"/>
        <v>1</v>
      </c>
      <c r="K175" s="2">
        <f t="shared" si="4"/>
        <v>64000</v>
      </c>
      <c r="L175" s="1"/>
    </row>
    <row r="176">
      <c r="A176" s="55">
        <v>46186.0</v>
      </c>
      <c r="B176" s="1" t="s">
        <v>624</v>
      </c>
      <c r="C176" s="1" t="str">
        <f>VLOOKUP(B176,MAESTRA!I:K,2,0)</f>
        <v>*231625*</v>
      </c>
      <c r="D176" s="1" t="str">
        <f>VLOOKUP(B176,MAESTRA!I:K,3,0)</f>
        <v>PANTALONES UNISEX ALGODON TALLA M</v>
      </c>
      <c r="E176" s="1" t="s">
        <v>616</v>
      </c>
      <c r="F176" s="45">
        <v>2.0</v>
      </c>
      <c r="G176" s="2">
        <v>16000.0</v>
      </c>
      <c r="H176" s="2">
        <f t="shared" si="1"/>
        <v>32000</v>
      </c>
      <c r="I176" s="2">
        <f t="shared" si="2"/>
        <v>32000</v>
      </c>
      <c r="J176" s="47">
        <f t="shared" si="3"/>
        <v>1</v>
      </c>
      <c r="K176" s="2">
        <f t="shared" si="4"/>
        <v>64000</v>
      </c>
      <c r="L176" s="1"/>
    </row>
    <row r="177">
      <c r="A177" s="55">
        <v>46186.0</v>
      </c>
      <c r="B177" s="1" t="s">
        <v>625</v>
      </c>
      <c r="C177" s="1" t="str">
        <f>VLOOKUP(B177,MAESTRA!I:K,2,0)</f>
        <v>*231632*</v>
      </c>
      <c r="D177" s="1" t="str">
        <f>VLOOKUP(B177,MAESTRA!I:K,3,0)</f>
        <v>PANTALONES UNISEX ALGODON TALLA XL</v>
      </c>
      <c r="E177" s="1" t="s">
        <v>616</v>
      </c>
      <c r="F177" s="45">
        <v>2.0</v>
      </c>
      <c r="G177" s="2">
        <v>16000.0</v>
      </c>
      <c r="H177" s="2">
        <f t="shared" si="1"/>
        <v>32000</v>
      </c>
      <c r="I177" s="2">
        <f t="shared" si="2"/>
        <v>32000</v>
      </c>
      <c r="J177" s="47">
        <f t="shared" si="3"/>
        <v>1</v>
      </c>
      <c r="K177" s="2">
        <f t="shared" si="4"/>
        <v>64000</v>
      </c>
      <c r="L177" s="1"/>
    </row>
    <row r="178">
      <c r="A178" s="55">
        <v>46186.0</v>
      </c>
      <c r="B178" s="1" t="s">
        <v>626</v>
      </c>
      <c r="C178" s="1" t="str">
        <f>VLOOKUP(B178,MAESTRA!I:K,2,0)</f>
        <v>*231623*</v>
      </c>
      <c r="D178" s="1" t="str">
        <f>VLOOKUP(B178,MAESTRA!I:K,3,0)</f>
        <v>PANTALONES UNISEX ALGODON TALLA L</v>
      </c>
      <c r="E178" s="1" t="s">
        <v>616</v>
      </c>
      <c r="F178" s="45">
        <v>2.0</v>
      </c>
      <c r="G178" s="2">
        <v>16000.0</v>
      </c>
      <c r="H178" s="2">
        <f t="shared" si="1"/>
        <v>32000</v>
      </c>
      <c r="I178" s="2">
        <f t="shared" si="2"/>
        <v>32000</v>
      </c>
      <c r="J178" s="47">
        <f t="shared" si="3"/>
        <v>1</v>
      </c>
      <c r="K178" s="2">
        <f t="shared" si="4"/>
        <v>64000</v>
      </c>
      <c r="L178" s="1"/>
    </row>
    <row r="179">
      <c r="A179" s="55">
        <v>46186.0</v>
      </c>
      <c r="B179" s="1" t="s">
        <v>627</v>
      </c>
      <c r="C179" s="1" t="str">
        <f>VLOOKUP(B179,MAESTRA!I:K,2,0)</f>
        <v>*41320230*</v>
      </c>
      <c r="D179" s="1" t="str">
        <f>VLOOKUP(B179,MAESTRA!I:K,3,0)</f>
        <v>SUDADERA UNISEX OVERSIZE TALLA UN</v>
      </c>
      <c r="E179" s="1" t="s">
        <v>628</v>
      </c>
      <c r="F179" s="45">
        <v>3.0</v>
      </c>
      <c r="G179" s="2">
        <v>33000.0</v>
      </c>
      <c r="H179" s="2">
        <f t="shared" si="1"/>
        <v>99000</v>
      </c>
      <c r="I179" s="2">
        <f t="shared" si="2"/>
        <v>66000</v>
      </c>
      <c r="J179" s="47">
        <f t="shared" si="3"/>
        <v>1</v>
      </c>
      <c r="K179" s="2">
        <f t="shared" si="4"/>
        <v>198000</v>
      </c>
      <c r="L179" s="1"/>
    </row>
    <row r="180">
      <c r="A180" s="55">
        <v>46186.0</v>
      </c>
      <c r="B180" s="1" t="s">
        <v>629</v>
      </c>
      <c r="C180" s="1" t="str">
        <f>VLOOKUP(B180,MAESTRA!I:K,2,0)</f>
        <v>*26320230*</v>
      </c>
      <c r="D180" s="1" t="str">
        <f>VLOOKUP(B180,MAESTRA!I:K,3,0)</f>
        <v>BUSOS UNISEX OVERSIZE TALLA UN</v>
      </c>
      <c r="E180" s="1" t="s">
        <v>628</v>
      </c>
      <c r="F180" s="45">
        <v>2.0</v>
      </c>
      <c r="G180" s="2">
        <v>38000.0</v>
      </c>
      <c r="H180" s="2">
        <f t="shared" si="1"/>
        <v>76000</v>
      </c>
      <c r="I180" s="2">
        <f t="shared" si="2"/>
        <v>76000</v>
      </c>
      <c r="J180" s="47">
        <f t="shared" si="3"/>
        <v>1</v>
      </c>
      <c r="K180" s="2">
        <f t="shared" si="4"/>
        <v>152000</v>
      </c>
      <c r="L180" s="1"/>
    </row>
    <row r="181">
      <c r="A181" s="55">
        <v>46186.0</v>
      </c>
      <c r="B181" s="1" t="s">
        <v>630</v>
      </c>
      <c r="C181" s="1" t="str">
        <f>VLOOKUP(B181,MAESTRA!I:K,2,0)</f>
        <v>*11220227*</v>
      </c>
      <c r="D181" s="1" t="str">
        <f>VLOOKUP(B181,MAESTRA!I:K,3,0)</f>
        <v>CAMISETAS CABALLERO OVERSIZE TALLA S</v>
      </c>
      <c r="E181" s="1" t="s">
        <v>628</v>
      </c>
      <c r="F181" s="45">
        <v>2.0</v>
      </c>
      <c r="G181" s="2">
        <v>29000.0</v>
      </c>
      <c r="H181" s="2">
        <f t="shared" si="1"/>
        <v>58000</v>
      </c>
      <c r="I181" s="2">
        <f t="shared" si="2"/>
        <v>58000</v>
      </c>
      <c r="J181" s="47">
        <f t="shared" si="3"/>
        <v>1</v>
      </c>
      <c r="K181" s="2">
        <f t="shared" si="4"/>
        <v>116000</v>
      </c>
      <c r="L181" s="1"/>
    </row>
    <row r="182">
      <c r="A182" s="55">
        <v>46186.0</v>
      </c>
      <c r="B182" s="1" t="s">
        <v>631</v>
      </c>
      <c r="C182" s="1" t="str">
        <f>VLOOKUP(B182,MAESTRA!I:K,2,0)</f>
        <v>*11220225*</v>
      </c>
      <c r="D182" s="1" t="str">
        <f>VLOOKUP(B182,MAESTRA!I:K,3,0)</f>
        <v>CAMISETAS CABALLERO OVERSIZE TALLA M</v>
      </c>
      <c r="E182" s="1" t="s">
        <v>628</v>
      </c>
      <c r="F182" s="45">
        <v>2.0</v>
      </c>
      <c r="G182" s="2">
        <v>29000.0</v>
      </c>
      <c r="H182" s="2">
        <f t="shared" si="1"/>
        <v>58000</v>
      </c>
      <c r="I182" s="2">
        <f t="shared" si="2"/>
        <v>58000</v>
      </c>
      <c r="J182" s="47">
        <f t="shared" si="3"/>
        <v>1</v>
      </c>
      <c r="K182" s="2">
        <f t="shared" si="4"/>
        <v>116000</v>
      </c>
      <c r="L182" s="1"/>
    </row>
    <row r="183">
      <c r="A183" s="55">
        <v>46186.0</v>
      </c>
      <c r="B183" s="1" t="s">
        <v>632</v>
      </c>
      <c r="C183" s="1" t="str">
        <f>VLOOKUP(B183,MAESTRA!I:K,2,0)</f>
        <v>*11220223*</v>
      </c>
      <c r="D183" s="1" t="str">
        <f>VLOOKUP(B183,MAESTRA!I:K,3,0)</f>
        <v>CAMISETAS CABALLERO OVERSIZE TALLA L</v>
      </c>
      <c r="E183" s="1" t="s">
        <v>628</v>
      </c>
      <c r="F183" s="45">
        <v>2.0</v>
      </c>
      <c r="G183" s="2">
        <v>29000.0</v>
      </c>
      <c r="H183" s="2">
        <f t="shared" si="1"/>
        <v>58000</v>
      </c>
      <c r="I183" s="2">
        <f t="shared" si="2"/>
        <v>58000</v>
      </c>
      <c r="J183" s="47">
        <f t="shared" si="3"/>
        <v>1</v>
      </c>
      <c r="K183" s="2">
        <f t="shared" si="4"/>
        <v>116000</v>
      </c>
      <c r="L183" s="1"/>
    </row>
    <row r="184">
      <c r="A184" s="55">
        <v>46186.0</v>
      </c>
      <c r="B184" s="1" t="s">
        <v>633</v>
      </c>
      <c r="C184" s="1" t="str">
        <f>VLOOKUP(B184,MAESTRA!I:K,2,0)</f>
        <v>*26110430*</v>
      </c>
      <c r="D184" s="1" t="str">
        <f>VLOOKUP(B184,MAESTRA!I:K,3,0)</f>
        <v>BUSOS DAMA CREMALLERA OVERSIZE TALLA UN</v>
      </c>
      <c r="E184" s="1" t="s">
        <v>628</v>
      </c>
      <c r="F184" s="45">
        <v>2.0</v>
      </c>
      <c r="G184" s="2">
        <v>36000.0</v>
      </c>
      <c r="H184" s="2">
        <f t="shared" si="1"/>
        <v>72000</v>
      </c>
      <c r="I184" s="2">
        <f t="shared" si="2"/>
        <v>72000</v>
      </c>
      <c r="J184" s="47">
        <f t="shared" si="3"/>
        <v>1</v>
      </c>
      <c r="K184" s="2">
        <f t="shared" si="4"/>
        <v>144000</v>
      </c>
      <c r="L184" s="1"/>
    </row>
    <row r="185">
      <c r="A185" s="55">
        <v>46186.0</v>
      </c>
      <c r="B185" s="1" t="s">
        <v>634</v>
      </c>
      <c r="C185" s="1" t="str">
        <f>VLOOKUP(B185,MAESTRA!I:K,2,0)</f>
        <v>*26210930*</v>
      </c>
      <c r="D185" s="1" t="str">
        <f>VLOOKUP(B185,MAESTRA!I:K,3,0)</f>
        <v>BUSOS CABALLERO CUELLO REDONDO COMBINADO TALLA UN</v>
      </c>
      <c r="E185" s="1" t="s">
        <v>628</v>
      </c>
      <c r="F185" s="45">
        <v>4.0</v>
      </c>
      <c r="G185" s="2">
        <v>35000.0</v>
      </c>
      <c r="H185" s="2">
        <f t="shared" si="1"/>
        <v>140000</v>
      </c>
      <c r="I185" s="2">
        <f t="shared" si="2"/>
        <v>70000</v>
      </c>
      <c r="J185" s="47">
        <f t="shared" si="3"/>
        <v>1</v>
      </c>
      <c r="K185" s="2">
        <f t="shared" si="4"/>
        <v>280000</v>
      </c>
      <c r="L185" s="1"/>
    </row>
    <row r="186">
      <c r="A186" s="55">
        <v>46186.0</v>
      </c>
      <c r="B186" s="1" t="s">
        <v>635</v>
      </c>
      <c r="C186" s="1" t="str">
        <f>VLOOKUP(B186,MAESTRA!I:K,2,0)</f>
        <v>*26210830*</v>
      </c>
      <c r="D186" s="1" t="str">
        <f>VLOOKUP(B186,MAESTRA!I:K,3,0)</f>
        <v>BUSOS CABALLERO CUELLO REDONDO TALLA UN</v>
      </c>
      <c r="E186" s="1" t="s">
        <v>628</v>
      </c>
      <c r="F186" s="45">
        <v>4.0</v>
      </c>
      <c r="G186" s="2">
        <v>35000.0</v>
      </c>
      <c r="H186" s="2">
        <f t="shared" si="1"/>
        <v>140000</v>
      </c>
      <c r="I186" s="2">
        <f t="shared" si="2"/>
        <v>70000</v>
      </c>
      <c r="J186" s="47">
        <f t="shared" si="3"/>
        <v>1</v>
      </c>
      <c r="K186" s="2">
        <f t="shared" si="4"/>
        <v>280000</v>
      </c>
      <c r="L186" s="1"/>
    </row>
    <row r="187">
      <c r="A187" s="55">
        <v>46186.0</v>
      </c>
      <c r="B187" s="1" t="s">
        <v>636</v>
      </c>
      <c r="C187" s="1" t="str">
        <f>VLOOKUP(B187,MAESTRA!I:K,2,0)</f>
        <v>*26213130*</v>
      </c>
      <c r="D187" s="1" t="str">
        <f>VLOOKUP(B187,MAESTRA!I:K,3,0)</f>
        <v>BUSOS CABALLERO ESTAMPADO TALLA UN</v>
      </c>
      <c r="E187" s="1" t="s">
        <v>628</v>
      </c>
      <c r="F187" s="45">
        <v>4.0</v>
      </c>
      <c r="G187" s="2">
        <v>35000.0</v>
      </c>
      <c r="H187" s="2">
        <f t="shared" si="1"/>
        <v>140000</v>
      </c>
      <c r="I187" s="2">
        <f t="shared" si="2"/>
        <v>70000</v>
      </c>
      <c r="J187" s="47">
        <f t="shared" si="3"/>
        <v>1</v>
      </c>
      <c r="K187" s="2">
        <f t="shared" si="4"/>
        <v>280000</v>
      </c>
      <c r="L187" s="1"/>
    </row>
    <row r="188">
      <c r="A188" s="55">
        <v>46186.0</v>
      </c>
      <c r="B188" s="1" t="s">
        <v>637</v>
      </c>
      <c r="C188" s="1" t="str">
        <f>VLOOKUP(B188,MAESTRA!I:K,2,0)</f>
        <v>*26218530*</v>
      </c>
      <c r="D188" s="1" t="str">
        <f>VLOOKUP(B188,MAESTRA!I:K,3,0)</f>
        <v>BUSOS CABALLERO MEDIA CREMALLERA COMBINADO TALLA UN</v>
      </c>
      <c r="E188" s="1" t="s">
        <v>628</v>
      </c>
      <c r="F188" s="45">
        <v>3.0</v>
      </c>
      <c r="G188" s="2">
        <v>40000.0</v>
      </c>
      <c r="H188" s="2">
        <f t="shared" si="1"/>
        <v>120000</v>
      </c>
      <c r="I188" s="2">
        <f t="shared" si="2"/>
        <v>80000</v>
      </c>
      <c r="J188" s="47">
        <f t="shared" si="3"/>
        <v>1</v>
      </c>
      <c r="K188" s="2">
        <f t="shared" si="4"/>
        <v>240000</v>
      </c>
      <c r="L188" s="1"/>
    </row>
    <row r="189">
      <c r="A189" s="55">
        <v>46186.0</v>
      </c>
      <c r="B189" s="1" t="s">
        <v>638</v>
      </c>
      <c r="C189" s="1" t="str">
        <f>VLOOKUP(B189,MAESTRA!I:K,2,0)</f>
        <v>*25221923*</v>
      </c>
      <c r="D189" s="1" t="str">
        <f>VLOOKUP(B189,MAESTRA!I:K,3,0)</f>
        <v>CHAQUETAS CABALLERO POLO SENCILLA TALLA L</v>
      </c>
      <c r="E189" s="1" t="s">
        <v>639</v>
      </c>
      <c r="F189" s="45">
        <v>1.0</v>
      </c>
      <c r="G189" s="2">
        <v>43000.0</v>
      </c>
      <c r="H189" s="2">
        <f t="shared" si="1"/>
        <v>43000</v>
      </c>
      <c r="I189" s="2">
        <f t="shared" si="2"/>
        <v>86000</v>
      </c>
      <c r="J189" s="47">
        <f t="shared" si="3"/>
        <v>1</v>
      </c>
      <c r="K189" s="2">
        <f t="shared" si="4"/>
        <v>86000</v>
      </c>
      <c r="L189" s="1"/>
    </row>
    <row r="190">
      <c r="A190" s="55">
        <v>46186.0</v>
      </c>
      <c r="B190" s="1" t="s">
        <v>640</v>
      </c>
      <c r="C190" s="1" t="str">
        <f>VLOOKUP(B190,MAESTRA!I:K,2,0)</f>
        <v>*25221932*</v>
      </c>
      <c r="D190" s="1" t="str">
        <f>VLOOKUP(B190,MAESTRA!I:K,3,0)</f>
        <v>CHAQUETAS CABALLERO POLO SENCILLA TALLA XL</v>
      </c>
      <c r="E190" s="1" t="s">
        <v>641</v>
      </c>
      <c r="F190" s="45">
        <v>1.0</v>
      </c>
      <c r="G190" s="2">
        <v>43000.0</v>
      </c>
      <c r="H190" s="2">
        <f t="shared" si="1"/>
        <v>43000</v>
      </c>
      <c r="I190" s="2">
        <f t="shared" si="2"/>
        <v>86000</v>
      </c>
      <c r="J190" s="47">
        <f t="shared" si="3"/>
        <v>1</v>
      </c>
      <c r="K190" s="2">
        <f t="shared" si="4"/>
        <v>86000</v>
      </c>
      <c r="L190" s="1"/>
    </row>
    <row r="191">
      <c r="A191" s="55">
        <v>46186.0</v>
      </c>
      <c r="B191" s="1" t="s">
        <v>642</v>
      </c>
      <c r="C191" s="1" t="str">
        <f>VLOOKUP(B191,MAESTRA!I:K,2,0)</f>
        <v>*25221925*</v>
      </c>
      <c r="D191" s="1" t="str">
        <f>VLOOKUP(B191,MAESTRA!I:K,3,0)</f>
        <v>CHAQUETAS CABALLERO POLO SENCILLA TALLA M</v>
      </c>
      <c r="E191" s="1" t="s">
        <v>641</v>
      </c>
      <c r="F191" s="45">
        <v>1.0</v>
      </c>
      <c r="G191" s="2">
        <v>43000.0</v>
      </c>
      <c r="H191" s="2">
        <f t="shared" si="1"/>
        <v>43000</v>
      </c>
      <c r="I191" s="2">
        <f t="shared" si="2"/>
        <v>86000</v>
      </c>
      <c r="J191" s="47">
        <f t="shared" si="3"/>
        <v>1</v>
      </c>
      <c r="K191" s="2">
        <f t="shared" si="4"/>
        <v>86000</v>
      </c>
      <c r="L191" s="1"/>
    </row>
    <row r="192">
      <c r="A192" s="55">
        <v>46186.0</v>
      </c>
      <c r="B192" s="1" t="s">
        <v>643</v>
      </c>
      <c r="C192" s="1" t="str">
        <f>VLOOKUP(B192,MAESTRA!I:K,2,0)</f>
        <v>*25217532*</v>
      </c>
      <c r="D192" s="1" t="str">
        <f>VLOOKUP(B192,MAESTRA!I:K,3,0)</f>
        <v>CHAQUETAS CABALLERO LISA ACOLCHADA TALLA XL</v>
      </c>
      <c r="E192" s="1" t="s">
        <v>641</v>
      </c>
      <c r="F192" s="45">
        <v>1.0</v>
      </c>
      <c r="G192" s="2">
        <v>47000.0</v>
      </c>
      <c r="H192" s="2">
        <f t="shared" si="1"/>
        <v>47000</v>
      </c>
      <c r="I192" s="2">
        <f t="shared" si="2"/>
        <v>94000</v>
      </c>
      <c r="J192" s="47">
        <f t="shared" si="3"/>
        <v>1</v>
      </c>
      <c r="K192" s="2">
        <f t="shared" si="4"/>
        <v>94000</v>
      </c>
      <c r="L192" s="1"/>
    </row>
    <row r="193">
      <c r="A193" s="55">
        <v>46186.0</v>
      </c>
      <c r="B193" s="1" t="s">
        <v>644</v>
      </c>
      <c r="C193" s="1" t="str">
        <f>VLOOKUP(B193,MAESTRA!I:K,2,0)</f>
        <v>*25217523*</v>
      </c>
      <c r="D193" s="1" t="str">
        <f>VLOOKUP(B193,MAESTRA!I:K,3,0)</f>
        <v>CHAQUETAS CABALLERO LISA ACOLCHADA TALLA L</v>
      </c>
      <c r="E193" s="1" t="s">
        <v>641</v>
      </c>
      <c r="F193" s="45">
        <v>1.0</v>
      </c>
      <c r="G193" s="2">
        <v>47000.0</v>
      </c>
      <c r="H193" s="2">
        <f t="shared" si="1"/>
        <v>47000</v>
      </c>
      <c r="I193" s="2">
        <f t="shared" si="2"/>
        <v>94000</v>
      </c>
      <c r="J193" s="47">
        <f t="shared" si="3"/>
        <v>1</v>
      </c>
      <c r="K193" s="2">
        <f t="shared" si="4"/>
        <v>94000</v>
      </c>
      <c r="L193" s="1"/>
    </row>
    <row r="194">
      <c r="A194" s="55">
        <v>46186.0</v>
      </c>
      <c r="B194" s="1" t="s">
        <v>645</v>
      </c>
      <c r="C194" s="1" t="str">
        <f>VLOOKUP(B194,MAESTRA!I:K,2,0)</f>
        <v>*25217525*</v>
      </c>
      <c r="D194" s="1" t="str">
        <f>VLOOKUP(B194,MAESTRA!I:K,3,0)</f>
        <v>CHAQUETAS CABALLERO LISA ACOLCHADA TALLA M</v>
      </c>
      <c r="E194" s="1" t="s">
        <v>641</v>
      </c>
      <c r="F194" s="45">
        <v>1.0</v>
      </c>
      <c r="G194" s="2">
        <v>47000.0</v>
      </c>
      <c r="H194" s="2">
        <f t="shared" si="1"/>
        <v>47000</v>
      </c>
      <c r="I194" s="2">
        <f t="shared" si="2"/>
        <v>94000</v>
      </c>
      <c r="J194" s="47">
        <f t="shared" si="3"/>
        <v>1</v>
      </c>
      <c r="K194" s="2">
        <f t="shared" si="4"/>
        <v>94000</v>
      </c>
      <c r="L194" s="1"/>
    </row>
    <row r="195">
      <c r="A195" s="55">
        <v>46186.0</v>
      </c>
      <c r="B195" s="1" t="s">
        <v>646</v>
      </c>
      <c r="C195" s="1" t="str">
        <f>VLOOKUP(B195,MAESTRA!I:K,2,0)</f>
        <v>*252725*</v>
      </c>
      <c r="D195" s="1" t="str">
        <f>VLOOKUP(B195,MAESTRA!I:K,3,0)</f>
        <v>CHAQUETAS CABALLERO ABIERTA AIR TALLA M</v>
      </c>
      <c r="E195" s="1" t="s">
        <v>647</v>
      </c>
      <c r="F195" s="45">
        <v>2.0</v>
      </c>
      <c r="G195" s="2">
        <v>36000.0</v>
      </c>
      <c r="H195" s="2">
        <f t="shared" si="1"/>
        <v>72000</v>
      </c>
      <c r="I195" s="2">
        <f t="shared" si="2"/>
        <v>72000</v>
      </c>
      <c r="J195" s="47">
        <f t="shared" si="3"/>
        <v>1</v>
      </c>
      <c r="K195" s="2">
        <f t="shared" si="4"/>
        <v>144000</v>
      </c>
      <c r="L195" s="1"/>
    </row>
    <row r="196">
      <c r="A196" s="55">
        <v>46186.0</v>
      </c>
      <c r="B196" s="1" t="s">
        <v>648</v>
      </c>
      <c r="C196" s="1" t="str">
        <f>VLOOKUP(B196,MAESTRA!I:K,2,0)</f>
        <v>*252723*</v>
      </c>
      <c r="D196" s="1" t="str">
        <f>VLOOKUP(B196,MAESTRA!I:K,3,0)</f>
        <v>CHAQUETAS CABALLERO ABIERTA AIR TALLA L</v>
      </c>
      <c r="E196" s="1" t="s">
        <v>647</v>
      </c>
      <c r="F196" s="45">
        <v>2.0</v>
      </c>
      <c r="G196" s="2">
        <v>36000.0</v>
      </c>
      <c r="H196" s="2">
        <f t="shared" si="1"/>
        <v>72000</v>
      </c>
      <c r="I196" s="2">
        <f t="shared" si="2"/>
        <v>72000</v>
      </c>
      <c r="J196" s="47">
        <f t="shared" si="3"/>
        <v>1</v>
      </c>
      <c r="K196" s="2">
        <f t="shared" si="4"/>
        <v>144000</v>
      </c>
      <c r="L196" s="1"/>
    </row>
    <row r="197">
      <c r="A197" s="55">
        <v>46186.0</v>
      </c>
      <c r="B197" s="1" t="s">
        <v>649</v>
      </c>
      <c r="C197" s="1" t="str">
        <f>VLOOKUP(B197,MAESTRA!I:K,2,0)</f>
        <v>*252732*</v>
      </c>
      <c r="D197" s="1" t="str">
        <f>VLOOKUP(B197,MAESTRA!I:K,3,0)</f>
        <v>CHAQUETAS CABALLERO ABIERTA AIR TALLA XL</v>
      </c>
      <c r="E197" s="1" t="s">
        <v>647</v>
      </c>
      <c r="F197" s="45">
        <v>2.0</v>
      </c>
      <c r="G197" s="2">
        <v>36000.0</v>
      </c>
      <c r="H197" s="2">
        <f t="shared" si="1"/>
        <v>72000</v>
      </c>
      <c r="I197" s="2">
        <f t="shared" si="2"/>
        <v>72000</v>
      </c>
      <c r="J197" s="47">
        <f t="shared" si="3"/>
        <v>1</v>
      </c>
      <c r="K197" s="2">
        <f t="shared" si="4"/>
        <v>144000</v>
      </c>
      <c r="L197" s="1"/>
    </row>
    <row r="198">
      <c r="A198" s="55">
        <v>46186.0</v>
      </c>
      <c r="B198" s="1" t="s">
        <v>650</v>
      </c>
      <c r="C198" s="1" t="str">
        <f>VLOOKUP(B198,MAESTRA!I:K,2,0)</f>
        <v>*25221630*</v>
      </c>
      <c r="D198" s="1" t="str">
        <f>VLOOKUP(B198,MAESTRA!I:K,3,0)</f>
        <v>CHAQUETAS CABALLERO POLO TALLA UN</v>
      </c>
      <c r="E198" s="1" t="s">
        <v>651</v>
      </c>
      <c r="F198" s="45">
        <v>2.0</v>
      </c>
      <c r="G198" s="2">
        <v>34000.0</v>
      </c>
      <c r="H198" s="2">
        <f t="shared" si="1"/>
        <v>68000</v>
      </c>
      <c r="I198" s="2">
        <f t="shared" si="2"/>
        <v>68000</v>
      </c>
      <c r="J198" s="47">
        <f t="shared" si="3"/>
        <v>1</v>
      </c>
      <c r="K198" s="2">
        <f t="shared" si="4"/>
        <v>136000</v>
      </c>
      <c r="L198" s="1"/>
    </row>
    <row r="199">
      <c r="A199" s="55">
        <v>46186.0</v>
      </c>
      <c r="B199" s="1" t="s">
        <v>652</v>
      </c>
      <c r="C199" s="1" t="str">
        <f>VLOOKUP(B199,MAESTRA!I:K,2,0)</f>
        <v>*25214330*</v>
      </c>
      <c r="D199" s="1" t="str">
        <f>VLOOKUP(B199,MAESTRA!I:K,3,0)</f>
        <v>CHAQUETAS CABALLERO HUGO BOSS TALLA UN</v>
      </c>
      <c r="E199" s="1" t="s">
        <v>651</v>
      </c>
      <c r="F199" s="45">
        <v>2.0</v>
      </c>
      <c r="G199" s="2">
        <v>36000.0</v>
      </c>
      <c r="H199" s="2">
        <f t="shared" si="1"/>
        <v>72000</v>
      </c>
      <c r="I199" s="2">
        <f t="shared" si="2"/>
        <v>72000</v>
      </c>
      <c r="J199" s="47">
        <f t="shared" si="3"/>
        <v>1</v>
      </c>
      <c r="K199" s="2">
        <f t="shared" si="4"/>
        <v>144000</v>
      </c>
      <c r="L199" s="1"/>
    </row>
    <row r="200">
      <c r="A200" s="55">
        <v>46186.0</v>
      </c>
      <c r="B200" s="1" t="s">
        <v>653</v>
      </c>
      <c r="C200" s="1" t="str">
        <f>VLOOKUP(B200,MAESTRA!I:K,2,0)</f>
        <v>*25214332*</v>
      </c>
      <c r="D200" s="1" t="str">
        <f>VLOOKUP(B200,MAESTRA!I:K,3,0)</f>
        <v>CHAQUETAS CABALLERO HUGO BOSS TALLA XL</v>
      </c>
      <c r="E200" s="1" t="s">
        <v>651</v>
      </c>
      <c r="F200" s="45">
        <v>1.0</v>
      </c>
      <c r="G200" s="2">
        <v>36000.0</v>
      </c>
      <c r="H200" s="2">
        <f t="shared" si="1"/>
        <v>36000</v>
      </c>
      <c r="I200" s="2">
        <f t="shared" si="2"/>
        <v>72000</v>
      </c>
      <c r="J200" s="47">
        <f t="shared" si="3"/>
        <v>1</v>
      </c>
      <c r="K200" s="2">
        <f t="shared" si="4"/>
        <v>72000</v>
      </c>
      <c r="L200" s="1"/>
    </row>
    <row r="201">
      <c r="A201" s="55">
        <v>46186.0</v>
      </c>
      <c r="B201" s="1" t="s">
        <v>654</v>
      </c>
      <c r="C201" s="1" t="str">
        <f>VLOOKUP(B201,MAESTRA!I:K,2,0)</f>
        <v>*2526825*</v>
      </c>
      <c r="D201" s="1" t="str">
        <f>VLOOKUP(B201,MAESTRA!I:K,3,0)</f>
        <v>CHAQUETAS CABALLERO CANGURO AIR TALLA M</v>
      </c>
      <c r="E201" s="1" t="s">
        <v>651</v>
      </c>
      <c r="F201" s="45">
        <v>2.0</v>
      </c>
      <c r="G201" s="2">
        <v>34000.0</v>
      </c>
      <c r="H201" s="2">
        <f t="shared" si="1"/>
        <v>68000</v>
      </c>
      <c r="I201" s="2">
        <f t="shared" si="2"/>
        <v>68000</v>
      </c>
      <c r="J201" s="47">
        <f t="shared" si="3"/>
        <v>1</v>
      </c>
      <c r="K201" s="2">
        <f t="shared" si="4"/>
        <v>136000</v>
      </c>
      <c r="L201" s="1"/>
    </row>
    <row r="202">
      <c r="A202" s="55">
        <v>46186.0</v>
      </c>
      <c r="B202" s="1" t="s">
        <v>655</v>
      </c>
      <c r="C202" s="1" t="str">
        <f>VLOOKUP(B202,MAESTRA!I:K,2,0)</f>
        <v>*2526823*</v>
      </c>
      <c r="D202" s="1" t="str">
        <f>VLOOKUP(B202,MAESTRA!I:K,3,0)</f>
        <v>CHAQUETAS CABALLERO CANGURO AIR TALLA L</v>
      </c>
      <c r="E202" s="1" t="s">
        <v>647</v>
      </c>
      <c r="F202" s="45">
        <v>3.0</v>
      </c>
      <c r="G202" s="2">
        <v>34000.0</v>
      </c>
      <c r="H202" s="2">
        <f t="shared" si="1"/>
        <v>102000</v>
      </c>
      <c r="I202" s="2">
        <f t="shared" si="2"/>
        <v>68000</v>
      </c>
      <c r="J202" s="47">
        <f t="shared" si="3"/>
        <v>1</v>
      </c>
      <c r="K202" s="2">
        <f t="shared" si="4"/>
        <v>204000</v>
      </c>
      <c r="L202" s="1"/>
    </row>
    <row r="203">
      <c r="A203" s="55">
        <v>46186.0</v>
      </c>
      <c r="B203" s="1" t="s">
        <v>656</v>
      </c>
      <c r="C203" s="1" t="str">
        <f>VLOOKUP(B203,MAESTRA!I:K,2,0)</f>
        <v>*2526833*</v>
      </c>
      <c r="D203" s="1" t="str">
        <f>VLOOKUP(B203,MAESTRA!I:K,3,0)</f>
        <v>CHAQUETAS CABALLERO CANGURO AIR TALLA XL </v>
      </c>
      <c r="E203" s="1" t="s">
        <v>647</v>
      </c>
      <c r="F203" s="45">
        <v>2.0</v>
      </c>
      <c r="G203" s="2">
        <v>34000.0</v>
      </c>
      <c r="H203" s="2">
        <f t="shared" si="1"/>
        <v>68000</v>
      </c>
      <c r="I203" s="2">
        <f t="shared" si="2"/>
        <v>68000</v>
      </c>
      <c r="J203" s="47">
        <f t="shared" si="3"/>
        <v>1</v>
      </c>
      <c r="K203" s="2">
        <f t="shared" si="4"/>
        <v>136000</v>
      </c>
      <c r="L203" s="1"/>
    </row>
    <row r="204">
      <c r="A204" s="55">
        <v>46186.0</v>
      </c>
      <c r="B204" s="1" t="s">
        <v>657</v>
      </c>
      <c r="C204" s="1" t="str">
        <f>VLOOKUP(B204,MAESTRA!I:K,2,0)</f>
        <v>*4124632*</v>
      </c>
      <c r="D204" s="1" t="str">
        <f>VLOOKUP(B204,MAESTRA!I:K,3,0)</f>
        <v>SHORTS DAMA RUNNING TALLA XL</v>
      </c>
      <c r="E204" s="1" t="s">
        <v>658</v>
      </c>
      <c r="F204" s="45">
        <v>7.0</v>
      </c>
      <c r="G204" s="2">
        <v>25000.0</v>
      </c>
      <c r="H204" s="2">
        <f t="shared" si="1"/>
        <v>175000</v>
      </c>
      <c r="I204" s="2">
        <f t="shared" si="2"/>
        <v>50000</v>
      </c>
      <c r="J204" s="47">
        <f t="shared" si="3"/>
        <v>1</v>
      </c>
      <c r="K204" s="2">
        <f t="shared" si="4"/>
        <v>350000</v>
      </c>
      <c r="L204" s="1"/>
    </row>
    <row r="205">
      <c r="A205" s="55">
        <v>46186.0</v>
      </c>
      <c r="B205" s="1" t="s">
        <v>659</v>
      </c>
      <c r="C205" s="1" t="str">
        <f>VLOOKUP(B205,MAESTRA!I:K,2,0)</f>
        <v>*4124630*</v>
      </c>
      <c r="D205" s="1" t="str">
        <f>VLOOKUP(B205,MAESTRA!I:K,3,0)</f>
        <v>SHORTS DAMA RUNNING TALLA UN</v>
      </c>
      <c r="E205" s="1" t="s">
        <v>660</v>
      </c>
      <c r="F205" s="45">
        <v>6.0</v>
      </c>
      <c r="G205" s="2">
        <v>25000.0</v>
      </c>
      <c r="H205" s="2">
        <f t="shared" si="1"/>
        <v>150000</v>
      </c>
      <c r="I205" s="2">
        <f t="shared" si="2"/>
        <v>50000</v>
      </c>
      <c r="J205" s="47">
        <f t="shared" si="3"/>
        <v>1</v>
      </c>
      <c r="K205" s="2">
        <f t="shared" si="4"/>
        <v>300000</v>
      </c>
      <c r="L205" s="1"/>
    </row>
    <row r="206">
      <c r="A206" s="55">
        <v>46186.0</v>
      </c>
      <c r="B206" s="1" t="s">
        <v>661</v>
      </c>
      <c r="C206" s="1" t="str">
        <f>VLOOKUP(B206,MAESTRA!I:K,2,0)</f>
        <v>*417130*</v>
      </c>
      <c r="D206" s="1" t="str">
        <f>VLOOKUP(B206,MAESTRA!I:K,3,0)</f>
        <v>SHORTS DAMA CAPRIATY TALLA UN</v>
      </c>
      <c r="E206" s="1" t="s">
        <v>660</v>
      </c>
      <c r="F206" s="45">
        <v>2.0</v>
      </c>
      <c r="G206" s="2">
        <v>16000.0</v>
      </c>
      <c r="H206" s="2">
        <f t="shared" si="1"/>
        <v>32000</v>
      </c>
      <c r="I206" s="2">
        <f t="shared" si="2"/>
        <v>32000</v>
      </c>
      <c r="J206" s="47">
        <f t="shared" si="3"/>
        <v>1</v>
      </c>
      <c r="K206" s="2">
        <f t="shared" si="4"/>
        <v>64000</v>
      </c>
      <c r="L206" s="1"/>
    </row>
    <row r="207">
      <c r="A207" s="55">
        <v>46186.0</v>
      </c>
      <c r="B207" s="1" t="s">
        <v>662</v>
      </c>
      <c r="C207" s="1" t="str">
        <f>VLOOKUP(B207,MAESTRA!I:K,2,0)</f>
        <v>*26112230*</v>
      </c>
      <c r="D207" s="1" t="str">
        <f>VLOOKUP(B207,MAESTRA!I:K,3,0)</f>
        <v>BUSOS DAMA DUO TALLA UN</v>
      </c>
      <c r="E207" s="1" t="s">
        <v>660</v>
      </c>
      <c r="F207" s="45">
        <v>2.0</v>
      </c>
      <c r="G207" s="2">
        <v>18000.0</v>
      </c>
      <c r="H207" s="2">
        <f t="shared" si="1"/>
        <v>36000</v>
      </c>
      <c r="I207" s="2">
        <f t="shared" si="2"/>
        <v>36000</v>
      </c>
      <c r="J207" s="47">
        <f t="shared" si="3"/>
        <v>1</v>
      </c>
      <c r="K207" s="2">
        <f t="shared" si="4"/>
        <v>72000</v>
      </c>
      <c r="L207" s="1"/>
    </row>
    <row r="208">
      <c r="A208" s="55">
        <v>46186.0</v>
      </c>
      <c r="B208" s="1" t="s">
        <v>663</v>
      </c>
      <c r="C208" s="1" t="str">
        <f>VLOOKUP(B208,MAESTRA!I:K,2,0)</f>
        <v>*9124330*</v>
      </c>
      <c r="D208" s="1" t="str">
        <f>VLOOKUP(B208,MAESTRA!I:K,3,0)</f>
        <v>FALDAS DAMA ROTONDA TALLA UN</v>
      </c>
      <c r="E208" s="1" t="s">
        <v>660</v>
      </c>
      <c r="F208" s="45">
        <v>3.0</v>
      </c>
      <c r="G208" s="2">
        <v>16000.0</v>
      </c>
      <c r="H208" s="2">
        <f t="shared" si="1"/>
        <v>48000</v>
      </c>
      <c r="I208" s="2">
        <f t="shared" si="2"/>
        <v>32000</v>
      </c>
      <c r="J208" s="47">
        <f t="shared" si="3"/>
        <v>1</v>
      </c>
      <c r="K208" s="2">
        <f t="shared" si="4"/>
        <v>96000</v>
      </c>
      <c r="L208" s="1"/>
    </row>
    <row r="209">
      <c r="A209" s="55">
        <v>46186.0</v>
      </c>
      <c r="B209" s="1" t="s">
        <v>664</v>
      </c>
      <c r="C209" s="1" t="str">
        <f>VLOOKUP(B209,MAESTRA!I:K,2,0)</f>
        <v>*9124332*</v>
      </c>
      <c r="D209" s="1" t="str">
        <f>VLOOKUP(B209,MAESTRA!I:K,3,0)</f>
        <v>FALDAS DAMA ROTONDA TALLA XL</v>
      </c>
      <c r="E209" s="1" t="s">
        <v>660</v>
      </c>
      <c r="F209" s="45">
        <v>2.0</v>
      </c>
      <c r="G209" s="2">
        <v>16000.0</v>
      </c>
      <c r="H209" s="2">
        <f t="shared" si="1"/>
        <v>32000</v>
      </c>
      <c r="I209" s="2">
        <f t="shared" si="2"/>
        <v>32000</v>
      </c>
      <c r="J209" s="47">
        <f t="shared" si="3"/>
        <v>1</v>
      </c>
      <c r="K209" s="2">
        <f t="shared" si="4"/>
        <v>64000</v>
      </c>
      <c r="L209" s="1"/>
    </row>
    <row r="210">
      <c r="A210" s="55">
        <v>46186.0</v>
      </c>
      <c r="B210" s="1" t="s">
        <v>665</v>
      </c>
      <c r="C210" s="1" t="str">
        <f>VLOOKUP(B210,MAESTRA!I:K,2,0)</f>
        <v>*25120430*</v>
      </c>
      <c r="D210" s="1" t="str">
        <f>VLOOKUP(B210,MAESTRA!I:K,3,0)</f>
        <v>CHAQUETAS DAMA PACIFIC LICRA TALLA UN</v>
      </c>
      <c r="E210" s="1" t="s">
        <v>660</v>
      </c>
      <c r="F210" s="45">
        <v>2.0</v>
      </c>
      <c r="G210" s="2">
        <v>18000.0</v>
      </c>
      <c r="H210" s="2">
        <f t="shared" si="1"/>
        <v>36000</v>
      </c>
      <c r="I210" s="2">
        <f t="shared" si="2"/>
        <v>36000</v>
      </c>
      <c r="J210" s="47">
        <f t="shared" si="3"/>
        <v>1</v>
      </c>
      <c r="K210" s="2">
        <f t="shared" si="4"/>
        <v>72000</v>
      </c>
      <c r="L210" s="1"/>
    </row>
    <row r="211">
      <c r="A211" s="55">
        <v>46186.0</v>
      </c>
      <c r="B211" s="1" t="s">
        <v>666</v>
      </c>
      <c r="C211" s="1" t="str">
        <f>VLOOKUP(B211,MAESTRA!I:K,2,0)</f>
        <v>*25127732*</v>
      </c>
      <c r="D211" s="1" t="str">
        <f>VLOOKUP(B211,MAESTRA!I:K,3,0)</f>
        <v>CHAQUETAS DAMA YOGA LICRA TALLA XL</v>
      </c>
      <c r="E211" s="1" t="s">
        <v>660</v>
      </c>
      <c r="F211" s="45">
        <v>2.0</v>
      </c>
      <c r="G211" s="2">
        <v>20000.0</v>
      </c>
      <c r="H211" s="2">
        <f t="shared" si="1"/>
        <v>40000</v>
      </c>
      <c r="I211" s="2">
        <f t="shared" si="2"/>
        <v>40000</v>
      </c>
      <c r="J211" s="47">
        <f t="shared" si="3"/>
        <v>1</v>
      </c>
      <c r="K211" s="2">
        <f t="shared" si="4"/>
        <v>80000</v>
      </c>
      <c r="L211" s="1"/>
    </row>
    <row r="212">
      <c r="A212" s="55">
        <v>46186.0</v>
      </c>
      <c r="B212" s="1" t="s">
        <v>667</v>
      </c>
      <c r="C212" s="1" t="str">
        <f>VLOOKUP(B212,MAESTRA!I:K,2,0)</f>
        <v>*25127730*</v>
      </c>
      <c r="D212" s="1" t="str">
        <f>VLOOKUP(B212,MAESTRA!I:K,3,0)</f>
        <v>CHAQUETAS DAMA YOGA LICRA TALLA UN</v>
      </c>
      <c r="E212" s="1" t="s">
        <v>660</v>
      </c>
      <c r="F212" s="45">
        <v>3.0</v>
      </c>
      <c r="G212" s="2">
        <v>20000.0</v>
      </c>
      <c r="H212" s="2">
        <f t="shared" si="1"/>
        <v>60000</v>
      </c>
      <c r="I212" s="2">
        <f t="shared" si="2"/>
        <v>40000</v>
      </c>
      <c r="J212" s="47">
        <f t="shared" si="3"/>
        <v>1</v>
      </c>
      <c r="K212" s="2">
        <f t="shared" si="4"/>
        <v>120000</v>
      </c>
      <c r="L212" s="1"/>
    </row>
    <row r="213">
      <c r="A213" s="55">
        <v>46186.0</v>
      </c>
      <c r="B213" s="1" t="s">
        <v>668</v>
      </c>
      <c r="C213" s="1" t="str">
        <f>VLOOKUP(B213,MAESTRA!I:K,2,0)</f>
        <v>*4125230*</v>
      </c>
      <c r="D213" s="1" t="str">
        <f>VLOOKUP(B213,MAESTRA!I:K,3,0)</f>
        <v>SHORTS DAMA SHORT PACIFIC TALLA UN</v>
      </c>
      <c r="E213" s="1" t="s">
        <v>660</v>
      </c>
      <c r="F213" s="45">
        <v>2.0</v>
      </c>
      <c r="G213" s="2">
        <v>16000.0</v>
      </c>
      <c r="H213" s="2">
        <f t="shared" si="1"/>
        <v>32000</v>
      </c>
      <c r="I213" s="2">
        <f t="shared" si="2"/>
        <v>32000</v>
      </c>
      <c r="J213" s="47">
        <f t="shared" si="3"/>
        <v>1</v>
      </c>
      <c r="K213" s="2">
        <f t="shared" si="4"/>
        <v>64000</v>
      </c>
      <c r="L213" s="1"/>
    </row>
    <row r="214">
      <c r="A214" s="55">
        <v>46186.0</v>
      </c>
      <c r="B214" s="1" t="s">
        <v>669</v>
      </c>
      <c r="C214" s="1" t="str">
        <f>VLOOKUP(B214,MAESTRA!I:K,2,0)</f>
        <v>*44116732*</v>
      </c>
      <c r="D214" s="1" t="str">
        <f>VLOOKUP(B214,MAESTRA!I:K,3,0)</f>
        <v>LEGGINS DAMA LICRA TALLA XL</v>
      </c>
      <c r="E214" s="1" t="s">
        <v>670</v>
      </c>
      <c r="F214" s="45">
        <v>4.0</v>
      </c>
      <c r="G214" s="2">
        <v>16000.0</v>
      </c>
      <c r="H214" s="2">
        <f t="shared" si="1"/>
        <v>64000</v>
      </c>
      <c r="I214" s="2">
        <f t="shared" si="2"/>
        <v>32000</v>
      </c>
      <c r="J214" s="47">
        <f t="shared" si="3"/>
        <v>1</v>
      </c>
      <c r="K214" s="2">
        <f t="shared" si="4"/>
        <v>128000</v>
      </c>
      <c r="L214" s="1"/>
    </row>
    <row r="215">
      <c r="A215" s="55">
        <v>46186.0</v>
      </c>
      <c r="B215" s="1" t="s">
        <v>671</v>
      </c>
      <c r="C215" s="1" t="str">
        <f>VLOOKUP(B215,MAESTRA!I:K,2,0)</f>
        <v>*44116730*</v>
      </c>
      <c r="D215" s="1" t="str">
        <f>VLOOKUP(B215,MAESTRA!I:K,3,0)</f>
        <v>LEGGINS DAMA LICRA TALLA UN</v>
      </c>
      <c r="E215" s="1" t="s">
        <v>670</v>
      </c>
      <c r="F215" s="45">
        <v>3.0</v>
      </c>
      <c r="G215" s="2">
        <v>15000.0</v>
      </c>
      <c r="H215" s="2">
        <f t="shared" si="1"/>
        <v>45000</v>
      </c>
      <c r="I215" s="2">
        <f t="shared" si="2"/>
        <v>30000</v>
      </c>
      <c r="J215" s="47">
        <f t="shared" si="3"/>
        <v>1</v>
      </c>
      <c r="K215" s="2">
        <f t="shared" si="4"/>
        <v>90000</v>
      </c>
      <c r="L215" s="1"/>
    </row>
    <row r="216">
      <c r="A216" s="55">
        <v>46186.0</v>
      </c>
      <c r="B216" s="1" t="s">
        <v>672</v>
      </c>
      <c r="C216" s="1" t="str">
        <f>VLOOKUP(B216,MAESTRA!I:K,2,0)</f>
        <v>*31630*</v>
      </c>
      <c r="D216" s="1" t="str">
        <f>VLOOKUP(B216,MAESTRA!I:K,3,0)</f>
        <v>LICRAS DAMA A RODILLA TALLA UN</v>
      </c>
      <c r="E216" s="1" t="s">
        <v>670</v>
      </c>
      <c r="F216" s="45">
        <v>6.0</v>
      </c>
      <c r="G216" s="2">
        <v>11000.0</v>
      </c>
      <c r="H216" s="2">
        <f t="shared" si="1"/>
        <v>66000</v>
      </c>
      <c r="I216" s="2">
        <f t="shared" si="2"/>
        <v>22000</v>
      </c>
      <c r="J216" s="47">
        <f t="shared" si="3"/>
        <v>1</v>
      </c>
      <c r="K216" s="2">
        <f t="shared" si="4"/>
        <v>132000</v>
      </c>
      <c r="L216" s="1"/>
    </row>
    <row r="217">
      <c r="A217" s="55">
        <v>46186.0</v>
      </c>
      <c r="B217" s="1" t="s">
        <v>673</v>
      </c>
      <c r="C217" s="1" t="str">
        <f>VLOOKUP(B217,MAESTRA!I:K,2,0)</f>
        <v>*31632*</v>
      </c>
      <c r="D217" s="1" t="str">
        <f>VLOOKUP(B217,MAESTRA!I:K,3,0)</f>
        <v>LICRAS DAMA A RODILLA TALLA XL</v>
      </c>
      <c r="E217" s="1" t="s">
        <v>670</v>
      </c>
      <c r="F217" s="45">
        <v>0.0</v>
      </c>
      <c r="G217" s="2">
        <v>11000.0</v>
      </c>
      <c r="H217" s="2">
        <f t="shared" si="1"/>
        <v>0</v>
      </c>
      <c r="I217" s="2">
        <f t="shared" si="2"/>
        <v>22000</v>
      </c>
      <c r="J217" s="47">
        <f t="shared" si="3"/>
        <v>1</v>
      </c>
      <c r="K217" s="2">
        <f t="shared" si="4"/>
        <v>0</v>
      </c>
      <c r="L217" s="1"/>
    </row>
    <row r="218">
      <c r="A218" s="55">
        <v>46186.0</v>
      </c>
      <c r="B218" s="1" t="s">
        <v>674</v>
      </c>
      <c r="C218" s="1" t="str">
        <f>VLOOKUP(B218,MAESTRA!I:K,2,0)</f>
        <v>*44116930*</v>
      </c>
      <c r="D218" s="1" t="str">
        <f>VLOOKUP(B218,MAESTRA!I:K,3,0)</f>
        <v>LEGGINS DAMA LICRA CATTO KIEWO TALLA UN</v>
      </c>
      <c r="E218" s="1" t="s">
        <v>670</v>
      </c>
      <c r="F218" s="45">
        <v>2.0</v>
      </c>
      <c r="G218" s="2">
        <v>20000.0</v>
      </c>
      <c r="H218" s="2">
        <f t="shared" si="1"/>
        <v>40000</v>
      </c>
      <c r="I218" s="2">
        <f t="shared" si="2"/>
        <v>40000</v>
      </c>
      <c r="J218" s="47">
        <f t="shared" si="3"/>
        <v>1</v>
      </c>
      <c r="K218" s="2">
        <f t="shared" si="4"/>
        <v>80000</v>
      </c>
      <c r="L218" s="1"/>
    </row>
    <row r="219">
      <c r="A219" s="55">
        <v>46186.0</v>
      </c>
      <c r="B219" s="1" t="s">
        <v>675</v>
      </c>
      <c r="C219" s="1" t="str">
        <f>VLOOKUP(B219,MAESTRA!I:K,2,0)</f>
        <v>*11211328*</v>
      </c>
      <c r="D219" s="1" t="str">
        <f>VLOOKUP(B219,MAESTRA!I:K,3,0)</f>
        <v>CAMISETAS CABALLERO DEPORTIVA TALLA S-M</v>
      </c>
      <c r="E219" s="1" t="s">
        <v>670</v>
      </c>
      <c r="F219" s="45">
        <v>3.0</v>
      </c>
      <c r="G219" s="2">
        <v>15000.0</v>
      </c>
      <c r="H219" s="2">
        <f t="shared" si="1"/>
        <v>45000</v>
      </c>
      <c r="I219" s="2">
        <f t="shared" si="2"/>
        <v>30000</v>
      </c>
      <c r="J219" s="47">
        <f t="shared" si="3"/>
        <v>1</v>
      </c>
      <c r="K219" s="2">
        <f t="shared" si="4"/>
        <v>90000</v>
      </c>
      <c r="L219" s="1"/>
    </row>
    <row r="220">
      <c r="A220" s="55">
        <v>46186.0</v>
      </c>
      <c r="B220" s="1" t="s">
        <v>676</v>
      </c>
      <c r="C220" s="1" t="str">
        <f>VLOOKUP(B220,MAESTRA!I:K,2,0)</f>
        <v>*11211324*</v>
      </c>
      <c r="D220" s="1" t="str">
        <f>VLOOKUP(B220,MAESTRA!I:K,3,0)</f>
        <v>CAMISETAS CABALLERO DEPORTIVA TALLA L-XL</v>
      </c>
      <c r="E220" s="1" t="s">
        <v>670</v>
      </c>
      <c r="F220" s="45">
        <v>3.0</v>
      </c>
      <c r="G220" s="2">
        <v>15000.0</v>
      </c>
      <c r="H220" s="2">
        <f t="shared" si="1"/>
        <v>45000</v>
      </c>
      <c r="I220" s="2">
        <f t="shared" si="2"/>
        <v>30000</v>
      </c>
      <c r="J220" s="47">
        <f t="shared" si="3"/>
        <v>1</v>
      </c>
      <c r="K220" s="2">
        <f t="shared" si="4"/>
        <v>90000</v>
      </c>
      <c r="L220" s="1"/>
    </row>
    <row r="221">
      <c r="A221" s="55">
        <v>46186.0</v>
      </c>
      <c r="B221" s="1" t="s">
        <v>677</v>
      </c>
      <c r="C221" s="1" t="str">
        <f>VLOOKUP(B221,MAESTRA!I:K,2,0)</f>
        <v>*3112630*</v>
      </c>
      <c r="D221" s="1" t="str">
        <f>VLOOKUP(B221,MAESTRA!I:K,3,0)</f>
        <v>LICRAS DAMA ENTERIZO DEPORTIVO TALLA UN</v>
      </c>
      <c r="E221" s="1" t="s">
        <v>670</v>
      </c>
      <c r="F221" s="45">
        <v>2.0</v>
      </c>
      <c r="G221" s="2">
        <v>45000.0</v>
      </c>
      <c r="H221" s="2">
        <f t="shared" si="1"/>
        <v>90000</v>
      </c>
      <c r="I221" s="2">
        <f t="shared" si="2"/>
        <v>90000</v>
      </c>
      <c r="J221" s="47">
        <f t="shared" si="3"/>
        <v>1</v>
      </c>
      <c r="K221" s="2">
        <f t="shared" si="4"/>
        <v>180000</v>
      </c>
      <c r="L221" s="1"/>
    </row>
    <row r="222">
      <c r="A222" s="55">
        <v>46186.0</v>
      </c>
      <c r="B222" s="1" t="s">
        <v>678</v>
      </c>
      <c r="C222" s="1" t="str">
        <f>VLOOKUP(B222,MAESTRA!I:K,2,0)</f>
        <v>*35211429*</v>
      </c>
      <c r="D222" s="1" t="str">
        <f>VLOOKUP(B222,MAESTRA!I:K,3,0)</f>
        <v>PANTALONETAS CABALLERO DEPORTIVAS TALLA SM</v>
      </c>
      <c r="E222" s="1" t="s">
        <v>670</v>
      </c>
      <c r="F222" s="45">
        <v>1.0</v>
      </c>
      <c r="G222" s="2">
        <v>22000.0</v>
      </c>
      <c r="H222" s="2">
        <f t="shared" si="1"/>
        <v>22000</v>
      </c>
      <c r="I222" s="2">
        <f t="shared" si="2"/>
        <v>44000</v>
      </c>
      <c r="J222" s="47">
        <f t="shared" si="3"/>
        <v>1</v>
      </c>
      <c r="K222" s="2">
        <f t="shared" si="4"/>
        <v>44000</v>
      </c>
      <c r="L222" s="1"/>
    </row>
    <row r="223">
      <c r="A223" s="55">
        <v>46186.0</v>
      </c>
      <c r="B223" s="1" t="s">
        <v>679</v>
      </c>
      <c r="C223" s="1" t="str">
        <f>VLOOKUP(B223,MAESTRA!I:K,2,0)</f>
        <v>*35211424*</v>
      </c>
      <c r="D223" s="1" t="str">
        <f>VLOOKUP(B223,MAESTRA!I:K,3,0)</f>
        <v>PANTALONETAS CABALLERO DEPORTIVAS TALLA L-XL</v>
      </c>
      <c r="E223" s="1" t="s">
        <v>670</v>
      </c>
      <c r="F223" s="45">
        <v>2.0</v>
      </c>
      <c r="G223" s="2">
        <v>22000.0</v>
      </c>
      <c r="H223" s="2">
        <f t="shared" si="1"/>
        <v>44000</v>
      </c>
      <c r="I223" s="2">
        <f t="shared" si="2"/>
        <v>44000</v>
      </c>
      <c r="J223" s="47">
        <f t="shared" si="3"/>
        <v>1</v>
      </c>
      <c r="K223" s="2">
        <f t="shared" si="4"/>
        <v>88000</v>
      </c>
      <c r="L223" s="1"/>
    </row>
    <row r="224">
      <c r="A224" s="55">
        <v>46186.0</v>
      </c>
      <c r="B224" s="1" t="s">
        <v>680</v>
      </c>
      <c r="C224" s="1" t="str">
        <f>VLOOKUP(B224,MAESTRA!I:K,2,0)</f>
        <v>*44125023*</v>
      </c>
      <c r="D224" s="1" t="str">
        <f>VLOOKUP(B224,MAESTRA!I:K,3,0)</f>
        <v>LEGGINS DAMA SHORT TALLA L</v>
      </c>
      <c r="E224" s="1" t="s">
        <v>670</v>
      </c>
      <c r="F224" s="45">
        <v>8.0</v>
      </c>
      <c r="G224" s="2">
        <v>20000.0</v>
      </c>
      <c r="H224" s="2">
        <f t="shared" si="1"/>
        <v>160000</v>
      </c>
      <c r="I224" s="2">
        <f t="shared" si="2"/>
        <v>40000</v>
      </c>
      <c r="J224" s="47">
        <f t="shared" si="3"/>
        <v>1</v>
      </c>
      <c r="K224" s="2">
        <f t="shared" si="4"/>
        <v>320000</v>
      </c>
      <c r="L224" s="1"/>
    </row>
    <row r="225">
      <c r="A225" s="55">
        <v>46186.0</v>
      </c>
      <c r="B225" s="1" t="s">
        <v>681</v>
      </c>
      <c r="C225" s="1" t="str">
        <f>VLOOKUP(B225,MAESTRA!I:K,2,0)</f>
        <v>*44116823*</v>
      </c>
      <c r="D225" s="1" t="str">
        <f>VLOOKUP(B225,MAESTRA!I:K,3,0)</f>
        <v>LEGGINS DAMA LICRA ACANALADA TALLA L</v>
      </c>
      <c r="E225" s="1" t="s">
        <v>670</v>
      </c>
      <c r="F225" s="45">
        <v>5.0</v>
      </c>
      <c r="G225" s="2">
        <v>22000.0</v>
      </c>
      <c r="H225" s="2">
        <f t="shared" si="1"/>
        <v>110000</v>
      </c>
      <c r="I225" s="2">
        <f t="shared" si="2"/>
        <v>44000</v>
      </c>
      <c r="J225" s="47">
        <f t="shared" si="3"/>
        <v>1</v>
      </c>
      <c r="K225" s="2">
        <f t="shared" si="4"/>
        <v>220000</v>
      </c>
      <c r="L225" s="1"/>
    </row>
    <row r="226">
      <c r="A226" s="55">
        <v>46186.0</v>
      </c>
      <c r="B226" s="1" t="s">
        <v>682</v>
      </c>
      <c r="C226" s="1" t="str">
        <f>VLOOKUP(B226,MAESTRA!I:K,2,0)</f>
        <v>*26211529*</v>
      </c>
      <c r="D226" s="1" t="str">
        <f>VLOOKUP(B226,MAESTRA!I:K,3,0)</f>
        <v>BUSOS CABALLERO DEPORTIVO TALLA SM</v>
      </c>
      <c r="E226" s="1" t="s">
        <v>670</v>
      </c>
      <c r="F226" s="45">
        <v>1.0</v>
      </c>
      <c r="G226" s="2">
        <v>16000.0</v>
      </c>
      <c r="H226" s="2">
        <f t="shared" si="1"/>
        <v>16000</v>
      </c>
      <c r="I226" s="2">
        <f t="shared" si="2"/>
        <v>32000</v>
      </c>
      <c r="J226" s="47">
        <f t="shared" si="3"/>
        <v>1</v>
      </c>
      <c r="K226" s="2">
        <f t="shared" si="4"/>
        <v>32000</v>
      </c>
      <c r="L226" s="1"/>
    </row>
    <row r="227">
      <c r="A227" s="55">
        <v>46186.0</v>
      </c>
      <c r="B227" s="1" t="s">
        <v>683</v>
      </c>
      <c r="C227" s="1" t="str">
        <f>VLOOKUP(B227,MAESTRA!I:K,2,0)</f>
        <v>*26211524*</v>
      </c>
      <c r="D227" s="1" t="str">
        <f>VLOOKUP(B227,MAESTRA!I:K,3,0)</f>
        <v>BUSOS CABALLERO DEPORTIVO TALLA L-XL</v>
      </c>
      <c r="E227" s="1" t="s">
        <v>670</v>
      </c>
      <c r="F227" s="45">
        <v>3.0</v>
      </c>
      <c r="G227" s="2">
        <v>16000.0</v>
      </c>
      <c r="H227" s="2">
        <f t="shared" si="1"/>
        <v>48000</v>
      </c>
      <c r="I227" s="2">
        <f t="shared" si="2"/>
        <v>32000</v>
      </c>
      <c r="J227" s="47">
        <f t="shared" si="3"/>
        <v>1</v>
      </c>
      <c r="K227" s="2">
        <f t="shared" si="4"/>
        <v>96000</v>
      </c>
      <c r="L227" s="1"/>
    </row>
    <row r="228">
      <c r="A228" s="55">
        <v>46186.0</v>
      </c>
      <c r="B228" s="1" t="s">
        <v>684</v>
      </c>
      <c r="C228" s="1" t="str">
        <f>VLOOKUP(B228,MAESTRA!I:K,2,0)</f>
        <v>*44116623*</v>
      </c>
      <c r="D228" s="1" t="str">
        <f>VLOOKUP(B228,MAESTRA!I:K,3,0)</f>
        <v>LEGGINS DAMA LEGGINS UNICOLOR TALLA L</v>
      </c>
      <c r="E228" s="1" t="s">
        <v>670</v>
      </c>
      <c r="F228" s="45">
        <v>2.0</v>
      </c>
      <c r="G228" s="2">
        <v>22000.0</v>
      </c>
      <c r="H228" s="2">
        <f t="shared" si="1"/>
        <v>44000</v>
      </c>
      <c r="I228" s="2">
        <f t="shared" si="2"/>
        <v>44000</v>
      </c>
      <c r="J228" s="47">
        <f t="shared" si="3"/>
        <v>1</v>
      </c>
      <c r="K228" s="2">
        <f t="shared" si="4"/>
        <v>88000</v>
      </c>
      <c r="L228" s="1"/>
    </row>
    <row r="229">
      <c r="A229" s="55">
        <v>46186.0</v>
      </c>
      <c r="B229" s="1" t="s">
        <v>685</v>
      </c>
      <c r="C229" s="1" t="str">
        <f>VLOOKUP(B229,MAESTRA!I:K,2,0)</f>
        <v>*53110230*</v>
      </c>
      <c r="D229" s="1" t="str">
        <f>VLOOKUP(B229,MAESTRA!I:K,3,0)</f>
        <v>ENTERIZO DEPORTIVO DAMA CORTO TALLA UN</v>
      </c>
      <c r="E229" s="1" t="s">
        <v>670</v>
      </c>
      <c r="F229" s="45">
        <v>2.0</v>
      </c>
      <c r="G229" s="2">
        <v>36000.0</v>
      </c>
      <c r="H229" s="2">
        <f t="shared" si="1"/>
        <v>72000</v>
      </c>
      <c r="I229" s="2">
        <f t="shared" si="2"/>
        <v>72000</v>
      </c>
      <c r="J229" s="47">
        <f t="shared" si="3"/>
        <v>1</v>
      </c>
      <c r="K229" s="2">
        <f t="shared" si="4"/>
        <v>144000</v>
      </c>
      <c r="L229" s="1"/>
    </row>
    <row r="230">
      <c r="A230" s="55">
        <v>46186.0</v>
      </c>
      <c r="B230" s="1" t="s">
        <v>686</v>
      </c>
      <c r="C230" s="1" t="str">
        <f>VLOOKUP(B230,MAESTRA!I:K,2,0)</f>
        <v>*541030*</v>
      </c>
      <c r="D230" s="1" t="str">
        <f>VLOOKUP(B230,MAESTRA!I:K,3,0)</f>
        <v>CONJUNTO DEPORTIVO DAMA - TALLA UN</v>
      </c>
      <c r="E230" s="1" t="s">
        <v>670</v>
      </c>
      <c r="F230" s="45">
        <v>2.0</v>
      </c>
      <c r="G230" s="2">
        <v>40000.0</v>
      </c>
      <c r="H230" s="2">
        <f t="shared" si="1"/>
        <v>80000</v>
      </c>
      <c r="I230" s="2">
        <f t="shared" si="2"/>
        <v>80000</v>
      </c>
      <c r="J230" s="47">
        <f t="shared" si="3"/>
        <v>1</v>
      </c>
      <c r="K230" s="2">
        <f t="shared" si="4"/>
        <v>160000</v>
      </c>
      <c r="L230" s="1"/>
    </row>
    <row r="231">
      <c r="A231" s="55">
        <v>46186.0</v>
      </c>
      <c r="B231" s="1" t="s">
        <v>687</v>
      </c>
      <c r="C231" s="1" t="str">
        <f>VLOOKUP(B231,MAESTRA!I:K,2,0)</f>
        <v>*39125830*</v>
      </c>
      <c r="D231" s="1" t="str">
        <f>VLOOKUP(B231,MAESTRA!I:K,3,0)</f>
        <v>SACO DAMA TEJIDO RAYAS TALLA UN</v>
      </c>
      <c r="E231" s="1" t="s">
        <v>688</v>
      </c>
      <c r="F231" s="45">
        <v>4.0</v>
      </c>
      <c r="G231" s="2">
        <v>25000.0</v>
      </c>
      <c r="H231" s="2">
        <f t="shared" si="1"/>
        <v>100000</v>
      </c>
      <c r="I231" s="2">
        <f t="shared" si="2"/>
        <v>50000</v>
      </c>
      <c r="J231" s="47">
        <f t="shared" si="3"/>
        <v>1</v>
      </c>
      <c r="K231" s="2">
        <f t="shared" si="4"/>
        <v>200000</v>
      </c>
      <c r="L231" s="1"/>
    </row>
    <row r="232">
      <c r="A232" s="55">
        <v>46186.0</v>
      </c>
      <c r="B232" s="1" t="s">
        <v>689</v>
      </c>
      <c r="C232" s="1" t="str">
        <f>VLOOKUP(B232,MAESTRA!I:K,2,0)</f>
        <v>*39118030*</v>
      </c>
      <c r="D232" s="1" t="str">
        <f>VLOOKUP(B232,MAESTRA!I:K,3,0)</f>
        <v>SACO DAMA MANGA CORTA TALLA UN</v>
      </c>
      <c r="E232" s="1" t="s">
        <v>690</v>
      </c>
      <c r="F232" s="45">
        <v>4.0</v>
      </c>
      <c r="G232" s="2">
        <v>24000.0</v>
      </c>
      <c r="H232" s="2">
        <f t="shared" si="1"/>
        <v>96000</v>
      </c>
      <c r="I232" s="2">
        <f t="shared" si="2"/>
        <v>48000</v>
      </c>
      <c r="J232" s="47">
        <f t="shared" si="3"/>
        <v>1</v>
      </c>
      <c r="K232" s="2">
        <f t="shared" si="4"/>
        <v>192000</v>
      </c>
      <c r="L232" s="1"/>
    </row>
    <row r="233">
      <c r="A233" s="55">
        <v>46186.0</v>
      </c>
      <c r="B233" s="1" t="s">
        <v>691</v>
      </c>
      <c r="C233" s="1" t="str">
        <f>VLOOKUP(B233,MAESTRA!I:K,2,0)</f>
        <v>*3919730*</v>
      </c>
      <c r="D233" s="1" t="str">
        <f>VLOOKUP(B233,MAESTRA!I:K,3,0)</f>
        <v>SACO DAMA CORAZON LOVE TALLA UN</v>
      </c>
      <c r="E233" s="1" t="s">
        <v>692</v>
      </c>
      <c r="F233" s="45">
        <v>5.0</v>
      </c>
      <c r="G233" s="2">
        <v>30000.0</v>
      </c>
      <c r="H233" s="2">
        <f t="shared" si="1"/>
        <v>150000</v>
      </c>
      <c r="I233" s="2">
        <f t="shared" si="2"/>
        <v>60000</v>
      </c>
      <c r="J233" s="47">
        <f t="shared" si="3"/>
        <v>1</v>
      </c>
      <c r="K233" s="2">
        <f t="shared" si="4"/>
        <v>300000</v>
      </c>
      <c r="L233" s="1"/>
    </row>
    <row r="234">
      <c r="A234" s="55">
        <v>46186.0</v>
      </c>
      <c r="B234" s="1" t="s">
        <v>693</v>
      </c>
      <c r="C234" s="1" t="str">
        <f>VLOOKUP(B234,MAESTRA!I:K,2,0)</f>
        <v>*39123130*</v>
      </c>
      <c r="D234" s="1" t="str">
        <f>VLOOKUP(B234,MAESTRA!I:K,3,0)</f>
        <v>SACO DAMA RAYAS COMBINADAS TALLA UN</v>
      </c>
      <c r="E234" s="1" t="s">
        <v>692</v>
      </c>
      <c r="F234" s="45">
        <v>2.0</v>
      </c>
      <c r="G234" s="2">
        <v>20000.0</v>
      </c>
      <c r="H234" s="2">
        <f t="shared" si="1"/>
        <v>40000</v>
      </c>
      <c r="I234" s="2">
        <f t="shared" si="2"/>
        <v>40000</v>
      </c>
      <c r="J234" s="47">
        <f t="shared" si="3"/>
        <v>1</v>
      </c>
      <c r="K234" s="2">
        <f t="shared" si="4"/>
        <v>80000</v>
      </c>
      <c r="L234" s="1"/>
    </row>
    <row r="235">
      <c r="A235" s="55">
        <v>46186.0</v>
      </c>
      <c r="B235" s="1" t="s">
        <v>694</v>
      </c>
      <c r="C235" s="1" t="str">
        <f>VLOOKUP(B235,MAESTRA!I:K,2,0)</f>
        <v>*26123630*</v>
      </c>
      <c r="D235" s="1" t="str">
        <f>VLOOKUP(B235,MAESTRA!I:K,3,0)</f>
        <v>BUSOS DAMA RESORTADO CON CAPOTA TALLA UN</v>
      </c>
      <c r="E235" s="1" t="s">
        <v>695</v>
      </c>
      <c r="F235" s="45">
        <v>2.0</v>
      </c>
      <c r="G235" s="2">
        <v>28000.0</v>
      </c>
      <c r="H235" s="2">
        <f t="shared" si="1"/>
        <v>56000</v>
      </c>
      <c r="I235" s="2">
        <f t="shared" si="2"/>
        <v>56000</v>
      </c>
      <c r="J235" s="47">
        <f t="shared" si="3"/>
        <v>1</v>
      </c>
      <c r="K235" s="2">
        <f t="shared" si="4"/>
        <v>112000</v>
      </c>
      <c r="L235" s="1"/>
    </row>
    <row r="236">
      <c r="A236" s="55">
        <v>46186.0</v>
      </c>
      <c r="B236" s="1" t="s">
        <v>696</v>
      </c>
      <c r="C236" s="1" t="str">
        <f>VLOOKUP(B236,MAESTRA!I:K,2,0)</f>
        <v>*26110830*</v>
      </c>
      <c r="D236" s="1" t="str">
        <f>VLOOKUP(B236,MAESTRA!I:K,3,0)</f>
        <v>BUSOS DAMA CUELLO REDONDO TALLA UN</v>
      </c>
      <c r="E236" s="1" t="s">
        <v>697</v>
      </c>
      <c r="F236" s="45">
        <v>3.0</v>
      </c>
      <c r="G236" s="2">
        <v>28000.0</v>
      </c>
      <c r="H236" s="2">
        <f t="shared" si="1"/>
        <v>84000</v>
      </c>
      <c r="I236" s="2">
        <f t="shared" si="2"/>
        <v>56000</v>
      </c>
      <c r="J236" s="47">
        <f t="shared" si="3"/>
        <v>1</v>
      </c>
      <c r="K236" s="2">
        <f t="shared" si="4"/>
        <v>168000</v>
      </c>
      <c r="L236" s="1"/>
    </row>
    <row r="237">
      <c r="A237" s="55">
        <v>46186.0</v>
      </c>
      <c r="B237" s="1" t="s">
        <v>698</v>
      </c>
      <c r="C237" s="1" t="str">
        <f>VLOOKUP(B237,MAESTRA!I:K,2,0)</f>
        <v>*111830*</v>
      </c>
      <c r="D237" s="1" t="str">
        <f>VLOOKUP(B237,MAESTRA!I:K,3,0)</f>
        <v>CAMISETAS DAMA ACANALADA TALLA UN</v>
      </c>
      <c r="E237" s="1" t="s">
        <v>697</v>
      </c>
      <c r="F237" s="45">
        <v>3.0</v>
      </c>
      <c r="G237" s="2">
        <v>14000.0</v>
      </c>
      <c r="H237" s="2">
        <f t="shared" si="1"/>
        <v>42000</v>
      </c>
      <c r="I237" s="2">
        <f t="shared" si="2"/>
        <v>28000</v>
      </c>
      <c r="J237" s="47">
        <f t="shared" si="3"/>
        <v>1</v>
      </c>
      <c r="K237" s="2">
        <f t="shared" si="4"/>
        <v>84000</v>
      </c>
      <c r="L237" s="1"/>
    </row>
    <row r="238">
      <c r="A238" s="55">
        <v>46186.0</v>
      </c>
      <c r="B238" s="1" t="s">
        <v>699</v>
      </c>
      <c r="C238" s="1" t="str">
        <f>VLOOKUP(B238,MAESTRA!I:K,2,0)</f>
        <v>*371930*</v>
      </c>
      <c r="D238" s="1" t="str">
        <f>VLOOKUP(B238,MAESTRA!I:K,3,0)</f>
        <v>ESQUELETO DAMA ACANALADO CORTO TALLA UN</v>
      </c>
      <c r="E238" s="1" t="s">
        <v>697</v>
      </c>
      <c r="F238" s="45">
        <v>2.0</v>
      </c>
      <c r="G238" s="2">
        <v>14000.0</v>
      </c>
      <c r="H238" s="2">
        <f t="shared" si="1"/>
        <v>28000</v>
      </c>
      <c r="I238" s="2">
        <f t="shared" si="2"/>
        <v>28000</v>
      </c>
      <c r="J238" s="47">
        <f t="shared" si="3"/>
        <v>1</v>
      </c>
      <c r="K238" s="2">
        <f t="shared" si="4"/>
        <v>56000</v>
      </c>
      <c r="L238" s="1"/>
    </row>
    <row r="239">
      <c r="A239" s="55">
        <v>46186.0</v>
      </c>
      <c r="B239" s="1" t="s">
        <v>700</v>
      </c>
      <c r="C239" s="1" t="str">
        <f>VLOOKUP(B239,MAESTRA!I:K,2,0)</f>
        <v>*1111030*</v>
      </c>
      <c r="D239" s="1" t="str">
        <f>VLOOKUP(B239,MAESTRA!I:K,3,0)</f>
        <v>CAMISETAS DAMA ACANALADO LARGO TALLA UN</v>
      </c>
      <c r="E239" s="1" t="s">
        <v>697</v>
      </c>
      <c r="F239" s="45">
        <v>3.0</v>
      </c>
      <c r="G239" s="2">
        <v>16000.0</v>
      </c>
      <c r="H239" s="2">
        <f t="shared" si="1"/>
        <v>48000</v>
      </c>
      <c r="I239" s="2">
        <f t="shared" si="2"/>
        <v>32000</v>
      </c>
      <c r="J239" s="47">
        <f t="shared" si="3"/>
        <v>1</v>
      </c>
      <c r="K239" s="2">
        <f t="shared" si="4"/>
        <v>96000</v>
      </c>
      <c r="L239" s="1"/>
    </row>
    <row r="240">
      <c r="A240" s="55">
        <v>46186.0</v>
      </c>
      <c r="B240" s="1" t="s">
        <v>701</v>
      </c>
      <c r="C240" s="1" t="str">
        <f>VLOOKUP(B240,MAESTRA!I:K,2,0)</f>
        <v>*3711030*</v>
      </c>
      <c r="D240" s="1" t="str">
        <f>VLOOKUP(B240,MAESTRA!I:K,3,0)</f>
        <v>ESQUELETO DAMA ACANALADO LARGO TALLA UN</v>
      </c>
      <c r="E240" s="1" t="s">
        <v>697</v>
      </c>
      <c r="F240" s="45">
        <v>2.0</v>
      </c>
      <c r="G240" s="2">
        <v>16000.0</v>
      </c>
      <c r="H240" s="2">
        <f t="shared" si="1"/>
        <v>32000</v>
      </c>
      <c r="I240" s="2">
        <f t="shared" si="2"/>
        <v>32000</v>
      </c>
      <c r="J240" s="47">
        <f t="shared" si="3"/>
        <v>1</v>
      </c>
      <c r="K240" s="2">
        <f t="shared" si="4"/>
        <v>64000</v>
      </c>
      <c r="L240" s="1"/>
    </row>
    <row r="241">
      <c r="A241" s="55">
        <v>46186.0</v>
      </c>
      <c r="B241" s="1" t="s">
        <v>702</v>
      </c>
      <c r="C241" s="1" t="str">
        <f>VLOOKUP(B241,MAESTRA!I:K,2,0)</f>
        <v>*11124830*</v>
      </c>
      <c r="D241" s="1" t="str">
        <f>VLOOKUP(B241,MAESTRA!I:K,3,0)</f>
        <v>CAMISETAS DAMA SEDA FRIA TALLA UN</v>
      </c>
      <c r="E241" s="1" t="s">
        <v>697</v>
      </c>
      <c r="F241" s="45">
        <v>4.0</v>
      </c>
      <c r="G241" s="2">
        <v>17000.0</v>
      </c>
      <c r="H241" s="2">
        <f t="shared" si="1"/>
        <v>68000</v>
      </c>
      <c r="I241" s="2">
        <f t="shared" si="2"/>
        <v>34000</v>
      </c>
      <c r="J241" s="47">
        <f t="shared" si="3"/>
        <v>1</v>
      </c>
      <c r="K241" s="2">
        <f t="shared" si="4"/>
        <v>136000</v>
      </c>
      <c r="L241" s="1"/>
    </row>
    <row r="242">
      <c r="A242" s="55">
        <v>46186.0</v>
      </c>
      <c r="B242" s="1" t="s">
        <v>703</v>
      </c>
      <c r="C242" s="1" t="str">
        <f>VLOOKUP(B242,MAESTRA!I:K,2,0)</f>
        <v>*27314631*</v>
      </c>
      <c r="D242" s="1" t="str">
        <f>VLOOKUP(B242,MAESTRA!I:K,3,0)</f>
        <v>CANILLERAS UNISEX IMPORTADA TALLA VA</v>
      </c>
      <c r="E242" s="1" t="s">
        <v>704</v>
      </c>
      <c r="F242" s="45">
        <v>4.0</v>
      </c>
      <c r="G242" s="2">
        <v>10000.0</v>
      </c>
      <c r="H242" s="2">
        <f t="shared" si="1"/>
        <v>40000</v>
      </c>
      <c r="I242" s="2">
        <f t="shared" si="2"/>
        <v>20000</v>
      </c>
      <c r="J242" s="47">
        <f t="shared" si="3"/>
        <v>1</v>
      </c>
      <c r="K242" s="2">
        <f t="shared" si="4"/>
        <v>80000</v>
      </c>
      <c r="L242" s="1"/>
    </row>
    <row r="243">
      <c r="A243" s="55">
        <v>46186.0</v>
      </c>
      <c r="B243" s="1" t="s">
        <v>705</v>
      </c>
      <c r="C243" s="1" t="str">
        <f>VLOOKUP(B243,MAESTRA!I:K,2,0)</f>
        <v>*27412731*</v>
      </c>
      <c r="D243" s="1" t="str">
        <f>VLOOKUP(B243,MAESTRA!I:K,3,0)</f>
        <v>CANILLERAS NIÑO EQUIPOS TALLA VA</v>
      </c>
      <c r="E243" s="1" t="s">
        <v>704</v>
      </c>
      <c r="F243" s="45">
        <v>3.0</v>
      </c>
      <c r="G243" s="2">
        <v>7000.0</v>
      </c>
      <c r="H243" s="2">
        <f t="shared" si="1"/>
        <v>21000</v>
      </c>
      <c r="I243" s="2">
        <f t="shared" si="2"/>
        <v>14000</v>
      </c>
      <c r="J243" s="47">
        <f t="shared" si="3"/>
        <v>1</v>
      </c>
      <c r="K243" s="2">
        <f t="shared" si="4"/>
        <v>42000</v>
      </c>
      <c r="L243" s="1"/>
    </row>
    <row r="244">
      <c r="A244" s="55">
        <v>46186.0</v>
      </c>
      <c r="B244" s="1" t="s">
        <v>706</v>
      </c>
      <c r="C244" s="1" t="str">
        <f>VLOOKUP(B244,MAESTRA!I:K,2,0)</f>
        <v>*2746531*</v>
      </c>
      <c r="D244" s="1" t="str">
        <f>VLOOKUP(B244,MAESTRA!I:K,3,0)</f>
        <v>CANILLERAS NIÑO CAMPEON TALLA VA</v>
      </c>
      <c r="E244" s="1" t="s">
        <v>704</v>
      </c>
      <c r="F244" s="45">
        <v>2.0</v>
      </c>
      <c r="G244" s="2">
        <v>6000.0</v>
      </c>
      <c r="H244" s="2">
        <f t="shared" si="1"/>
        <v>12000</v>
      </c>
      <c r="I244" s="2">
        <f t="shared" si="2"/>
        <v>12000</v>
      </c>
      <c r="J244" s="47">
        <f t="shared" si="3"/>
        <v>1</v>
      </c>
      <c r="K244" s="2">
        <f t="shared" si="4"/>
        <v>24000</v>
      </c>
      <c r="L244" s="1"/>
    </row>
    <row r="245">
      <c r="A245" s="55">
        <v>46186.0</v>
      </c>
      <c r="B245" s="1" t="s">
        <v>707</v>
      </c>
      <c r="C245" s="1" t="str">
        <f>VLOOKUP(B245,MAESTRA!I:K,2,0)</f>
        <v>*27412431*</v>
      </c>
      <c r="D245" s="1" t="str">
        <f>VLOOKUP(B245,MAESTRA!I:K,3,0)</f>
        <v>CANILLERAS NIÑO ECONOMICA TALLA VA</v>
      </c>
      <c r="E245" s="1" t="s">
        <v>704</v>
      </c>
      <c r="F245" s="45">
        <v>1.0</v>
      </c>
      <c r="G245" s="2">
        <v>4500.0</v>
      </c>
      <c r="H245" s="2">
        <f t="shared" si="1"/>
        <v>4500</v>
      </c>
      <c r="I245" s="2">
        <f t="shared" si="2"/>
        <v>9000</v>
      </c>
      <c r="J245" s="47">
        <f t="shared" si="3"/>
        <v>1</v>
      </c>
      <c r="K245" s="2">
        <f t="shared" si="4"/>
        <v>9000</v>
      </c>
      <c r="L245" s="1"/>
    </row>
    <row r="246">
      <c r="A246" s="55">
        <v>46186.0</v>
      </c>
      <c r="B246" s="1" t="s">
        <v>708</v>
      </c>
      <c r="C246" s="1" t="str">
        <f>VLOOKUP(B246,MAESTRA!I:K,2,0)</f>
        <v>*2736931*</v>
      </c>
      <c r="D246" s="1" t="str">
        <f>VLOOKUP(B246,MAESTRA!I:K,3,0)</f>
        <v>CANILLERAS UNISEX CANILLERA ADULTO TALLA VA</v>
      </c>
      <c r="E246" s="1" t="s">
        <v>704</v>
      </c>
      <c r="F246" s="45">
        <v>3.0</v>
      </c>
      <c r="G246" s="2">
        <v>8000.0</v>
      </c>
      <c r="H246" s="2">
        <f t="shared" si="1"/>
        <v>24000</v>
      </c>
      <c r="I246" s="2">
        <f t="shared" si="2"/>
        <v>16000</v>
      </c>
      <c r="J246" s="47">
        <f t="shared" si="3"/>
        <v>1</v>
      </c>
      <c r="K246" s="2">
        <f t="shared" si="4"/>
        <v>48000</v>
      </c>
      <c r="L246" s="1"/>
    </row>
    <row r="247">
      <c r="A247" s="55">
        <v>46186.0</v>
      </c>
      <c r="B247" s="1" t="s">
        <v>709</v>
      </c>
      <c r="C247" s="1" t="str">
        <f>VLOOKUP(B247,MAESTRA!I:K,2,0)</f>
        <v>*24312431*</v>
      </c>
      <c r="D247" s="1" t="str">
        <f>VLOOKUP(B247,MAESTRA!I:K,3,0)</f>
        <v>MEDIAS UNISEX ECONOMICA TALLA VA</v>
      </c>
      <c r="E247" s="1" t="s">
        <v>704</v>
      </c>
      <c r="F247" s="45">
        <v>16.0</v>
      </c>
      <c r="G247" s="2">
        <v>4500.0</v>
      </c>
      <c r="H247" s="2">
        <f t="shared" si="1"/>
        <v>72000</v>
      </c>
      <c r="I247" s="2">
        <f t="shared" si="2"/>
        <v>9000</v>
      </c>
      <c r="J247" s="47">
        <f t="shared" si="3"/>
        <v>1</v>
      </c>
      <c r="K247" s="2">
        <f t="shared" si="4"/>
        <v>144000</v>
      </c>
      <c r="L247" s="1"/>
    </row>
    <row r="248">
      <c r="A248" s="55">
        <v>46186.0</v>
      </c>
      <c r="B248" s="1" t="s">
        <v>710</v>
      </c>
      <c r="C248" s="1" t="str">
        <f>VLOOKUP(B248,MAESTRA!I:K,2,0)</f>
        <v>*24313531*</v>
      </c>
      <c r="D248" s="1" t="str">
        <f>VLOOKUP(B248,MAESTRA!I:K,3,0)</f>
        <v>MEDIAS UNISEX FINA MEDIA TALLA VA</v>
      </c>
      <c r="E248" s="1" t="s">
        <v>704</v>
      </c>
      <c r="F248" s="45">
        <v>16.0</v>
      </c>
      <c r="G248" s="2">
        <v>8000.0</v>
      </c>
      <c r="H248" s="2">
        <f t="shared" si="1"/>
        <v>128000</v>
      </c>
      <c r="I248" s="2">
        <f t="shared" si="2"/>
        <v>16000</v>
      </c>
      <c r="J248" s="47">
        <f t="shared" si="3"/>
        <v>1</v>
      </c>
      <c r="K248" s="2">
        <f t="shared" si="4"/>
        <v>256000</v>
      </c>
      <c r="L248" s="1"/>
    </row>
    <row r="249">
      <c r="A249" s="55">
        <v>46186.0</v>
      </c>
      <c r="B249" s="1" t="s">
        <v>711</v>
      </c>
      <c r="C249" s="1" t="str">
        <f>VLOOKUP(B249,MAESTRA!I:K,2,0)</f>
        <v>*25124232*</v>
      </c>
      <c r="D249" s="1" t="str">
        <f>VLOOKUP(B249,MAESTRA!I:K,3,0)</f>
        <v>CHAQUETAS DAMA ROMBOS TALLA XL</v>
      </c>
      <c r="E249" s="1" t="s">
        <v>712</v>
      </c>
      <c r="F249" s="45">
        <v>1.0</v>
      </c>
      <c r="G249" s="2">
        <v>39000.0</v>
      </c>
      <c r="H249" s="2">
        <f t="shared" si="1"/>
        <v>39000</v>
      </c>
      <c r="I249" s="2">
        <f t="shared" si="2"/>
        <v>78000</v>
      </c>
      <c r="J249" s="47">
        <f t="shared" si="3"/>
        <v>1</v>
      </c>
      <c r="K249" s="2">
        <f t="shared" si="4"/>
        <v>78000</v>
      </c>
      <c r="L249" s="1"/>
    </row>
    <row r="250">
      <c r="A250" s="55">
        <v>46186.0</v>
      </c>
      <c r="B250" s="1" t="s">
        <v>713</v>
      </c>
      <c r="C250" s="1" t="str">
        <f>VLOOKUP(B250,MAESTRA!I:K,2,0)</f>
        <v>*25124225*</v>
      </c>
      <c r="D250" s="1" t="str">
        <f>VLOOKUP(B250,MAESTRA!I:K,3,0)</f>
        <v>CHAQUETAS DAMA ROMBOS TALLA M</v>
      </c>
      <c r="E250" s="1" t="s">
        <v>712</v>
      </c>
      <c r="F250" s="45">
        <v>1.0</v>
      </c>
      <c r="G250" s="2">
        <v>39000.0</v>
      </c>
      <c r="H250" s="2">
        <f t="shared" si="1"/>
        <v>39000</v>
      </c>
      <c r="I250" s="2">
        <f t="shared" si="2"/>
        <v>78000</v>
      </c>
      <c r="J250" s="47">
        <f t="shared" si="3"/>
        <v>1</v>
      </c>
      <c r="K250" s="2">
        <f t="shared" si="4"/>
        <v>78000</v>
      </c>
      <c r="L250" s="1"/>
    </row>
    <row r="251">
      <c r="A251" s="55">
        <v>46186.0</v>
      </c>
      <c r="B251" s="1" t="s">
        <v>714</v>
      </c>
      <c r="C251" s="1" t="str">
        <f>VLOOKUP(B251,MAESTRA!I:K,2,0)</f>
        <v>*25124227*</v>
      </c>
      <c r="D251" s="1" t="str">
        <f>VLOOKUP(B251,MAESTRA!I:K,3,0)</f>
        <v>CHAQUETAS DAMA ROMBOS TALLA S</v>
      </c>
      <c r="E251" s="1" t="s">
        <v>712</v>
      </c>
      <c r="F251" s="45">
        <v>1.0</v>
      </c>
      <c r="G251" s="2">
        <v>39000.0</v>
      </c>
      <c r="H251" s="2">
        <f t="shared" si="1"/>
        <v>39000</v>
      </c>
      <c r="I251" s="2">
        <f t="shared" si="2"/>
        <v>78000</v>
      </c>
      <c r="J251" s="47">
        <f t="shared" si="3"/>
        <v>1</v>
      </c>
      <c r="K251" s="2">
        <f t="shared" si="4"/>
        <v>78000</v>
      </c>
      <c r="L251" s="1"/>
    </row>
    <row r="252">
      <c r="A252" s="55">
        <v>46186.0</v>
      </c>
      <c r="B252" s="1" t="s">
        <v>715</v>
      </c>
      <c r="C252" s="1" t="str">
        <f>VLOOKUP(B252,MAESTRA!I:K,2,0)</f>
        <v>*25124223*</v>
      </c>
      <c r="D252" s="1" t="str">
        <f>VLOOKUP(B252,MAESTRA!I:K,3,0)</f>
        <v>CHAQUETAS DAMA ROMBOS TALLA L</v>
      </c>
      <c r="E252" s="1" t="s">
        <v>712</v>
      </c>
      <c r="F252" s="45">
        <v>1.0</v>
      </c>
      <c r="G252" s="2">
        <v>39000.0</v>
      </c>
      <c r="H252" s="2">
        <f t="shared" si="1"/>
        <v>39000</v>
      </c>
      <c r="I252" s="2">
        <f t="shared" si="2"/>
        <v>78000</v>
      </c>
      <c r="J252" s="47">
        <f t="shared" si="3"/>
        <v>1</v>
      </c>
      <c r="K252" s="2">
        <f t="shared" si="4"/>
        <v>78000</v>
      </c>
      <c r="L252" s="1"/>
    </row>
    <row r="253">
      <c r="A253" s="55">
        <v>46186.0</v>
      </c>
      <c r="B253" s="1" t="s">
        <v>716</v>
      </c>
      <c r="C253" s="1" t="str">
        <f>VLOOKUP(B253,MAESTRA!I:K,2,0)</f>
        <v>*25120027*</v>
      </c>
      <c r="D253" s="1" t="str">
        <f>VLOOKUP(B253,MAESTRA!I:K,3,0)</f>
        <v>CHAQUETAS DAMA OVEJERA CUERINA TALLA S</v>
      </c>
      <c r="E253" s="1" t="s">
        <v>712</v>
      </c>
      <c r="F253" s="45">
        <v>1.0</v>
      </c>
      <c r="G253" s="2">
        <v>52000.0</v>
      </c>
      <c r="H253" s="2">
        <f t="shared" si="1"/>
        <v>52000</v>
      </c>
      <c r="I253" s="2">
        <f t="shared" si="2"/>
        <v>104000</v>
      </c>
      <c r="J253" s="47">
        <f t="shared" si="3"/>
        <v>1</v>
      </c>
      <c r="K253" s="2">
        <f t="shared" si="4"/>
        <v>104000</v>
      </c>
      <c r="L253" s="1"/>
    </row>
    <row r="254">
      <c r="A254" s="55">
        <v>46186.0</v>
      </c>
      <c r="B254" s="1" t="s">
        <v>717</v>
      </c>
      <c r="C254" s="1" t="str">
        <f>VLOOKUP(B254,MAESTRA!I:K,2,0)</f>
        <v>*25120032*</v>
      </c>
      <c r="D254" s="1" t="str">
        <f>VLOOKUP(B254,MAESTRA!I:K,3,0)</f>
        <v>CHAQUETAS DAMA OVEJERA CUERINA TALLA XL</v>
      </c>
      <c r="E254" s="1" t="s">
        <v>712</v>
      </c>
      <c r="F254" s="45">
        <v>1.0</v>
      </c>
      <c r="G254" s="2">
        <v>52000.0</v>
      </c>
      <c r="H254" s="2">
        <f t="shared" si="1"/>
        <v>52000</v>
      </c>
      <c r="I254" s="2">
        <f t="shared" si="2"/>
        <v>104000</v>
      </c>
      <c r="J254" s="47">
        <f t="shared" si="3"/>
        <v>1</v>
      </c>
      <c r="K254" s="2">
        <f t="shared" si="4"/>
        <v>104000</v>
      </c>
      <c r="L254" s="1"/>
    </row>
    <row r="255">
      <c r="A255" s="55">
        <v>46186.0</v>
      </c>
      <c r="B255" s="1" t="s">
        <v>718</v>
      </c>
      <c r="C255" s="1" t="str">
        <f>VLOOKUP(B255,MAESTRA!I:K,2,0)</f>
        <v>*25120023*</v>
      </c>
      <c r="D255" s="1" t="str">
        <f>VLOOKUP(B255,MAESTRA!I:K,3,0)</f>
        <v>CHAQUETAS DAMA OVEJERA CUERINA TALLA L</v>
      </c>
      <c r="E255" s="1" t="s">
        <v>712</v>
      </c>
      <c r="F255" s="45">
        <v>1.0</v>
      </c>
      <c r="G255" s="2">
        <v>52000.0</v>
      </c>
      <c r="H255" s="2">
        <f t="shared" si="1"/>
        <v>52000</v>
      </c>
      <c r="I255" s="2">
        <f t="shared" si="2"/>
        <v>104000</v>
      </c>
      <c r="J255" s="47">
        <f t="shared" si="3"/>
        <v>1</v>
      </c>
      <c r="K255" s="2">
        <f t="shared" si="4"/>
        <v>104000</v>
      </c>
      <c r="L255" s="1"/>
    </row>
    <row r="256">
      <c r="A256" s="55">
        <v>46186.0</v>
      </c>
      <c r="B256" s="1" t="s">
        <v>719</v>
      </c>
      <c r="C256" s="1" t="str">
        <f>VLOOKUP(B256,MAESTRA!I:K,2,0)</f>
        <v>*25120025*</v>
      </c>
      <c r="D256" s="1" t="str">
        <f>VLOOKUP(B256,MAESTRA!I:K,3,0)</f>
        <v>CHAQUETAS DAMA OVEJERA CUERINA TALLA M</v>
      </c>
      <c r="E256" s="1" t="s">
        <v>712</v>
      </c>
      <c r="F256" s="45">
        <v>1.0</v>
      </c>
      <c r="G256" s="2">
        <v>52000.0</v>
      </c>
      <c r="H256" s="2">
        <f t="shared" si="1"/>
        <v>52000</v>
      </c>
      <c r="I256" s="2">
        <f t="shared" si="2"/>
        <v>104000</v>
      </c>
      <c r="J256" s="47">
        <f t="shared" si="3"/>
        <v>1</v>
      </c>
      <c r="K256" s="2">
        <f t="shared" si="4"/>
        <v>104000</v>
      </c>
      <c r="L256" s="1"/>
    </row>
    <row r="257">
      <c r="A257" s="55">
        <v>46186.0</v>
      </c>
      <c r="B257" s="1" t="s">
        <v>720</v>
      </c>
      <c r="C257" s="1" t="str">
        <f>VLOOKUP(B257,MAESTRA!I:K,2,0)</f>
        <v>*11666*</v>
      </c>
      <c r="D257" s="1" t="str">
        <f>VLOOKUP(B257,MAESTRA!I:K,3,0)</f>
        <v>JEANS DAMA CAMUFLADO TALLA 16</v>
      </c>
      <c r="E257" s="1" t="s">
        <v>721</v>
      </c>
      <c r="F257" s="45">
        <v>1.0</v>
      </c>
      <c r="G257" s="2">
        <v>38000.0</v>
      </c>
      <c r="H257" s="2">
        <f t="shared" si="1"/>
        <v>38000</v>
      </c>
      <c r="I257" s="2">
        <f t="shared" si="2"/>
        <v>76000</v>
      </c>
      <c r="J257" s="47">
        <f t="shared" si="3"/>
        <v>1</v>
      </c>
      <c r="K257" s="2">
        <f t="shared" si="4"/>
        <v>76000</v>
      </c>
      <c r="L257" s="1"/>
    </row>
    <row r="258">
      <c r="A258" s="55">
        <v>46186.0</v>
      </c>
      <c r="B258" s="1" t="s">
        <v>722</v>
      </c>
      <c r="C258" s="1" t="str">
        <f>VLOOKUP(B258,MAESTRA!I:K,2,0)</f>
        <v>*11665*</v>
      </c>
      <c r="D258" s="1" t="str">
        <f>VLOOKUP(B258,MAESTRA!I:K,3,0)</f>
        <v>JEANS DAMA CAMUFLADO TALLA 14</v>
      </c>
      <c r="E258" s="1" t="s">
        <v>721</v>
      </c>
      <c r="F258" s="45">
        <v>1.0</v>
      </c>
      <c r="G258" s="2">
        <v>38000.0</v>
      </c>
      <c r="H258" s="2">
        <f t="shared" si="1"/>
        <v>38000</v>
      </c>
      <c r="I258" s="2">
        <f t="shared" si="2"/>
        <v>76000</v>
      </c>
      <c r="J258" s="47">
        <f t="shared" si="3"/>
        <v>1</v>
      </c>
      <c r="K258" s="2">
        <f t="shared" si="4"/>
        <v>76000</v>
      </c>
      <c r="L258" s="1"/>
    </row>
    <row r="259">
      <c r="A259" s="55">
        <v>46186.0</v>
      </c>
      <c r="B259" s="1" t="s">
        <v>723</v>
      </c>
      <c r="C259" s="1" t="str">
        <f>VLOOKUP(B259,MAESTRA!I:K,2,0)</f>
        <v>*11663*</v>
      </c>
      <c r="D259" s="1" t="str">
        <f>VLOOKUP(B259,MAESTRA!I:K,3,0)</f>
        <v>JEANS DAMA CAMUFLADO TALLA 10</v>
      </c>
      <c r="E259" s="1" t="s">
        <v>721</v>
      </c>
      <c r="F259" s="45">
        <v>1.0</v>
      </c>
      <c r="G259" s="2">
        <v>38000.0</v>
      </c>
      <c r="H259" s="2">
        <f t="shared" si="1"/>
        <v>38000</v>
      </c>
      <c r="I259" s="2">
        <f t="shared" si="2"/>
        <v>76000</v>
      </c>
      <c r="J259" s="47">
        <f t="shared" si="3"/>
        <v>1</v>
      </c>
      <c r="K259" s="2">
        <f t="shared" si="4"/>
        <v>76000</v>
      </c>
      <c r="L259" s="1"/>
    </row>
    <row r="260">
      <c r="A260" s="55">
        <v>46186.0</v>
      </c>
      <c r="B260" s="1" t="s">
        <v>724</v>
      </c>
      <c r="C260" s="1" t="str">
        <f>VLOOKUP(B260,MAESTRA!I:K,2,0)</f>
        <v>*11662*</v>
      </c>
      <c r="D260" s="1" t="str">
        <f>VLOOKUP(B260,MAESTRA!I:K,3,0)</f>
        <v>JEANS DAMA CAMUFLADO TALLA 8</v>
      </c>
      <c r="E260" s="1" t="s">
        <v>721</v>
      </c>
      <c r="F260" s="45">
        <v>1.0</v>
      </c>
      <c r="G260" s="2">
        <v>38000.0</v>
      </c>
      <c r="H260" s="2">
        <f t="shared" si="1"/>
        <v>38000</v>
      </c>
      <c r="I260" s="2">
        <f t="shared" si="2"/>
        <v>76000</v>
      </c>
      <c r="J260" s="47">
        <f t="shared" si="3"/>
        <v>1</v>
      </c>
      <c r="K260" s="2">
        <f t="shared" si="4"/>
        <v>76000</v>
      </c>
      <c r="L260" s="1"/>
    </row>
    <row r="261">
      <c r="A261" s="55">
        <v>46186.0</v>
      </c>
      <c r="B261" s="1" t="s">
        <v>725</v>
      </c>
      <c r="C261" s="1" t="str">
        <f>VLOOKUP(B261,MAESTRA!I:K,2,0)</f>
        <v>*11664*</v>
      </c>
      <c r="D261" s="1" t="str">
        <f>VLOOKUP(B261,MAESTRA!I:K,3,0)</f>
        <v>JEANS DAMA CAMUFLADO TALLA 12</v>
      </c>
      <c r="E261" s="1" t="s">
        <v>721</v>
      </c>
      <c r="F261" s="45">
        <v>1.0</v>
      </c>
      <c r="G261" s="2">
        <v>38000.0</v>
      </c>
      <c r="H261" s="2">
        <f t="shared" si="1"/>
        <v>38000</v>
      </c>
      <c r="I261" s="2">
        <f t="shared" si="2"/>
        <v>76000</v>
      </c>
      <c r="J261" s="47">
        <f t="shared" si="3"/>
        <v>1</v>
      </c>
      <c r="K261" s="2">
        <f t="shared" si="4"/>
        <v>76000</v>
      </c>
      <c r="L261" s="1"/>
    </row>
    <row r="262">
      <c r="A262" s="55">
        <v>46186.0</v>
      </c>
      <c r="B262" s="1" t="s">
        <v>726</v>
      </c>
      <c r="C262" s="1" t="str">
        <f>VLOOKUP(B262,MAESTRA!I:K,2,0)</f>
        <v>*1153*</v>
      </c>
      <c r="D262" s="1" t="str">
        <f>VLOOKUP(B262,MAESTRA!I:K,3,0)</f>
        <v>JEANS DAMA 4 BOTONES SIN BOLSILLO TALLA 10</v>
      </c>
      <c r="E262" s="1" t="s">
        <v>721</v>
      </c>
      <c r="F262" s="45">
        <v>1.0</v>
      </c>
      <c r="G262" s="2">
        <v>32000.0</v>
      </c>
      <c r="H262" s="2">
        <f t="shared" si="1"/>
        <v>32000</v>
      </c>
      <c r="I262" s="2">
        <f t="shared" si="2"/>
        <v>64000</v>
      </c>
      <c r="J262" s="47">
        <f t="shared" si="3"/>
        <v>1</v>
      </c>
      <c r="K262" s="2">
        <f t="shared" si="4"/>
        <v>64000</v>
      </c>
      <c r="L262" s="1"/>
    </row>
    <row r="263">
      <c r="A263" s="55">
        <v>46186.0</v>
      </c>
      <c r="B263" s="1" t="s">
        <v>727</v>
      </c>
      <c r="C263" s="1" t="str">
        <f>VLOOKUP(B263,MAESTRA!I:K,2,0)</f>
        <v>*35211328*</v>
      </c>
      <c r="D263" s="1" t="str">
        <f>VLOOKUP(B263,MAESTRA!I:K,3,0)</f>
        <v>PANTALONETAS CABALLERO DEPORTIVA TALLA S-M</v>
      </c>
      <c r="E263" s="1" t="s">
        <v>476</v>
      </c>
      <c r="F263" s="45">
        <v>1.0</v>
      </c>
      <c r="G263" s="2">
        <v>22000.0</v>
      </c>
      <c r="H263" s="2">
        <f t="shared" si="1"/>
        <v>22000</v>
      </c>
      <c r="I263" s="2">
        <f t="shared" si="2"/>
        <v>44000</v>
      </c>
      <c r="J263" s="47">
        <f t="shared" si="3"/>
        <v>1</v>
      </c>
      <c r="K263" s="2">
        <f t="shared" si="4"/>
        <v>44000</v>
      </c>
      <c r="L263" s="1"/>
    </row>
    <row r="264">
      <c r="A264" s="55">
        <v>46186.0</v>
      </c>
      <c r="B264" s="1" t="s">
        <v>728</v>
      </c>
      <c r="C264" s="1" t="str">
        <f>VLOOKUP(B264,MAESTRA!I:K,2,0)</f>
        <v>*2832531*</v>
      </c>
      <c r="D264" s="1" t="str">
        <f>VLOOKUP(B264,MAESTRA!I:K,3,0)</f>
        <v>ANILLOS UNISEX ANILLO 1 TALLA VA</v>
      </c>
      <c r="E264" s="1" t="s">
        <v>729</v>
      </c>
      <c r="F264" s="45">
        <v>5.0</v>
      </c>
      <c r="G264" s="2">
        <v>10500.0</v>
      </c>
      <c r="H264" s="2">
        <f t="shared" si="1"/>
        <v>52500</v>
      </c>
      <c r="I264" s="2">
        <f t="shared" si="2"/>
        <v>21000</v>
      </c>
      <c r="J264" s="47">
        <f t="shared" si="3"/>
        <v>1</v>
      </c>
      <c r="K264" s="2">
        <f t="shared" si="4"/>
        <v>105000</v>
      </c>
      <c r="L264" s="1"/>
    </row>
    <row r="265">
      <c r="A265" s="55">
        <v>46186.0</v>
      </c>
      <c r="B265" s="1" t="s">
        <v>730</v>
      </c>
      <c r="C265" s="1" t="str">
        <f>VLOOKUP(B265,MAESTRA!I:K,2,0)</f>
        <v>*2832631*</v>
      </c>
      <c r="D265" s="1" t="str">
        <f>VLOOKUP(B265,MAESTRA!I:K,3,0)</f>
        <v>ANILLOS UNISEX ANILLO 2 TALLA VA</v>
      </c>
      <c r="E265" s="1" t="s">
        <v>729</v>
      </c>
      <c r="F265" s="45">
        <v>4.0</v>
      </c>
      <c r="G265" s="2">
        <v>6500.0</v>
      </c>
      <c r="H265" s="2">
        <f t="shared" si="1"/>
        <v>26000</v>
      </c>
      <c r="I265" s="2">
        <f t="shared" si="2"/>
        <v>13000</v>
      </c>
      <c r="J265" s="47">
        <f t="shared" si="3"/>
        <v>1</v>
      </c>
      <c r="K265" s="2">
        <f t="shared" si="4"/>
        <v>52000</v>
      </c>
      <c r="L265" s="1"/>
    </row>
    <row r="266">
      <c r="A266" s="55">
        <v>46186.0</v>
      </c>
      <c r="B266" s="1" t="s">
        <v>731</v>
      </c>
      <c r="C266" s="1" t="str">
        <f>VLOOKUP(B266,MAESTRA!I:K,2,0)</f>
        <v>*2832731*</v>
      </c>
      <c r="D266" s="1" t="str">
        <f>VLOOKUP(B266,MAESTRA!I:K,3,0)</f>
        <v>ANILLOS UNISEX ANILLO 3 TALLA VA</v>
      </c>
      <c r="E266" s="1" t="s">
        <v>729</v>
      </c>
      <c r="F266" s="45">
        <v>1.0</v>
      </c>
      <c r="G266" s="2">
        <v>4500.0</v>
      </c>
      <c r="H266" s="2">
        <f t="shared" si="1"/>
        <v>4500</v>
      </c>
      <c r="I266" s="2">
        <f t="shared" si="2"/>
        <v>9000</v>
      </c>
      <c r="J266" s="47">
        <f t="shared" si="3"/>
        <v>1</v>
      </c>
      <c r="K266" s="2">
        <f t="shared" si="4"/>
        <v>9000</v>
      </c>
      <c r="L266" s="1"/>
    </row>
    <row r="267">
      <c r="A267" s="55">
        <v>46186.0</v>
      </c>
      <c r="B267" s="1" t="s">
        <v>732</v>
      </c>
      <c r="C267" s="1" t="str">
        <f>VLOOKUP(B267,MAESTRA!I:K,2,0)</f>
        <v>*2832831*</v>
      </c>
      <c r="D267" s="1" t="str">
        <f>VLOOKUP(B267,MAESTRA!I:K,3,0)</f>
        <v>ANILLOS UNISEX ANILLO 4 TALLA VA</v>
      </c>
      <c r="E267" s="1" t="s">
        <v>729</v>
      </c>
      <c r="F267" s="45">
        <v>2.0</v>
      </c>
      <c r="G267" s="2">
        <v>8000.0</v>
      </c>
      <c r="H267" s="2">
        <f t="shared" si="1"/>
        <v>16000</v>
      </c>
      <c r="I267" s="2">
        <f t="shared" si="2"/>
        <v>16000</v>
      </c>
      <c r="J267" s="47">
        <f t="shared" si="3"/>
        <v>1</v>
      </c>
      <c r="K267" s="2">
        <f t="shared" si="4"/>
        <v>32000</v>
      </c>
      <c r="L267" s="1"/>
    </row>
    <row r="268">
      <c r="A268" s="55">
        <v>46186.0</v>
      </c>
      <c r="B268" s="1" t="s">
        <v>733</v>
      </c>
      <c r="C268" s="1" t="str">
        <f>VLOOKUP(B268,MAESTRA!I:K,2,0)</f>
        <v>*2832931*</v>
      </c>
      <c r="D268" s="1" t="str">
        <f>VLOOKUP(B268,MAESTRA!I:K,3,0)</f>
        <v>ANILLOS UNISEX ANILLO 5 TALLA VA</v>
      </c>
      <c r="E268" s="1" t="s">
        <v>729</v>
      </c>
      <c r="F268" s="45">
        <v>1.0</v>
      </c>
      <c r="G268" s="2">
        <v>11000.0</v>
      </c>
      <c r="H268" s="2">
        <f t="shared" si="1"/>
        <v>11000</v>
      </c>
      <c r="I268" s="2">
        <f t="shared" si="2"/>
        <v>22000</v>
      </c>
      <c r="J268" s="47">
        <f t="shared" si="3"/>
        <v>1</v>
      </c>
      <c r="K268" s="2">
        <f t="shared" si="4"/>
        <v>22000</v>
      </c>
      <c r="L268" s="1"/>
    </row>
    <row r="269">
      <c r="A269" s="55">
        <v>46186.0</v>
      </c>
      <c r="B269" s="1" t="s">
        <v>734</v>
      </c>
      <c r="C269" s="1" t="str">
        <f>VLOOKUP(B269,MAESTRA!I:K,2,0)</f>
        <v>*2833031*</v>
      </c>
      <c r="D269" s="1" t="str">
        <f>VLOOKUP(B269,MAESTRA!I:K,3,0)</f>
        <v>ANILLOS UNISEX ANILLO 6 TALLA VA</v>
      </c>
      <c r="E269" s="1" t="s">
        <v>729</v>
      </c>
      <c r="F269" s="45">
        <v>1.0</v>
      </c>
      <c r="G269" s="2">
        <v>6000.0</v>
      </c>
      <c r="H269" s="2">
        <f t="shared" si="1"/>
        <v>6000</v>
      </c>
      <c r="I269" s="2">
        <f t="shared" si="2"/>
        <v>12000</v>
      </c>
      <c r="J269" s="47">
        <f t="shared" si="3"/>
        <v>1</v>
      </c>
      <c r="K269" s="2">
        <f t="shared" si="4"/>
        <v>12000</v>
      </c>
      <c r="L269" s="1"/>
    </row>
    <row r="270">
      <c r="A270" s="55">
        <v>46186.0</v>
      </c>
      <c r="B270" s="1" t="s">
        <v>735</v>
      </c>
      <c r="C270" s="1" t="str">
        <f>VLOOKUP(B270,MAESTRA!I:K,2,0)</f>
        <v>*2833131*</v>
      </c>
      <c r="D270" s="1" t="str">
        <f>VLOOKUP(B270,MAESTRA!I:K,3,0)</f>
        <v>ANILLOS UNISEX ANILLO 7 TALLA VA</v>
      </c>
      <c r="E270" s="1" t="s">
        <v>729</v>
      </c>
      <c r="F270" s="45">
        <v>1.0</v>
      </c>
      <c r="G270" s="2">
        <v>9000.0</v>
      </c>
      <c r="H270" s="2">
        <f t="shared" si="1"/>
        <v>9000</v>
      </c>
      <c r="I270" s="2">
        <f t="shared" si="2"/>
        <v>18000</v>
      </c>
      <c r="J270" s="47">
        <f t="shared" si="3"/>
        <v>1</v>
      </c>
      <c r="K270" s="2">
        <f t="shared" si="4"/>
        <v>18000</v>
      </c>
      <c r="L270" s="1"/>
    </row>
    <row r="271">
      <c r="A271" s="55">
        <v>46186.0</v>
      </c>
      <c r="B271" s="1" t="s">
        <v>736</v>
      </c>
      <c r="C271" s="1" t="str">
        <f>VLOOKUP(B271,MAESTRA!I:K,2,0)</f>
        <v>*29321331*</v>
      </c>
      <c r="D271" s="1" t="str">
        <f>VLOOKUP(B271,MAESTRA!I:K,3,0)</f>
        <v>CABELLO-ACCESORIOS UNISEX PINZAS CABELLO TALLA VA</v>
      </c>
      <c r="E271" s="1" t="s">
        <v>729</v>
      </c>
      <c r="F271" s="45">
        <v>3.0</v>
      </c>
      <c r="G271" s="2">
        <v>2000.0</v>
      </c>
      <c r="H271" s="2">
        <f t="shared" si="1"/>
        <v>6000</v>
      </c>
      <c r="I271" s="2">
        <f t="shared" si="2"/>
        <v>4000</v>
      </c>
      <c r="J271" s="47">
        <f t="shared" si="3"/>
        <v>1</v>
      </c>
      <c r="K271" s="2">
        <f t="shared" si="4"/>
        <v>12000</v>
      </c>
      <c r="L271" s="1"/>
    </row>
    <row r="272">
      <c r="A272" s="55">
        <v>46186.0</v>
      </c>
      <c r="B272" s="1" t="s">
        <v>737</v>
      </c>
      <c r="C272" s="1" t="str">
        <f>VLOOKUP(B272,MAESTRA!I:K,2,0)</f>
        <v>*29319231*</v>
      </c>
      <c r="D272" s="1" t="str">
        <f>VLOOKUP(B272,MAESTRA!I:K,3,0)</f>
        <v>CABELLO-ACCESORIOS UNISEX MOÑAS COLERA TALLA VA</v>
      </c>
      <c r="E272" s="1" t="s">
        <v>729</v>
      </c>
      <c r="F272" s="45">
        <v>4.0</v>
      </c>
      <c r="G272" s="2">
        <v>600.0</v>
      </c>
      <c r="H272" s="2">
        <f t="shared" si="1"/>
        <v>2400</v>
      </c>
      <c r="I272" s="2">
        <f t="shared" si="2"/>
        <v>2000</v>
      </c>
      <c r="J272" s="47">
        <f t="shared" si="3"/>
        <v>2.333333333</v>
      </c>
      <c r="K272" s="2">
        <f t="shared" si="4"/>
        <v>8000</v>
      </c>
      <c r="L272" s="1"/>
    </row>
    <row r="273">
      <c r="A273" s="55">
        <v>46186.0</v>
      </c>
      <c r="B273" s="1" t="s">
        <v>738</v>
      </c>
      <c r="C273" s="1" t="str">
        <f>VLOOKUP(B273,MAESTRA!I:K,2,0)</f>
        <v>*29311731*</v>
      </c>
      <c r="D273" s="1" t="str">
        <f>VLOOKUP(B273,MAESTRA!I:K,3,0)</f>
        <v>CABELLO-ACCESORIOS UNISEX DIADEMA MEDIANA TALLA VA</v>
      </c>
      <c r="E273" s="1" t="s">
        <v>729</v>
      </c>
      <c r="F273" s="45">
        <v>3.0</v>
      </c>
      <c r="G273" s="2">
        <v>6000.0</v>
      </c>
      <c r="H273" s="2">
        <f t="shared" si="1"/>
        <v>18000</v>
      </c>
      <c r="I273" s="2">
        <f t="shared" si="2"/>
        <v>12000</v>
      </c>
      <c r="J273" s="47">
        <f t="shared" si="3"/>
        <v>1</v>
      </c>
      <c r="K273" s="2">
        <f t="shared" si="4"/>
        <v>36000</v>
      </c>
      <c r="L273" s="1"/>
    </row>
    <row r="274">
      <c r="A274" s="55">
        <v>46186.0</v>
      </c>
      <c r="B274" s="1" t="s">
        <v>739</v>
      </c>
      <c r="C274" s="1" t="str">
        <f>VLOOKUP(B274,MAESTRA!I:K,2,0)</f>
        <v>*29311631*</v>
      </c>
      <c r="D274" s="1" t="str">
        <f>VLOOKUP(B274,MAESTRA!I:K,3,0)</f>
        <v>CABELLO-ACCESORIOS UNISEX DIADEMA DELGADA TALLA VA</v>
      </c>
      <c r="E274" s="1" t="s">
        <v>729</v>
      </c>
      <c r="F274" s="45">
        <v>6.0</v>
      </c>
      <c r="G274" s="2">
        <v>3000.0</v>
      </c>
      <c r="H274" s="2">
        <f t="shared" si="1"/>
        <v>18000</v>
      </c>
      <c r="I274" s="2">
        <f t="shared" si="2"/>
        <v>6000</v>
      </c>
      <c r="J274" s="47">
        <f t="shared" si="3"/>
        <v>1</v>
      </c>
      <c r="K274" s="2">
        <f t="shared" si="4"/>
        <v>36000</v>
      </c>
      <c r="L274" s="1"/>
    </row>
    <row r="275">
      <c r="A275" s="55">
        <v>46186.0</v>
      </c>
      <c r="B275" s="1" t="s">
        <v>740</v>
      </c>
      <c r="C275" s="1" t="str">
        <f>VLOOKUP(B275,MAESTRA!I:K,2,0)</f>
        <v>*3037931*</v>
      </c>
      <c r="D275" s="1" t="str">
        <f>VLOOKUP(B275,MAESTRA!I:K,3,0)</f>
        <v>COLLAR UNISEX COLLAR 1 TALLA VA</v>
      </c>
      <c r="E275" s="1" t="s">
        <v>729</v>
      </c>
      <c r="F275" s="45">
        <v>2.0</v>
      </c>
      <c r="G275" s="2">
        <v>16000.0</v>
      </c>
      <c r="H275" s="2">
        <f t="shared" si="1"/>
        <v>32000</v>
      </c>
      <c r="I275" s="2">
        <f t="shared" si="2"/>
        <v>32000</v>
      </c>
      <c r="J275" s="47">
        <f t="shared" si="3"/>
        <v>1</v>
      </c>
      <c r="K275" s="2">
        <f t="shared" si="4"/>
        <v>64000</v>
      </c>
      <c r="L275" s="1"/>
    </row>
    <row r="276">
      <c r="A276" s="55">
        <v>46186.0</v>
      </c>
      <c r="B276" s="1" t="s">
        <v>741</v>
      </c>
      <c r="C276" s="1" t="str">
        <f>VLOOKUP(B276,MAESTRA!I:K,2,0)</f>
        <v>*3038031*</v>
      </c>
      <c r="D276" s="1" t="str">
        <f>VLOOKUP(B276,MAESTRA!I:K,3,0)</f>
        <v>COLLAR UNISEX COLLAR 2 TALLA VA</v>
      </c>
      <c r="E276" s="1" t="s">
        <v>729</v>
      </c>
      <c r="F276" s="45">
        <v>1.0</v>
      </c>
      <c r="G276" s="2">
        <v>17000.0</v>
      </c>
      <c r="H276" s="2">
        <f t="shared" si="1"/>
        <v>17000</v>
      </c>
      <c r="I276" s="2">
        <f t="shared" si="2"/>
        <v>34000</v>
      </c>
      <c r="J276" s="47">
        <f t="shared" si="3"/>
        <v>1</v>
      </c>
      <c r="K276" s="2">
        <f t="shared" si="4"/>
        <v>34000</v>
      </c>
      <c r="L276" s="1"/>
    </row>
    <row r="277">
      <c r="A277" s="55">
        <v>46186.0</v>
      </c>
      <c r="B277" s="1" t="s">
        <v>742</v>
      </c>
      <c r="C277" s="1" t="str">
        <f>VLOOKUP(B277,MAESTRA!I:K,2,0)</f>
        <v>*3038131*</v>
      </c>
      <c r="D277" s="1" t="str">
        <f>VLOOKUP(B277,MAESTRA!I:K,3,0)</f>
        <v>COLLAR UNISEX COLLAR 3 TALLA VA</v>
      </c>
      <c r="E277" s="1" t="s">
        <v>729</v>
      </c>
      <c r="F277" s="45">
        <v>1.0</v>
      </c>
      <c r="G277" s="2">
        <v>18500.0</v>
      </c>
      <c r="H277" s="2">
        <f t="shared" si="1"/>
        <v>18500</v>
      </c>
      <c r="I277" s="2">
        <f t="shared" si="2"/>
        <v>37000</v>
      </c>
      <c r="J277" s="47">
        <f t="shared" si="3"/>
        <v>1</v>
      </c>
      <c r="K277" s="2">
        <f t="shared" si="4"/>
        <v>37000</v>
      </c>
      <c r="L277" s="1"/>
    </row>
    <row r="278">
      <c r="A278" s="55">
        <v>46186.0</v>
      </c>
      <c r="B278" s="1" t="s">
        <v>743</v>
      </c>
      <c r="C278" s="1" t="str">
        <f>VLOOKUP(B278,MAESTRA!I:K,2,0)</f>
        <v>*3038231*</v>
      </c>
      <c r="D278" s="1" t="str">
        <f>VLOOKUP(B278,MAESTRA!I:K,3,0)</f>
        <v>COLLAR UNISEX COLLAR 4 TALLA VA</v>
      </c>
      <c r="E278" s="1" t="s">
        <v>729</v>
      </c>
      <c r="F278" s="45">
        <v>4.0</v>
      </c>
      <c r="G278" s="2">
        <v>14500.0</v>
      </c>
      <c r="H278" s="2">
        <f t="shared" si="1"/>
        <v>58000</v>
      </c>
      <c r="I278" s="2">
        <f t="shared" si="2"/>
        <v>29000</v>
      </c>
      <c r="J278" s="47">
        <f t="shared" si="3"/>
        <v>1</v>
      </c>
      <c r="K278" s="2">
        <f t="shared" si="4"/>
        <v>116000</v>
      </c>
      <c r="L278" s="1"/>
    </row>
    <row r="279">
      <c r="A279" s="55">
        <v>46186.0</v>
      </c>
      <c r="B279" s="1" t="s">
        <v>744</v>
      </c>
      <c r="C279" s="1" t="str">
        <f>VLOOKUP(B279,MAESTRA!I:K,2,0)</f>
        <v>*3038331*</v>
      </c>
      <c r="D279" s="1" t="str">
        <f>VLOOKUP(B279,MAESTRA!I:K,3,0)</f>
        <v>COLLAR UNISEX COLLAR 5 TALLA VA</v>
      </c>
      <c r="E279" s="1" t="s">
        <v>729</v>
      </c>
      <c r="F279" s="45">
        <v>1.0</v>
      </c>
      <c r="G279" s="2">
        <v>7000.0</v>
      </c>
      <c r="H279" s="2">
        <f t="shared" si="1"/>
        <v>7000</v>
      </c>
      <c r="I279" s="2">
        <f t="shared" si="2"/>
        <v>14000</v>
      </c>
      <c r="J279" s="47">
        <f t="shared" si="3"/>
        <v>1</v>
      </c>
      <c r="K279" s="2">
        <f t="shared" si="4"/>
        <v>14000</v>
      </c>
      <c r="L279" s="1"/>
    </row>
    <row r="280">
      <c r="A280" s="55">
        <v>46186.0</v>
      </c>
      <c r="B280" s="1" t="s">
        <v>745</v>
      </c>
      <c r="C280" s="1" t="str">
        <f>VLOOKUP(B280,MAESTRA!I:K,2,0)</f>
        <v>*3038431*</v>
      </c>
      <c r="D280" s="1" t="str">
        <f>VLOOKUP(B280,MAESTRA!I:K,3,0)</f>
        <v>COLLAR UNISEX COLLAR 6 TALLA VA</v>
      </c>
      <c r="E280" s="1" t="s">
        <v>729</v>
      </c>
      <c r="F280" s="45">
        <v>1.0</v>
      </c>
      <c r="G280" s="2">
        <v>11000.0</v>
      </c>
      <c r="H280" s="2">
        <f t="shared" si="1"/>
        <v>11000</v>
      </c>
      <c r="I280" s="2">
        <f t="shared" si="2"/>
        <v>22000</v>
      </c>
      <c r="J280" s="47">
        <f t="shared" si="3"/>
        <v>1</v>
      </c>
      <c r="K280" s="2">
        <f t="shared" si="4"/>
        <v>22000</v>
      </c>
      <c r="L280" s="1"/>
    </row>
    <row r="281">
      <c r="A281" s="55">
        <v>46186.0</v>
      </c>
      <c r="B281" s="1" t="s">
        <v>746</v>
      </c>
      <c r="C281" s="1" t="str">
        <f>VLOOKUP(B281,MAESTRA!I:K,2,0)</f>
        <v>*3038531*</v>
      </c>
      <c r="D281" s="1" t="str">
        <f>VLOOKUP(B281,MAESTRA!I:K,3,0)</f>
        <v>COLLAR UNISEX COLLAR 7 TALLA VA</v>
      </c>
      <c r="E281" s="1" t="s">
        <v>729</v>
      </c>
      <c r="F281" s="45">
        <v>1.0</v>
      </c>
      <c r="G281" s="2">
        <v>9000.0</v>
      </c>
      <c r="H281" s="2">
        <f t="shared" si="1"/>
        <v>9000</v>
      </c>
      <c r="I281" s="2">
        <f t="shared" si="2"/>
        <v>18000</v>
      </c>
      <c r="J281" s="47">
        <f t="shared" si="3"/>
        <v>1</v>
      </c>
      <c r="K281" s="2">
        <f t="shared" si="4"/>
        <v>18000</v>
      </c>
      <c r="L281" s="1"/>
    </row>
    <row r="282">
      <c r="A282" s="55">
        <v>46186.0</v>
      </c>
      <c r="B282" s="1" t="s">
        <v>747</v>
      </c>
      <c r="C282" s="1" t="str">
        <f>VLOOKUP(B282,MAESTRA!I:K,2,0)</f>
        <v>*31322431*</v>
      </c>
      <c r="D282" s="1" t="str">
        <f>VLOOKUP(B282,MAESTRA!I:K,3,0)</f>
        <v>PULSERAS UNISEX PULSERA 1 TALLA VA</v>
      </c>
      <c r="E282" s="1" t="s">
        <v>729</v>
      </c>
      <c r="F282" s="45">
        <v>2.0</v>
      </c>
      <c r="G282" s="2">
        <v>10000.0</v>
      </c>
      <c r="H282" s="2">
        <f t="shared" si="1"/>
        <v>20000</v>
      </c>
      <c r="I282" s="2">
        <f t="shared" si="2"/>
        <v>20000</v>
      </c>
      <c r="J282" s="47">
        <f t="shared" si="3"/>
        <v>1</v>
      </c>
      <c r="K282" s="2">
        <f t="shared" si="4"/>
        <v>40000</v>
      </c>
      <c r="L282" s="1"/>
    </row>
    <row r="283">
      <c r="A283" s="55">
        <v>46186.0</v>
      </c>
      <c r="B283" s="1" t="s">
        <v>748</v>
      </c>
      <c r="C283" s="1" t="str">
        <f>VLOOKUP(B283,MAESTRA!I:K,2,0)</f>
        <v>*31322531*</v>
      </c>
      <c r="D283" s="1" t="str">
        <f>VLOOKUP(B283,MAESTRA!I:K,3,0)</f>
        <v>PULSERAS UNISEX PULSERA 2 TALLA VA</v>
      </c>
      <c r="E283" s="1" t="s">
        <v>729</v>
      </c>
      <c r="F283" s="45">
        <v>1.0</v>
      </c>
      <c r="G283" s="2">
        <v>12000.0</v>
      </c>
      <c r="H283" s="2">
        <f t="shared" si="1"/>
        <v>12000</v>
      </c>
      <c r="I283" s="2">
        <f t="shared" si="2"/>
        <v>24000</v>
      </c>
      <c r="J283" s="47">
        <f t="shared" si="3"/>
        <v>1</v>
      </c>
      <c r="K283" s="2">
        <f t="shared" si="4"/>
        <v>24000</v>
      </c>
      <c r="L283" s="1"/>
    </row>
    <row r="284">
      <c r="A284" s="55">
        <v>46186.0</v>
      </c>
      <c r="B284" s="1" t="s">
        <v>749</v>
      </c>
      <c r="C284" s="1" t="str">
        <f>VLOOKUP(B284,MAESTRA!I:K,2,0)</f>
        <v>*31322631*</v>
      </c>
      <c r="D284" s="1" t="str">
        <f>VLOOKUP(B284,MAESTRA!I:K,3,0)</f>
        <v>PULSERAS UNISEX PULSERA 3 TALLA VA</v>
      </c>
      <c r="E284" s="1" t="s">
        <v>729</v>
      </c>
      <c r="F284" s="45">
        <v>2.0</v>
      </c>
      <c r="G284" s="2">
        <v>10500.0</v>
      </c>
      <c r="H284" s="2">
        <f t="shared" si="1"/>
        <v>21000</v>
      </c>
      <c r="I284" s="2">
        <f t="shared" si="2"/>
        <v>21000</v>
      </c>
      <c r="J284" s="47">
        <f t="shared" si="3"/>
        <v>1</v>
      </c>
      <c r="K284" s="2">
        <f t="shared" si="4"/>
        <v>42000</v>
      </c>
      <c r="L284" s="1"/>
    </row>
    <row r="285">
      <c r="A285" s="55">
        <v>46186.0</v>
      </c>
      <c r="B285" s="1" t="s">
        <v>750</v>
      </c>
      <c r="C285" s="1" t="str">
        <f>VLOOKUP(B285,MAESTRA!I:K,2,0)</f>
        <v>*31322731*</v>
      </c>
      <c r="D285" s="1" t="str">
        <f>VLOOKUP(B285,MAESTRA!I:K,3,0)</f>
        <v>PULSERAS UNISEX PULSERA 4 TALLA VA</v>
      </c>
      <c r="E285" s="1" t="s">
        <v>729</v>
      </c>
      <c r="F285" s="45">
        <v>1.0</v>
      </c>
      <c r="G285" s="2">
        <v>8000.0</v>
      </c>
      <c r="H285" s="2">
        <f t="shared" si="1"/>
        <v>8000</v>
      </c>
      <c r="I285" s="2">
        <f t="shared" si="2"/>
        <v>16000</v>
      </c>
      <c r="J285" s="47">
        <f t="shared" si="3"/>
        <v>1</v>
      </c>
      <c r="K285" s="2">
        <f t="shared" si="4"/>
        <v>16000</v>
      </c>
      <c r="L285" s="1"/>
    </row>
    <row r="286">
      <c r="A286" s="55">
        <v>46186.0</v>
      </c>
      <c r="B286" s="1" t="s">
        <v>751</v>
      </c>
      <c r="C286" s="1" t="str">
        <f>VLOOKUP(B286,MAESTRA!I:K,2,0)</f>
        <v>*31322831*</v>
      </c>
      <c r="D286" s="1" t="str">
        <f>VLOOKUP(B286,MAESTRA!I:K,3,0)</f>
        <v>PULSERAS UNISEX PULSERA 5 TALLA VA</v>
      </c>
      <c r="E286" s="1" t="s">
        <v>729</v>
      </c>
      <c r="F286" s="45">
        <v>1.0</v>
      </c>
      <c r="G286" s="2">
        <v>11000.0</v>
      </c>
      <c r="H286" s="2">
        <f t="shared" si="1"/>
        <v>11000</v>
      </c>
      <c r="I286" s="2">
        <f t="shared" si="2"/>
        <v>22000</v>
      </c>
      <c r="J286" s="47">
        <f t="shared" si="3"/>
        <v>1</v>
      </c>
      <c r="K286" s="2">
        <f t="shared" si="4"/>
        <v>22000</v>
      </c>
      <c r="L286" s="1"/>
    </row>
    <row r="287">
      <c r="A287" s="55">
        <v>46186.0</v>
      </c>
      <c r="B287" s="1" t="s">
        <v>752</v>
      </c>
      <c r="C287" s="1" t="str">
        <f>VLOOKUP(B287,MAESTRA!I:K,2,0)</f>
        <v>*31322931*</v>
      </c>
      <c r="D287" s="1" t="str">
        <f>VLOOKUP(B287,MAESTRA!I:K,3,0)</f>
        <v>PULSERAS UNISEX PULSERA 6 TALLA VA</v>
      </c>
      <c r="E287" s="1" t="s">
        <v>729</v>
      </c>
      <c r="F287" s="45">
        <v>1.0</v>
      </c>
      <c r="G287" s="2">
        <v>11500.0</v>
      </c>
      <c r="H287" s="2">
        <f t="shared" si="1"/>
        <v>11500</v>
      </c>
      <c r="I287" s="2">
        <f t="shared" si="2"/>
        <v>23000</v>
      </c>
      <c r="J287" s="47">
        <f t="shared" si="3"/>
        <v>1</v>
      </c>
      <c r="K287" s="2">
        <f t="shared" si="4"/>
        <v>23000</v>
      </c>
      <c r="L287" s="1"/>
    </row>
    <row r="288">
      <c r="A288" s="55">
        <v>46186.0</v>
      </c>
      <c r="B288" s="1" t="s">
        <v>753</v>
      </c>
      <c r="C288" s="1" t="str">
        <f>VLOOKUP(B288,MAESTRA!I:K,2,0)</f>
        <v>*32326731*</v>
      </c>
      <c r="D288" s="1" t="str">
        <f>VLOOKUP(B288,MAESTRA!I:K,3,0)</f>
        <v>TOPOS UNISEX TOPOS DE SEGURIDAD 1 TALLA VA</v>
      </c>
      <c r="E288" s="1" t="s">
        <v>729</v>
      </c>
      <c r="F288" s="45">
        <v>2.0</v>
      </c>
      <c r="G288" s="2">
        <v>4000.0</v>
      </c>
      <c r="H288" s="2">
        <f t="shared" si="1"/>
        <v>8000</v>
      </c>
      <c r="I288" s="2">
        <f t="shared" si="2"/>
        <v>8000</v>
      </c>
      <c r="J288" s="47">
        <f t="shared" si="3"/>
        <v>1</v>
      </c>
      <c r="K288" s="2">
        <f t="shared" si="4"/>
        <v>16000</v>
      </c>
      <c r="L288" s="1"/>
    </row>
    <row r="289">
      <c r="A289" s="55">
        <v>46186.0</v>
      </c>
      <c r="B289" s="1" t="s">
        <v>754</v>
      </c>
      <c r="C289" s="1" t="str">
        <f>VLOOKUP(B289,MAESTRA!I:K,2,0)</f>
        <v>*32326831*</v>
      </c>
      <c r="D289" s="1" t="str">
        <f>VLOOKUP(B289,MAESTRA!I:K,3,0)</f>
        <v>TOPOS UNISEX TOPOS DE SEGURIDAD 2 TALLA VA</v>
      </c>
      <c r="E289" s="1" t="s">
        <v>729</v>
      </c>
      <c r="F289" s="45">
        <v>4.0</v>
      </c>
      <c r="G289" s="2">
        <v>4500.0</v>
      </c>
      <c r="H289" s="2">
        <f t="shared" si="1"/>
        <v>18000</v>
      </c>
      <c r="I289" s="2">
        <f t="shared" si="2"/>
        <v>9000</v>
      </c>
      <c r="J289" s="47">
        <f t="shared" si="3"/>
        <v>1</v>
      </c>
      <c r="K289" s="2">
        <f t="shared" si="4"/>
        <v>36000</v>
      </c>
      <c r="L289" s="1"/>
    </row>
    <row r="290">
      <c r="A290" s="55">
        <v>46186.0</v>
      </c>
      <c r="B290" s="1" t="s">
        <v>755</v>
      </c>
      <c r="C290" s="1" t="str">
        <f>VLOOKUP(B290,MAESTRA!I:K,2,0)</f>
        <v>*32326931*</v>
      </c>
      <c r="D290" s="1" t="str">
        <f>VLOOKUP(B290,MAESTRA!I:K,3,0)</f>
        <v>TOPOS UNISEX TOPOS DE SEGURIDAD 3 TALLA VA</v>
      </c>
      <c r="E290" s="1" t="s">
        <v>729</v>
      </c>
      <c r="F290" s="45">
        <v>2.0</v>
      </c>
      <c r="G290" s="2">
        <v>5000.0</v>
      </c>
      <c r="H290" s="2">
        <f t="shared" si="1"/>
        <v>10000</v>
      </c>
      <c r="I290" s="2">
        <f t="shared" si="2"/>
        <v>10000</v>
      </c>
      <c r="J290" s="47">
        <f t="shared" si="3"/>
        <v>1</v>
      </c>
      <c r="K290" s="2">
        <f t="shared" si="4"/>
        <v>20000</v>
      </c>
      <c r="L290" s="1"/>
    </row>
    <row r="291">
      <c r="A291" s="55">
        <v>46186.0</v>
      </c>
      <c r="B291" s="1" t="s">
        <v>756</v>
      </c>
      <c r="C291" s="1" t="str">
        <f>VLOOKUP(B291,MAESTRA!I:K,2,0)</f>
        <v>*34310531*</v>
      </c>
      <c r="D291" s="1" t="str">
        <f>VLOOKUP(B291,MAESTRA!I:K,3,0)</f>
        <v>CANDONGAS UNISEX CUADRADA 1 TALLA VA</v>
      </c>
      <c r="E291" s="1" t="s">
        <v>729</v>
      </c>
      <c r="F291" s="45">
        <v>1.0</v>
      </c>
      <c r="G291" s="2">
        <v>4000.0</v>
      </c>
      <c r="H291" s="2">
        <f t="shared" si="1"/>
        <v>4000</v>
      </c>
      <c r="I291" s="2">
        <f t="shared" si="2"/>
        <v>8000</v>
      </c>
      <c r="J291" s="47">
        <f t="shared" si="3"/>
        <v>1</v>
      </c>
      <c r="K291" s="2">
        <f t="shared" si="4"/>
        <v>8000</v>
      </c>
      <c r="L291" s="1"/>
    </row>
    <row r="292">
      <c r="A292" s="55">
        <v>46186.0</v>
      </c>
      <c r="B292" s="1" t="s">
        <v>757</v>
      </c>
      <c r="C292" s="1" t="str">
        <f>VLOOKUP(B292,MAESTRA!I:K,2,0)</f>
        <v>*34310631*</v>
      </c>
      <c r="D292" s="1" t="str">
        <f>VLOOKUP(B292,MAESTRA!I:K,3,0)</f>
        <v>CANDONGAS UNISEX CUADRADA 2 TALLA VA</v>
      </c>
      <c r="E292" s="1" t="s">
        <v>729</v>
      </c>
      <c r="F292" s="45">
        <v>1.0</v>
      </c>
      <c r="G292" s="2">
        <v>6500.0</v>
      </c>
      <c r="H292" s="2">
        <f t="shared" si="1"/>
        <v>6500</v>
      </c>
      <c r="I292" s="2">
        <f t="shared" si="2"/>
        <v>13000</v>
      </c>
      <c r="J292" s="47">
        <f t="shared" si="3"/>
        <v>1</v>
      </c>
      <c r="K292" s="2">
        <f t="shared" si="4"/>
        <v>13000</v>
      </c>
      <c r="L292" s="1"/>
    </row>
    <row r="293">
      <c r="A293" s="55">
        <v>46186.0</v>
      </c>
      <c r="B293" s="1" t="s">
        <v>758</v>
      </c>
      <c r="C293" s="1" t="str">
        <f>VLOOKUP(B293,MAESTRA!I:K,2,0)</f>
        <v>*34310731*</v>
      </c>
      <c r="D293" s="1" t="str">
        <f>VLOOKUP(B293,MAESTRA!I:K,3,0)</f>
        <v>CANDONGAS UNISEX CUADRADA 3 TALLA VA</v>
      </c>
      <c r="E293" s="1" t="s">
        <v>729</v>
      </c>
      <c r="F293" s="45">
        <v>2.0</v>
      </c>
      <c r="G293" s="2">
        <v>9500.0</v>
      </c>
      <c r="H293" s="2">
        <f t="shared" si="1"/>
        <v>19000</v>
      </c>
      <c r="I293" s="2">
        <f t="shared" si="2"/>
        <v>19000</v>
      </c>
      <c r="J293" s="47">
        <f t="shared" si="3"/>
        <v>1</v>
      </c>
      <c r="K293" s="2">
        <f t="shared" si="4"/>
        <v>38000</v>
      </c>
      <c r="L293" s="1"/>
    </row>
    <row r="294">
      <c r="A294" s="55">
        <v>46186.0</v>
      </c>
      <c r="B294" s="1" t="s">
        <v>759</v>
      </c>
      <c r="C294" s="1" t="str">
        <f>VLOOKUP(B294,MAESTRA!I:K,2,0)</f>
        <v>*3439831*</v>
      </c>
      <c r="D294" s="1" t="str">
        <f>VLOOKUP(B294,MAESTRA!I:K,3,0)</f>
        <v>CANDONGAS UNISEX CORAZON LOVE 1 TALLA VA</v>
      </c>
      <c r="E294" s="1" t="s">
        <v>729</v>
      </c>
      <c r="F294" s="45">
        <v>1.0</v>
      </c>
      <c r="G294" s="2">
        <v>2000.0</v>
      </c>
      <c r="H294" s="2">
        <f t="shared" si="1"/>
        <v>2000</v>
      </c>
      <c r="I294" s="2">
        <f t="shared" si="2"/>
        <v>4000</v>
      </c>
      <c r="J294" s="47">
        <f t="shared" si="3"/>
        <v>1</v>
      </c>
      <c r="K294" s="2">
        <f t="shared" si="4"/>
        <v>4000</v>
      </c>
      <c r="L294" s="1"/>
    </row>
    <row r="295">
      <c r="A295" s="55">
        <v>46186.0</v>
      </c>
      <c r="B295" s="1" t="s">
        <v>760</v>
      </c>
      <c r="C295" s="1" t="str">
        <f>VLOOKUP(B295,MAESTRA!I:K,2,0)</f>
        <v>*3439931*</v>
      </c>
      <c r="D295" s="1" t="str">
        <f>VLOOKUP(B295,MAESTRA!I:K,3,0)</f>
        <v>CANDONGAS UNISEX CORAZON LOVE 2 TALLA VA</v>
      </c>
      <c r="E295" s="1" t="s">
        <v>729</v>
      </c>
      <c r="F295" s="45">
        <v>1.0</v>
      </c>
      <c r="G295" s="2">
        <v>4500.0</v>
      </c>
      <c r="H295" s="2">
        <f t="shared" si="1"/>
        <v>4500</v>
      </c>
      <c r="I295" s="2">
        <f t="shared" si="2"/>
        <v>9000</v>
      </c>
      <c r="J295" s="47">
        <f t="shared" si="3"/>
        <v>1</v>
      </c>
      <c r="K295" s="2">
        <f t="shared" si="4"/>
        <v>9000</v>
      </c>
      <c r="L295" s="1"/>
    </row>
    <row r="296">
      <c r="A296" s="55">
        <v>46186.0</v>
      </c>
      <c r="B296" s="1" t="s">
        <v>761</v>
      </c>
      <c r="C296" s="1" t="str">
        <f>VLOOKUP(B296,MAESTRA!I:K,2,0)</f>
        <v>*34310031*</v>
      </c>
      <c r="D296" s="1" t="str">
        <f>VLOOKUP(B296,MAESTRA!I:K,3,0)</f>
        <v>CANDONGAS UNISEX CORAZON LOVE 3 TALLA VA</v>
      </c>
      <c r="E296" s="1" t="s">
        <v>729</v>
      </c>
      <c r="F296" s="45">
        <v>1.0</v>
      </c>
      <c r="G296" s="2">
        <v>7500.0</v>
      </c>
      <c r="H296" s="2">
        <f t="shared" si="1"/>
        <v>7500</v>
      </c>
      <c r="I296" s="2">
        <f t="shared" si="2"/>
        <v>15000</v>
      </c>
      <c r="J296" s="47">
        <f t="shared" si="3"/>
        <v>1</v>
      </c>
      <c r="K296" s="2">
        <f t="shared" si="4"/>
        <v>15000</v>
      </c>
      <c r="L296" s="1"/>
    </row>
    <row r="297">
      <c r="A297" s="55">
        <v>46186.0</v>
      </c>
      <c r="B297" s="1" t="s">
        <v>762</v>
      </c>
      <c r="C297" s="1" t="str">
        <f>VLOOKUP(B297,MAESTRA!I:K,2,0)</f>
        <v>*34310131*</v>
      </c>
      <c r="D297" s="1" t="str">
        <f>VLOOKUP(B297,MAESTRA!I:K,3,0)</f>
        <v>CANDONGAS UNISEX CORAZON LOVE 4 TALLA VA</v>
      </c>
      <c r="E297" s="1" t="s">
        <v>729</v>
      </c>
      <c r="F297" s="45">
        <v>2.0</v>
      </c>
      <c r="G297" s="2">
        <v>11000.0</v>
      </c>
      <c r="H297" s="2">
        <f t="shared" si="1"/>
        <v>22000</v>
      </c>
      <c r="I297" s="2">
        <f t="shared" si="2"/>
        <v>22000</v>
      </c>
      <c r="J297" s="47">
        <f t="shared" si="3"/>
        <v>1</v>
      </c>
      <c r="K297" s="2">
        <f t="shared" si="4"/>
        <v>44000</v>
      </c>
      <c r="L297" s="1"/>
    </row>
    <row r="298">
      <c r="A298" s="55">
        <v>46186.0</v>
      </c>
      <c r="B298" s="1" t="s">
        <v>763</v>
      </c>
      <c r="C298" s="1" t="str">
        <f>VLOOKUP(B298,MAESTRA!I:K,2,0)</f>
        <v>*3436731*</v>
      </c>
      <c r="D298" s="1" t="str">
        <f>VLOOKUP(B298,MAESTRA!I:K,3,0)</f>
        <v>CANDONGAS UNISEX CANDONGA MEDIANA TALLA VA</v>
      </c>
      <c r="E298" s="1" t="s">
        <v>729</v>
      </c>
      <c r="F298" s="45">
        <v>1.0</v>
      </c>
      <c r="G298" s="2">
        <v>10000.0</v>
      </c>
      <c r="H298" s="2">
        <f t="shared" si="1"/>
        <v>10000</v>
      </c>
      <c r="I298" s="2">
        <f t="shared" si="2"/>
        <v>20000</v>
      </c>
      <c r="J298" s="47">
        <f t="shared" si="3"/>
        <v>1</v>
      </c>
      <c r="K298" s="2">
        <f t="shared" si="4"/>
        <v>20000</v>
      </c>
      <c r="L298" s="1"/>
    </row>
    <row r="299">
      <c r="A299" s="55">
        <v>46186.0</v>
      </c>
      <c r="B299" s="1" t="s">
        <v>764</v>
      </c>
      <c r="C299" s="1" t="str">
        <f>VLOOKUP(B299,MAESTRA!I:K,2,0)</f>
        <v>*34313931*</v>
      </c>
      <c r="D299" s="1" t="str">
        <f>VLOOKUP(B299,MAESTRA!I:K,3,0)</f>
        <v>CANDONGAS UNISEX GRANDE TALLA VA</v>
      </c>
      <c r="E299" s="1" t="s">
        <v>729</v>
      </c>
      <c r="F299" s="45">
        <v>2.0</v>
      </c>
      <c r="G299" s="2">
        <v>10500.0</v>
      </c>
      <c r="H299" s="2">
        <f t="shared" si="1"/>
        <v>21000</v>
      </c>
      <c r="I299" s="2">
        <f t="shared" si="2"/>
        <v>21000</v>
      </c>
      <c r="J299" s="47">
        <f t="shared" si="3"/>
        <v>1</v>
      </c>
      <c r="K299" s="2">
        <f t="shared" si="4"/>
        <v>42000</v>
      </c>
      <c r="L299" s="1"/>
    </row>
    <row r="300">
      <c r="A300" s="55">
        <v>46186.0</v>
      </c>
      <c r="B300" s="1" t="s">
        <v>765</v>
      </c>
      <c r="C300" s="1" t="str">
        <f>VLOOKUP(B300,MAESTRA!I:K,2,0)</f>
        <v>*34324131*</v>
      </c>
      <c r="D300" s="1" t="str">
        <f>VLOOKUP(B300,MAESTRA!I:K,3,0)</f>
        <v>CANDONGAS UNISEX ROMBA TALLA VA</v>
      </c>
      <c r="E300" s="1" t="s">
        <v>729</v>
      </c>
      <c r="F300" s="45">
        <v>1.0</v>
      </c>
      <c r="G300" s="2">
        <v>11000.0</v>
      </c>
      <c r="H300" s="2">
        <f t="shared" si="1"/>
        <v>11000</v>
      </c>
      <c r="I300" s="2">
        <f t="shared" si="2"/>
        <v>22000</v>
      </c>
      <c r="J300" s="47">
        <f t="shared" si="3"/>
        <v>1</v>
      </c>
      <c r="K300" s="2">
        <f t="shared" si="4"/>
        <v>22000</v>
      </c>
      <c r="L300" s="1"/>
    </row>
    <row r="301">
      <c r="A301" s="55">
        <v>46186.0</v>
      </c>
      <c r="B301" s="1" t="s">
        <v>766</v>
      </c>
      <c r="C301" s="1" t="str">
        <f>VLOOKUP(B301,MAESTRA!I:K,2,0)</f>
        <v>*34323331*</v>
      </c>
      <c r="D301" s="1" t="str">
        <f>VLOOKUP(B301,MAESTRA!I:K,3,0)</f>
        <v>CANDONGAS UNISEX REDONDA 1 TALLA VA</v>
      </c>
      <c r="E301" s="1" t="s">
        <v>729</v>
      </c>
      <c r="F301" s="45">
        <v>2.0</v>
      </c>
      <c r="G301" s="2">
        <v>5000.0</v>
      </c>
      <c r="H301" s="2">
        <f t="shared" si="1"/>
        <v>10000</v>
      </c>
      <c r="I301" s="2">
        <f t="shared" si="2"/>
        <v>10000</v>
      </c>
      <c r="J301" s="47">
        <f t="shared" si="3"/>
        <v>1</v>
      </c>
      <c r="K301" s="2">
        <f t="shared" si="4"/>
        <v>20000</v>
      </c>
      <c r="L301" s="1"/>
    </row>
    <row r="302">
      <c r="A302" s="55">
        <v>46186.0</v>
      </c>
      <c r="B302" s="1" t="s">
        <v>767</v>
      </c>
      <c r="C302" s="1" t="str">
        <f>VLOOKUP(B302,MAESTRA!I:K,2,0)</f>
        <v>*34323431*</v>
      </c>
      <c r="D302" s="1" t="str">
        <f>VLOOKUP(B302,MAESTRA!I:K,3,0)</f>
        <v>CANDONGAS UNISEX REDONDA 2 TALLA VA</v>
      </c>
      <c r="E302" s="1" t="s">
        <v>729</v>
      </c>
      <c r="F302" s="45">
        <v>1.0</v>
      </c>
      <c r="G302" s="2">
        <v>9000.0</v>
      </c>
      <c r="H302" s="2">
        <f t="shared" si="1"/>
        <v>9000</v>
      </c>
      <c r="I302" s="2">
        <f t="shared" si="2"/>
        <v>18000</v>
      </c>
      <c r="J302" s="47">
        <f t="shared" si="3"/>
        <v>1</v>
      </c>
      <c r="K302" s="2">
        <f t="shared" si="4"/>
        <v>18000</v>
      </c>
      <c r="L302" s="1"/>
    </row>
    <row r="303">
      <c r="A303" s="55">
        <v>46186.0</v>
      </c>
      <c r="B303" s="1" t="s">
        <v>768</v>
      </c>
      <c r="C303" s="1" t="str">
        <f>VLOOKUP(B303,MAESTRA!I:K,2,0)</f>
        <v>*34323531*</v>
      </c>
      <c r="D303" s="1" t="str">
        <f>VLOOKUP(B303,MAESTRA!I:K,3,0)</f>
        <v>CANDONGAS UNISEX REDONDA 3 TALLA VA</v>
      </c>
      <c r="E303" s="1" t="s">
        <v>729</v>
      </c>
      <c r="F303" s="45">
        <v>1.0</v>
      </c>
      <c r="G303" s="2">
        <v>4500.0</v>
      </c>
      <c r="H303" s="2">
        <f t="shared" si="1"/>
        <v>4500</v>
      </c>
      <c r="I303" s="2">
        <f t="shared" si="2"/>
        <v>9000</v>
      </c>
      <c r="J303" s="47">
        <f t="shared" si="3"/>
        <v>1</v>
      </c>
      <c r="K303" s="2">
        <f t="shared" si="4"/>
        <v>9000</v>
      </c>
      <c r="L303" s="1"/>
    </row>
    <row r="304">
      <c r="A304" s="55">
        <v>46186.0</v>
      </c>
      <c r="B304" s="1" t="s">
        <v>769</v>
      </c>
      <c r="C304" s="1" t="str">
        <f>VLOOKUP(B304,MAESTRA!I:K,2,0)</f>
        <v>*33327831*</v>
      </c>
      <c r="D304" s="1" t="str">
        <f>VLOOKUP(B304,MAESTRA!I:K,3,0)</f>
        <v>ARETES UNISEX ZARCILLO 1 TALLA VA</v>
      </c>
      <c r="E304" s="1" t="s">
        <v>729</v>
      </c>
      <c r="F304" s="45">
        <v>1.0</v>
      </c>
      <c r="G304" s="2">
        <v>8000.0</v>
      </c>
      <c r="H304" s="2">
        <f t="shared" si="1"/>
        <v>8000</v>
      </c>
      <c r="I304" s="2">
        <f t="shared" si="2"/>
        <v>16000</v>
      </c>
      <c r="J304" s="47">
        <f t="shared" si="3"/>
        <v>1</v>
      </c>
      <c r="K304" s="2">
        <f t="shared" si="4"/>
        <v>16000</v>
      </c>
      <c r="L304" s="1"/>
    </row>
    <row r="305">
      <c r="A305" s="55">
        <v>46186.0</v>
      </c>
      <c r="B305" s="1" t="s">
        <v>770</v>
      </c>
      <c r="C305" s="1" t="str">
        <f>VLOOKUP(B305,MAESTRA!I:K,2,0)</f>
        <v>*33327931*</v>
      </c>
      <c r="D305" s="1" t="str">
        <f>VLOOKUP(B305,MAESTRA!I:K,3,0)</f>
        <v>ARETES UNISEX ZARCILLO 2 TALLA VA</v>
      </c>
      <c r="E305" s="1" t="s">
        <v>729</v>
      </c>
      <c r="F305" s="45">
        <v>1.0</v>
      </c>
      <c r="G305" s="2">
        <v>6000.0</v>
      </c>
      <c r="H305" s="2">
        <f t="shared" si="1"/>
        <v>6000</v>
      </c>
      <c r="I305" s="2">
        <f t="shared" si="2"/>
        <v>12000</v>
      </c>
      <c r="J305" s="47">
        <f t="shared" si="3"/>
        <v>1</v>
      </c>
      <c r="K305" s="2">
        <f t="shared" si="4"/>
        <v>12000</v>
      </c>
      <c r="L305" s="1"/>
    </row>
    <row r="306">
      <c r="A306" s="55">
        <v>46186.0</v>
      </c>
      <c r="B306" s="1" t="s">
        <v>771</v>
      </c>
      <c r="C306" s="1" t="str">
        <f>VLOOKUP(B306,MAESTRA!I:K,2,0)</f>
        <v>*33328031*</v>
      </c>
      <c r="D306" s="1" t="str">
        <f>VLOOKUP(B306,MAESTRA!I:K,3,0)</f>
        <v>ARETES UNISEX ZARCILLO 3 TALLA VA</v>
      </c>
      <c r="E306" s="1" t="s">
        <v>729</v>
      </c>
      <c r="F306" s="45">
        <v>2.0</v>
      </c>
      <c r="G306" s="2">
        <v>7500.0</v>
      </c>
      <c r="H306" s="2">
        <f t="shared" si="1"/>
        <v>15000</v>
      </c>
      <c r="I306" s="2">
        <f t="shared" si="2"/>
        <v>15000</v>
      </c>
      <c r="J306" s="47">
        <f t="shared" si="3"/>
        <v>1</v>
      </c>
      <c r="K306" s="2">
        <f t="shared" si="4"/>
        <v>30000</v>
      </c>
      <c r="L306" s="1"/>
    </row>
    <row r="307">
      <c r="A307" s="55">
        <v>46186.0</v>
      </c>
      <c r="B307" s="1" t="s">
        <v>772</v>
      </c>
      <c r="C307" s="1" t="str">
        <f>VLOOKUP(B307,MAESTRA!I:K,2,0)</f>
        <v>*33328131*</v>
      </c>
      <c r="D307" s="1" t="str">
        <f>VLOOKUP(B307,MAESTRA!I:K,3,0)</f>
        <v>ARETES UNISEX ZARCILLO 4 TALLA VA</v>
      </c>
      <c r="E307" s="1" t="s">
        <v>729</v>
      </c>
      <c r="F307" s="45">
        <v>2.0</v>
      </c>
      <c r="G307" s="2">
        <v>7000.0</v>
      </c>
      <c r="H307" s="2">
        <f t="shared" si="1"/>
        <v>14000</v>
      </c>
      <c r="I307" s="2">
        <f t="shared" si="2"/>
        <v>14000</v>
      </c>
      <c r="J307" s="47">
        <f t="shared" si="3"/>
        <v>1</v>
      </c>
      <c r="K307" s="2">
        <f t="shared" si="4"/>
        <v>28000</v>
      </c>
      <c r="L307" s="1"/>
    </row>
    <row r="308">
      <c r="A308" s="55">
        <v>46186.0</v>
      </c>
      <c r="B308" s="1" t="s">
        <v>773</v>
      </c>
      <c r="C308" s="1" t="str">
        <f>VLOOKUP(B308,MAESTRA!I:K,2,0)</f>
        <v>*33328231*</v>
      </c>
      <c r="D308" s="1" t="str">
        <f>VLOOKUP(B308,MAESTRA!I:K,3,0)</f>
        <v>ARETES UNISEX ZARCILLO 5 TALLA VA</v>
      </c>
      <c r="E308" s="1" t="s">
        <v>729</v>
      </c>
      <c r="F308" s="45">
        <v>1.0</v>
      </c>
      <c r="G308" s="2">
        <v>10500.0</v>
      </c>
      <c r="H308" s="2">
        <f t="shared" si="1"/>
        <v>10500</v>
      </c>
      <c r="I308" s="2">
        <f t="shared" si="2"/>
        <v>21000</v>
      </c>
      <c r="J308" s="47">
        <f t="shared" si="3"/>
        <v>1</v>
      </c>
      <c r="K308" s="2">
        <f t="shared" si="4"/>
        <v>21000</v>
      </c>
      <c r="L308" s="1"/>
    </row>
    <row r="309">
      <c r="A309" s="55">
        <v>46186.0</v>
      </c>
      <c r="B309" s="1" t="s">
        <v>774</v>
      </c>
      <c r="C309" s="1" t="str">
        <f>VLOOKUP(B309,MAESTRA!I:K,2,0)</f>
        <v>*36312331*</v>
      </c>
      <c r="D309" s="1" t="str">
        <f>VLOOKUP(B309,MAESTRA!I:K,3,0)</f>
        <v>EAR CUFF UNISEX EAR CUFF TALLA VA</v>
      </c>
      <c r="E309" s="1" t="s">
        <v>729</v>
      </c>
      <c r="F309" s="45">
        <v>4.0</v>
      </c>
      <c r="G309" s="2">
        <v>3000.0</v>
      </c>
      <c r="H309" s="2">
        <f t="shared" si="1"/>
        <v>12000</v>
      </c>
      <c r="I309" s="2">
        <f t="shared" si="2"/>
        <v>6000</v>
      </c>
      <c r="J309" s="47">
        <f t="shared" si="3"/>
        <v>1</v>
      </c>
      <c r="K309" s="2">
        <f t="shared" si="4"/>
        <v>24000</v>
      </c>
      <c r="L309" s="1"/>
    </row>
    <row r="310">
      <c r="A310" s="55">
        <v>46186.0</v>
      </c>
      <c r="B310" s="1" t="s">
        <v>775</v>
      </c>
      <c r="C310" s="1" t="str">
        <f>VLOOKUP(B310,MAESTRA!I:K,2,0)</f>
        <v>*32326631*</v>
      </c>
      <c r="D310" s="1" t="str">
        <f>VLOOKUP(B310,MAESTRA!I:K,3,0)</f>
        <v>TOPOS UNISEX TOPO SEGURIDAD TALLA VA</v>
      </c>
      <c r="E310" s="1" t="s">
        <v>729</v>
      </c>
      <c r="F310" s="45">
        <v>1.0</v>
      </c>
      <c r="G310" s="2">
        <v>4000.0</v>
      </c>
      <c r="H310" s="2">
        <f t="shared" si="1"/>
        <v>4000</v>
      </c>
      <c r="I310" s="2">
        <f t="shared" si="2"/>
        <v>8000</v>
      </c>
      <c r="J310" s="47">
        <f t="shared" si="3"/>
        <v>1</v>
      </c>
      <c r="K310" s="2">
        <f t="shared" si="4"/>
        <v>8000</v>
      </c>
      <c r="L310" s="1"/>
    </row>
    <row r="311">
      <c r="A311" s="55">
        <v>46186.0</v>
      </c>
      <c r="B311" s="1" t="s">
        <v>776</v>
      </c>
      <c r="C311" s="1" t="str">
        <f>VLOOKUP(B311,MAESTRA!I:K,2,0)</f>
        <v>*46223031*</v>
      </c>
      <c r="D311" s="1" t="str">
        <f>VLOOKUP(B311,MAESTRA!I:K,3,0)</f>
        <v>SPLASH CABALLERO PULSERA COMBO TALLA VA</v>
      </c>
      <c r="E311" s="1" t="s">
        <v>476</v>
      </c>
      <c r="F311" s="45">
        <v>5.0</v>
      </c>
      <c r="G311" s="2">
        <v>12500.0</v>
      </c>
      <c r="H311" s="2">
        <f t="shared" si="1"/>
        <v>62500</v>
      </c>
      <c r="I311" s="2">
        <f t="shared" si="2"/>
        <v>25000</v>
      </c>
      <c r="J311" s="47">
        <f t="shared" si="3"/>
        <v>1</v>
      </c>
      <c r="K311" s="2">
        <f t="shared" si="4"/>
        <v>125000</v>
      </c>
      <c r="L311" s="1"/>
    </row>
    <row r="312">
      <c r="A312" s="55">
        <v>46186.0</v>
      </c>
      <c r="B312" s="1" t="s">
        <v>776</v>
      </c>
      <c r="C312" s="1" t="str">
        <f>VLOOKUP(B312,MAESTRA!I:K,2,0)</f>
        <v>*46223031*</v>
      </c>
      <c r="D312" s="1" t="str">
        <f>VLOOKUP(B312,MAESTRA!I:K,3,0)</f>
        <v>SPLASH CABALLERO PULSERA COMBO TALLA VA</v>
      </c>
      <c r="E312" s="1" t="s">
        <v>476</v>
      </c>
      <c r="F312" s="45">
        <v>4.0</v>
      </c>
      <c r="G312" s="2">
        <v>17000.0</v>
      </c>
      <c r="H312" s="2">
        <f t="shared" si="1"/>
        <v>68000</v>
      </c>
      <c r="I312" s="2">
        <f t="shared" si="2"/>
        <v>34000</v>
      </c>
      <c r="J312" s="47">
        <f t="shared" si="3"/>
        <v>1</v>
      </c>
      <c r="K312" s="2">
        <f t="shared" si="4"/>
        <v>136000</v>
      </c>
      <c r="L312" s="1"/>
    </row>
    <row r="313">
      <c r="A313" s="55">
        <v>46186.0</v>
      </c>
      <c r="B313" s="1" t="s">
        <v>777</v>
      </c>
      <c r="C313" s="1" t="str">
        <f>VLOOKUP(B313,MAESTRA!I:K,2,0)</f>
        <v>*2639327*</v>
      </c>
      <c r="D313" s="1" t="str">
        <f>VLOOKUP(B313,MAESTRA!I:K,3,0)</f>
        <v>BUSOS UNISEX CON CAPOTA ESTAMPADO CREMALLERA TALLA S</v>
      </c>
      <c r="E313" s="1" t="s">
        <v>778</v>
      </c>
      <c r="F313" s="45">
        <v>3.0</v>
      </c>
      <c r="G313" s="2">
        <v>24000.0</v>
      </c>
      <c r="H313" s="2">
        <f t="shared" si="1"/>
        <v>72000</v>
      </c>
      <c r="I313" s="2">
        <f t="shared" si="2"/>
        <v>48000</v>
      </c>
      <c r="J313" s="47">
        <f t="shared" si="3"/>
        <v>1</v>
      </c>
      <c r="K313" s="2">
        <f t="shared" si="4"/>
        <v>144000</v>
      </c>
      <c r="L313" s="1"/>
    </row>
    <row r="314">
      <c r="A314" s="55">
        <v>46186.0</v>
      </c>
      <c r="B314" s="1" t="s">
        <v>779</v>
      </c>
      <c r="C314" s="1" t="str">
        <f>VLOOKUP(B314,MAESTRA!I:K,2,0)</f>
        <v>*2631925*</v>
      </c>
      <c r="D314" s="1" t="str">
        <f>VLOOKUP(B314,MAESTRA!I:K,3,0)</f>
        <v>BUSOS UNISEX ALGODON CON CAPOTA ESTAMPADO CREMALLERA TALLA M</v>
      </c>
      <c r="E314" s="1" t="s">
        <v>476</v>
      </c>
      <c r="F314" s="45">
        <v>3.0</v>
      </c>
      <c r="G314" s="2">
        <v>24000.0</v>
      </c>
      <c r="H314" s="2">
        <f t="shared" si="1"/>
        <v>72000</v>
      </c>
      <c r="I314" s="2">
        <f t="shared" si="2"/>
        <v>48000</v>
      </c>
      <c r="J314" s="47">
        <f t="shared" si="3"/>
        <v>1</v>
      </c>
      <c r="K314" s="2">
        <f t="shared" si="4"/>
        <v>144000</v>
      </c>
      <c r="L314" s="1"/>
    </row>
    <row r="315">
      <c r="A315" s="55">
        <v>46186.0</v>
      </c>
      <c r="B315" s="1" t="s">
        <v>780</v>
      </c>
      <c r="C315" s="1" t="str">
        <f>VLOOKUP(B315,MAESTRA!I:K,2,0)</f>
        <v>*2631923*</v>
      </c>
      <c r="D315" s="1" t="str">
        <f>VLOOKUP(B315,MAESTRA!I:K,3,0)</f>
        <v>BUSOS UNISEX ALGODON CON CAPOTA ESTAMPADO CREMALLERA TALLA L</v>
      </c>
      <c r="E315" s="1" t="s">
        <v>476</v>
      </c>
      <c r="F315" s="45">
        <v>3.0</v>
      </c>
      <c r="G315" s="2">
        <v>24000.0</v>
      </c>
      <c r="H315" s="2">
        <f t="shared" si="1"/>
        <v>72000</v>
      </c>
      <c r="I315" s="2">
        <f t="shared" si="2"/>
        <v>48000</v>
      </c>
      <c r="J315" s="47">
        <f t="shared" si="3"/>
        <v>1</v>
      </c>
      <c r="K315" s="2">
        <f t="shared" si="4"/>
        <v>144000</v>
      </c>
      <c r="L315" s="1"/>
    </row>
    <row r="316">
      <c r="A316" s="55">
        <v>46186.0</v>
      </c>
      <c r="B316" s="1" t="s">
        <v>781</v>
      </c>
      <c r="C316" s="1" t="str">
        <f>VLOOKUP(B316,MAESTRA!I:K,2,0)</f>
        <v>*2631932*</v>
      </c>
      <c r="D316" s="1" t="str">
        <f>VLOOKUP(B316,MAESTRA!I:K,3,0)</f>
        <v>BUSOS UNISEX ALGODON CON CAPOTA ESTAMPADO CREMALLERA TALLA XL</v>
      </c>
      <c r="E316" s="1" t="s">
        <v>476</v>
      </c>
      <c r="F316" s="45">
        <v>2.0</v>
      </c>
      <c r="G316" s="2">
        <v>24000.0</v>
      </c>
      <c r="H316" s="2">
        <f t="shared" si="1"/>
        <v>48000</v>
      </c>
      <c r="I316" s="2">
        <f t="shared" si="2"/>
        <v>48000</v>
      </c>
      <c r="J316" s="47">
        <f t="shared" si="3"/>
        <v>1</v>
      </c>
      <c r="K316" s="2">
        <f t="shared" si="4"/>
        <v>96000</v>
      </c>
      <c r="L316" s="1"/>
    </row>
    <row r="317">
      <c r="A317" s="55">
        <v>46186.0</v>
      </c>
      <c r="B317" s="1" t="s">
        <v>782</v>
      </c>
      <c r="C317" s="1" t="str">
        <f>VLOOKUP(B317,MAESTRA!I:K,2,0)</f>
        <v>*2631827*</v>
      </c>
      <c r="D317" s="1" t="str">
        <f>VLOOKUP(B317,MAESTRA!I:K,3,0)</f>
        <v>BUSOS UNISEX ALGODON CAPOTA ESTAMPADO TALLA S</v>
      </c>
      <c r="E317" s="1" t="s">
        <v>476</v>
      </c>
      <c r="F317" s="45">
        <v>3.0</v>
      </c>
      <c r="G317" s="2">
        <v>24000.0</v>
      </c>
      <c r="H317" s="2">
        <f t="shared" si="1"/>
        <v>72000</v>
      </c>
      <c r="I317" s="2">
        <f t="shared" si="2"/>
        <v>48000</v>
      </c>
      <c r="J317" s="47">
        <f t="shared" si="3"/>
        <v>1</v>
      </c>
      <c r="K317" s="2">
        <f t="shared" si="4"/>
        <v>144000</v>
      </c>
      <c r="L317" s="1"/>
    </row>
    <row r="318">
      <c r="A318" s="55">
        <v>46186.0</v>
      </c>
      <c r="B318" s="1" t="s">
        <v>783</v>
      </c>
      <c r="C318" s="1" t="str">
        <f>VLOOKUP(B318,MAESTRA!I:K,2,0)</f>
        <v>*2631825*</v>
      </c>
      <c r="D318" s="1" t="str">
        <f>VLOOKUP(B318,MAESTRA!I:K,3,0)</f>
        <v>BUSOS UNISEX ALGODON CAPOTA ESTAMPADO TALLA M</v>
      </c>
      <c r="E318" s="1" t="s">
        <v>476</v>
      </c>
      <c r="F318" s="45">
        <v>2.0</v>
      </c>
      <c r="G318" s="2">
        <v>24000.0</v>
      </c>
      <c r="H318" s="2">
        <f t="shared" si="1"/>
        <v>48000</v>
      </c>
      <c r="I318" s="2">
        <f t="shared" si="2"/>
        <v>48000</v>
      </c>
      <c r="J318" s="47">
        <f t="shared" si="3"/>
        <v>1</v>
      </c>
      <c r="K318" s="2">
        <f t="shared" si="4"/>
        <v>96000</v>
      </c>
      <c r="L318" s="1"/>
    </row>
    <row r="319">
      <c r="A319" s="55">
        <v>46186.0</v>
      </c>
      <c r="B319" s="1" t="s">
        <v>784</v>
      </c>
      <c r="C319" s="1" t="str">
        <f>VLOOKUP(B319,MAESTRA!I:K,2,0)</f>
        <v>*2631823*</v>
      </c>
      <c r="D319" s="1" t="str">
        <f>VLOOKUP(B319,MAESTRA!I:K,3,0)</f>
        <v>BUSOS UNISEX ALGODON CAPOTA ESTAMPADO TALLA L</v>
      </c>
      <c r="E319" s="1" t="s">
        <v>476</v>
      </c>
      <c r="F319" s="45">
        <v>3.0</v>
      </c>
      <c r="G319" s="2">
        <v>24000.0</v>
      </c>
      <c r="H319" s="2">
        <f t="shared" si="1"/>
        <v>72000</v>
      </c>
      <c r="I319" s="2">
        <f t="shared" si="2"/>
        <v>48000</v>
      </c>
      <c r="J319" s="47">
        <f t="shared" si="3"/>
        <v>1</v>
      </c>
      <c r="K319" s="2">
        <f t="shared" si="4"/>
        <v>144000</v>
      </c>
      <c r="L319" s="1"/>
    </row>
    <row r="320">
      <c r="A320" s="55">
        <v>46186.0</v>
      </c>
      <c r="B320" s="1" t="s">
        <v>785</v>
      </c>
      <c r="C320" s="1" t="str">
        <f>VLOOKUP(B320,MAESTRA!I:K,2,0)</f>
        <v>*2631832*</v>
      </c>
      <c r="D320" s="1" t="str">
        <f>VLOOKUP(B320,MAESTRA!I:K,3,0)</f>
        <v>BUSOS UNISEX ALGODON CAPOTA ESTAMPADO TALLA XL</v>
      </c>
      <c r="E320" s="1" t="s">
        <v>476</v>
      </c>
      <c r="F320" s="45">
        <v>2.0</v>
      </c>
      <c r="G320" s="2">
        <v>24000.0</v>
      </c>
      <c r="H320" s="2">
        <f t="shared" si="1"/>
        <v>48000</v>
      </c>
      <c r="I320" s="2">
        <f t="shared" si="2"/>
        <v>48000</v>
      </c>
      <c r="J320" s="47">
        <f t="shared" si="3"/>
        <v>1</v>
      </c>
      <c r="K320" s="2">
        <f t="shared" si="4"/>
        <v>96000</v>
      </c>
      <c r="L320" s="1"/>
    </row>
    <row r="321">
      <c r="A321" s="55">
        <v>46186.0</v>
      </c>
      <c r="B321" s="1" t="s">
        <v>786</v>
      </c>
      <c r="C321" s="1" t="str">
        <f>VLOOKUP(B321,MAESTRA!I:K,2,0)</f>
        <v>*2632127*</v>
      </c>
      <c r="D321" s="1" t="str">
        <f>VLOOKUP(B321,MAESTRA!I:K,3,0)</f>
        <v>BUSOS UNISEX ALGODON CUELLO REDONDO ESTAMPADO TALLA S</v>
      </c>
      <c r="E321" s="1" t="s">
        <v>476</v>
      </c>
      <c r="F321" s="45">
        <v>2.0</v>
      </c>
      <c r="G321" s="2">
        <v>22000.0</v>
      </c>
      <c r="H321" s="2">
        <f t="shared" si="1"/>
        <v>44000</v>
      </c>
      <c r="I321" s="2">
        <f t="shared" si="2"/>
        <v>44000</v>
      </c>
      <c r="J321" s="47">
        <f t="shared" si="3"/>
        <v>1</v>
      </c>
      <c r="K321" s="2">
        <f t="shared" si="4"/>
        <v>88000</v>
      </c>
      <c r="L321" s="1"/>
    </row>
    <row r="322">
      <c r="A322" s="55">
        <v>46186.0</v>
      </c>
      <c r="B322" s="1" t="s">
        <v>787</v>
      </c>
      <c r="C322" s="1" t="str">
        <f>VLOOKUP(B322,MAESTRA!I:K,2,0)</f>
        <v>*2632125*</v>
      </c>
      <c r="D322" s="1" t="str">
        <f>VLOOKUP(B322,MAESTRA!I:K,3,0)</f>
        <v>BUSOS UNISEX ALGODON CUELLO REDONDO ESTAMPADO TALLA M</v>
      </c>
      <c r="E322" s="1" t="s">
        <v>476</v>
      </c>
      <c r="F322" s="45">
        <v>3.0</v>
      </c>
      <c r="G322" s="2">
        <v>22000.0</v>
      </c>
      <c r="H322" s="2">
        <f t="shared" si="1"/>
        <v>66000</v>
      </c>
      <c r="I322" s="2">
        <f t="shared" si="2"/>
        <v>44000</v>
      </c>
      <c r="J322" s="47">
        <f t="shared" si="3"/>
        <v>1</v>
      </c>
      <c r="K322" s="2">
        <f t="shared" si="4"/>
        <v>132000</v>
      </c>
      <c r="L322" s="1"/>
    </row>
    <row r="323">
      <c r="A323" s="55">
        <v>46186.0</v>
      </c>
      <c r="B323" s="1" t="s">
        <v>788</v>
      </c>
      <c r="C323" s="1" t="str">
        <f>VLOOKUP(B323,MAESTRA!I:K,2,0)</f>
        <v>*2632123*</v>
      </c>
      <c r="D323" s="1" t="str">
        <f>VLOOKUP(B323,MAESTRA!I:K,3,0)</f>
        <v>BUSOS UNISEX ALGODON CUELLO REDONDO ESTAMPADO TALLA L</v>
      </c>
      <c r="E323" s="1" t="s">
        <v>476</v>
      </c>
      <c r="F323" s="45">
        <v>2.0</v>
      </c>
      <c r="G323" s="2">
        <v>22000.0</v>
      </c>
      <c r="H323" s="2">
        <f t="shared" si="1"/>
        <v>44000</v>
      </c>
      <c r="I323" s="2">
        <f t="shared" si="2"/>
        <v>44000</v>
      </c>
      <c r="J323" s="47">
        <f t="shared" si="3"/>
        <v>1</v>
      </c>
      <c r="K323" s="2">
        <f t="shared" si="4"/>
        <v>88000</v>
      </c>
      <c r="L323" s="1"/>
    </row>
    <row r="324">
      <c r="A324" s="55">
        <v>46186.0</v>
      </c>
      <c r="B324" s="1" t="s">
        <v>789</v>
      </c>
      <c r="C324" s="1" t="str">
        <f>VLOOKUP(B324,MAESTRA!I:K,2,0)</f>
        <v>*2632132*</v>
      </c>
      <c r="D324" s="1" t="str">
        <f>VLOOKUP(B324,MAESTRA!I:K,3,0)</f>
        <v>BUSOS UNISEX ALGODON CUELLO REDONDO ESTAMPADO TALLA XL</v>
      </c>
      <c r="E324" s="1" t="s">
        <v>476</v>
      </c>
      <c r="F324" s="45">
        <v>2.0</v>
      </c>
      <c r="G324" s="2">
        <v>22000.0</v>
      </c>
      <c r="H324" s="2">
        <f t="shared" si="1"/>
        <v>44000</v>
      </c>
      <c r="I324" s="2">
        <f t="shared" si="2"/>
        <v>44000</v>
      </c>
      <c r="J324" s="47">
        <f t="shared" si="3"/>
        <v>1</v>
      </c>
      <c r="K324" s="2">
        <f t="shared" si="4"/>
        <v>88000</v>
      </c>
      <c r="L324" s="1"/>
    </row>
    <row r="325">
      <c r="A325" s="55">
        <v>46186.0</v>
      </c>
      <c r="B325" s="1" t="s">
        <v>790</v>
      </c>
      <c r="C325" s="1" t="str">
        <f>VLOOKUP(B325,MAESTRA!I:K,2,0)</f>
        <v>*2632134*</v>
      </c>
      <c r="D325" s="1" t="str">
        <f>VLOOKUP(B325,MAESTRA!I:K,3,0)</f>
        <v>BUSOS UNISEX ALGODON CUELLO REDONDO ESTAMPADO TALLA XXL</v>
      </c>
      <c r="E325" s="1" t="s">
        <v>476</v>
      </c>
      <c r="F325" s="45">
        <v>4.0</v>
      </c>
      <c r="G325" s="2">
        <v>22000.0</v>
      </c>
      <c r="H325" s="2">
        <f t="shared" si="1"/>
        <v>88000</v>
      </c>
      <c r="I325" s="2">
        <f t="shared" si="2"/>
        <v>44000</v>
      </c>
      <c r="J325" s="47">
        <f t="shared" si="3"/>
        <v>1</v>
      </c>
      <c r="K325" s="2">
        <f t="shared" si="4"/>
        <v>176000</v>
      </c>
      <c r="L325" s="1"/>
    </row>
    <row r="326">
      <c r="A326" s="55">
        <v>46186.0</v>
      </c>
      <c r="B326" s="1" t="s">
        <v>791</v>
      </c>
      <c r="C326" s="1" t="str">
        <f>VLOOKUP(B326,MAESTRA!I:K,2,0)</f>
        <v>*2632327*</v>
      </c>
      <c r="D326" s="1" t="str">
        <f>VLOOKUP(B326,MAESTRA!I:K,3,0)</f>
        <v>BUSOS UNISEX ALGODON SIN ESTAMPADO TALLA S</v>
      </c>
      <c r="E326" s="1" t="s">
        <v>476</v>
      </c>
      <c r="F326" s="45">
        <v>2.0</v>
      </c>
      <c r="G326" s="2">
        <v>22000.0</v>
      </c>
      <c r="H326" s="2">
        <f t="shared" si="1"/>
        <v>44000</v>
      </c>
      <c r="I326" s="2">
        <f t="shared" si="2"/>
        <v>44000</v>
      </c>
      <c r="J326" s="47">
        <f t="shared" si="3"/>
        <v>1</v>
      </c>
      <c r="K326" s="2">
        <f t="shared" si="4"/>
        <v>88000</v>
      </c>
      <c r="L326" s="1"/>
    </row>
    <row r="327">
      <c r="A327" s="55">
        <v>46186.0</v>
      </c>
      <c r="B327" s="1" t="s">
        <v>792</v>
      </c>
      <c r="C327" s="1" t="str">
        <f>VLOOKUP(B327,MAESTRA!I:K,2,0)</f>
        <v>*2632325*</v>
      </c>
      <c r="D327" s="1" t="str">
        <f>VLOOKUP(B327,MAESTRA!I:K,3,0)</f>
        <v>BUSOS UNISEX ALGODON SIN ESTAMPADO TALLA M</v>
      </c>
      <c r="E327" s="1" t="s">
        <v>476</v>
      </c>
      <c r="F327" s="45">
        <v>2.0</v>
      </c>
      <c r="G327" s="2">
        <v>22000.0</v>
      </c>
      <c r="H327" s="2">
        <f t="shared" si="1"/>
        <v>44000</v>
      </c>
      <c r="I327" s="2">
        <f t="shared" si="2"/>
        <v>44000</v>
      </c>
      <c r="J327" s="47">
        <f t="shared" si="3"/>
        <v>1</v>
      </c>
      <c r="K327" s="2">
        <f t="shared" si="4"/>
        <v>88000</v>
      </c>
      <c r="L327" s="1"/>
    </row>
    <row r="328">
      <c r="A328" s="55">
        <v>46186.0</v>
      </c>
      <c r="B328" s="1" t="s">
        <v>793</v>
      </c>
      <c r="C328" s="1" t="str">
        <f>VLOOKUP(B328,MAESTRA!I:K,2,0)</f>
        <v>*2632323*</v>
      </c>
      <c r="D328" s="1" t="str">
        <f>VLOOKUP(B328,MAESTRA!I:K,3,0)</f>
        <v>BUSOS UNISEX ALGODON SIN ESTAMPADO TALLA L</v>
      </c>
      <c r="E328" s="1" t="s">
        <v>476</v>
      </c>
      <c r="F328" s="45">
        <v>2.0</v>
      </c>
      <c r="G328" s="2">
        <v>22000.0</v>
      </c>
      <c r="H328" s="2">
        <f t="shared" si="1"/>
        <v>44000</v>
      </c>
      <c r="I328" s="2">
        <f t="shared" si="2"/>
        <v>44000</v>
      </c>
      <c r="J328" s="47">
        <f t="shared" si="3"/>
        <v>1</v>
      </c>
      <c r="K328" s="2">
        <f t="shared" si="4"/>
        <v>88000</v>
      </c>
      <c r="L328" s="1"/>
    </row>
    <row r="329">
      <c r="A329" s="55">
        <v>46186.0</v>
      </c>
      <c r="B329" s="1" t="s">
        <v>794</v>
      </c>
      <c r="C329" s="1" t="str">
        <f>VLOOKUP(B329,MAESTRA!I:K,2,0)</f>
        <v>*2632332*</v>
      </c>
      <c r="D329" s="1" t="str">
        <f>VLOOKUP(B329,MAESTRA!I:K,3,0)</f>
        <v>BUSOS UNISEX ALGODON SIN ESTAMPADO TALLA XL</v>
      </c>
      <c r="E329" s="1" t="s">
        <v>476</v>
      </c>
      <c r="F329" s="45">
        <v>2.0</v>
      </c>
      <c r="G329" s="2">
        <v>22000.0</v>
      </c>
      <c r="H329" s="2">
        <f t="shared" si="1"/>
        <v>44000</v>
      </c>
      <c r="I329" s="2">
        <f t="shared" si="2"/>
        <v>44000</v>
      </c>
      <c r="J329" s="47">
        <f t="shared" si="3"/>
        <v>1</v>
      </c>
      <c r="K329" s="2">
        <f t="shared" si="4"/>
        <v>88000</v>
      </c>
      <c r="L329" s="1"/>
    </row>
    <row r="330">
      <c r="A330" s="55">
        <v>46186.0</v>
      </c>
      <c r="B330" s="1" t="s">
        <v>795</v>
      </c>
      <c r="C330" s="1" t="str">
        <f>VLOOKUP(B330,MAESTRA!I:K,2,0)</f>
        <v>*11324927*</v>
      </c>
      <c r="D330" s="1" t="str">
        <f>VLOOKUP(B330,MAESTRA!I:K,3,0)</f>
        <v>CAMISETAS UNISEX SEDA FRÍA TALLA S</v>
      </c>
      <c r="E330" s="1" t="s">
        <v>476</v>
      </c>
      <c r="F330" s="45">
        <v>4.0</v>
      </c>
      <c r="G330" s="2">
        <v>35000.0</v>
      </c>
      <c r="H330" s="2">
        <f t="shared" si="1"/>
        <v>140000</v>
      </c>
      <c r="I330" s="2">
        <f t="shared" si="2"/>
        <v>70000</v>
      </c>
      <c r="J330" s="47">
        <f t="shared" si="3"/>
        <v>1</v>
      </c>
      <c r="K330" s="2">
        <f t="shared" si="4"/>
        <v>280000</v>
      </c>
      <c r="L330" s="1"/>
    </row>
    <row r="331">
      <c r="A331" s="55">
        <v>46186.0</v>
      </c>
      <c r="B331" s="1" t="s">
        <v>796</v>
      </c>
      <c r="C331" s="1" t="str">
        <f>VLOOKUP(B331,MAESTRA!I:K,2,0)</f>
        <v>*11324925*</v>
      </c>
      <c r="D331" s="1" t="str">
        <f>VLOOKUP(B331,MAESTRA!I:K,3,0)</f>
        <v>CAMISETAS UNISEX SEDA FRÍA TALLA M</v>
      </c>
      <c r="E331" s="1" t="s">
        <v>476</v>
      </c>
      <c r="F331" s="45">
        <v>5.0</v>
      </c>
      <c r="G331" s="2">
        <v>35000.0</v>
      </c>
      <c r="H331" s="2">
        <f t="shared" si="1"/>
        <v>175000</v>
      </c>
      <c r="I331" s="2">
        <f t="shared" si="2"/>
        <v>70000</v>
      </c>
      <c r="J331" s="47">
        <f t="shared" si="3"/>
        <v>1</v>
      </c>
      <c r="K331" s="2">
        <f t="shared" si="4"/>
        <v>350000</v>
      </c>
      <c r="L331" s="1"/>
    </row>
    <row r="332">
      <c r="A332" s="55">
        <v>46186.0</v>
      </c>
      <c r="B332" s="1" t="s">
        <v>797</v>
      </c>
      <c r="C332" s="1" t="str">
        <f>VLOOKUP(B332,MAESTRA!I:K,2,0)</f>
        <v>*11324923*</v>
      </c>
      <c r="D332" s="1" t="str">
        <f>VLOOKUP(B332,MAESTRA!I:K,3,0)</f>
        <v>CAMISETAS UNISEX SEDA FRÍA TALLA L</v>
      </c>
      <c r="E332" s="1" t="s">
        <v>476</v>
      </c>
      <c r="F332" s="45">
        <v>4.0</v>
      </c>
      <c r="G332" s="2">
        <v>35000.0</v>
      </c>
      <c r="H332" s="2">
        <f t="shared" si="1"/>
        <v>140000</v>
      </c>
      <c r="I332" s="2">
        <f t="shared" si="2"/>
        <v>70000</v>
      </c>
      <c r="J332" s="47">
        <f t="shared" si="3"/>
        <v>1</v>
      </c>
      <c r="K332" s="2">
        <f t="shared" si="4"/>
        <v>280000</v>
      </c>
      <c r="L332" s="1"/>
    </row>
    <row r="333">
      <c r="A333" s="55">
        <v>46186.0</v>
      </c>
      <c r="B333" s="1" t="s">
        <v>798</v>
      </c>
      <c r="C333" s="1" t="str">
        <f>VLOOKUP(B333,MAESTRA!I:K,2,0)</f>
        <v>*11324932*</v>
      </c>
      <c r="D333" s="1" t="str">
        <f>VLOOKUP(B333,MAESTRA!I:K,3,0)</f>
        <v>CAMISETAS UNISEX SEDA FRÍA TALLA XL</v>
      </c>
      <c r="E333" s="1" t="s">
        <v>476</v>
      </c>
      <c r="F333" s="45">
        <v>2.0</v>
      </c>
      <c r="G333" s="2">
        <v>35000.0</v>
      </c>
      <c r="H333" s="2">
        <f t="shared" si="1"/>
        <v>70000</v>
      </c>
      <c r="I333" s="2">
        <f t="shared" si="2"/>
        <v>70000</v>
      </c>
      <c r="J333" s="47">
        <f t="shared" si="3"/>
        <v>1</v>
      </c>
      <c r="K333" s="2">
        <f t="shared" si="4"/>
        <v>140000</v>
      </c>
      <c r="L333" s="1"/>
    </row>
    <row r="334">
      <c r="A334" s="55">
        <v>46186.0</v>
      </c>
      <c r="B334" s="1" t="s">
        <v>799</v>
      </c>
      <c r="C334" s="1" t="str">
        <f>VLOOKUP(B334,MAESTRA!I:K,2,0)</f>
        <v>*1116*</v>
      </c>
      <c r="D334" s="1" t="str">
        <f>VLOOKUP(B334,MAESTRA!I:K,3,0)</f>
        <v>JEANS DAMA 1 BOTON TALLA 16</v>
      </c>
      <c r="E334" s="1" t="s">
        <v>441</v>
      </c>
      <c r="F334" s="45">
        <v>1.0</v>
      </c>
      <c r="G334" s="2">
        <v>32000.0</v>
      </c>
      <c r="H334" s="2">
        <f t="shared" si="1"/>
        <v>32000</v>
      </c>
      <c r="I334" s="2">
        <f t="shared" si="2"/>
        <v>64000</v>
      </c>
      <c r="J334" s="47">
        <f t="shared" si="3"/>
        <v>1</v>
      </c>
      <c r="K334" s="2">
        <f t="shared" si="4"/>
        <v>64000</v>
      </c>
      <c r="L334" s="1"/>
    </row>
    <row r="335">
      <c r="A335" s="55">
        <v>46186.0</v>
      </c>
      <c r="B335" s="1" t="s">
        <v>800</v>
      </c>
      <c r="C335" s="1" t="str">
        <f>VLOOKUP(B335,MAESTRA!I:K,2,0)</f>
        <v>*1112*</v>
      </c>
      <c r="D335" s="1" t="str">
        <f>VLOOKUP(B335,MAESTRA!I:K,3,0)</f>
        <v>JEANS DAMA 1 BOTON TALLA 8</v>
      </c>
      <c r="E335" s="1" t="s">
        <v>441</v>
      </c>
      <c r="F335" s="45">
        <v>2.0</v>
      </c>
      <c r="G335" s="2">
        <v>32000.0</v>
      </c>
      <c r="H335" s="2">
        <f t="shared" si="1"/>
        <v>64000</v>
      </c>
      <c r="I335" s="2">
        <f t="shared" si="2"/>
        <v>64000</v>
      </c>
      <c r="J335" s="47">
        <f t="shared" si="3"/>
        <v>1</v>
      </c>
      <c r="K335" s="2">
        <f t="shared" si="4"/>
        <v>128000</v>
      </c>
      <c r="L335" s="1"/>
    </row>
    <row r="336">
      <c r="A336" s="55">
        <v>46186.0</v>
      </c>
      <c r="B336" s="1" t="s">
        <v>440</v>
      </c>
      <c r="C336" s="1" t="str">
        <f>VLOOKUP(B336,MAESTRA!I:K,2,0)</f>
        <v>*1143*</v>
      </c>
      <c r="D336" s="1" t="str">
        <f>VLOOKUP(B336,MAESTRA!I:K,3,0)</f>
        <v>JEANS DAMA 4 BOTONES TALLA 10</v>
      </c>
      <c r="E336" s="1" t="s">
        <v>441</v>
      </c>
      <c r="F336" s="45">
        <v>1.0</v>
      </c>
      <c r="G336" s="2">
        <v>32000.0</v>
      </c>
      <c r="H336" s="2">
        <f t="shared" si="1"/>
        <v>32000</v>
      </c>
      <c r="I336" s="2">
        <f t="shared" si="2"/>
        <v>64000</v>
      </c>
      <c r="J336" s="47">
        <f t="shared" si="3"/>
        <v>1</v>
      </c>
      <c r="K336" s="2">
        <f t="shared" si="4"/>
        <v>64000</v>
      </c>
      <c r="L336" s="1"/>
    </row>
    <row r="337">
      <c r="A337" s="55">
        <v>46186.0</v>
      </c>
      <c r="B337" s="1" t="s">
        <v>801</v>
      </c>
      <c r="C337" s="1" t="str">
        <f>VLOOKUP(B337,MAESTRA!I:K,2,0)</f>
        <v>*512395*</v>
      </c>
      <c r="D337" s="1" t="str">
        <f>VLOOKUP(B337,MAESTRA!I:K,3,0)</f>
        <v>BERMUDAS DAMA RODILLA TALLA 14</v>
      </c>
      <c r="E337" s="1" t="s">
        <v>441</v>
      </c>
      <c r="F337" s="45">
        <v>1.0</v>
      </c>
      <c r="G337" s="2">
        <v>32000.0</v>
      </c>
      <c r="H337" s="2">
        <f t="shared" si="1"/>
        <v>32000</v>
      </c>
      <c r="I337" s="2">
        <f t="shared" si="2"/>
        <v>64000</v>
      </c>
      <c r="J337" s="47">
        <f t="shared" si="3"/>
        <v>1</v>
      </c>
      <c r="K337" s="2">
        <f t="shared" si="4"/>
        <v>64000</v>
      </c>
      <c r="L337" s="1"/>
    </row>
    <row r="338">
      <c r="A338" s="55">
        <v>46186.0</v>
      </c>
      <c r="B338" s="1" t="s">
        <v>802</v>
      </c>
      <c r="C338" s="1" t="str">
        <f>VLOOKUP(B338,MAESTRA!I:K,2,0)</f>
        <v>*512396*</v>
      </c>
      <c r="D338" s="1" t="str">
        <f>VLOOKUP(B338,MAESTRA!I:K,3,0)</f>
        <v>BERMUDAS DAMA RODILLA TALLA 16</v>
      </c>
      <c r="E338" s="1" t="s">
        <v>441</v>
      </c>
      <c r="F338" s="45">
        <v>1.0</v>
      </c>
      <c r="G338" s="2">
        <v>32000.0</v>
      </c>
      <c r="H338" s="2">
        <f t="shared" si="1"/>
        <v>32000</v>
      </c>
      <c r="I338" s="2">
        <f t="shared" si="2"/>
        <v>64000</v>
      </c>
      <c r="J338" s="47">
        <f t="shared" si="3"/>
        <v>1</v>
      </c>
      <c r="K338" s="2">
        <f t="shared" si="4"/>
        <v>64000</v>
      </c>
      <c r="L338" s="1"/>
    </row>
    <row r="339">
      <c r="A339" s="55">
        <v>46186.0</v>
      </c>
      <c r="B339" s="1" t="s">
        <v>803</v>
      </c>
      <c r="C339" s="1" t="str">
        <f>VLOOKUP(B339,MAESTRA!I:K,2,0)</f>
        <v>*512394*</v>
      </c>
      <c r="D339" s="1" t="str">
        <f>VLOOKUP(B339,MAESTRA!I:K,3,0)</f>
        <v>BERMUDAS DAMA RODILLA TALLA 12</v>
      </c>
      <c r="E339" s="1" t="s">
        <v>441</v>
      </c>
      <c r="F339" s="45">
        <v>1.0</v>
      </c>
      <c r="G339" s="2">
        <v>32000.0</v>
      </c>
      <c r="H339" s="2">
        <f t="shared" si="1"/>
        <v>32000</v>
      </c>
      <c r="I339" s="2">
        <f t="shared" si="2"/>
        <v>64000</v>
      </c>
      <c r="J339" s="47">
        <f t="shared" si="3"/>
        <v>1</v>
      </c>
      <c r="K339" s="2">
        <f t="shared" si="4"/>
        <v>64000</v>
      </c>
      <c r="L339" s="1"/>
    </row>
    <row r="340">
      <c r="A340" s="55">
        <v>46186.0</v>
      </c>
      <c r="B340" s="1" t="s">
        <v>804</v>
      </c>
      <c r="C340" s="1" t="str">
        <f>VLOOKUP(B340,MAESTRA!I:K,2,0)</f>
        <v>*512393*</v>
      </c>
      <c r="D340" s="1" t="str">
        <f>VLOOKUP(B340,MAESTRA!I:K,3,0)</f>
        <v>BERMUDAS DAMA RODILLA TALLA 10</v>
      </c>
      <c r="E340" s="1" t="s">
        <v>441</v>
      </c>
      <c r="F340" s="45">
        <v>1.0</v>
      </c>
      <c r="G340" s="2">
        <v>32000.0</v>
      </c>
      <c r="H340" s="2">
        <f t="shared" si="1"/>
        <v>32000</v>
      </c>
      <c r="I340" s="2">
        <f t="shared" si="2"/>
        <v>64000</v>
      </c>
      <c r="J340" s="47">
        <f t="shared" si="3"/>
        <v>1</v>
      </c>
      <c r="K340" s="2">
        <f t="shared" si="4"/>
        <v>64000</v>
      </c>
      <c r="L340" s="1"/>
    </row>
    <row r="341">
      <c r="A341" s="55">
        <v>46186.0</v>
      </c>
      <c r="B341" s="1" t="s">
        <v>805</v>
      </c>
      <c r="C341" s="1" t="str">
        <f>VLOOKUP(B341,MAESTRA!I:K,2,0)</f>
        <v>*1128727*</v>
      </c>
      <c r="D341" s="1" t="str">
        <f>VLOOKUP(B341,MAESTRA!I:K,3,0)</f>
        <v>CAMISETAS CABALLERO COLOMBIA 1.1 LOCAL TALLA S</v>
      </c>
      <c r="E341" s="1" t="s">
        <v>806</v>
      </c>
      <c r="F341" s="45">
        <v>4.0</v>
      </c>
      <c r="G341" s="2">
        <v>27000.0</v>
      </c>
      <c r="H341" s="2">
        <f t="shared" si="1"/>
        <v>108000</v>
      </c>
      <c r="I341" s="2">
        <f t="shared" si="2"/>
        <v>54000</v>
      </c>
      <c r="J341" s="47">
        <f t="shared" si="3"/>
        <v>1</v>
      </c>
      <c r="K341" s="2">
        <f t="shared" si="4"/>
        <v>216000</v>
      </c>
      <c r="L341" s="1"/>
    </row>
    <row r="342">
      <c r="A342" s="55">
        <v>46186.0</v>
      </c>
      <c r="B342" s="1" t="s">
        <v>807</v>
      </c>
      <c r="C342" s="1" t="str">
        <f>VLOOKUP(B342,MAESTRA!I:K,2,0)</f>
        <v>*1128725*</v>
      </c>
      <c r="D342" s="1" t="str">
        <f>VLOOKUP(B342,MAESTRA!I:K,3,0)</f>
        <v>CAMISETAS CABALLERO COLOMBIA 1.1 LOCAL TALLA M</v>
      </c>
      <c r="E342" s="1" t="s">
        <v>806</v>
      </c>
      <c r="F342" s="45">
        <v>5.0</v>
      </c>
      <c r="G342" s="2">
        <v>27000.0</v>
      </c>
      <c r="H342" s="2">
        <f t="shared" si="1"/>
        <v>135000</v>
      </c>
      <c r="I342" s="2">
        <f t="shared" si="2"/>
        <v>54000</v>
      </c>
      <c r="J342" s="47">
        <f t="shared" si="3"/>
        <v>1</v>
      </c>
      <c r="K342" s="2">
        <f t="shared" si="4"/>
        <v>270000</v>
      </c>
      <c r="L342" s="1"/>
    </row>
    <row r="343">
      <c r="A343" s="55">
        <v>46186.0</v>
      </c>
      <c r="B343" s="1" t="s">
        <v>808</v>
      </c>
      <c r="C343" s="1" t="str">
        <f>VLOOKUP(B343,MAESTRA!I:K,2,0)</f>
        <v>*1128723*</v>
      </c>
      <c r="D343" s="1" t="str">
        <f>VLOOKUP(B343,MAESTRA!I:K,3,0)</f>
        <v>CAMISETAS CABALLERO COLOMBIA 1.1 LOCAL TALLA L</v>
      </c>
      <c r="E343" s="1" t="s">
        <v>806</v>
      </c>
      <c r="F343" s="45">
        <v>6.0</v>
      </c>
      <c r="G343" s="2">
        <v>27000.0</v>
      </c>
      <c r="H343" s="2">
        <f t="shared" si="1"/>
        <v>162000</v>
      </c>
      <c r="I343" s="2">
        <f t="shared" si="2"/>
        <v>54000</v>
      </c>
      <c r="J343" s="47">
        <f t="shared" si="3"/>
        <v>1</v>
      </c>
      <c r="K343" s="2">
        <f t="shared" si="4"/>
        <v>324000</v>
      </c>
      <c r="L343" s="1"/>
    </row>
    <row r="344">
      <c r="A344" s="55">
        <v>46186.0</v>
      </c>
      <c r="B344" s="1" t="s">
        <v>809</v>
      </c>
      <c r="C344" s="1" t="str">
        <f>VLOOKUP(B344,MAESTRA!I:K,2,0)</f>
        <v>*1128732*</v>
      </c>
      <c r="D344" s="1" t="str">
        <f>VLOOKUP(B344,MAESTRA!I:K,3,0)</f>
        <v>CAMISETAS CABALLERO COLOMBIA 1.1 LOCAL TALLA XL</v>
      </c>
      <c r="E344" s="1" t="s">
        <v>806</v>
      </c>
      <c r="F344" s="45">
        <v>4.0</v>
      </c>
      <c r="G344" s="2">
        <v>27000.0</v>
      </c>
      <c r="H344" s="2">
        <f t="shared" si="1"/>
        <v>108000</v>
      </c>
      <c r="I344" s="2">
        <f t="shared" si="2"/>
        <v>54000</v>
      </c>
      <c r="J344" s="47">
        <f t="shared" si="3"/>
        <v>1</v>
      </c>
      <c r="K344" s="2">
        <f t="shared" si="4"/>
        <v>216000</v>
      </c>
      <c r="L344" s="1"/>
    </row>
    <row r="345">
      <c r="A345" s="55">
        <v>46186.0</v>
      </c>
      <c r="B345" s="1" t="s">
        <v>810</v>
      </c>
      <c r="C345" s="1" t="str">
        <f>VLOOKUP(B345,MAESTRA!I:K,2,0)</f>
        <v>*1128734*</v>
      </c>
      <c r="D345" s="1" t="str">
        <f>VLOOKUP(B345,MAESTRA!I:K,3,0)</f>
        <v>CAMISETAS CABALLERO COLOMBIA 1.1 LOCAL TALLA XXL</v>
      </c>
      <c r="E345" s="1" t="s">
        <v>806</v>
      </c>
      <c r="F345" s="45">
        <v>4.0</v>
      </c>
      <c r="G345" s="2">
        <v>27000.0</v>
      </c>
      <c r="H345" s="2">
        <f t="shared" si="1"/>
        <v>108000</v>
      </c>
      <c r="I345" s="2">
        <f t="shared" si="2"/>
        <v>54000</v>
      </c>
      <c r="J345" s="47">
        <f t="shared" si="3"/>
        <v>1</v>
      </c>
      <c r="K345" s="2">
        <f t="shared" si="4"/>
        <v>216000</v>
      </c>
      <c r="L345" s="1"/>
    </row>
    <row r="346">
      <c r="A346" s="55">
        <v>46186.0</v>
      </c>
      <c r="B346" s="1" t="s">
        <v>811</v>
      </c>
      <c r="C346" s="1" t="str">
        <f>VLOOKUP(B346,MAESTRA!I:K,2,0)</f>
        <v>*114887*</v>
      </c>
      <c r="D346" s="1" t="str">
        <f>VLOOKUP(B346,MAESTRA!I:K,3,0)</f>
        <v>CAMISETAS NIÑO COLOMBIA AAA TALLA 18</v>
      </c>
      <c r="E346" s="1" t="s">
        <v>806</v>
      </c>
      <c r="F346" s="45">
        <v>1.0</v>
      </c>
      <c r="G346" s="3">
        <v>28000.0</v>
      </c>
      <c r="H346" s="2">
        <f t="shared" si="1"/>
        <v>28000</v>
      </c>
      <c r="I346" s="2">
        <f t="shared" si="2"/>
        <v>56000</v>
      </c>
      <c r="J346" s="47">
        <f t="shared" si="3"/>
        <v>1</v>
      </c>
      <c r="K346" s="2">
        <f t="shared" si="4"/>
        <v>56000</v>
      </c>
      <c r="L346" s="1"/>
    </row>
    <row r="347">
      <c r="A347" s="55">
        <v>46186.0</v>
      </c>
      <c r="B347" s="1" t="s">
        <v>812</v>
      </c>
      <c r="C347" s="1" t="str">
        <f>VLOOKUP(B347,MAESTRA!I:K,2,0)</f>
        <v>*114888*</v>
      </c>
      <c r="D347" s="1" t="str">
        <f>VLOOKUP(B347,MAESTRA!I:K,3,0)</f>
        <v>CAMISETAS NIÑO COLOMBIA AAA TALLA 20</v>
      </c>
      <c r="E347" s="1" t="s">
        <v>806</v>
      </c>
      <c r="F347" s="45">
        <v>1.0</v>
      </c>
      <c r="G347" s="3">
        <v>28000.0</v>
      </c>
      <c r="H347" s="2">
        <f t="shared" si="1"/>
        <v>28000</v>
      </c>
      <c r="I347" s="2">
        <f t="shared" si="2"/>
        <v>56000</v>
      </c>
      <c r="J347" s="47">
        <f t="shared" si="3"/>
        <v>1</v>
      </c>
      <c r="K347" s="2">
        <f t="shared" si="4"/>
        <v>56000</v>
      </c>
      <c r="L347" s="1"/>
    </row>
    <row r="348">
      <c r="A348" s="55">
        <v>46186.0</v>
      </c>
      <c r="B348" s="1" t="s">
        <v>813</v>
      </c>
      <c r="C348" s="1" t="str">
        <f>VLOOKUP(B348,MAESTRA!I:K,2,0)</f>
        <v>*114889*</v>
      </c>
      <c r="D348" s="1" t="str">
        <f>VLOOKUP(B348,MAESTRA!I:K,3,0)</f>
        <v>CAMISETAS NIÑO COLOMBIA AAA TALLA 22</v>
      </c>
      <c r="E348" s="1" t="s">
        <v>806</v>
      </c>
      <c r="F348" s="45">
        <v>2.0</v>
      </c>
      <c r="G348" s="3">
        <v>28000.0</v>
      </c>
      <c r="H348" s="2">
        <f t="shared" si="1"/>
        <v>56000</v>
      </c>
      <c r="I348" s="2">
        <f t="shared" si="2"/>
        <v>56000</v>
      </c>
      <c r="J348" s="47">
        <f t="shared" si="3"/>
        <v>1</v>
      </c>
      <c r="K348" s="2">
        <f t="shared" si="4"/>
        <v>112000</v>
      </c>
      <c r="L348" s="1"/>
    </row>
    <row r="349">
      <c r="A349" s="55">
        <v>46186.0</v>
      </c>
      <c r="B349" s="1" t="s">
        <v>814</v>
      </c>
      <c r="C349" s="1" t="str">
        <f>VLOOKUP(B349,MAESTRA!I:K,2,0)</f>
        <v>*1148810*</v>
      </c>
      <c r="D349" s="1" t="str">
        <f>VLOOKUP(B349,MAESTRA!I:K,3,0)</f>
        <v>CAMISETAS NIÑO COLOMBIA AAA TALLA 24</v>
      </c>
      <c r="E349" s="1" t="s">
        <v>806</v>
      </c>
      <c r="F349" s="45">
        <v>2.0</v>
      </c>
      <c r="G349" s="3">
        <v>28000.0</v>
      </c>
      <c r="H349" s="2">
        <f t="shared" si="1"/>
        <v>56000</v>
      </c>
      <c r="I349" s="2">
        <f t="shared" si="2"/>
        <v>56000</v>
      </c>
      <c r="J349" s="47">
        <f t="shared" si="3"/>
        <v>1</v>
      </c>
      <c r="K349" s="2">
        <f t="shared" si="4"/>
        <v>112000</v>
      </c>
      <c r="L349" s="1"/>
    </row>
    <row r="350">
      <c r="A350" s="55">
        <v>46186.0</v>
      </c>
      <c r="B350" s="1" t="s">
        <v>815</v>
      </c>
      <c r="C350" s="1" t="str">
        <f>VLOOKUP(B350,MAESTRA!I:K,2,0)</f>
        <v>*1148811*</v>
      </c>
      <c r="D350" s="1" t="str">
        <f>VLOOKUP(B350,MAESTRA!I:K,3,0)</f>
        <v>CAMISETAS NIÑO COLOMBIA AAA TALLA 26</v>
      </c>
      <c r="E350" s="1" t="s">
        <v>806</v>
      </c>
      <c r="F350" s="45">
        <v>2.0</v>
      </c>
      <c r="G350" s="3">
        <v>28000.0</v>
      </c>
      <c r="H350" s="2">
        <f t="shared" si="1"/>
        <v>56000</v>
      </c>
      <c r="I350" s="2">
        <f t="shared" si="2"/>
        <v>56000</v>
      </c>
      <c r="J350" s="47">
        <f t="shared" si="3"/>
        <v>1</v>
      </c>
      <c r="K350" s="2">
        <f t="shared" si="4"/>
        <v>112000</v>
      </c>
      <c r="L350" s="1"/>
    </row>
    <row r="351">
      <c r="A351" s="55">
        <v>46186.0</v>
      </c>
      <c r="B351" s="1" t="s">
        <v>816</v>
      </c>
      <c r="C351" s="1" t="str">
        <f>VLOOKUP(B351,MAESTRA!I:K,2,0)</f>
        <v>*1148812*</v>
      </c>
      <c r="D351" s="1" t="str">
        <f>VLOOKUP(B351,MAESTRA!I:K,3,0)</f>
        <v>CAMISETAS NIÑO COLOMBIA AAA TALLA 28</v>
      </c>
      <c r="E351" s="1" t="s">
        <v>806</v>
      </c>
      <c r="F351" s="45">
        <v>2.0</v>
      </c>
      <c r="G351" s="3">
        <v>28000.0</v>
      </c>
      <c r="H351" s="2">
        <f t="shared" si="1"/>
        <v>56000</v>
      </c>
      <c r="I351" s="2">
        <f t="shared" si="2"/>
        <v>56000</v>
      </c>
      <c r="J351" s="47">
        <f t="shared" si="3"/>
        <v>1</v>
      </c>
      <c r="K351" s="2">
        <f t="shared" si="4"/>
        <v>112000</v>
      </c>
      <c r="L351" s="1"/>
    </row>
    <row r="352">
      <c r="A352" s="55">
        <v>46186.0</v>
      </c>
      <c r="B352" s="1" t="s">
        <v>817</v>
      </c>
      <c r="C352" s="1" t="str">
        <f>VLOOKUP(B352,MAESTRA!I:K,2,0)</f>
        <v>*1128827*</v>
      </c>
      <c r="D352" s="1" t="str">
        <f>VLOOKUP(B352,MAESTRA!I:K,3,0)</f>
        <v>CAMISETAS CABALLERO COLOMBIA AAA TALLA S</v>
      </c>
      <c r="E352" s="1" t="s">
        <v>806</v>
      </c>
      <c r="F352" s="45">
        <v>2.0</v>
      </c>
      <c r="G352" s="3">
        <v>25000.0</v>
      </c>
      <c r="H352" s="2">
        <f t="shared" si="1"/>
        <v>50000</v>
      </c>
      <c r="I352" s="2">
        <f t="shared" si="2"/>
        <v>50000</v>
      </c>
      <c r="J352" s="47">
        <f t="shared" si="3"/>
        <v>1</v>
      </c>
      <c r="K352" s="2">
        <f t="shared" si="4"/>
        <v>100000</v>
      </c>
      <c r="L352" s="1"/>
    </row>
    <row r="353">
      <c r="A353" s="55">
        <v>46186.0</v>
      </c>
      <c r="B353" s="1" t="s">
        <v>818</v>
      </c>
      <c r="C353" s="1" t="str">
        <f>VLOOKUP(B353,MAESTRA!I:K,2,0)</f>
        <v>*1128825*</v>
      </c>
      <c r="D353" s="1" t="str">
        <f>VLOOKUP(B353,MAESTRA!I:K,3,0)</f>
        <v>CAMISETAS CABALLERO COLOMBIA AAA TALLA M</v>
      </c>
      <c r="E353" s="1" t="s">
        <v>806</v>
      </c>
      <c r="F353" s="45">
        <v>4.0</v>
      </c>
      <c r="G353" s="3">
        <v>25000.0</v>
      </c>
      <c r="H353" s="2">
        <f t="shared" si="1"/>
        <v>100000</v>
      </c>
      <c r="I353" s="2">
        <f t="shared" si="2"/>
        <v>50000</v>
      </c>
      <c r="J353" s="47">
        <f t="shared" si="3"/>
        <v>1</v>
      </c>
      <c r="K353" s="2">
        <f t="shared" si="4"/>
        <v>200000</v>
      </c>
      <c r="L353" s="1"/>
    </row>
    <row r="354">
      <c r="A354" s="55">
        <v>46186.0</v>
      </c>
      <c r="B354" s="1" t="s">
        <v>819</v>
      </c>
      <c r="C354" s="1" t="str">
        <f>VLOOKUP(B354,MAESTRA!I:K,2,0)</f>
        <v>*1128823*</v>
      </c>
      <c r="D354" s="1" t="str">
        <f>VLOOKUP(B354,MAESTRA!I:K,3,0)</f>
        <v>CAMISETAS CABALLERO COLOMBIA AAA TALLA L</v>
      </c>
      <c r="E354" s="1" t="s">
        <v>806</v>
      </c>
      <c r="F354" s="45">
        <v>3.0</v>
      </c>
      <c r="G354" s="3">
        <v>25000.0</v>
      </c>
      <c r="H354" s="2">
        <f t="shared" si="1"/>
        <v>75000</v>
      </c>
      <c r="I354" s="2">
        <f t="shared" si="2"/>
        <v>50000</v>
      </c>
      <c r="J354" s="47">
        <f t="shared" si="3"/>
        <v>1</v>
      </c>
      <c r="K354" s="2">
        <f t="shared" si="4"/>
        <v>150000</v>
      </c>
      <c r="L354" s="1"/>
    </row>
    <row r="355">
      <c r="A355" s="55">
        <v>46186.0</v>
      </c>
      <c r="B355" s="1" t="s">
        <v>820</v>
      </c>
      <c r="C355" s="1" t="str">
        <f>VLOOKUP(B355,MAESTRA!I:K,2,0)</f>
        <v>*1128832*</v>
      </c>
      <c r="D355" s="1" t="str">
        <f>VLOOKUP(B355,MAESTRA!I:K,3,0)</f>
        <v>CAMISETAS CABALLERO COLOMBIA AAA TALLA XL</v>
      </c>
      <c r="E355" s="1" t="s">
        <v>806</v>
      </c>
      <c r="F355" s="45">
        <v>2.0</v>
      </c>
      <c r="G355" s="3">
        <v>25000.0</v>
      </c>
      <c r="H355" s="2">
        <f t="shared" si="1"/>
        <v>50000</v>
      </c>
      <c r="I355" s="2">
        <f t="shared" si="2"/>
        <v>50000</v>
      </c>
      <c r="J355" s="47">
        <f t="shared" si="3"/>
        <v>1</v>
      </c>
      <c r="K355" s="2">
        <f t="shared" si="4"/>
        <v>100000</v>
      </c>
      <c r="L355" s="1"/>
    </row>
    <row r="356">
      <c r="A356" s="55">
        <v>46186.0</v>
      </c>
      <c r="B356" s="1" t="s">
        <v>821</v>
      </c>
      <c r="C356" s="1" t="str">
        <f>VLOOKUP(B356,MAESTRA!I:K,2,0)</f>
        <v>*1128834*</v>
      </c>
      <c r="D356" s="1" t="str">
        <f>VLOOKUP(B356,MAESTRA!I:K,3,0)</f>
        <v>CAMISETAS CABALLERO COLOMBIA AAA TALLA XXL</v>
      </c>
      <c r="E356" s="1" t="s">
        <v>806</v>
      </c>
      <c r="F356" s="45">
        <v>1.0</v>
      </c>
      <c r="G356" s="3">
        <v>25000.0</v>
      </c>
      <c r="H356" s="2">
        <f t="shared" si="1"/>
        <v>25000</v>
      </c>
      <c r="I356" s="2">
        <f t="shared" si="2"/>
        <v>50000</v>
      </c>
      <c r="J356" s="47">
        <f t="shared" si="3"/>
        <v>1</v>
      </c>
      <c r="K356" s="2">
        <f t="shared" si="4"/>
        <v>50000</v>
      </c>
      <c r="L356" s="1"/>
    </row>
    <row r="357">
      <c r="A357" s="55">
        <v>46186.0</v>
      </c>
      <c r="B357" s="1" t="s">
        <v>822</v>
      </c>
      <c r="C357" s="1" t="str">
        <f>VLOOKUP(B357,MAESTRA!I:K,2,0)</f>
        <v>*1118727*</v>
      </c>
      <c r="D357" s="1" t="str">
        <f>VLOOKUP(B357,MAESTRA!I:K,3,0)</f>
        <v>CAMISETAS DAMA COLOMBIA 1.1 LOCAL TALLA S</v>
      </c>
      <c r="E357" s="1" t="s">
        <v>806</v>
      </c>
      <c r="F357" s="45">
        <v>3.0</v>
      </c>
      <c r="G357" s="2">
        <v>30000.0</v>
      </c>
      <c r="H357" s="2">
        <f t="shared" si="1"/>
        <v>90000</v>
      </c>
      <c r="I357" s="2">
        <f t="shared" si="2"/>
        <v>60000</v>
      </c>
      <c r="J357" s="47">
        <f t="shared" si="3"/>
        <v>1</v>
      </c>
      <c r="K357" s="2">
        <f t="shared" si="4"/>
        <v>180000</v>
      </c>
      <c r="L357" s="1"/>
    </row>
    <row r="358">
      <c r="A358" s="55">
        <v>46186.0</v>
      </c>
      <c r="B358" s="1" t="s">
        <v>823</v>
      </c>
      <c r="C358" s="1" t="str">
        <f>VLOOKUP(B358,MAESTRA!I:K,2,0)</f>
        <v>*1118725*</v>
      </c>
      <c r="D358" s="1" t="str">
        <f>VLOOKUP(B358,MAESTRA!I:K,3,0)</f>
        <v>CAMISETAS DAMA COLOMBIA 1.1 LOCAL TALLA M</v>
      </c>
      <c r="E358" s="1" t="s">
        <v>806</v>
      </c>
      <c r="F358" s="45">
        <v>2.0</v>
      </c>
      <c r="G358" s="2">
        <v>30000.0</v>
      </c>
      <c r="H358" s="2">
        <f t="shared" si="1"/>
        <v>60000</v>
      </c>
      <c r="I358" s="2">
        <f t="shared" si="2"/>
        <v>60000</v>
      </c>
      <c r="J358" s="47">
        <f t="shared" si="3"/>
        <v>1</v>
      </c>
      <c r="K358" s="2">
        <f t="shared" si="4"/>
        <v>120000</v>
      </c>
      <c r="L358" s="1"/>
    </row>
    <row r="359">
      <c r="A359" s="55">
        <v>46186.0</v>
      </c>
      <c r="B359" s="1" t="s">
        <v>824</v>
      </c>
      <c r="C359" s="1" t="str">
        <f>VLOOKUP(B359,MAESTRA!I:K,2,0)</f>
        <v>*1118723*</v>
      </c>
      <c r="D359" s="1" t="str">
        <f>VLOOKUP(B359,MAESTRA!I:K,3,0)</f>
        <v>CAMISETAS DAMA COLOMBIA 1.1 LOCAL TALLA L</v>
      </c>
      <c r="E359" s="1" t="s">
        <v>806</v>
      </c>
      <c r="F359" s="45">
        <v>4.0</v>
      </c>
      <c r="G359" s="2">
        <v>30000.0</v>
      </c>
      <c r="H359" s="2">
        <f t="shared" si="1"/>
        <v>120000</v>
      </c>
      <c r="I359" s="2">
        <f t="shared" si="2"/>
        <v>60000</v>
      </c>
      <c r="J359" s="47">
        <f t="shared" si="3"/>
        <v>1</v>
      </c>
      <c r="K359" s="2">
        <f t="shared" si="4"/>
        <v>240000</v>
      </c>
      <c r="L359" s="1"/>
    </row>
    <row r="360">
      <c r="A360" s="55">
        <v>46186.0</v>
      </c>
      <c r="B360" s="1" t="s">
        <v>825</v>
      </c>
      <c r="C360" s="1" t="str">
        <f>VLOOKUP(B360,MAESTRA!I:K,2,0)</f>
        <v>*1118732*</v>
      </c>
      <c r="D360" s="1" t="str">
        <f>VLOOKUP(B360,MAESTRA!I:K,3,0)</f>
        <v>CAMISETAS DAMA COLOMBIA 1.1 LOCAL TALLA XL</v>
      </c>
      <c r="E360" s="1" t="s">
        <v>806</v>
      </c>
      <c r="F360" s="45">
        <v>3.0</v>
      </c>
      <c r="G360" s="2">
        <v>30000.0</v>
      </c>
      <c r="H360" s="2">
        <f t="shared" si="1"/>
        <v>90000</v>
      </c>
      <c r="I360" s="2">
        <f t="shared" si="2"/>
        <v>60000</v>
      </c>
      <c r="J360" s="47">
        <f t="shared" si="3"/>
        <v>1</v>
      </c>
      <c r="K360" s="2">
        <f t="shared" si="4"/>
        <v>180000</v>
      </c>
      <c r="L360" s="1"/>
    </row>
    <row r="361">
      <c r="A361" s="55">
        <v>46186.0</v>
      </c>
      <c r="B361" s="1" t="s">
        <v>826</v>
      </c>
      <c r="C361" s="1" t="str">
        <f>VLOOKUP(B361,MAESTRA!I:K,2,0)</f>
        <v>*11215027*</v>
      </c>
      <c r="D361" s="1" t="str">
        <f>VLOOKUP(B361,MAESTRA!I:K,3,0)</f>
        <v>CAMISETAS CABALLERO ITALIA 90 TALLA S</v>
      </c>
      <c r="E361" s="1" t="s">
        <v>806</v>
      </c>
      <c r="F361" s="45">
        <v>1.0</v>
      </c>
      <c r="G361" s="3">
        <v>32000.0</v>
      </c>
      <c r="H361" s="2">
        <f t="shared" si="1"/>
        <v>32000</v>
      </c>
      <c r="I361" s="2">
        <f t="shared" si="2"/>
        <v>64000</v>
      </c>
      <c r="J361" s="47">
        <f t="shared" si="3"/>
        <v>1</v>
      </c>
      <c r="K361" s="2">
        <f t="shared" si="4"/>
        <v>64000</v>
      </c>
      <c r="L361" s="1"/>
    </row>
    <row r="362">
      <c r="A362" s="55">
        <v>46186.0</v>
      </c>
      <c r="B362" s="1" t="s">
        <v>827</v>
      </c>
      <c r="C362" s="1" t="str">
        <f>VLOOKUP(B362,MAESTRA!I:K,2,0)</f>
        <v>*11215025*</v>
      </c>
      <c r="D362" s="1" t="str">
        <f>VLOOKUP(B362,MAESTRA!I:K,3,0)</f>
        <v>CAMISETAS CABALLERO ITALIA 90 TALLA M</v>
      </c>
      <c r="E362" s="1" t="s">
        <v>806</v>
      </c>
      <c r="F362" s="45">
        <v>2.0</v>
      </c>
      <c r="G362" s="3">
        <v>32000.0</v>
      </c>
      <c r="H362" s="2">
        <f t="shared" si="1"/>
        <v>64000</v>
      </c>
      <c r="I362" s="2">
        <f t="shared" si="2"/>
        <v>64000</v>
      </c>
      <c r="J362" s="47">
        <f t="shared" si="3"/>
        <v>1</v>
      </c>
      <c r="K362" s="2">
        <f t="shared" si="4"/>
        <v>128000</v>
      </c>
      <c r="L362" s="1"/>
    </row>
    <row r="363">
      <c r="A363" s="55">
        <v>46186.0</v>
      </c>
      <c r="B363" s="1" t="s">
        <v>828</v>
      </c>
      <c r="C363" s="1" t="str">
        <f>VLOOKUP(B363,MAESTRA!I:K,2,0)</f>
        <v>*11215023*</v>
      </c>
      <c r="D363" s="1" t="str">
        <f>VLOOKUP(B363,MAESTRA!I:K,3,0)</f>
        <v>CAMISETAS CABALLERO ITALIA 90 TALLA L</v>
      </c>
      <c r="E363" s="1" t="s">
        <v>806</v>
      </c>
      <c r="F363" s="45">
        <v>2.0</v>
      </c>
      <c r="G363" s="3">
        <v>32000.0</v>
      </c>
      <c r="H363" s="2">
        <f t="shared" si="1"/>
        <v>64000</v>
      </c>
      <c r="I363" s="2">
        <f t="shared" si="2"/>
        <v>64000</v>
      </c>
      <c r="J363" s="47">
        <f t="shared" si="3"/>
        <v>1</v>
      </c>
      <c r="K363" s="2">
        <f t="shared" si="4"/>
        <v>128000</v>
      </c>
      <c r="L363" s="1"/>
    </row>
    <row r="364">
      <c r="A364" s="55">
        <v>46186.0</v>
      </c>
      <c r="B364" s="1" t="s">
        <v>829</v>
      </c>
      <c r="C364" s="1" t="str">
        <f>VLOOKUP(B364,MAESTRA!I:K,2,0)</f>
        <v>*11215032*</v>
      </c>
      <c r="D364" s="1" t="str">
        <f>VLOOKUP(B364,MAESTRA!I:K,3,0)</f>
        <v>CAMISETAS CABALLERO ITALIA 90 TALLA XL</v>
      </c>
      <c r="E364" s="1" t="s">
        <v>806</v>
      </c>
      <c r="F364" s="45">
        <v>1.0</v>
      </c>
      <c r="G364" s="3">
        <v>32000.0</v>
      </c>
      <c r="H364" s="2">
        <f t="shared" si="1"/>
        <v>32000</v>
      </c>
      <c r="I364" s="2">
        <f t="shared" si="2"/>
        <v>64000</v>
      </c>
      <c r="J364" s="47">
        <f t="shared" si="3"/>
        <v>1</v>
      </c>
      <c r="K364" s="2">
        <f t="shared" si="4"/>
        <v>64000</v>
      </c>
      <c r="L364" s="1"/>
    </row>
    <row r="365">
      <c r="A365" s="55">
        <v>46186.0</v>
      </c>
      <c r="B365" s="1" t="s">
        <v>818</v>
      </c>
      <c r="C365" s="1" t="str">
        <f>VLOOKUP(B365,MAESTRA!I:K,2,0)</f>
        <v>*1128825*</v>
      </c>
      <c r="D365" s="1" t="str">
        <f>VLOOKUP(B365,MAESTRA!I:K,3,0)</f>
        <v>CAMISETAS CABALLERO COLOMBIA AAA TALLA M</v>
      </c>
      <c r="E365" s="1" t="s">
        <v>806</v>
      </c>
      <c r="F365" s="45">
        <v>1.0</v>
      </c>
      <c r="G365" s="2">
        <v>28000.0</v>
      </c>
      <c r="H365" s="2">
        <f t="shared" si="1"/>
        <v>28000</v>
      </c>
      <c r="I365" s="2">
        <f t="shared" si="2"/>
        <v>56000</v>
      </c>
      <c r="J365" s="47">
        <f t="shared" si="3"/>
        <v>1</v>
      </c>
      <c r="K365" s="2">
        <f t="shared" si="4"/>
        <v>56000</v>
      </c>
      <c r="L365" s="1"/>
    </row>
    <row r="366">
      <c r="A366" s="55">
        <v>46186.0</v>
      </c>
      <c r="B366" s="1" t="s">
        <v>819</v>
      </c>
      <c r="C366" s="1" t="str">
        <f>VLOOKUP(B366,MAESTRA!I:K,2,0)</f>
        <v>*1128823*</v>
      </c>
      <c r="D366" s="1" t="str">
        <f>VLOOKUP(B366,MAESTRA!I:K,3,0)</f>
        <v>CAMISETAS CABALLERO COLOMBIA AAA TALLA L</v>
      </c>
      <c r="E366" s="1" t="s">
        <v>806</v>
      </c>
      <c r="F366" s="45">
        <v>1.0</v>
      </c>
      <c r="G366" s="2">
        <v>28000.0</v>
      </c>
      <c r="H366" s="2">
        <f t="shared" si="1"/>
        <v>28000</v>
      </c>
      <c r="I366" s="2">
        <f t="shared" si="2"/>
        <v>56000</v>
      </c>
      <c r="J366" s="47">
        <f t="shared" si="3"/>
        <v>1</v>
      </c>
      <c r="K366" s="2">
        <f t="shared" si="4"/>
        <v>56000</v>
      </c>
      <c r="L366" s="1"/>
    </row>
    <row r="367">
      <c r="A367" s="55">
        <v>46186.0</v>
      </c>
      <c r="B367" s="1" t="s">
        <v>820</v>
      </c>
      <c r="C367" s="1" t="str">
        <f>VLOOKUP(B367,MAESTRA!I:K,2,0)</f>
        <v>*1128832*</v>
      </c>
      <c r="D367" s="1" t="str">
        <f>VLOOKUP(B367,MAESTRA!I:K,3,0)</f>
        <v>CAMISETAS CABALLERO COLOMBIA AAA TALLA XL</v>
      </c>
      <c r="E367" s="1" t="s">
        <v>806</v>
      </c>
      <c r="F367" s="45">
        <v>1.0</v>
      </c>
      <c r="G367" s="2">
        <v>28000.0</v>
      </c>
      <c r="H367" s="2">
        <f t="shared" si="1"/>
        <v>28000</v>
      </c>
      <c r="I367" s="2">
        <f t="shared" si="2"/>
        <v>56000</v>
      </c>
      <c r="J367" s="47">
        <f t="shared" si="3"/>
        <v>1</v>
      </c>
      <c r="K367" s="2">
        <f t="shared" si="4"/>
        <v>56000</v>
      </c>
      <c r="L367" s="1"/>
    </row>
    <row r="368">
      <c r="A368" s="55">
        <v>46186.0</v>
      </c>
      <c r="B368" s="1" t="s">
        <v>811</v>
      </c>
      <c r="C368" s="1" t="str">
        <f>VLOOKUP(B368,MAESTRA!I:K,2,0)</f>
        <v>*114887*</v>
      </c>
      <c r="D368" s="1" t="str">
        <f>VLOOKUP(B368,MAESTRA!I:K,3,0)</f>
        <v>CAMISETAS NIÑO COLOMBIA AAA TALLA 18</v>
      </c>
      <c r="E368" s="1" t="s">
        <v>806</v>
      </c>
      <c r="F368" s="45">
        <v>1.0</v>
      </c>
      <c r="G368" s="3">
        <v>28000.0</v>
      </c>
      <c r="H368" s="2">
        <f t="shared" si="1"/>
        <v>28000</v>
      </c>
      <c r="I368" s="2">
        <f t="shared" si="2"/>
        <v>56000</v>
      </c>
      <c r="J368" s="47">
        <f t="shared" si="3"/>
        <v>1</v>
      </c>
      <c r="K368" s="2">
        <f t="shared" si="4"/>
        <v>56000</v>
      </c>
      <c r="L368" s="1"/>
    </row>
    <row r="369">
      <c r="A369" s="55">
        <v>46186.0</v>
      </c>
      <c r="B369" s="1" t="s">
        <v>813</v>
      </c>
      <c r="C369" s="1" t="str">
        <f>VLOOKUP(B369,MAESTRA!I:K,2,0)</f>
        <v>*114889*</v>
      </c>
      <c r="D369" s="1" t="str">
        <f>VLOOKUP(B369,MAESTRA!I:K,3,0)</f>
        <v>CAMISETAS NIÑO COLOMBIA AAA TALLA 22</v>
      </c>
      <c r="E369" s="1" t="s">
        <v>806</v>
      </c>
      <c r="F369" s="45">
        <v>2.0</v>
      </c>
      <c r="G369" s="3">
        <v>28000.0</v>
      </c>
      <c r="H369" s="2">
        <f t="shared" si="1"/>
        <v>56000</v>
      </c>
      <c r="I369" s="2">
        <f t="shared" si="2"/>
        <v>56000</v>
      </c>
      <c r="J369" s="47">
        <f t="shared" si="3"/>
        <v>1</v>
      </c>
      <c r="K369" s="2">
        <f t="shared" si="4"/>
        <v>112000</v>
      </c>
      <c r="L369" s="1"/>
    </row>
    <row r="370">
      <c r="A370" s="55">
        <v>46186.0</v>
      </c>
      <c r="B370" s="1" t="s">
        <v>814</v>
      </c>
      <c r="C370" s="1" t="str">
        <f>VLOOKUP(B370,MAESTRA!I:K,2,0)</f>
        <v>*1148810*</v>
      </c>
      <c r="D370" s="1" t="str">
        <f>VLOOKUP(B370,MAESTRA!I:K,3,0)</f>
        <v>CAMISETAS NIÑO COLOMBIA AAA TALLA 24</v>
      </c>
      <c r="E370" s="1" t="s">
        <v>806</v>
      </c>
      <c r="F370" s="45">
        <v>2.0</v>
      </c>
      <c r="G370" s="3">
        <v>28000.0</v>
      </c>
      <c r="H370" s="2">
        <f t="shared" si="1"/>
        <v>56000</v>
      </c>
      <c r="I370" s="2">
        <f t="shared" si="2"/>
        <v>56000</v>
      </c>
      <c r="J370" s="47">
        <f t="shared" si="3"/>
        <v>1</v>
      </c>
      <c r="K370" s="2">
        <f t="shared" si="4"/>
        <v>112000</v>
      </c>
      <c r="L370" s="1"/>
    </row>
    <row r="371">
      <c r="A371" s="55">
        <v>46186.0</v>
      </c>
      <c r="B371" s="1" t="s">
        <v>815</v>
      </c>
      <c r="C371" s="1" t="str">
        <f>VLOOKUP(B371,MAESTRA!I:K,2,0)</f>
        <v>*1148811*</v>
      </c>
      <c r="D371" s="1" t="str">
        <f>VLOOKUP(B371,MAESTRA!I:K,3,0)</f>
        <v>CAMISETAS NIÑO COLOMBIA AAA TALLA 26</v>
      </c>
      <c r="E371" s="1" t="s">
        <v>806</v>
      </c>
      <c r="F371" s="45">
        <v>3.0</v>
      </c>
      <c r="G371" s="3">
        <v>28000.0</v>
      </c>
      <c r="H371" s="2">
        <f t="shared" si="1"/>
        <v>84000</v>
      </c>
      <c r="I371" s="2">
        <f t="shared" si="2"/>
        <v>56000</v>
      </c>
      <c r="J371" s="47">
        <f t="shared" si="3"/>
        <v>1</v>
      </c>
      <c r="K371" s="2">
        <f t="shared" si="4"/>
        <v>168000</v>
      </c>
      <c r="L371" s="1"/>
    </row>
    <row r="372">
      <c r="A372" s="55">
        <v>46186.0</v>
      </c>
      <c r="B372" s="1" t="s">
        <v>816</v>
      </c>
      <c r="C372" s="1" t="str">
        <f>VLOOKUP(B372,MAESTRA!I:K,2,0)</f>
        <v>*1148812*</v>
      </c>
      <c r="D372" s="1" t="str">
        <f>VLOOKUP(B372,MAESTRA!I:K,3,0)</f>
        <v>CAMISETAS NIÑO COLOMBIA AAA TALLA 28</v>
      </c>
      <c r="E372" s="1" t="s">
        <v>806</v>
      </c>
      <c r="F372" s="45">
        <v>4.0</v>
      </c>
      <c r="G372" s="3">
        <v>28000.0</v>
      </c>
      <c r="H372" s="2">
        <f t="shared" si="1"/>
        <v>112000</v>
      </c>
      <c r="I372" s="2">
        <f t="shared" si="2"/>
        <v>56000</v>
      </c>
      <c r="J372" s="47">
        <f t="shared" si="3"/>
        <v>1</v>
      </c>
      <c r="K372" s="2">
        <f t="shared" si="4"/>
        <v>224000</v>
      </c>
      <c r="L372" s="1"/>
    </row>
    <row r="373">
      <c r="A373" s="55">
        <v>46186.0</v>
      </c>
      <c r="B373" s="1" t="s">
        <v>830</v>
      </c>
      <c r="C373" s="1" t="str">
        <f>VLOOKUP(B373,MAESTRA!I:K,2,0)</f>
        <v>*4025127*</v>
      </c>
      <c r="D373" s="1" t="str">
        <f>VLOOKUP(B373,MAESTRA!I:K,3,0)</f>
        <v>CONJUNTO CABALLERO BRASIL AAA TALLA S</v>
      </c>
      <c r="E373" s="1" t="s">
        <v>831</v>
      </c>
      <c r="F373" s="45">
        <v>1.0</v>
      </c>
      <c r="G373" s="2">
        <v>35000.0</v>
      </c>
      <c r="H373" s="2">
        <f t="shared" si="1"/>
        <v>35000</v>
      </c>
      <c r="I373" s="2">
        <f t="shared" si="2"/>
        <v>70000</v>
      </c>
      <c r="J373" s="47">
        <f t="shared" si="3"/>
        <v>1</v>
      </c>
      <c r="K373" s="2">
        <f t="shared" si="4"/>
        <v>70000</v>
      </c>
      <c r="L373" s="1"/>
    </row>
    <row r="374">
      <c r="A374" s="55">
        <v>46186.0</v>
      </c>
      <c r="B374" s="1" t="s">
        <v>832</v>
      </c>
      <c r="C374" s="1" t="str">
        <f>VLOOKUP(B374,MAESTRA!I:K,2,0)</f>
        <v>*4025125*</v>
      </c>
      <c r="D374" s="1" t="str">
        <f>VLOOKUP(B374,MAESTRA!I:K,3,0)</f>
        <v>CONJUNTO CABALLERO BRASIL AAA TALLA M</v>
      </c>
      <c r="E374" s="1" t="s">
        <v>831</v>
      </c>
      <c r="F374" s="45">
        <v>1.0</v>
      </c>
      <c r="G374" s="2">
        <v>35000.0</v>
      </c>
      <c r="H374" s="2">
        <f t="shared" si="1"/>
        <v>35000</v>
      </c>
      <c r="I374" s="2">
        <f t="shared" si="2"/>
        <v>70000</v>
      </c>
      <c r="J374" s="47">
        <f t="shared" si="3"/>
        <v>1</v>
      </c>
      <c r="K374" s="2">
        <f t="shared" si="4"/>
        <v>70000</v>
      </c>
      <c r="L374" s="1"/>
    </row>
    <row r="375">
      <c r="A375" s="55">
        <v>46186.0</v>
      </c>
      <c r="B375" s="1" t="s">
        <v>833</v>
      </c>
      <c r="C375" s="1" t="str">
        <f>VLOOKUP(B375,MAESTRA!I:K,2,0)</f>
        <v>*4025123*</v>
      </c>
      <c r="D375" s="1" t="str">
        <f>VLOOKUP(B375,MAESTRA!I:K,3,0)</f>
        <v>CONJUNTO CABALLERO BRASIL AAA TALLA L</v>
      </c>
      <c r="E375" s="1" t="s">
        <v>831</v>
      </c>
      <c r="F375" s="45">
        <v>1.0</v>
      </c>
      <c r="G375" s="2">
        <v>35000.0</v>
      </c>
      <c r="H375" s="2">
        <f t="shared" si="1"/>
        <v>35000</v>
      </c>
      <c r="I375" s="2">
        <f t="shared" si="2"/>
        <v>70000</v>
      </c>
      <c r="J375" s="47">
        <f t="shared" si="3"/>
        <v>1</v>
      </c>
      <c r="K375" s="2">
        <f t="shared" si="4"/>
        <v>70000</v>
      </c>
      <c r="L375" s="1"/>
    </row>
    <row r="376">
      <c r="A376" s="55">
        <v>46186.0</v>
      </c>
      <c r="B376" s="1" t="s">
        <v>834</v>
      </c>
      <c r="C376" s="1" t="str">
        <f>VLOOKUP(B376,MAESTRA!I:K,2,0)</f>
        <v>*4025132*</v>
      </c>
      <c r="D376" s="1" t="str">
        <f>VLOOKUP(B376,MAESTRA!I:K,3,0)</f>
        <v>CONJUNTO CABALLERO BRASIL AAA TALLA XL</v>
      </c>
      <c r="E376" s="1" t="s">
        <v>831</v>
      </c>
      <c r="F376" s="45">
        <v>1.0</v>
      </c>
      <c r="G376" s="2">
        <v>35000.0</v>
      </c>
      <c r="H376" s="2">
        <f t="shared" si="1"/>
        <v>35000</v>
      </c>
      <c r="I376" s="2">
        <f t="shared" si="2"/>
        <v>70000</v>
      </c>
      <c r="J376" s="47">
        <f t="shared" si="3"/>
        <v>1</v>
      </c>
      <c r="K376" s="2">
        <f t="shared" si="4"/>
        <v>70000</v>
      </c>
      <c r="L376" s="1"/>
    </row>
    <row r="377">
      <c r="A377" s="55">
        <v>46186.0</v>
      </c>
      <c r="B377" s="1" t="s">
        <v>835</v>
      </c>
      <c r="C377" s="1" t="str">
        <f>VLOOKUP(B377,MAESTRA!I:K,2,0)</f>
        <v>*4025134*</v>
      </c>
      <c r="D377" s="1" t="str">
        <f>VLOOKUP(B377,MAESTRA!I:K,3,0)</f>
        <v>CONJUNTO CABALLERO BRASIL AAA TALLA XXL</v>
      </c>
      <c r="E377" s="1" t="s">
        <v>831</v>
      </c>
      <c r="F377" s="45">
        <v>1.0</v>
      </c>
      <c r="G377" s="2">
        <v>35000.0</v>
      </c>
      <c r="H377" s="2">
        <f t="shared" si="1"/>
        <v>35000</v>
      </c>
      <c r="I377" s="2">
        <f t="shared" si="2"/>
        <v>70000</v>
      </c>
      <c r="J377" s="47">
        <f t="shared" si="3"/>
        <v>1</v>
      </c>
      <c r="K377" s="2">
        <f t="shared" si="4"/>
        <v>70000</v>
      </c>
      <c r="L377" s="1"/>
    </row>
    <row r="378">
      <c r="A378" s="55">
        <v>46186.0</v>
      </c>
      <c r="B378" s="1" t="s">
        <v>836</v>
      </c>
      <c r="C378" s="1" t="str">
        <f>VLOOKUP(B378,MAESTRA!I:K,2,0)</f>
        <v>*40222327*</v>
      </c>
      <c r="D378" s="1" t="str">
        <f>VLOOKUP(B378,MAESTRA!I:K,3,0)</f>
        <v>CONJUNTO CABALLERO PORTUGAL AAA TALLA S</v>
      </c>
      <c r="E378" s="1" t="s">
        <v>837</v>
      </c>
      <c r="F378" s="45">
        <v>1.0</v>
      </c>
      <c r="G378" s="3">
        <v>28000.0</v>
      </c>
      <c r="H378" s="2">
        <f t="shared" si="1"/>
        <v>28000</v>
      </c>
      <c r="I378" s="2">
        <f t="shared" si="2"/>
        <v>56000</v>
      </c>
      <c r="J378" s="47">
        <f t="shared" si="3"/>
        <v>1</v>
      </c>
      <c r="K378" s="2">
        <f t="shared" si="4"/>
        <v>56000</v>
      </c>
      <c r="L378" s="1"/>
    </row>
    <row r="379">
      <c r="A379" s="55">
        <v>46186.0</v>
      </c>
      <c r="B379" s="1" t="s">
        <v>838</v>
      </c>
      <c r="C379" s="1" t="str">
        <f>VLOOKUP(B379,MAESTRA!I:K,2,0)</f>
        <v>*40222325*</v>
      </c>
      <c r="D379" s="1" t="str">
        <f>VLOOKUP(B379,MAESTRA!I:K,3,0)</f>
        <v>CONJUNTO CABALLERO PORTUGAL AAA TALLA M</v>
      </c>
      <c r="E379" s="1" t="s">
        <v>837</v>
      </c>
      <c r="F379" s="45">
        <v>2.0</v>
      </c>
      <c r="G379" s="3">
        <v>28000.0</v>
      </c>
      <c r="H379" s="2">
        <f t="shared" si="1"/>
        <v>56000</v>
      </c>
      <c r="I379" s="2">
        <f t="shared" si="2"/>
        <v>56000</v>
      </c>
      <c r="J379" s="47">
        <f t="shared" si="3"/>
        <v>1</v>
      </c>
      <c r="K379" s="2">
        <f t="shared" si="4"/>
        <v>112000</v>
      </c>
      <c r="L379" s="1"/>
    </row>
    <row r="380">
      <c r="A380" s="55">
        <v>46186.0</v>
      </c>
      <c r="B380" s="1" t="s">
        <v>839</v>
      </c>
      <c r="C380" s="1" t="str">
        <f>VLOOKUP(B380,MAESTRA!I:K,2,0)</f>
        <v>*40222323*</v>
      </c>
      <c r="D380" s="1" t="str">
        <f>VLOOKUP(B380,MAESTRA!I:K,3,0)</f>
        <v>CONJUNTO CABALLERO PORTUGAL AAA TALLA L</v>
      </c>
      <c r="E380" s="1" t="s">
        <v>837</v>
      </c>
      <c r="F380" s="45">
        <v>2.0</v>
      </c>
      <c r="G380" s="3">
        <v>28000.0</v>
      </c>
      <c r="H380" s="2">
        <f t="shared" si="1"/>
        <v>56000</v>
      </c>
      <c r="I380" s="2">
        <f t="shared" si="2"/>
        <v>56000</v>
      </c>
      <c r="J380" s="47">
        <f t="shared" si="3"/>
        <v>1</v>
      </c>
      <c r="K380" s="2">
        <f t="shared" si="4"/>
        <v>112000</v>
      </c>
      <c r="L380" s="1"/>
    </row>
    <row r="381">
      <c r="A381" s="55">
        <v>46186.0</v>
      </c>
      <c r="B381" s="1" t="s">
        <v>840</v>
      </c>
      <c r="C381" s="1" t="str">
        <f>VLOOKUP(B381,MAESTRA!I:K,2,0)</f>
        <v>*40222332*</v>
      </c>
      <c r="D381" s="1" t="str">
        <f>VLOOKUP(B381,MAESTRA!I:K,3,0)</f>
        <v>CONJUNTO CABALLERO PORTUGAL AAA TALLA XL</v>
      </c>
      <c r="E381" s="1" t="s">
        <v>837</v>
      </c>
      <c r="F381" s="45">
        <v>1.0</v>
      </c>
      <c r="G381" s="3">
        <v>28000.0</v>
      </c>
      <c r="H381" s="2">
        <f t="shared" si="1"/>
        <v>28000</v>
      </c>
      <c r="I381" s="2">
        <f t="shared" si="2"/>
        <v>56000</v>
      </c>
      <c r="J381" s="47">
        <f t="shared" si="3"/>
        <v>1</v>
      </c>
      <c r="K381" s="2">
        <f t="shared" si="4"/>
        <v>56000</v>
      </c>
      <c r="L381" s="1"/>
    </row>
    <row r="382">
      <c r="A382" s="55">
        <v>46186.0</v>
      </c>
      <c r="B382" s="1" t="s">
        <v>841</v>
      </c>
      <c r="C382" s="1" t="str">
        <f>VLOOKUP(B382,MAESTRA!I:K,2,0)</f>
        <v>*1123827*</v>
      </c>
      <c r="D382" s="1" t="str">
        <f>VLOOKUP(B382,MAESTRA!I:K,3,0)</f>
        <v>CAMISETAS CABALLERO ATLETICO NACIONAL AAA 2026 TALLA S</v>
      </c>
      <c r="E382" s="1" t="s">
        <v>842</v>
      </c>
      <c r="F382" s="45">
        <v>1.0</v>
      </c>
      <c r="G382" s="3">
        <v>15000.0</v>
      </c>
      <c r="H382" s="2">
        <f t="shared" si="1"/>
        <v>15000</v>
      </c>
      <c r="I382" s="2">
        <f t="shared" si="2"/>
        <v>30000</v>
      </c>
      <c r="J382" s="47">
        <f t="shared" si="3"/>
        <v>1</v>
      </c>
      <c r="K382" s="2">
        <f t="shared" si="4"/>
        <v>30000</v>
      </c>
      <c r="L382" s="1"/>
    </row>
    <row r="383">
      <c r="A383" s="55">
        <v>46186.0</v>
      </c>
      <c r="B383" s="1" t="s">
        <v>843</v>
      </c>
      <c r="C383" s="1" t="str">
        <f>VLOOKUP(B383,MAESTRA!I:K,2,0)</f>
        <v>*1123825*</v>
      </c>
      <c r="D383" s="1" t="str">
        <f>VLOOKUP(B383,MAESTRA!I:K,3,0)</f>
        <v>CAMISETAS CABALLERO ATLETICO NACIONAL AAA 2026 TALLA M</v>
      </c>
      <c r="E383" s="1" t="s">
        <v>842</v>
      </c>
      <c r="F383" s="45">
        <v>2.0</v>
      </c>
      <c r="G383" s="3">
        <v>15000.0</v>
      </c>
      <c r="H383" s="2">
        <f t="shared" si="1"/>
        <v>30000</v>
      </c>
      <c r="I383" s="2">
        <f t="shared" si="2"/>
        <v>30000</v>
      </c>
      <c r="J383" s="47">
        <f t="shared" si="3"/>
        <v>1</v>
      </c>
      <c r="K383" s="2">
        <f t="shared" si="4"/>
        <v>60000</v>
      </c>
      <c r="L383" s="1"/>
    </row>
    <row r="384">
      <c r="A384" s="55">
        <v>46186.0</v>
      </c>
      <c r="B384" s="1" t="s">
        <v>844</v>
      </c>
      <c r="C384" s="1" t="str">
        <f>VLOOKUP(B384,MAESTRA!I:K,2,0)</f>
        <v>*1123823*</v>
      </c>
      <c r="D384" s="1" t="str">
        <f>VLOOKUP(B384,MAESTRA!I:K,3,0)</f>
        <v>CAMISETAS CABALLERO ATLETICO NACIONAL AAA 2026 TALLA L</v>
      </c>
      <c r="E384" s="1" t="s">
        <v>842</v>
      </c>
      <c r="F384" s="45">
        <v>2.0</v>
      </c>
      <c r="G384" s="3">
        <v>15000.0</v>
      </c>
      <c r="H384" s="2">
        <f t="shared" si="1"/>
        <v>30000</v>
      </c>
      <c r="I384" s="2">
        <f t="shared" si="2"/>
        <v>30000</v>
      </c>
      <c r="J384" s="47">
        <f t="shared" si="3"/>
        <v>1</v>
      </c>
      <c r="K384" s="2">
        <f t="shared" si="4"/>
        <v>60000</v>
      </c>
      <c r="L384" s="1"/>
    </row>
    <row r="385">
      <c r="A385" s="55">
        <v>46186.0</v>
      </c>
      <c r="B385" s="1" t="s">
        <v>845</v>
      </c>
      <c r="C385" s="1" t="str">
        <f>VLOOKUP(B385,MAESTRA!I:K,2,0)</f>
        <v>*1123832*</v>
      </c>
      <c r="D385" s="1" t="str">
        <f>VLOOKUP(B385,MAESTRA!I:K,3,0)</f>
        <v>CAMISETAS CABALLERO ATLETICO NACIONAL AAA 2026 TALLA XL</v>
      </c>
      <c r="E385" s="1" t="s">
        <v>842</v>
      </c>
      <c r="F385" s="45">
        <v>1.0</v>
      </c>
      <c r="G385" s="3">
        <v>15000.0</v>
      </c>
      <c r="H385" s="2">
        <f t="shared" si="1"/>
        <v>15000</v>
      </c>
      <c r="I385" s="2">
        <f t="shared" si="2"/>
        <v>30000</v>
      </c>
      <c r="J385" s="47">
        <f t="shared" si="3"/>
        <v>1</v>
      </c>
      <c r="K385" s="2">
        <f t="shared" si="4"/>
        <v>30000</v>
      </c>
      <c r="L385" s="1"/>
    </row>
    <row r="386">
      <c r="A386" s="55">
        <v>46186.0</v>
      </c>
      <c r="B386" s="1" t="s">
        <v>846</v>
      </c>
      <c r="C386" s="1" t="str">
        <f>VLOOKUP(B386,MAESTRA!I:K,2,0)</f>
        <v>*1123732*</v>
      </c>
      <c r="D386" s="1" t="str">
        <f>VLOOKUP(B386,MAESTRA!I:K,3,0)</f>
        <v>CAMISETAS CABALLERO ATLETICO NACIONAL AAA 2025 TALLA XL</v>
      </c>
      <c r="E386" s="1" t="s">
        <v>842</v>
      </c>
      <c r="F386" s="45">
        <v>4.0</v>
      </c>
      <c r="G386" s="2">
        <v>15000.0</v>
      </c>
      <c r="H386" s="2">
        <f t="shared" si="1"/>
        <v>60000</v>
      </c>
      <c r="I386" s="2">
        <f t="shared" si="2"/>
        <v>30000</v>
      </c>
      <c r="J386" s="47">
        <f t="shared" si="3"/>
        <v>1</v>
      </c>
      <c r="K386" s="2">
        <f t="shared" si="4"/>
        <v>120000</v>
      </c>
      <c r="L386" s="1"/>
    </row>
    <row r="387">
      <c r="A387" s="55">
        <v>46186.0</v>
      </c>
      <c r="B387" s="1" t="s">
        <v>847</v>
      </c>
      <c r="C387" s="1" t="str">
        <f>VLOOKUP(B387,MAESTRA!I:K,2,0)</f>
        <v>*1123723*</v>
      </c>
      <c r="D387" s="1" t="str">
        <f>VLOOKUP(B387,MAESTRA!I:K,3,0)</f>
        <v>CAMISETAS CABALLERO ATLETICO NACIONAL AAA 2025 TALLA L</v>
      </c>
      <c r="E387" s="1" t="s">
        <v>842</v>
      </c>
      <c r="F387" s="45">
        <v>3.0</v>
      </c>
      <c r="G387" s="2">
        <v>15000.0</v>
      </c>
      <c r="H387" s="2">
        <f t="shared" si="1"/>
        <v>45000</v>
      </c>
      <c r="I387" s="2">
        <f t="shared" si="2"/>
        <v>30000</v>
      </c>
      <c r="J387" s="47">
        <f t="shared" si="3"/>
        <v>1</v>
      </c>
      <c r="K387" s="2">
        <f t="shared" si="4"/>
        <v>90000</v>
      </c>
      <c r="L387" s="1"/>
    </row>
    <row r="388">
      <c r="A388" s="55">
        <v>46186.0</v>
      </c>
      <c r="B388" s="1" t="s">
        <v>848</v>
      </c>
      <c r="C388" s="1" t="str">
        <f>VLOOKUP(B388,MAESTRA!I:K,2,0)</f>
        <v>*11222227*</v>
      </c>
      <c r="D388" s="1" t="str">
        <f>VLOOKUP(B388,MAESTRA!I:K,3,0)</f>
        <v>CAMISETAS CABALLERO PORTUGAL 1.1 VISITANTE TALLA S</v>
      </c>
      <c r="E388" s="1" t="s">
        <v>837</v>
      </c>
      <c r="F388" s="45">
        <v>1.0</v>
      </c>
      <c r="G388" s="3">
        <v>43000.0</v>
      </c>
      <c r="H388" s="2">
        <f t="shared" si="1"/>
        <v>43000</v>
      </c>
      <c r="I388" s="2">
        <f t="shared" si="2"/>
        <v>86000</v>
      </c>
      <c r="J388" s="47">
        <f t="shared" si="3"/>
        <v>1</v>
      </c>
      <c r="K388" s="2">
        <f t="shared" si="4"/>
        <v>86000</v>
      </c>
      <c r="L388" s="1"/>
    </row>
    <row r="389">
      <c r="A389" s="55">
        <v>46186.0</v>
      </c>
      <c r="B389" s="1" t="s">
        <v>849</v>
      </c>
      <c r="C389" s="1" t="str">
        <f>VLOOKUP(B389,MAESTRA!I:K,2,0)</f>
        <v>*11222225*</v>
      </c>
      <c r="D389" s="1" t="str">
        <f>VLOOKUP(B389,MAESTRA!I:K,3,0)</f>
        <v>CAMISETAS CABALLERO PORTUGAL 1.1 VISITANTE TALLA M</v>
      </c>
      <c r="E389" s="1" t="s">
        <v>837</v>
      </c>
      <c r="F389" s="45">
        <v>1.0</v>
      </c>
      <c r="G389" s="3">
        <v>43000.0</v>
      </c>
      <c r="H389" s="2">
        <f t="shared" si="1"/>
        <v>43000</v>
      </c>
      <c r="I389" s="2">
        <f t="shared" si="2"/>
        <v>86000</v>
      </c>
      <c r="J389" s="47">
        <f t="shared" si="3"/>
        <v>1</v>
      </c>
      <c r="K389" s="2">
        <f t="shared" si="4"/>
        <v>86000</v>
      </c>
      <c r="L389" s="1"/>
    </row>
    <row r="390">
      <c r="A390" s="55">
        <v>46186.0</v>
      </c>
      <c r="B390" s="1" t="s">
        <v>850</v>
      </c>
      <c r="C390" s="1" t="str">
        <f>VLOOKUP(B390,MAESTRA!I:K,2,0)</f>
        <v>*11222223*</v>
      </c>
      <c r="D390" s="1" t="str">
        <f>VLOOKUP(B390,MAESTRA!I:K,3,0)</f>
        <v>CAMISETAS CABALLERO PORTUGAL 1.1 VISITANTE TALLA L</v>
      </c>
      <c r="E390" s="1" t="s">
        <v>837</v>
      </c>
      <c r="F390" s="45">
        <v>1.0</v>
      </c>
      <c r="G390" s="3">
        <v>43000.0</v>
      </c>
      <c r="H390" s="2">
        <f t="shared" si="1"/>
        <v>43000</v>
      </c>
      <c r="I390" s="2">
        <f t="shared" si="2"/>
        <v>86000</v>
      </c>
      <c r="J390" s="47">
        <f t="shared" si="3"/>
        <v>1</v>
      </c>
      <c r="K390" s="2">
        <f t="shared" si="4"/>
        <v>86000</v>
      </c>
      <c r="L390" s="1"/>
    </row>
    <row r="391">
      <c r="A391" s="55">
        <v>46186.0</v>
      </c>
      <c r="B391" s="1" t="s">
        <v>851</v>
      </c>
      <c r="C391" s="1" t="str">
        <f>VLOOKUP(B391,MAESTRA!I:K,2,0)</f>
        <v>*11222232*</v>
      </c>
      <c r="D391" s="1" t="str">
        <f>VLOOKUP(B391,MAESTRA!I:K,3,0)</f>
        <v>CAMISETAS CABALLERO PORTUGAL 1.1 VISITANTE TALLA XL</v>
      </c>
      <c r="E391" s="1" t="s">
        <v>837</v>
      </c>
      <c r="F391" s="45">
        <v>1.0</v>
      </c>
      <c r="G391" s="3">
        <v>43000.0</v>
      </c>
      <c r="H391" s="2">
        <f t="shared" si="1"/>
        <v>43000</v>
      </c>
      <c r="I391" s="2">
        <f t="shared" si="2"/>
        <v>86000</v>
      </c>
      <c r="J391" s="47">
        <f t="shared" si="3"/>
        <v>1</v>
      </c>
      <c r="K391" s="2">
        <f t="shared" si="4"/>
        <v>86000</v>
      </c>
      <c r="L391" s="1"/>
    </row>
    <row r="392">
      <c r="A392" s="55">
        <v>46186.0</v>
      </c>
      <c r="B392" s="1" t="s">
        <v>852</v>
      </c>
      <c r="C392" s="1" t="str">
        <f>VLOOKUP(B392,MAESTRA!I:K,2,0)</f>
        <v>*11222234*</v>
      </c>
      <c r="D392" s="1" t="str">
        <f>VLOOKUP(B392,MAESTRA!I:K,3,0)</f>
        <v>CAMISETAS CABALLERO PORTUGAL 1.1 VISITANTE TALLA XXL</v>
      </c>
      <c r="E392" s="1" t="s">
        <v>837</v>
      </c>
      <c r="F392" s="45">
        <v>1.0</v>
      </c>
      <c r="G392" s="3">
        <v>43000.0</v>
      </c>
      <c r="H392" s="2">
        <f t="shared" si="1"/>
        <v>43000</v>
      </c>
      <c r="I392" s="2">
        <f t="shared" si="2"/>
        <v>86000</v>
      </c>
      <c r="J392" s="47">
        <f t="shared" si="3"/>
        <v>1</v>
      </c>
      <c r="K392" s="2">
        <f t="shared" si="4"/>
        <v>86000</v>
      </c>
      <c r="L392" s="1"/>
    </row>
    <row r="393">
      <c r="A393" s="55">
        <v>46186.0</v>
      </c>
      <c r="B393" s="1" t="s">
        <v>853</v>
      </c>
      <c r="C393" s="1" t="str">
        <f>VLOOKUP(B393,MAESTRA!I:K,2,0)</f>
        <v>*40215127*</v>
      </c>
      <c r="D393" s="1" t="str">
        <f>VLOOKUP(B393,MAESTRA!I:K,3,0)</f>
        <v>CONJUNTO CABALLERO JAPON AAA LOCAL TALLA S</v>
      </c>
      <c r="E393" s="1" t="s">
        <v>806</v>
      </c>
      <c r="F393" s="45">
        <v>1.0</v>
      </c>
      <c r="G393" s="3">
        <v>28000.0</v>
      </c>
      <c r="H393" s="2">
        <f t="shared" si="1"/>
        <v>28000</v>
      </c>
      <c r="I393" s="2">
        <f t="shared" si="2"/>
        <v>56000</v>
      </c>
      <c r="J393" s="47">
        <f t="shared" si="3"/>
        <v>1</v>
      </c>
      <c r="K393" s="2">
        <f t="shared" si="4"/>
        <v>56000</v>
      </c>
      <c r="L393" s="1"/>
    </row>
    <row r="394">
      <c r="A394" s="55">
        <v>46186.0</v>
      </c>
      <c r="B394" s="1" t="s">
        <v>854</v>
      </c>
      <c r="C394" s="1" t="str">
        <f>VLOOKUP(B394,MAESTRA!I:K,2,0)</f>
        <v>*40215125*</v>
      </c>
      <c r="D394" s="1" t="str">
        <f>VLOOKUP(B394,MAESTRA!I:K,3,0)</f>
        <v>CONJUNTO CABALLERO JAPON AAA LOCAL TALLA M</v>
      </c>
      <c r="E394" s="1" t="s">
        <v>806</v>
      </c>
      <c r="F394" s="45">
        <v>1.0</v>
      </c>
      <c r="G394" s="3">
        <v>28000.0</v>
      </c>
      <c r="H394" s="2">
        <f t="shared" si="1"/>
        <v>28000</v>
      </c>
      <c r="I394" s="2">
        <f t="shared" si="2"/>
        <v>56000</v>
      </c>
      <c r="J394" s="47">
        <f t="shared" si="3"/>
        <v>1</v>
      </c>
      <c r="K394" s="2">
        <f t="shared" si="4"/>
        <v>56000</v>
      </c>
      <c r="L394" s="1"/>
    </row>
    <row r="395">
      <c r="A395" s="55">
        <v>46186.0</v>
      </c>
      <c r="B395" s="1" t="s">
        <v>855</v>
      </c>
      <c r="C395" s="1" t="str">
        <f>VLOOKUP(B395,MAESTRA!I:K,2,0)</f>
        <v>*40215123*</v>
      </c>
      <c r="D395" s="1" t="str">
        <f>VLOOKUP(B395,MAESTRA!I:K,3,0)</f>
        <v>CONJUNTO CABALLERO JAPON AAA LOCAL TALLA L</v>
      </c>
      <c r="E395" s="1" t="s">
        <v>806</v>
      </c>
      <c r="F395" s="45">
        <v>1.0</v>
      </c>
      <c r="G395" s="3">
        <v>28000.0</v>
      </c>
      <c r="H395" s="2">
        <f t="shared" si="1"/>
        <v>28000</v>
      </c>
      <c r="I395" s="2">
        <f t="shared" si="2"/>
        <v>56000</v>
      </c>
      <c r="J395" s="47">
        <f t="shared" si="3"/>
        <v>1</v>
      </c>
      <c r="K395" s="2">
        <f t="shared" si="4"/>
        <v>56000</v>
      </c>
      <c r="L395" s="1"/>
    </row>
    <row r="396">
      <c r="A396" s="55">
        <v>46186.0</v>
      </c>
      <c r="B396" s="1" t="s">
        <v>856</v>
      </c>
      <c r="C396" s="1" t="str">
        <f>VLOOKUP(B396,MAESTRA!I:K,2,0)</f>
        <v>*40215132*</v>
      </c>
      <c r="D396" s="1" t="str">
        <f>VLOOKUP(B396,MAESTRA!I:K,3,0)</f>
        <v>CONJUNTO CABALLERO JAPON AAA LOCAL TALLA XL</v>
      </c>
      <c r="E396" s="1" t="s">
        <v>806</v>
      </c>
      <c r="F396" s="45">
        <v>1.0</v>
      </c>
      <c r="G396" s="3">
        <v>28000.0</v>
      </c>
      <c r="H396" s="2">
        <f t="shared" si="1"/>
        <v>28000</v>
      </c>
      <c r="I396" s="2">
        <f t="shared" si="2"/>
        <v>56000</v>
      </c>
      <c r="J396" s="47">
        <f t="shared" si="3"/>
        <v>1</v>
      </c>
      <c r="K396" s="2">
        <f t="shared" si="4"/>
        <v>56000</v>
      </c>
      <c r="L396" s="1"/>
    </row>
    <row r="397">
      <c r="A397" s="55">
        <v>46186.0</v>
      </c>
      <c r="B397" s="1" t="s">
        <v>857</v>
      </c>
      <c r="C397" s="1" t="str">
        <f>VLOOKUP(B397,MAESTRA!I:K,2,0)</f>
        <v>*4021525*</v>
      </c>
      <c r="D397" s="1" t="str">
        <f>VLOOKUP(B397,MAESTRA!I:K,3,0)</f>
        <v>CONJUNTO CABALLERO ALEMANIA AAA LOCAL TALLA M</v>
      </c>
      <c r="E397" s="1" t="s">
        <v>806</v>
      </c>
      <c r="F397" s="45">
        <v>2.0</v>
      </c>
      <c r="G397" s="3">
        <v>28000.0</v>
      </c>
      <c r="H397" s="2">
        <f t="shared" si="1"/>
        <v>56000</v>
      </c>
      <c r="I397" s="2">
        <f t="shared" si="2"/>
        <v>56000</v>
      </c>
      <c r="J397" s="47">
        <f t="shared" si="3"/>
        <v>1</v>
      </c>
      <c r="K397" s="2">
        <f t="shared" si="4"/>
        <v>112000</v>
      </c>
      <c r="L397" s="1"/>
    </row>
    <row r="398">
      <c r="A398" s="55">
        <v>46186.0</v>
      </c>
      <c r="B398" s="1" t="s">
        <v>858</v>
      </c>
      <c r="C398" s="1" t="str">
        <f>VLOOKUP(B398,MAESTRA!I:K,2,0)</f>
        <v>*4021523*</v>
      </c>
      <c r="D398" s="1" t="str">
        <f>VLOOKUP(B398,MAESTRA!I:K,3,0)</f>
        <v>CONJUNTO CABALLERO ALEMANIA AAA LOCAL TALLA L</v>
      </c>
      <c r="E398" s="1" t="s">
        <v>806</v>
      </c>
      <c r="F398" s="45">
        <v>2.0</v>
      </c>
      <c r="G398" s="3">
        <v>28000.0</v>
      </c>
      <c r="H398" s="2">
        <f t="shared" si="1"/>
        <v>56000</v>
      </c>
      <c r="I398" s="2">
        <f t="shared" si="2"/>
        <v>56000</v>
      </c>
      <c r="J398" s="47">
        <f t="shared" si="3"/>
        <v>1</v>
      </c>
      <c r="K398" s="2">
        <f t="shared" si="4"/>
        <v>112000</v>
      </c>
      <c r="L398" s="1"/>
    </row>
    <row r="399">
      <c r="A399" s="55">
        <v>46186.0</v>
      </c>
      <c r="B399" s="1" t="s">
        <v>859</v>
      </c>
      <c r="C399" s="1" t="str">
        <f>VLOOKUP(B399,MAESTRA!I:K,2,0)</f>
        <v>*4021527*</v>
      </c>
      <c r="D399" s="1" t="str">
        <f>VLOOKUP(B399,MAESTRA!I:K,3,0)</f>
        <v>CONJUNTO CABALLERO ALEMANIA AAA LOCAL TALLA S</v>
      </c>
      <c r="E399" s="1" t="s">
        <v>806</v>
      </c>
      <c r="F399" s="45">
        <v>1.0</v>
      </c>
      <c r="G399" s="3">
        <v>28000.0</v>
      </c>
      <c r="H399" s="2">
        <f t="shared" si="1"/>
        <v>28000</v>
      </c>
      <c r="I399" s="2">
        <f t="shared" si="2"/>
        <v>56000</v>
      </c>
      <c r="J399" s="47">
        <f t="shared" si="3"/>
        <v>1</v>
      </c>
      <c r="K399" s="2">
        <f t="shared" si="4"/>
        <v>56000</v>
      </c>
      <c r="L399" s="1"/>
    </row>
    <row r="400">
      <c r="A400" s="55">
        <v>46186.0</v>
      </c>
      <c r="B400" s="1" t="s">
        <v>860</v>
      </c>
      <c r="C400" s="1" t="str">
        <f>VLOOKUP(B400,MAESTRA!I:K,2,0)</f>
        <v>*4021532*</v>
      </c>
      <c r="D400" s="1" t="str">
        <f>VLOOKUP(B400,MAESTRA!I:K,3,0)</f>
        <v>CONJUNTO CABALLERO ALEMANIA AAA LOCAL TALLA XL</v>
      </c>
      <c r="E400" s="1" t="s">
        <v>806</v>
      </c>
      <c r="F400" s="45">
        <v>1.0</v>
      </c>
      <c r="G400" s="3">
        <v>28000.0</v>
      </c>
      <c r="H400" s="2">
        <f t="shared" si="1"/>
        <v>28000</v>
      </c>
      <c r="I400" s="2">
        <f t="shared" si="2"/>
        <v>56000</v>
      </c>
      <c r="J400" s="47">
        <f t="shared" si="3"/>
        <v>1</v>
      </c>
      <c r="K400" s="2">
        <f t="shared" si="4"/>
        <v>56000</v>
      </c>
      <c r="L400" s="1"/>
    </row>
    <row r="401">
      <c r="A401" s="55">
        <v>46186.0</v>
      </c>
      <c r="B401" s="1" t="s">
        <v>861</v>
      </c>
      <c r="C401" s="1" t="str">
        <f>VLOOKUP(B401,MAESTRA!I:K,2,0)</f>
        <v>*40218732*</v>
      </c>
      <c r="D401" s="1" t="str">
        <f>VLOOKUP(B401,MAESTRA!I:K,3,0)</f>
        <v>CONJUNTO CABALLERO MEXICO AAA LOCAL TALLA XL</v>
      </c>
      <c r="E401" s="1" t="s">
        <v>806</v>
      </c>
      <c r="F401" s="45">
        <v>2.0</v>
      </c>
      <c r="G401" s="3">
        <v>28000.0</v>
      </c>
      <c r="H401" s="2">
        <f t="shared" si="1"/>
        <v>56000</v>
      </c>
      <c r="I401" s="2">
        <f t="shared" si="2"/>
        <v>56000</v>
      </c>
      <c r="J401" s="47">
        <f t="shared" si="3"/>
        <v>1</v>
      </c>
      <c r="K401" s="2">
        <f t="shared" si="4"/>
        <v>112000</v>
      </c>
      <c r="L401" s="1"/>
    </row>
    <row r="402">
      <c r="A402" s="55">
        <v>46186.0</v>
      </c>
      <c r="B402" s="1" t="s">
        <v>862</v>
      </c>
      <c r="C402" s="1" t="str">
        <f>VLOOKUP(B402,MAESTRA!I:K,2,0)</f>
        <v>*40218725*</v>
      </c>
      <c r="D402" s="1" t="str">
        <f>VLOOKUP(B402,MAESTRA!I:K,3,0)</f>
        <v>CONJUNTO CABALLERO MEXICO AAA LOCAL TALLA M</v>
      </c>
      <c r="E402" s="1" t="s">
        <v>806</v>
      </c>
      <c r="F402" s="45">
        <v>2.0</v>
      </c>
      <c r="G402" s="3">
        <v>28000.0</v>
      </c>
      <c r="H402" s="2">
        <f t="shared" si="1"/>
        <v>56000</v>
      </c>
      <c r="I402" s="2">
        <f t="shared" si="2"/>
        <v>56000</v>
      </c>
      <c r="J402" s="47">
        <f t="shared" si="3"/>
        <v>1</v>
      </c>
      <c r="K402" s="2">
        <f t="shared" si="4"/>
        <v>112000</v>
      </c>
      <c r="L402" s="1"/>
    </row>
    <row r="403">
      <c r="A403" s="55">
        <v>46186.0</v>
      </c>
      <c r="B403" s="1" t="s">
        <v>863</v>
      </c>
      <c r="C403" s="1" t="str">
        <f>VLOOKUP(B403,MAESTRA!I:K,2,0)</f>
        <v>*40218727*</v>
      </c>
      <c r="D403" s="1" t="str">
        <f>VLOOKUP(B403,MAESTRA!I:K,3,0)</f>
        <v>CONJUNTO CABALLERO MEXICO AAA LOCAL TALLA S</v>
      </c>
      <c r="E403" s="1" t="s">
        <v>806</v>
      </c>
      <c r="F403" s="45">
        <v>1.0</v>
      </c>
      <c r="G403" s="3">
        <v>28000.0</v>
      </c>
      <c r="H403" s="2">
        <f t="shared" si="1"/>
        <v>28000</v>
      </c>
      <c r="I403" s="2">
        <f t="shared" si="2"/>
        <v>56000</v>
      </c>
      <c r="J403" s="47">
        <f t="shared" si="3"/>
        <v>1</v>
      </c>
      <c r="K403" s="2">
        <f t="shared" si="4"/>
        <v>56000</v>
      </c>
      <c r="L403" s="1"/>
    </row>
    <row r="404">
      <c r="A404" s="55">
        <v>46186.0</v>
      </c>
      <c r="B404" s="1" t="s">
        <v>864</v>
      </c>
      <c r="C404" s="1" t="str">
        <f>VLOOKUP(B404,MAESTRA!I:K,2,0)</f>
        <v>*11221723*</v>
      </c>
      <c r="D404" s="1" t="str">
        <f>VLOOKUP(B404,MAESTRA!I:K,3,0)</f>
        <v>CAMISETAS CABALLERO POLO ROMBOS ALGODON TALLA L</v>
      </c>
      <c r="E404" s="1" t="s">
        <v>865</v>
      </c>
      <c r="F404" s="45">
        <v>2.0</v>
      </c>
      <c r="G404" s="2">
        <v>33000.0</v>
      </c>
      <c r="H404" s="2">
        <f t="shared" si="1"/>
        <v>66000</v>
      </c>
      <c r="I404" s="2">
        <f t="shared" si="2"/>
        <v>66000</v>
      </c>
      <c r="J404" s="47">
        <f t="shared" si="3"/>
        <v>1</v>
      </c>
      <c r="K404" s="2">
        <f t="shared" si="4"/>
        <v>132000</v>
      </c>
      <c r="L404" s="1"/>
    </row>
    <row r="405">
      <c r="A405" s="55">
        <v>46186.0</v>
      </c>
      <c r="B405" s="1" t="s">
        <v>866</v>
      </c>
      <c r="C405" s="1" t="str">
        <f>VLOOKUP(B405,MAESTRA!I:K,2,0)</f>
        <v>*11221725*</v>
      </c>
      <c r="D405" s="1" t="str">
        <f>VLOOKUP(B405,MAESTRA!I:K,3,0)</f>
        <v>CAMISETAS CABALLERO POLO ROMBOS ALGODON TALLA M</v>
      </c>
      <c r="E405" s="1" t="s">
        <v>865</v>
      </c>
      <c r="F405" s="45">
        <v>2.0</v>
      </c>
      <c r="G405" s="2">
        <v>33000.0</v>
      </c>
      <c r="H405" s="2">
        <f t="shared" si="1"/>
        <v>66000</v>
      </c>
      <c r="I405" s="2">
        <f t="shared" si="2"/>
        <v>66000</v>
      </c>
      <c r="J405" s="47">
        <f t="shared" si="3"/>
        <v>1</v>
      </c>
      <c r="K405" s="2">
        <f t="shared" si="4"/>
        <v>132000</v>
      </c>
      <c r="L405" s="1"/>
    </row>
    <row r="406">
      <c r="A406" s="55">
        <v>46186.0</v>
      </c>
      <c r="B406" s="1" t="s">
        <v>867</v>
      </c>
      <c r="C406" s="1" t="str">
        <f>VLOOKUP(B406,MAESTRA!I:K,2,0)</f>
        <v>*11221727*</v>
      </c>
      <c r="D406" s="1" t="str">
        <f>VLOOKUP(B406,MAESTRA!I:K,3,0)</f>
        <v>CAMISETAS CABALLERO POLO ROMBOS ALGODON TALLA S</v>
      </c>
      <c r="E406" s="1" t="s">
        <v>865</v>
      </c>
      <c r="F406" s="45">
        <v>2.0</v>
      </c>
      <c r="G406" s="2">
        <v>33000.0</v>
      </c>
      <c r="H406" s="2">
        <f t="shared" si="1"/>
        <v>66000</v>
      </c>
      <c r="I406" s="2">
        <f t="shared" si="2"/>
        <v>66000</v>
      </c>
      <c r="J406" s="47">
        <f t="shared" si="3"/>
        <v>1</v>
      </c>
      <c r="K406" s="2">
        <f t="shared" si="4"/>
        <v>132000</v>
      </c>
      <c r="L406" s="1"/>
    </row>
    <row r="407">
      <c r="A407" s="55">
        <v>46186.0</v>
      </c>
      <c r="B407" s="1" t="s">
        <v>868</v>
      </c>
      <c r="C407" s="1" t="str">
        <f>VLOOKUP(B407,MAESTRA!I:K,2,0)</f>
        <v>*11221732*</v>
      </c>
      <c r="D407" s="1" t="str">
        <f>VLOOKUP(B407,MAESTRA!I:K,3,0)</f>
        <v>CAMISETAS CABALLERO POLO ROMBOS ALGODON TALLA XL</v>
      </c>
      <c r="E407" s="1" t="s">
        <v>865</v>
      </c>
      <c r="F407" s="45">
        <v>2.0</v>
      </c>
      <c r="G407" s="2">
        <v>33000.0</v>
      </c>
      <c r="H407" s="2">
        <f t="shared" si="1"/>
        <v>66000</v>
      </c>
      <c r="I407" s="2">
        <f t="shared" si="2"/>
        <v>66000</v>
      </c>
      <c r="J407" s="47">
        <f t="shared" si="3"/>
        <v>1</v>
      </c>
      <c r="K407" s="2">
        <f t="shared" si="4"/>
        <v>132000</v>
      </c>
      <c r="L407" s="1"/>
    </row>
    <row r="408">
      <c r="A408" s="55">
        <v>46186.0</v>
      </c>
      <c r="B408" s="1" t="s">
        <v>590</v>
      </c>
      <c r="C408" s="1" t="str">
        <f>VLOOKUP(B408,MAESTRA!I:K,2,0)</f>
        <v>*11222027*</v>
      </c>
      <c r="D408" s="1" t="str">
        <f>VLOOKUP(B408,MAESTRA!I:K,3,0)</f>
        <v>CAMISETAS CABALLERO POLO TIPO GALLETA TALLA S</v>
      </c>
      <c r="E408" s="1" t="s">
        <v>865</v>
      </c>
      <c r="F408" s="45">
        <v>2.0</v>
      </c>
      <c r="G408" s="2">
        <v>32000.0</v>
      </c>
      <c r="H408" s="2">
        <f t="shared" si="1"/>
        <v>64000</v>
      </c>
      <c r="I408" s="2">
        <f t="shared" si="2"/>
        <v>64000</v>
      </c>
      <c r="J408" s="47">
        <f t="shared" si="3"/>
        <v>1</v>
      </c>
      <c r="K408" s="2">
        <f t="shared" si="4"/>
        <v>128000</v>
      </c>
      <c r="L408" s="1"/>
    </row>
    <row r="409">
      <c r="A409" s="55">
        <v>46186.0</v>
      </c>
      <c r="B409" s="1" t="s">
        <v>591</v>
      </c>
      <c r="C409" s="1" t="str">
        <f>VLOOKUP(B409,MAESTRA!I:K,2,0)</f>
        <v>*11222025*</v>
      </c>
      <c r="D409" s="1" t="str">
        <f>VLOOKUP(B409,MAESTRA!I:K,3,0)</f>
        <v>CAMISETAS CABALLERO POLO TIPO GALLETA TALLA M</v>
      </c>
      <c r="E409" s="1" t="s">
        <v>865</v>
      </c>
      <c r="F409" s="45">
        <v>3.0</v>
      </c>
      <c r="G409" s="2">
        <v>32000.0</v>
      </c>
      <c r="H409" s="2">
        <f t="shared" si="1"/>
        <v>96000</v>
      </c>
      <c r="I409" s="2">
        <f t="shared" si="2"/>
        <v>64000</v>
      </c>
      <c r="J409" s="47">
        <f t="shared" si="3"/>
        <v>1</v>
      </c>
      <c r="K409" s="2">
        <f t="shared" si="4"/>
        <v>192000</v>
      </c>
      <c r="L409" s="1"/>
    </row>
    <row r="410">
      <c r="A410" s="55">
        <v>46186.0</v>
      </c>
      <c r="B410" s="1" t="s">
        <v>592</v>
      </c>
      <c r="C410" s="1" t="str">
        <f>VLOOKUP(B410,MAESTRA!I:K,2,0)</f>
        <v>*11222023*</v>
      </c>
      <c r="D410" s="1" t="str">
        <f>VLOOKUP(B410,MAESTRA!I:K,3,0)</f>
        <v>CAMISETAS CABALLERO POLO TIPO GALLETA TALLA L</v>
      </c>
      <c r="E410" s="1" t="s">
        <v>865</v>
      </c>
      <c r="F410" s="45">
        <v>2.0</v>
      </c>
      <c r="G410" s="2">
        <v>32000.0</v>
      </c>
      <c r="H410" s="2">
        <f t="shared" si="1"/>
        <v>64000</v>
      </c>
      <c r="I410" s="2">
        <f t="shared" si="2"/>
        <v>64000</v>
      </c>
      <c r="J410" s="47">
        <f t="shared" si="3"/>
        <v>1</v>
      </c>
      <c r="K410" s="2">
        <f t="shared" si="4"/>
        <v>128000</v>
      </c>
      <c r="L410" s="1"/>
    </row>
    <row r="411">
      <c r="A411" s="55">
        <v>46186.0</v>
      </c>
      <c r="B411" s="1" t="s">
        <v>589</v>
      </c>
      <c r="C411" s="1" t="str">
        <f>VLOOKUP(B411,MAESTRA!I:K,2,0)</f>
        <v>*11222032*</v>
      </c>
      <c r="D411" s="1" t="str">
        <f>VLOOKUP(B411,MAESTRA!I:K,3,0)</f>
        <v>CAMISETAS CABALLERO POLO TIPO GALLETA TALLA XL</v>
      </c>
      <c r="E411" s="1" t="s">
        <v>865</v>
      </c>
      <c r="F411" s="45">
        <v>2.0</v>
      </c>
      <c r="G411" s="2">
        <v>32000.0</v>
      </c>
      <c r="H411" s="2">
        <f t="shared" si="1"/>
        <v>64000</v>
      </c>
      <c r="I411" s="2">
        <f t="shared" si="2"/>
        <v>64000</v>
      </c>
      <c r="J411" s="47">
        <f t="shared" si="3"/>
        <v>1</v>
      </c>
      <c r="K411" s="2">
        <f t="shared" si="4"/>
        <v>128000</v>
      </c>
      <c r="L411" s="1"/>
    </row>
    <row r="412">
      <c r="A412" s="55">
        <v>46186.0</v>
      </c>
      <c r="B412" s="1" t="s">
        <v>869</v>
      </c>
      <c r="C412" s="1" t="str">
        <f>VLOOKUP(B412,MAESTRA!I:K,2,0)</f>
        <v>*11117030*</v>
      </c>
      <c r="D412" s="1" t="str">
        <f>VLOOKUP(B412,MAESTRA!I:K,3,0)</f>
        <v>CAMISETAS DAMA LICRADA MANGA CORTA TALLA UN</v>
      </c>
      <c r="E412" s="1" t="s">
        <v>476</v>
      </c>
      <c r="F412" s="45">
        <v>5.0</v>
      </c>
      <c r="G412" s="2">
        <v>10000.0</v>
      </c>
      <c r="H412" s="2">
        <f t="shared" si="1"/>
        <v>50000</v>
      </c>
      <c r="I412" s="2">
        <f t="shared" si="2"/>
        <v>20000</v>
      </c>
      <c r="J412" s="47">
        <f t="shared" si="3"/>
        <v>1</v>
      </c>
      <c r="K412" s="2">
        <f t="shared" si="4"/>
        <v>100000</v>
      </c>
      <c r="L412" s="1"/>
    </row>
    <row r="413">
      <c r="A413" s="55">
        <v>46186.0</v>
      </c>
      <c r="B413" s="1" t="s">
        <v>870</v>
      </c>
      <c r="C413" s="1" t="str">
        <f>VLOOKUP(B413,MAESTRA!I:K,2,0)</f>
        <v>*26117130*</v>
      </c>
      <c r="D413" s="1" t="str">
        <f>VLOOKUP(B413,MAESTRA!I:K,3,0)</f>
        <v>BUSOS DAMA LICRADA MANGA LARGA TALLA UN</v>
      </c>
      <c r="E413" s="1" t="s">
        <v>476</v>
      </c>
      <c r="F413" s="45">
        <v>8.0</v>
      </c>
      <c r="G413" s="2">
        <v>10000.0</v>
      </c>
      <c r="H413" s="2">
        <f t="shared" si="1"/>
        <v>80000</v>
      </c>
      <c r="I413" s="2">
        <f t="shared" si="2"/>
        <v>20000</v>
      </c>
      <c r="J413" s="47">
        <f t="shared" si="3"/>
        <v>1</v>
      </c>
      <c r="K413" s="2">
        <f t="shared" si="4"/>
        <v>160000</v>
      </c>
      <c r="L413" s="1"/>
    </row>
    <row r="414">
      <c r="A414" s="55">
        <v>46186.0</v>
      </c>
      <c r="B414" s="1" t="s">
        <v>871</v>
      </c>
      <c r="C414" s="1" t="str">
        <f>VLOOKUP(B414,MAESTRA!I:K,2,0)</f>
        <v>*11126230*</v>
      </c>
      <c r="D414" s="1" t="str">
        <f>VLOOKUP(B414,MAESTRA!I:K,3,0)</f>
        <v>CAMISETAS DAMA TIPO GALLETA TALLA UN</v>
      </c>
      <c r="E414" s="1" t="s">
        <v>476</v>
      </c>
      <c r="F414" s="45">
        <v>3.0</v>
      </c>
      <c r="G414" s="2">
        <v>10000.0</v>
      </c>
      <c r="H414" s="2">
        <f t="shared" si="1"/>
        <v>30000</v>
      </c>
      <c r="I414" s="2">
        <f t="shared" si="2"/>
        <v>20000</v>
      </c>
      <c r="J414" s="47">
        <f t="shared" si="3"/>
        <v>1</v>
      </c>
      <c r="K414" s="2">
        <f t="shared" si="4"/>
        <v>60000</v>
      </c>
      <c r="L414" s="1"/>
    </row>
    <row r="415">
      <c r="A415" s="55">
        <v>46186.0</v>
      </c>
      <c r="B415" s="1" t="s">
        <v>872</v>
      </c>
      <c r="C415" s="1" t="str">
        <f>VLOOKUP(B415,MAESTRA!I:K,2,0)</f>
        <v>*1116430*</v>
      </c>
      <c r="D415" s="1" t="str">
        <f>VLOOKUP(B415,MAESTRA!I:K,3,0)</f>
        <v>CAMISETAS DAMA CAMISETA ESTAMPADO ALGODON LARGA TALLA UN</v>
      </c>
      <c r="E415" s="1" t="s">
        <v>476</v>
      </c>
      <c r="F415" s="45">
        <v>3.0</v>
      </c>
      <c r="G415" s="2">
        <v>10000.0</v>
      </c>
      <c r="H415" s="2">
        <f t="shared" si="1"/>
        <v>30000</v>
      </c>
      <c r="I415" s="2">
        <f t="shared" si="2"/>
        <v>20000</v>
      </c>
      <c r="J415" s="47">
        <f t="shared" si="3"/>
        <v>1</v>
      </c>
      <c r="K415" s="2">
        <f t="shared" si="4"/>
        <v>60000</v>
      </c>
      <c r="L415" s="1"/>
    </row>
    <row r="416">
      <c r="A416" s="55">
        <v>46186.0</v>
      </c>
      <c r="B416" s="1" t="s">
        <v>873</v>
      </c>
      <c r="C416" s="1" t="str">
        <f>VLOOKUP(B416,MAESTRA!I:K,2,0)</f>
        <v>*1112030*</v>
      </c>
      <c r="D416" s="1" t="str">
        <f>VLOOKUP(B416,MAESTRA!I:K,3,0)</f>
        <v>CAMISETAS DAMA ALGODON CORTA E U TALLA UN</v>
      </c>
      <c r="E416" s="1" t="s">
        <v>476</v>
      </c>
      <c r="F416" s="45">
        <v>4.0</v>
      </c>
      <c r="G416" s="2">
        <v>10000.0</v>
      </c>
      <c r="H416" s="2">
        <f t="shared" si="1"/>
        <v>40000</v>
      </c>
      <c r="I416" s="2">
        <f t="shared" si="2"/>
        <v>20000</v>
      </c>
      <c r="J416" s="47">
        <f t="shared" si="3"/>
        <v>1</v>
      </c>
      <c r="K416" s="2">
        <f t="shared" si="4"/>
        <v>80000</v>
      </c>
      <c r="L416" s="1"/>
    </row>
    <row r="417">
      <c r="A417" s="55">
        <v>46186.0</v>
      </c>
      <c r="B417" s="1" t="s">
        <v>874</v>
      </c>
      <c r="C417" s="1" t="str">
        <f>VLOOKUP(B417,MAESTRA!I:K,2,0)</f>
        <v>*38117230*</v>
      </c>
      <c r="D417" s="1" t="str">
        <f>VLOOKUP(B417,MAESTRA!I:K,3,0)</f>
        <v>BODY DAMA LICRADO TALLA UN</v>
      </c>
      <c r="E417" s="1" t="s">
        <v>476</v>
      </c>
      <c r="F417" s="45">
        <v>1.0</v>
      </c>
      <c r="G417" s="2">
        <v>10000.0</v>
      </c>
      <c r="H417" s="2">
        <f t="shared" si="1"/>
        <v>10000</v>
      </c>
      <c r="I417" s="2">
        <f t="shared" si="2"/>
        <v>20000</v>
      </c>
      <c r="J417" s="47">
        <f t="shared" si="3"/>
        <v>1</v>
      </c>
      <c r="K417" s="2">
        <f t="shared" si="4"/>
        <v>20000</v>
      </c>
      <c r="L417" s="1"/>
    </row>
    <row r="418">
      <c r="A418" s="55">
        <v>46186.0</v>
      </c>
      <c r="B418" s="1" t="s">
        <v>875</v>
      </c>
      <c r="C418" s="1" t="str">
        <f>VLOOKUP(B418,MAESTRA!I:K,2,0)</f>
        <v>*37117430*</v>
      </c>
      <c r="D418" s="1" t="str">
        <f>VLOOKUP(B418,MAESTRA!I:K,3,0)</f>
        <v>ESQUELETO DAMA LICRADO LARGO TALLA UN</v>
      </c>
      <c r="E418" s="1" t="s">
        <v>476</v>
      </c>
      <c r="F418" s="45">
        <v>8.0</v>
      </c>
      <c r="G418" s="2">
        <v>10000.0</v>
      </c>
      <c r="H418" s="2">
        <f t="shared" si="1"/>
        <v>80000</v>
      </c>
      <c r="I418" s="2">
        <f t="shared" si="2"/>
        <v>20000</v>
      </c>
      <c r="J418" s="47">
        <f t="shared" si="3"/>
        <v>1</v>
      </c>
      <c r="K418" s="2">
        <f t="shared" si="4"/>
        <v>160000</v>
      </c>
      <c r="L418" s="1"/>
    </row>
    <row r="419">
      <c r="A419" s="55">
        <v>46186.0</v>
      </c>
      <c r="B419" s="1" t="s">
        <v>876</v>
      </c>
      <c r="C419" s="1" t="str">
        <f>VLOOKUP(B419,MAESTRA!I:K,2,0)</f>
        <v>*37117330*</v>
      </c>
      <c r="D419" s="1" t="str">
        <f>VLOOKUP(B419,MAESTRA!I:K,3,0)</f>
        <v>ESQUELETO DAMA LICRADO CORTOS TALLA UN</v>
      </c>
      <c r="E419" s="1" t="s">
        <v>476</v>
      </c>
      <c r="F419" s="45">
        <v>10.0</v>
      </c>
      <c r="G419" s="2">
        <v>10000.0</v>
      </c>
      <c r="H419" s="2">
        <f t="shared" si="1"/>
        <v>100000</v>
      </c>
      <c r="I419" s="2">
        <f t="shared" si="2"/>
        <v>20000</v>
      </c>
      <c r="J419" s="47">
        <f t="shared" si="3"/>
        <v>1</v>
      </c>
      <c r="K419" s="2">
        <f t="shared" si="4"/>
        <v>200000</v>
      </c>
      <c r="L419" s="1"/>
    </row>
    <row r="420">
      <c r="A420" s="55">
        <v>46186.0</v>
      </c>
      <c r="B420" s="1" t="s">
        <v>877</v>
      </c>
      <c r="C420" s="1" t="str">
        <f>VLOOKUP(B420,MAESTRA!I:K,2,0)</f>
        <v>*37127330*</v>
      </c>
      <c r="D420" s="1" t="str">
        <f>VLOOKUP(B420,MAESTRA!I:K,3,0)</f>
        <v>ESQUELETO DAMA UN SOLO HOMBRO TALLA UN</v>
      </c>
      <c r="E420" s="1" t="s">
        <v>476</v>
      </c>
      <c r="F420" s="45">
        <v>3.0</v>
      </c>
      <c r="G420" s="2">
        <v>10000.0</v>
      </c>
      <c r="H420" s="2">
        <f t="shared" si="1"/>
        <v>30000</v>
      </c>
      <c r="I420" s="2">
        <f t="shared" si="2"/>
        <v>20000</v>
      </c>
      <c r="J420" s="47">
        <f t="shared" si="3"/>
        <v>1</v>
      </c>
      <c r="K420" s="2">
        <f t="shared" si="4"/>
        <v>60000</v>
      </c>
      <c r="L420" s="1"/>
    </row>
    <row r="421">
      <c r="A421" s="55">
        <v>46186.0</v>
      </c>
      <c r="B421" s="1" t="s">
        <v>878</v>
      </c>
      <c r="C421" s="1" t="str">
        <f>VLOOKUP(B421,MAESTRA!I:K,2,0)</f>
        <v>*26319427*</v>
      </c>
      <c r="D421" s="1" t="str">
        <f>VLOOKUP(B421,MAESTRA!I:K,3,0)</f>
        <v>BUSOS UNISEX MUNDIAL 2026 TALLA S</v>
      </c>
      <c r="E421" s="1" t="s">
        <v>879</v>
      </c>
      <c r="F421" s="45">
        <v>1.0</v>
      </c>
      <c r="G421" s="2">
        <v>35000.0</v>
      </c>
      <c r="H421" s="2">
        <f t="shared" si="1"/>
        <v>35000</v>
      </c>
      <c r="I421" s="2">
        <f t="shared" si="2"/>
        <v>70000</v>
      </c>
      <c r="J421" s="47">
        <f t="shared" si="3"/>
        <v>1</v>
      </c>
      <c r="K421" s="2">
        <f t="shared" si="4"/>
        <v>70000</v>
      </c>
      <c r="L421" s="1"/>
    </row>
    <row r="422">
      <c r="A422" s="55">
        <v>46186.0</v>
      </c>
      <c r="B422" s="1" t="s">
        <v>880</v>
      </c>
      <c r="C422" s="1" t="str">
        <f>VLOOKUP(B422,MAESTRA!I:K,2,0)</f>
        <v>*26319425*</v>
      </c>
      <c r="D422" s="1" t="str">
        <f>VLOOKUP(B422,MAESTRA!I:K,3,0)</f>
        <v>BUSOS UNISEX MUNDIAL 2026 TALLA M</v>
      </c>
      <c r="E422" s="1" t="s">
        <v>879</v>
      </c>
      <c r="F422" s="45">
        <v>2.0</v>
      </c>
      <c r="G422" s="2">
        <v>35000.0</v>
      </c>
      <c r="H422" s="2">
        <f t="shared" si="1"/>
        <v>70000</v>
      </c>
      <c r="I422" s="2">
        <f t="shared" si="2"/>
        <v>70000</v>
      </c>
      <c r="J422" s="47">
        <f t="shared" si="3"/>
        <v>1</v>
      </c>
      <c r="K422" s="2">
        <f t="shared" si="4"/>
        <v>140000</v>
      </c>
      <c r="L422" s="1"/>
    </row>
    <row r="423">
      <c r="A423" s="55">
        <v>46186.0</v>
      </c>
      <c r="B423" s="1" t="s">
        <v>881</v>
      </c>
      <c r="C423" s="1" t="str">
        <f>VLOOKUP(B423,MAESTRA!I:K,2,0)</f>
        <v>*26319423*</v>
      </c>
      <c r="D423" s="1" t="str">
        <f>VLOOKUP(B423,MAESTRA!I:K,3,0)</f>
        <v>BUSOS UNISEX MUNDIAL 2026 TALLA L</v>
      </c>
      <c r="E423" s="1" t="s">
        <v>879</v>
      </c>
      <c r="F423" s="45">
        <v>2.0</v>
      </c>
      <c r="G423" s="2">
        <v>35000.0</v>
      </c>
      <c r="H423" s="2">
        <f t="shared" si="1"/>
        <v>70000</v>
      </c>
      <c r="I423" s="2">
        <f t="shared" si="2"/>
        <v>70000</v>
      </c>
      <c r="J423" s="47">
        <f t="shared" si="3"/>
        <v>1</v>
      </c>
      <c r="K423" s="2">
        <f t="shared" si="4"/>
        <v>140000</v>
      </c>
      <c r="L423" s="1"/>
    </row>
    <row r="424">
      <c r="A424" s="55">
        <v>46186.0</v>
      </c>
      <c r="B424" s="1" t="s">
        <v>882</v>
      </c>
      <c r="C424" s="1" t="str">
        <f>VLOOKUP(B424,MAESTRA!I:K,2,0)</f>
        <v>*26319432*</v>
      </c>
      <c r="D424" s="1" t="str">
        <f>VLOOKUP(B424,MAESTRA!I:K,3,0)</f>
        <v>BUSOS UNISEX MUNDIAL 2026 TALLA XL</v>
      </c>
      <c r="E424" s="1" t="s">
        <v>879</v>
      </c>
      <c r="F424" s="45">
        <v>1.0</v>
      </c>
      <c r="G424" s="2">
        <v>35000.0</v>
      </c>
      <c r="H424" s="2">
        <f t="shared" si="1"/>
        <v>35000</v>
      </c>
      <c r="I424" s="2">
        <f t="shared" si="2"/>
        <v>70000</v>
      </c>
      <c r="J424" s="47">
        <f t="shared" si="3"/>
        <v>1</v>
      </c>
      <c r="K424" s="2">
        <f t="shared" si="4"/>
        <v>70000</v>
      </c>
      <c r="L424" s="1"/>
    </row>
    <row r="425">
      <c r="A425" s="55">
        <v>46186.0</v>
      </c>
      <c r="B425" s="1" t="s">
        <v>883</v>
      </c>
      <c r="C425" s="1" t="str">
        <f>VLOOKUP(B425,MAESTRA!I:K,2,0)</f>
        <v>*39124730*</v>
      </c>
      <c r="D425" s="1" t="str">
        <f>VLOOKUP(B425,MAESTRA!I:K,3,0)</f>
        <v>SACO DAMA SACO ABIERTO TALLA UN</v>
      </c>
      <c r="E425" s="1" t="s">
        <v>884</v>
      </c>
      <c r="F425" s="45">
        <v>2.0</v>
      </c>
      <c r="G425" s="2">
        <v>33000.0</v>
      </c>
      <c r="H425" s="2">
        <f t="shared" si="1"/>
        <v>66000</v>
      </c>
      <c r="I425" s="2">
        <f t="shared" si="2"/>
        <v>66000</v>
      </c>
      <c r="J425" s="47">
        <f t="shared" si="3"/>
        <v>1</v>
      </c>
      <c r="K425" s="2">
        <f t="shared" si="4"/>
        <v>132000</v>
      </c>
      <c r="L425" s="1"/>
    </row>
    <row r="426">
      <c r="A426" s="55">
        <v>46186.0</v>
      </c>
      <c r="B426" s="1" t="s">
        <v>885</v>
      </c>
      <c r="C426" s="1" t="str">
        <f>VLOOKUP(B426,MAESTRA!I:K,2,0)</f>
        <v>*26120730*</v>
      </c>
      <c r="D426" s="1" t="str">
        <f>VLOOKUP(B426,MAESTRA!I:K,3,0)</f>
        <v>BUSOS DAMA PEPAS CHINILLO TALLA UN</v>
      </c>
      <c r="E426" s="1" t="s">
        <v>884</v>
      </c>
      <c r="F426" s="45">
        <v>3.0</v>
      </c>
      <c r="G426" s="2">
        <v>25000.0</v>
      </c>
      <c r="H426" s="2">
        <f t="shared" si="1"/>
        <v>75000</v>
      </c>
      <c r="I426" s="2">
        <f t="shared" si="2"/>
        <v>50000</v>
      </c>
      <c r="J426" s="47">
        <f t="shared" si="3"/>
        <v>1</v>
      </c>
      <c r="K426" s="2">
        <f t="shared" si="4"/>
        <v>150000</v>
      </c>
      <c r="L426" s="1"/>
    </row>
    <row r="427">
      <c r="A427" s="55">
        <v>46186.0</v>
      </c>
      <c r="B427" s="1" t="s">
        <v>886</v>
      </c>
      <c r="C427" s="1" t="str">
        <f>VLOOKUP(B427,MAESTRA!I:K,2,0)</f>
        <v>*6112530*</v>
      </c>
      <c r="D427" s="1" t="str">
        <f>VLOOKUP(B427,MAESTRA!I:K,3,0)</f>
        <v>BLUSAS DAMA ELEGANTE TALLA UN</v>
      </c>
      <c r="E427" s="1" t="s">
        <v>884</v>
      </c>
      <c r="F427" s="45">
        <v>5.0</v>
      </c>
      <c r="G427" s="2">
        <v>27000.0</v>
      </c>
      <c r="H427" s="2">
        <f t="shared" si="1"/>
        <v>135000</v>
      </c>
      <c r="I427" s="2">
        <f t="shared" si="2"/>
        <v>54000</v>
      </c>
      <c r="J427" s="47">
        <f t="shared" si="3"/>
        <v>1</v>
      </c>
      <c r="K427" s="2">
        <f t="shared" si="4"/>
        <v>270000</v>
      </c>
      <c r="L427" s="1"/>
    </row>
    <row r="428">
      <c r="A428" s="55">
        <v>46186.0</v>
      </c>
      <c r="B428" s="1" t="s">
        <v>887</v>
      </c>
      <c r="C428" s="1" t="str">
        <f>VLOOKUP(B428,MAESTRA!I:K,2,0)</f>
        <v>*619430*</v>
      </c>
      <c r="D428" s="1" t="str">
        <f>VLOOKUP(B428,MAESTRA!I:K,3,0)</f>
        <v>BLUSAS DAMA CON PEPAS TALLA UN</v>
      </c>
      <c r="E428" s="1" t="s">
        <v>884</v>
      </c>
      <c r="F428" s="45">
        <v>3.0</v>
      </c>
      <c r="G428" s="2">
        <v>25000.0</v>
      </c>
      <c r="H428" s="2">
        <f t="shared" si="1"/>
        <v>75000</v>
      </c>
      <c r="I428" s="2">
        <f t="shared" si="2"/>
        <v>50000</v>
      </c>
      <c r="J428" s="47">
        <f t="shared" si="3"/>
        <v>1</v>
      </c>
      <c r="K428" s="2">
        <f t="shared" si="4"/>
        <v>150000</v>
      </c>
      <c r="L428" s="1"/>
    </row>
    <row r="429">
      <c r="A429" s="55">
        <v>46186.0</v>
      </c>
      <c r="B429" s="1" t="s">
        <v>888</v>
      </c>
      <c r="C429" s="1" t="str">
        <f>VLOOKUP(B429,MAESTRA!I:K,2,0)</f>
        <v>*2619030*</v>
      </c>
      <c r="D429" s="1" t="str">
        <f>VLOOKUP(B429,MAESTRA!I:K,3,0)</f>
        <v>BUSOS DAMA CON BORDADOS TALLA UN</v>
      </c>
      <c r="E429" s="1" t="s">
        <v>884</v>
      </c>
      <c r="F429" s="45">
        <v>9.0</v>
      </c>
      <c r="G429" s="2">
        <v>33000.0</v>
      </c>
      <c r="H429" s="2">
        <f t="shared" si="1"/>
        <v>297000</v>
      </c>
      <c r="I429" s="2">
        <f t="shared" si="2"/>
        <v>66000</v>
      </c>
      <c r="J429" s="47">
        <f t="shared" si="3"/>
        <v>1</v>
      </c>
      <c r="K429" s="2">
        <f t="shared" si="4"/>
        <v>594000</v>
      </c>
      <c r="L429" s="1"/>
    </row>
    <row r="430">
      <c r="A430" s="55">
        <v>46186.0</v>
      </c>
      <c r="B430" s="1" t="s">
        <v>889</v>
      </c>
      <c r="C430" s="1" t="str">
        <f>VLOOKUP(B430,MAESTRA!I:K,2,0)</f>
        <v>*2617030*</v>
      </c>
      <c r="D430" s="1" t="str">
        <f>VLOOKUP(B430,MAESTRA!I:K,3,0)</f>
        <v>BUSOS DAMA CAPOTA LANA TALLA UN</v>
      </c>
      <c r="E430" s="1" t="s">
        <v>884</v>
      </c>
      <c r="F430" s="45">
        <v>4.0</v>
      </c>
      <c r="G430" s="2">
        <v>33000.0</v>
      </c>
      <c r="H430" s="2">
        <f t="shared" si="1"/>
        <v>132000</v>
      </c>
      <c r="I430" s="2">
        <f t="shared" si="2"/>
        <v>66000</v>
      </c>
      <c r="J430" s="47">
        <f t="shared" si="3"/>
        <v>1</v>
      </c>
      <c r="K430" s="2">
        <f t="shared" si="4"/>
        <v>264000</v>
      </c>
      <c r="L430" s="1"/>
    </row>
    <row r="431">
      <c r="A431" s="55">
        <v>46186.0</v>
      </c>
      <c r="B431" s="1" t="s">
        <v>890</v>
      </c>
      <c r="C431" s="1" t="str">
        <f>VLOOKUP(B431,MAESTRA!I:K,2,0)</f>
        <v>*1112227*</v>
      </c>
      <c r="D431" s="1" t="str">
        <f>VLOOKUP(B431,MAESTRA!I:K,3,0)</f>
        <v>CAMISETAS DAMA ALGODON OLGADA TALLA S</v>
      </c>
      <c r="E431" s="1" t="s">
        <v>891</v>
      </c>
      <c r="F431" s="45">
        <v>8.0</v>
      </c>
      <c r="G431" s="2">
        <v>17000.0</v>
      </c>
      <c r="H431" s="2">
        <f t="shared" si="1"/>
        <v>136000</v>
      </c>
      <c r="I431" s="2">
        <f t="shared" si="2"/>
        <v>34000</v>
      </c>
      <c r="J431" s="47">
        <f t="shared" si="3"/>
        <v>1</v>
      </c>
      <c r="K431" s="2">
        <f t="shared" si="4"/>
        <v>272000</v>
      </c>
      <c r="L431" s="1"/>
    </row>
    <row r="432">
      <c r="A432" s="55">
        <v>46186.0</v>
      </c>
      <c r="B432" s="1" t="s">
        <v>892</v>
      </c>
      <c r="C432" s="1" t="str">
        <f>VLOOKUP(B432,MAESTRA!I:K,2,0)</f>
        <v>*1112225*</v>
      </c>
      <c r="D432" s="1" t="str">
        <f>VLOOKUP(B432,MAESTRA!I:K,3,0)</f>
        <v>CAMISETAS DAMA ALGODON OLGADA TALLA M</v>
      </c>
      <c r="E432" s="1" t="s">
        <v>891</v>
      </c>
      <c r="F432" s="45">
        <v>7.0</v>
      </c>
      <c r="G432" s="2">
        <v>17000.0</v>
      </c>
      <c r="H432" s="2">
        <f t="shared" si="1"/>
        <v>119000</v>
      </c>
      <c r="I432" s="2">
        <f t="shared" si="2"/>
        <v>34000</v>
      </c>
      <c r="J432" s="47">
        <f t="shared" si="3"/>
        <v>1</v>
      </c>
      <c r="K432" s="2">
        <f t="shared" si="4"/>
        <v>238000</v>
      </c>
      <c r="L432" s="1"/>
    </row>
    <row r="433">
      <c r="A433" s="55">
        <v>46186.0</v>
      </c>
      <c r="B433" s="1" t="s">
        <v>893</v>
      </c>
      <c r="C433" s="1" t="str">
        <f>VLOOKUP(B433,MAESTRA!I:K,2,0)</f>
        <v>*1112223*</v>
      </c>
      <c r="D433" s="1" t="str">
        <f>VLOOKUP(B433,MAESTRA!I:K,3,0)</f>
        <v>CAMISETAS DAMA ALGODON OLGADA TALLA L</v>
      </c>
      <c r="E433" s="1" t="s">
        <v>891</v>
      </c>
      <c r="F433" s="45">
        <v>5.0</v>
      </c>
      <c r="G433" s="2">
        <v>17000.0</v>
      </c>
      <c r="H433" s="2">
        <f t="shared" si="1"/>
        <v>85000</v>
      </c>
      <c r="I433" s="2">
        <f t="shared" si="2"/>
        <v>34000</v>
      </c>
      <c r="J433" s="47">
        <f t="shared" si="3"/>
        <v>1</v>
      </c>
      <c r="K433" s="2">
        <f t="shared" si="4"/>
        <v>170000</v>
      </c>
      <c r="L433" s="1"/>
    </row>
    <row r="434">
      <c r="A434" s="55">
        <v>46186.0</v>
      </c>
      <c r="B434" s="1" t="s">
        <v>894</v>
      </c>
      <c r="C434" s="1" t="str">
        <f>VLOOKUP(B434,MAESTRA!I:K,2,0)</f>
        <v>*1112232*</v>
      </c>
      <c r="D434" s="1" t="str">
        <f>VLOOKUP(B434,MAESTRA!I:K,3,0)</f>
        <v>CAMISETAS DAMA ALGODON OLGADA TALLA XL</v>
      </c>
      <c r="E434" s="1" t="s">
        <v>891</v>
      </c>
      <c r="F434" s="45">
        <v>7.0</v>
      </c>
      <c r="G434" s="2">
        <v>17000.0</v>
      </c>
      <c r="H434" s="2">
        <f t="shared" si="1"/>
        <v>119000</v>
      </c>
      <c r="I434" s="2">
        <f t="shared" si="2"/>
        <v>34000</v>
      </c>
      <c r="J434" s="47">
        <f t="shared" si="3"/>
        <v>1</v>
      </c>
      <c r="K434" s="2">
        <f t="shared" si="4"/>
        <v>238000</v>
      </c>
      <c r="L434" s="1"/>
    </row>
    <row r="435">
      <c r="A435" s="55">
        <v>46186.0</v>
      </c>
      <c r="B435" s="1" t="s">
        <v>895</v>
      </c>
      <c r="C435" s="1" t="str">
        <f>VLOOKUP(B435,MAESTRA!I:K,2,0)</f>
        <v>*1111727*</v>
      </c>
      <c r="D435" s="1" t="str">
        <f>VLOOKUP(B435,MAESTRA!I:K,3,0)</f>
        <v>CAMISETAS DAMA ALGODON AJUSTADA TALLA S</v>
      </c>
      <c r="E435" s="1" t="s">
        <v>891</v>
      </c>
      <c r="F435" s="45">
        <v>4.0</v>
      </c>
      <c r="G435" s="2">
        <v>15000.0</v>
      </c>
      <c r="H435" s="2">
        <f t="shared" si="1"/>
        <v>60000</v>
      </c>
      <c r="I435" s="2">
        <f t="shared" si="2"/>
        <v>30000</v>
      </c>
      <c r="J435" s="47">
        <f t="shared" si="3"/>
        <v>1</v>
      </c>
      <c r="K435" s="2">
        <f t="shared" si="4"/>
        <v>120000</v>
      </c>
      <c r="L435" s="1"/>
    </row>
    <row r="436">
      <c r="A436" s="55">
        <v>46186.0</v>
      </c>
      <c r="B436" s="1" t="s">
        <v>896</v>
      </c>
      <c r="C436" s="1" t="str">
        <f>VLOOKUP(B436,MAESTRA!I:K,2,0)</f>
        <v>*1111725*</v>
      </c>
      <c r="D436" s="1" t="str">
        <f>VLOOKUP(B436,MAESTRA!I:K,3,0)</f>
        <v>CAMISETAS DAMA ALGODON AJUSTADA TALLA M</v>
      </c>
      <c r="E436" s="1" t="s">
        <v>891</v>
      </c>
      <c r="F436" s="45">
        <v>4.0</v>
      </c>
      <c r="G436" s="2">
        <v>15000.0</v>
      </c>
      <c r="H436" s="2">
        <f t="shared" si="1"/>
        <v>60000</v>
      </c>
      <c r="I436" s="2">
        <f t="shared" si="2"/>
        <v>30000</v>
      </c>
      <c r="J436" s="47">
        <f t="shared" si="3"/>
        <v>1</v>
      </c>
      <c r="K436" s="2">
        <f t="shared" si="4"/>
        <v>120000</v>
      </c>
      <c r="L436" s="1"/>
    </row>
    <row r="437">
      <c r="A437" s="55">
        <v>46186.0</v>
      </c>
      <c r="B437" s="1" t="s">
        <v>897</v>
      </c>
      <c r="C437" s="1" t="str">
        <f>VLOOKUP(B437,MAESTRA!I:K,2,0)</f>
        <v>*1111723*</v>
      </c>
      <c r="D437" s="1" t="str">
        <f>VLOOKUP(B437,MAESTRA!I:K,3,0)</f>
        <v>CAMISETAS DAMA ALGODON AJUSTADA TALLA L</v>
      </c>
      <c r="E437" s="1" t="s">
        <v>891</v>
      </c>
      <c r="F437" s="45">
        <v>5.0</v>
      </c>
      <c r="G437" s="2">
        <v>15000.0</v>
      </c>
      <c r="H437" s="2">
        <f t="shared" si="1"/>
        <v>75000</v>
      </c>
      <c r="I437" s="2">
        <f t="shared" si="2"/>
        <v>30000</v>
      </c>
      <c r="J437" s="47">
        <f t="shared" si="3"/>
        <v>1</v>
      </c>
      <c r="K437" s="2">
        <f t="shared" si="4"/>
        <v>150000</v>
      </c>
      <c r="L437" s="1"/>
    </row>
    <row r="438">
      <c r="A438" s="55">
        <v>46186.0</v>
      </c>
      <c r="B438" s="1" t="s">
        <v>898</v>
      </c>
      <c r="C438" s="1" t="str">
        <f>VLOOKUP(B438,MAESTRA!I:K,2,0)</f>
        <v>*1111732*</v>
      </c>
      <c r="D438" s="1" t="str">
        <f>VLOOKUP(B438,MAESTRA!I:K,3,0)</f>
        <v>CAMISETAS DAMA ALGODON AJUSTADA TALLA XL</v>
      </c>
      <c r="E438" s="1" t="s">
        <v>891</v>
      </c>
      <c r="F438" s="45">
        <v>5.0</v>
      </c>
      <c r="G438" s="2">
        <v>15000.0</v>
      </c>
      <c r="H438" s="2">
        <f t="shared" si="1"/>
        <v>75000</v>
      </c>
      <c r="I438" s="2">
        <f t="shared" si="2"/>
        <v>30000</v>
      </c>
      <c r="J438" s="47">
        <f t="shared" si="3"/>
        <v>1</v>
      </c>
      <c r="K438" s="2">
        <f t="shared" si="4"/>
        <v>150000</v>
      </c>
      <c r="L438" s="1"/>
    </row>
    <row r="439">
      <c r="A439" s="55">
        <v>46186.0</v>
      </c>
      <c r="B439" s="1" t="s">
        <v>899</v>
      </c>
      <c r="C439" s="1" t="str">
        <f>VLOOKUP(B439,MAESTRA!I:K,2,0)</f>
        <v>*11224827*</v>
      </c>
      <c r="D439" s="1" t="str">
        <f>VLOOKUP(B439,MAESTRA!I:K,3,0)</f>
        <v>CAMISETAS CABALLERO SEDA FRIA TALLA S</v>
      </c>
      <c r="E439" s="1" t="s">
        <v>891</v>
      </c>
      <c r="F439" s="45">
        <v>7.0</v>
      </c>
      <c r="G439" s="2">
        <v>22000.0</v>
      </c>
      <c r="H439" s="2">
        <f t="shared" si="1"/>
        <v>154000</v>
      </c>
      <c r="I439" s="2">
        <f t="shared" si="2"/>
        <v>44000</v>
      </c>
      <c r="J439" s="47">
        <f t="shared" si="3"/>
        <v>1</v>
      </c>
      <c r="K439" s="2">
        <f t="shared" si="4"/>
        <v>308000</v>
      </c>
      <c r="L439" s="1"/>
    </row>
    <row r="440">
      <c r="A440" s="55">
        <v>46186.0</v>
      </c>
      <c r="B440" s="1" t="s">
        <v>900</v>
      </c>
      <c r="C440" s="1" t="str">
        <f>VLOOKUP(B440,MAESTRA!I:K,2,0)</f>
        <v>*11224825*</v>
      </c>
      <c r="D440" s="1" t="str">
        <f>VLOOKUP(B440,MAESTRA!I:K,3,0)</f>
        <v>CAMISETAS CABALLERO SEDA FRIA TALLA M</v>
      </c>
      <c r="E440" s="1" t="s">
        <v>891</v>
      </c>
      <c r="F440" s="45">
        <v>9.0</v>
      </c>
      <c r="G440" s="2">
        <v>22000.0</v>
      </c>
      <c r="H440" s="2">
        <f t="shared" si="1"/>
        <v>198000</v>
      </c>
      <c r="I440" s="2">
        <f t="shared" si="2"/>
        <v>44000</v>
      </c>
      <c r="J440" s="47">
        <f t="shared" si="3"/>
        <v>1</v>
      </c>
      <c r="K440" s="2">
        <f t="shared" si="4"/>
        <v>396000</v>
      </c>
      <c r="L440" s="1"/>
    </row>
    <row r="441">
      <c r="A441" s="55">
        <v>46186.0</v>
      </c>
      <c r="B441" s="1" t="s">
        <v>901</v>
      </c>
      <c r="C441" s="1" t="str">
        <f>VLOOKUP(B441,MAESTRA!I:K,2,0)</f>
        <v>*11224823*</v>
      </c>
      <c r="D441" s="1" t="str">
        <f>VLOOKUP(B441,MAESTRA!I:K,3,0)</f>
        <v>CAMISETAS CABALLERO SEDA FRIA TALLA L</v>
      </c>
      <c r="E441" s="1" t="s">
        <v>891</v>
      </c>
      <c r="F441" s="45">
        <v>7.0</v>
      </c>
      <c r="G441" s="2">
        <v>22000.0</v>
      </c>
      <c r="H441" s="2">
        <f t="shared" si="1"/>
        <v>154000</v>
      </c>
      <c r="I441" s="2">
        <f t="shared" si="2"/>
        <v>44000</v>
      </c>
      <c r="J441" s="47">
        <f t="shared" si="3"/>
        <v>1</v>
      </c>
      <c r="K441" s="2">
        <f t="shared" si="4"/>
        <v>308000</v>
      </c>
      <c r="L441" s="1"/>
    </row>
    <row r="442">
      <c r="A442" s="55">
        <v>46186.0</v>
      </c>
      <c r="B442" s="1" t="s">
        <v>902</v>
      </c>
      <c r="C442" s="1" t="str">
        <f>VLOOKUP(B442,MAESTRA!I:K,2,0)</f>
        <v>*11224832*</v>
      </c>
      <c r="D442" s="1" t="str">
        <f>VLOOKUP(B442,MAESTRA!I:K,3,0)</f>
        <v>CAMISETAS CABALLERO SEDA FRIA TALLA XL</v>
      </c>
      <c r="E442" s="1" t="s">
        <v>891</v>
      </c>
      <c r="F442" s="45">
        <v>5.0</v>
      </c>
      <c r="G442" s="2">
        <v>22000.0</v>
      </c>
      <c r="H442" s="2">
        <f t="shared" si="1"/>
        <v>110000</v>
      </c>
      <c r="I442" s="2">
        <f t="shared" si="2"/>
        <v>44000</v>
      </c>
      <c r="J442" s="47">
        <f t="shared" si="3"/>
        <v>1</v>
      </c>
      <c r="K442" s="2">
        <f t="shared" si="4"/>
        <v>220000</v>
      </c>
      <c r="L442" s="1"/>
    </row>
    <row r="443">
      <c r="A443" s="55">
        <v>46186.0</v>
      </c>
      <c r="B443" s="1" t="s">
        <v>903</v>
      </c>
      <c r="C443" s="1" t="str">
        <f>VLOOKUP(B443,MAESTRA!I:K,2,0)</f>
        <v>*55120327*</v>
      </c>
      <c r="D443" s="1" t="str">
        <f>VLOOKUP(B443,MAESTRA!I:K,3,0)</f>
        <v>CROPTOP DAMA OVERSIZE DOS ESTAMPADOS TALLA S</v>
      </c>
      <c r="E443" s="1" t="s">
        <v>891</v>
      </c>
      <c r="F443" s="45">
        <v>2.0</v>
      </c>
      <c r="G443" s="2">
        <v>22000.0</v>
      </c>
      <c r="H443" s="2">
        <f t="shared" si="1"/>
        <v>44000</v>
      </c>
      <c r="I443" s="2">
        <f t="shared" si="2"/>
        <v>44000</v>
      </c>
      <c r="J443" s="47">
        <f t="shared" si="3"/>
        <v>1</v>
      </c>
      <c r="K443" s="2">
        <f t="shared" si="4"/>
        <v>88000</v>
      </c>
      <c r="L443" s="1"/>
    </row>
    <row r="444">
      <c r="A444" s="55">
        <v>46186.0</v>
      </c>
      <c r="B444" s="1" t="s">
        <v>904</v>
      </c>
      <c r="C444" s="1" t="str">
        <f>VLOOKUP(B444,MAESTRA!I:K,2,0)</f>
        <v>*55120325*</v>
      </c>
      <c r="D444" s="1" t="str">
        <f>VLOOKUP(B444,MAESTRA!I:K,3,0)</f>
        <v>CROPTOP DAMA OVERSIZE DOS ESTAMPADOS TALLA M</v>
      </c>
      <c r="E444" s="1" t="s">
        <v>891</v>
      </c>
      <c r="F444" s="45">
        <v>3.0</v>
      </c>
      <c r="G444" s="2">
        <v>22000.0</v>
      </c>
      <c r="H444" s="2">
        <f t="shared" si="1"/>
        <v>66000</v>
      </c>
      <c r="I444" s="2">
        <f t="shared" si="2"/>
        <v>44000</v>
      </c>
      <c r="J444" s="47">
        <f t="shared" si="3"/>
        <v>1</v>
      </c>
      <c r="K444" s="2">
        <f t="shared" si="4"/>
        <v>132000</v>
      </c>
      <c r="L444" s="1"/>
    </row>
    <row r="445">
      <c r="A445" s="55">
        <v>46186.0</v>
      </c>
      <c r="B445" s="1" t="s">
        <v>905</v>
      </c>
      <c r="C445" s="1" t="str">
        <f>VLOOKUP(B445,MAESTRA!I:K,2,0)</f>
        <v>*55120323*</v>
      </c>
      <c r="D445" s="1" t="str">
        <f>VLOOKUP(B445,MAESTRA!I:K,3,0)</f>
        <v>CROPTOP DAMA OVERSIZE DOS ESTAMPADOS TALLA L</v>
      </c>
      <c r="E445" s="1" t="s">
        <v>891</v>
      </c>
      <c r="F445" s="45">
        <v>3.0</v>
      </c>
      <c r="G445" s="2">
        <v>22000.0</v>
      </c>
      <c r="H445" s="2">
        <f t="shared" si="1"/>
        <v>66000</v>
      </c>
      <c r="I445" s="2">
        <f t="shared" si="2"/>
        <v>44000</v>
      </c>
      <c r="J445" s="47">
        <f t="shared" si="3"/>
        <v>1</v>
      </c>
      <c r="K445" s="2">
        <f t="shared" si="4"/>
        <v>132000</v>
      </c>
      <c r="L445" s="1"/>
    </row>
    <row r="446">
      <c r="A446" s="55">
        <v>46186.0</v>
      </c>
      <c r="B446" s="1" t="s">
        <v>906</v>
      </c>
      <c r="C446" s="1" t="str">
        <f>VLOOKUP(B446,MAESTRA!I:K,2,0)</f>
        <v>*55127227*</v>
      </c>
      <c r="D446" s="1" t="str">
        <f>VLOOKUP(B446,MAESTRA!I:K,3,0)</f>
        <v>CROPTOP DAMA UN ESTAMPADO TALLA S</v>
      </c>
      <c r="E446" s="1" t="s">
        <v>891</v>
      </c>
      <c r="F446" s="45">
        <v>7.0</v>
      </c>
      <c r="G446" s="2">
        <v>18000.0</v>
      </c>
      <c r="H446" s="2">
        <f t="shared" si="1"/>
        <v>126000</v>
      </c>
      <c r="I446" s="2">
        <f t="shared" si="2"/>
        <v>36000</v>
      </c>
      <c r="J446" s="47">
        <f t="shared" si="3"/>
        <v>1</v>
      </c>
      <c r="K446" s="2">
        <f t="shared" si="4"/>
        <v>252000</v>
      </c>
      <c r="L446" s="1"/>
    </row>
    <row r="447">
      <c r="A447" s="55">
        <v>46186.0</v>
      </c>
      <c r="B447" s="1" t="s">
        <v>907</v>
      </c>
      <c r="C447" s="1" t="str">
        <f>VLOOKUP(B447,MAESTRA!I:K,2,0)</f>
        <v>*55127225*</v>
      </c>
      <c r="D447" s="1" t="str">
        <f>VLOOKUP(B447,MAESTRA!I:K,3,0)</f>
        <v>CROPTOP DAMA UN ESTAMPADO TALLA M</v>
      </c>
      <c r="E447" s="1" t="s">
        <v>891</v>
      </c>
      <c r="F447" s="45">
        <v>9.0</v>
      </c>
      <c r="G447" s="2">
        <v>18000.0</v>
      </c>
      <c r="H447" s="2">
        <f t="shared" si="1"/>
        <v>162000</v>
      </c>
      <c r="I447" s="2">
        <f t="shared" si="2"/>
        <v>36000</v>
      </c>
      <c r="J447" s="47">
        <f t="shared" si="3"/>
        <v>1</v>
      </c>
      <c r="K447" s="2">
        <f t="shared" si="4"/>
        <v>324000</v>
      </c>
      <c r="L447" s="1"/>
    </row>
    <row r="448">
      <c r="A448" s="55">
        <v>46186.0</v>
      </c>
      <c r="B448" s="1" t="s">
        <v>908</v>
      </c>
      <c r="C448" s="1" t="str">
        <f>VLOOKUP(B448,MAESTRA!I:K,2,0)</f>
        <v>*55127223*</v>
      </c>
      <c r="D448" s="1" t="str">
        <f>VLOOKUP(B448,MAESTRA!I:K,3,0)</f>
        <v>CROPTOP DAMA UN ESTAMPADO TALLA L</v>
      </c>
      <c r="E448" s="1" t="s">
        <v>891</v>
      </c>
      <c r="F448" s="45">
        <v>12.0</v>
      </c>
      <c r="G448" s="2">
        <v>18000.0</v>
      </c>
      <c r="H448" s="2">
        <f t="shared" si="1"/>
        <v>216000</v>
      </c>
      <c r="I448" s="2">
        <f t="shared" si="2"/>
        <v>36000</v>
      </c>
      <c r="J448" s="47">
        <f t="shared" si="3"/>
        <v>1</v>
      </c>
      <c r="K448" s="2">
        <f t="shared" si="4"/>
        <v>432000</v>
      </c>
      <c r="L448" s="1"/>
    </row>
    <row r="449">
      <c r="A449" s="55">
        <v>46186.0</v>
      </c>
      <c r="B449" s="1" t="s">
        <v>819</v>
      </c>
      <c r="C449" s="1" t="str">
        <f>VLOOKUP(B449,MAESTRA!I:K,2,0)</f>
        <v>*1128823*</v>
      </c>
      <c r="D449" s="1" t="str">
        <f>VLOOKUP(B449,MAESTRA!I:K,3,0)</f>
        <v>CAMISETAS CABALLERO COLOMBIA AAA TALLA L</v>
      </c>
      <c r="E449" s="1" t="s">
        <v>806</v>
      </c>
      <c r="F449" s="45">
        <v>3.0</v>
      </c>
      <c r="G449" s="2"/>
      <c r="H449" s="2">
        <f t="shared" si="1"/>
        <v>0</v>
      </c>
      <c r="I449" s="2">
        <f t="shared" si="2"/>
        <v>0</v>
      </c>
      <c r="J449" s="47" t="str">
        <f t="shared" si="3"/>
        <v/>
      </c>
      <c r="K449" s="2">
        <f t="shared" si="4"/>
        <v>0</v>
      </c>
      <c r="L449" s="1"/>
    </row>
    <row r="450">
      <c r="A450" s="55">
        <v>46186.0</v>
      </c>
      <c r="B450" s="1" t="s">
        <v>817</v>
      </c>
      <c r="C450" s="1" t="str">
        <f>VLOOKUP(B450,MAESTRA!I:K,2,0)</f>
        <v>*1128827*</v>
      </c>
      <c r="D450" s="1" t="str">
        <f>VLOOKUP(B450,MAESTRA!I:K,3,0)</f>
        <v>CAMISETAS CABALLERO COLOMBIA AAA TALLA S</v>
      </c>
      <c r="E450" s="1" t="s">
        <v>806</v>
      </c>
      <c r="F450" s="45">
        <v>2.0</v>
      </c>
      <c r="G450" s="2"/>
      <c r="H450" s="2">
        <f t="shared" si="1"/>
        <v>0</v>
      </c>
      <c r="I450" s="2">
        <f t="shared" si="2"/>
        <v>0</v>
      </c>
      <c r="J450" s="47" t="str">
        <f t="shared" si="3"/>
        <v/>
      </c>
      <c r="K450" s="2">
        <f t="shared" si="4"/>
        <v>0</v>
      </c>
      <c r="L450" s="1"/>
    </row>
    <row r="451">
      <c r="A451" s="55">
        <v>46186.0</v>
      </c>
      <c r="B451" s="1" t="s">
        <v>818</v>
      </c>
      <c r="C451" s="1" t="str">
        <f>VLOOKUP(B451,MAESTRA!I:K,2,0)</f>
        <v>*1128825*</v>
      </c>
      <c r="D451" s="1" t="str">
        <f>VLOOKUP(B451,MAESTRA!I:K,3,0)</f>
        <v>CAMISETAS CABALLERO COLOMBIA AAA TALLA M</v>
      </c>
      <c r="E451" s="1" t="s">
        <v>806</v>
      </c>
      <c r="F451" s="45">
        <v>3.0</v>
      </c>
      <c r="G451" s="2"/>
      <c r="H451" s="2">
        <f t="shared" si="1"/>
        <v>0</v>
      </c>
      <c r="I451" s="2">
        <f t="shared" si="2"/>
        <v>0</v>
      </c>
      <c r="J451" s="47" t="str">
        <f t="shared" si="3"/>
        <v/>
      </c>
      <c r="K451" s="2">
        <f t="shared" si="4"/>
        <v>0</v>
      </c>
      <c r="L451" s="1"/>
    </row>
    <row r="452">
      <c r="A452" s="55">
        <v>46186.0</v>
      </c>
      <c r="B452" s="1" t="s">
        <v>820</v>
      </c>
      <c r="C452" s="1" t="str">
        <f>VLOOKUP(B452,MAESTRA!I:K,2,0)</f>
        <v>*1128832*</v>
      </c>
      <c r="D452" s="1" t="str">
        <f>VLOOKUP(B452,MAESTRA!I:K,3,0)</f>
        <v>CAMISETAS CABALLERO COLOMBIA AAA TALLA XL</v>
      </c>
      <c r="E452" s="1" t="s">
        <v>806</v>
      </c>
      <c r="F452" s="45">
        <v>3.0</v>
      </c>
      <c r="G452" s="2"/>
      <c r="H452" s="2">
        <f t="shared" si="1"/>
        <v>0</v>
      </c>
      <c r="I452" s="2">
        <f t="shared" si="2"/>
        <v>0</v>
      </c>
      <c r="J452" s="47" t="str">
        <f t="shared" si="3"/>
        <v/>
      </c>
      <c r="K452" s="2">
        <f t="shared" si="4"/>
        <v>0</v>
      </c>
      <c r="L452" s="1"/>
    </row>
    <row r="453">
      <c r="A453" s="55">
        <v>46186.0</v>
      </c>
      <c r="B453" s="1" t="s">
        <v>909</v>
      </c>
      <c r="C453" s="1" t="str">
        <f>VLOOKUP(B453,MAESTRA!I:K,2,0)</f>
        <v>*11212827*</v>
      </c>
      <c r="D453" s="1" t="str">
        <f>VLOOKUP(B453,MAESTRA!I:K,3,0)</f>
        <v>CAMISETAS CABALLERO ESPAÑA 1.1 LOCAL TALLA S</v>
      </c>
      <c r="E453" s="1" t="s">
        <v>806</v>
      </c>
      <c r="F453" s="45">
        <v>1.0</v>
      </c>
      <c r="G453" s="2"/>
      <c r="H453" s="2">
        <f t="shared" si="1"/>
        <v>0</v>
      </c>
      <c r="I453" s="2">
        <f t="shared" si="2"/>
        <v>0</v>
      </c>
      <c r="J453" s="47" t="str">
        <f t="shared" si="3"/>
        <v/>
      </c>
      <c r="K453" s="2">
        <f t="shared" si="4"/>
        <v>0</v>
      </c>
      <c r="L453" s="1"/>
    </row>
    <row r="454">
      <c r="A454" s="55">
        <v>46186.0</v>
      </c>
      <c r="B454" s="1" t="s">
        <v>910</v>
      </c>
      <c r="C454" s="1" t="str">
        <f>VLOOKUP(B454,MAESTRA!I:K,2,0)</f>
        <v>*11212823*</v>
      </c>
      <c r="D454" s="1" t="str">
        <f>VLOOKUP(B454,MAESTRA!I:K,3,0)</f>
        <v>CAMISETAS CABALLERO ESPAÑA 1.1 LOCAL TALLA L</v>
      </c>
      <c r="E454" s="1" t="s">
        <v>806</v>
      </c>
      <c r="F454" s="45">
        <v>1.0</v>
      </c>
      <c r="G454" s="2"/>
      <c r="H454" s="2">
        <f t="shared" si="1"/>
        <v>0</v>
      </c>
      <c r="I454" s="2">
        <f t="shared" si="2"/>
        <v>0</v>
      </c>
      <c r="J454" s="47" t="str">
        <f t="shared" si="3"/>
        <v/>
      </c>
      <c r="K454" s="2">
        <f t="shared" si="4"/>
        <v>0</v>
      </c>
      <c r="L454" s="1"/>
    </row>
    <row r="455">
      <c r="A455" s="55">
        <v>46186.0</v>
      </c>
      <c r="B455" s="1" t="s">
        <v>911</v>
      </c>
      <c r="C455" s="1" t="str">
        <f>VLOOKUP(B455,MAESTRA!I:K,2,0)</f>
        <v>*11212825*</v>
      </c>
      <c r="D455" s="1" t="str">
        <f>VLOOKUP(B455,MAESTRA!I:K,3,0)</f>
        <v>CAMISETAS CABALLERO ESPAÑA 1.1 LOCAL TALLA M</v>
      </c>
      <c r="E455" s="1" t="s">
        <v>806</v>
      </c>
      <c r="F455" s="45">
        <v>1.0</v>
      </c>
      <c r="G455" s="2"/>
      <c r="H455" s="2">
        <f t="shared" si="1"/>
        <v>0</v>
      </c>
      <c r="I455" s="2">
        <f t="shared" si="2"/>
        <v>0</v>
      </c>
      <c r="J455" s="47" t="str">
        <f t="shared" si="3"/>
        <v/>
      </c>
      <c r="K455" s="2">
        <f t="shared" si="4"/>
        <v>0</v>
      </c>
      <c r="L455" s="1"/>
    </row>
    <row r="456">
      <c r="A456" s="55">
        <v>46186.0</v>
      </c>
      <c r="B456" s="1" t="s">
        <v>912</v>
      </c>
      <c r="C456" s="1" t="str">
        <f>VLOOKUP(B456,MAESTRA!I:K,2,0)</f>
        <v>*11212832*</v>
      </c>
      <c r="D456" s="1" t="str">
        <f>VLOOKUP(B456,MAESTRA!I:K,3,0)</f>
        <v>CAMISETAS CABALLERO ESPAÑA 1.1 LOCAL TALLA XL</v>
      </c>
      <c r="E456" s="1" t="s">
        <v>806</v>
      </c>
      <c r="F456" s="45">
        <v>1.0</v>
      </c>
      <c r="G456" s="2"/>
      <c r="H456" s="2">
        <f t="shared" si="1"/>
        <v>0</v>
      </c>
      <c r="I456" s="2">
        <f t="shared" si="2"/>
        <v>0</v>
      </c>
      <c r="J456" s="47" t="str">
        <f t="shared" si="3"/>
        <v/>
      </c>
      <c r="K456" s="2">
        <f t="shared" si="4"/>
        <v>0</v>
      </c>
      <c r="L456" s="1"/>
    </row>
    <row r="457">
      <c r="A457" s="55">
        <v>46186.0</v>
      </c>
      <c r="B457" s="1" t="s">
        <v>913</v>
      </c>
      <c r="C457" s="1" t="str">
        <f>VLOOKUP(B457,MAESTRA!I:K,2,0)</f>
        <v>*40212932*</v>
      </c>
      <c r="D457" s="1" t="str">
        <f>VLOOKUP(B457,MAESTRA!I:K,3,0)</f>
        <v>CONJUNTO CABALLERO ESPAÑA AAA LOCAL TALLA XL</v>
      </c>
      <c r="E457" s="1" t="s">
        <v>806</v>
      </c>
      <c r="F457" s="45">
        <v>1.0</v>
      </c>
      <c r="G457" s="2"/>
      <c r="H457" s="2">
        <f t="shared" si="1"/>
        <v>0</v>
      </c>
      <c r="I457" s="2">
        <f t="shared" si="2"/>
        <v>0</v>
      </c>
      <c r="J457" s="47" t="str">
        <f t="shared" si="3"/>
        <v/>
      </c>
      <c r="K457" s="2">
        <f t="shared" si="4"/>
        <v>0</v>
      </c>
      <c r="L457" s="1"/>
    </row>
    <row r="458">
      <c r="A458" s="55">
        <v>46186.0</v>
      </c>
      <c r="B458" s="1" t="s">
        <v>914</v>
      </c>
      <c r="C458" s="1" t="str">
        <f>VLOOKUP(B458,MAESTRA!I:K,2,0)</f>
        <v>*40212923*</v>
      </c>
      <c r="D458" s="1" t="str">
        <f>VLOOKUP(B458,MAESTRA!I:K,3,0)</f>
        <v>CONJUNTO CABALLERO ESPAÑA AAA LOCAL TALLA L</v>
      </c>
      <c r="E458" s="1" t="s">
        <v>806</v>
      </c>
      <c r="F458" s="45">
        <v>2.0</v>
      </c>
      <c r="G458" s="2"/>
      <c r="H458" s="2">
        <f t="shared" si="1"/>
        <v>0</v>
      </c>
      <c r="I458" s="2">
        <f t="shared" si="2"/>
        <v>0</v>
      </c>
      <c r="J458" s="47" t="str">
        <f t="shared" si="3"/>
        <v/>
      </c>
      <c r="K458" s="2">
        <f t="shared" si="4"/>
        <v>0</v>
      </c>
      <c r="L458" s="1"/>
    </row>
    <row r="459">
      <c r="A459" s="55">
        <v>46186.0</v>
      </c>
      <c r="B459" s="1" t="s">
        <v>915</v>
      </c>
      <c r="C459" s="1" t="str">
        <f>VLOOKUP(B459,MAESTRA!I:K,2,0)</f>
        <v>*40212925*</v>
      </c>
      <c r="D459" s="1" t="str">
        <f>VLOOKUP(B459,MAESTRA!I:K,3,0)</f>
        <v>CONJUNTO CABALLERO ESPAÑA AAA LOCAL TALLA M</v>
      </c>
      <c r="E459" s="1" t="s">
        <v>806</v>
      </c>
      <c r="F459" s="45">
        <v>2.0</v>
      </c>
      <c r="G459" s="2"/>
      <c r="H459" s="2">
        <f t="shared" si="1"/>
        <v>0</v>
      </c>
      <c r="I459" s="2">
        <f t="shared" si="2"/>
        <v>0</v>
      </c>
      <c r="J459" s="47" t="str">
        <f t="shared" si="3"/>
        <v/>
      </c>
      <c r="K459" s="2">
        <f t="shared" si="4"/>
        <v>0</v>
      </c>
      <c r="L459" s="1"/>
    </row>
    <row r="460">
      <c r="A460" s="55">
        <v>46186.0</v>
      </c>
      <c r="B460" s="1" t="s">
        <v>916</v>
      </c>
      <c r="C460" s="1" t="str">
        <f>VLOOKUP(B460,MAESTRA!I:K,2,0)</f>
        <v>*40212927*</v>
      </c>
      <c r="D460" s="1" t="str">
        <f>VLOOKUP(B460,MAESTRA!I:K,3,0)</f>
        <v>CONJUNTO CABALLERO ESPAÑA AAA LOCAL TALLA S</v>
      </c>
      <c r="E460" s="1" t="s">
        <v>806</v>
      </c>
      <c r="F460" s="45">
        <v>1.0</v>
      </c>
      <c r="G460" s="2"/>
      <c r="H460" s="2">
        <f t="shared" si="1"/>
        <v>0</v>
      </c>
      <c r="I460" s="2">
        <f t="shared" si="2"/>
        <v>0</v>
      </c>
      <c r="J460" s="47" t="str">
        <f t="shared" si="3"/>
        <v/>
      </c>
      <c r="K460" s="2">
        <f t="shared" si="4"/>
        <v>0</v>
      </c>
      <c r="L460" s="1"/>
    </row>
    <row r="461">
      <c r="A461" s="55">
        <v>46186.0</v>
      </c>
      <c r="B461" s="1" t="s">
        <v>860</v>
      </c>
      <c r="C461" s="1" t="str">
        <f>VLOOKUP(B461,MAESTRA!I:K,2,0)</f>
        <v>*4021532*</v>
      </c>
      <c r="D461" s="1" t="str">
        <f>VLOOKUP(B461,MAESTRA!I:K,3,0)</f>
        <v>CONJUNTO CABALLERO ALEMANIA AAA LOCAL TALLA XL</v>
      </c>
      <c r="E461" s="1" t="s">
        <v>806</v>
      </c>
      <c r="F461" s="45">
        <v>1.0</v>
      </c>
      <c r="G461" s="2"/>
      <c r="H461" s="2">
        <f t="shared" si="1"/>
        <v>0</v>
      </c>
      <c r="I461" s="2">
        <f t="shared" si="2"/>
        <v>0</v>
      </c>
      <c r="J461" s="47" t="str">
        <f t="shared" si="3"/>
        <v/>
      </c>
      <c r="K461" s="2">
        <f t="shared" si="4"/>
        <v>0</v>
      </c>
      <c r="L461" s="1"/>
    </row>
    <row r="462">
      <c r="A462" s="55">
        <v>46186.0</v>
      </c>
      <c r="B462" s="1" t="s">
        <v>858</v>
      </c>
      <c r="C462" s="1" t="str">
        <f>VLOOKUP(B462,MAESTRA!I:K,2,0)</f>
        <v>*4021523*</v>
      </c>
      <c r="D462" s="1" t="str">
        <f>VLOOKUP(B462,MAESTRA!I:K,3,0)</f>
        <v>CONJUNTO CABALLERO ALEMANIA AAA LOCAL TALLA L</v>
      </c>
      <c r="E462" s="1" t="s">
        <v>806</v>
      </c>
      <c r="F462" s="45">
        <v>2.0</v>
      </c>
      <c r="G462" s="2"/>
      <c r="H462" s="2">
        <f t="shared" si="1"/>
        <v>0</v>
      </c>
      <c r="I462" s="2">
        <f t="shared" si="2"/>
        <v>0</v>
      </c>
      <c r="J462" s="47" t="str">
        <f t="shared" si="3"/>
        <v/>
      </c>
      <c r="K462" s="2">
        <f t="shared" si="4"/>
        <v>0</v>
      </c>
      <c r="L462" s="1"/>
    </row>
    <row r="463">
      <c r="A463" s="55">
        <v>46186.0</v>
      </c>
      <c r="B463" s="1" t="s">
        <v>857</v>
      </c>
      <c r="C463" s="1" t="str">
        <f>VLOOKUP(B463,MAESTRA!I:K,2,0)</f>
        <v>*4021525*</v>
      </c>
      <c r="D463" s="1" t="str">
        <f>VLOOKUP(B463,MAESTRA!I:K,3,0)</f>
        <v>CONJUNTO CABALLERO ALEMANIA AAA LOCAL TALLA M</v>
      </c>
      <c r="E463" s="1" t="s">
        <v>806</v>
      </c>
      <c r="F463" s="45">
        <v>2.0</v>
      </c>
      <c r="G463" s="2"/>
      <c r="H463" s="2">
        <f t="shared" si="1"/>
        <v>0</v>
      </c>
      <c r="I463" s="2">
        <f t="shared" si="2"/>
        <v>0</v>
      </c>
      <c r="J463" s="47" t="str">
        <f t="shared" si="3"/>
        <v/>
      </c>
      <c r="K463" s="2">
        <f t="shared" si="4"/>
        <v>0</v>
      </c>
      <c r="L463" s="1"/>
    </row>
    <row r="464">
      <c r="A464" s="55">
        <v>46186.0</v>
      </c>
      <c r="B464" s="1" t="s">
        <v>859</v>
      </c>
      <c r="C464" s="1" t="str">
        <f>VLOOKUP(B464,MAESTRA!I:K,2,0)</f>
        <v>*4021527*</v>
      </c>
      <c r="D464" s="1" t="str">
        <f>VLOOKUP(B464,MAESTRA!I:K,3,0)</f>
        <v>CONJUNTO CABALLERO ALEMANIA AAA LOCAL TALLA S</v>
      </c>
      <c r="E464" s="1" t="s">
        <v>806</v>
      </c>
      <c r="F464" s="45">
        <v>1.0</v>
      </c>
      <c r="G464" s="2"/>
      <c r="H464" s="2">
        <f t="shared" si="1"/>
        <v>0</v>
      </c>
      <c r="I464" s="2">
        <f t="shared" si="2"/>
        <v>0</v>
      </c>
      <c r="J464" s="47" t="str">
        <f t="shared" si="3"/>
        <v/>
      </c>
      <c r="K464" s="2">
        <f t="shared" si="4"/>
        <v>0</v>
      </c>
      <c r="L464" s="1"/>
    </row>
    <row r="465">
      <c r="A465" s="55">
        <v>46186.0</v>
      </c>
      <c r="B465" s="1" t="s">
        <v>917</v>
      </c>
      <c r="C465" s="1" t="str">
        <f>VLOOKUP(B465,MAESTRA!I:K,2,0)</f>
        <v>*40214732*</v>
      </c>
      <c r="D465" s="1" t="str">
        <f>VLOOKUP(B465,MAESTRA!I:K,3,0)</f>
        <v>CONJUNTO CABALLERO INGLATERRA AAA LOCAL TALLA XL</v>
      </c>
      <c r="E465" s="1" t="s">
        <v>842</v>
      </c>
      <c r="F465" s="45">
        <v>1.0</v>
      </c>
      <c r="G465" s="2"/>
      <c r="H465" s="2">
        <f t="shared" si="1"/>
        <v>0</v>
      </c>
      <c r="I465" s="2">
        <f t="shared" si="2"/>
        <v>0</v>
      </c>
      <c r="J465" s="47" t="str">
        <f t="shared" si="3"/>
        <v/>
      </c>
      <c r="K465" s="2">
        <f t="shared" si="4"/>
        <v>0</v>
      </c>
      <c r="L465" s="1"/>
    </row>
    <row r="466">
      <c r="A466" s="55">
        <v>46186.0</v>
      </c>
      <c r="B466" s="1" t="s">
        <v>918</v>
      </c>
      <c r="C466" s="1" t="str">
        <f>VLOOKUP(B466,MAESTRA!I:K,2,0)</f>
        <v>*40214723*</v>
      </c>
      <c r="D466" s="1" t="str">
        <f>VLOOKUP(B466,MAESTRA!I:K,3,0)</f>
        <v>CONJUNTO CABALLERO INGLATERRA AAA LOCAL TALLA L</v>
      </c>
      <c r="E466" s="1" t="s">
        <v>842</v>
      </c>
      <c r="F466" s="45">
        <v>2.0</v>
      </c>
      <c r="G466" s="2"/>
      <c r="H466" s="2">
        <f t="shared" si="1"/>
        <v>0</v>
      </c>
      <c r="I466" s="2">
        <f t="shared" si="2"/>
        <v>0</v>
      </c>
      <c r="J466" s="47" t="str">
        <f t="shared" si="3"/>
        <v/>
      </c>
      <c r="K466" s="2">
        <f t="shared" si="4"/>
        <v>0</v>
      </c>
      <c r="L466" s="1"/>
    </row>
    <row r="467">
      <c r="A467" s="55">
        <v>46186.0</v>
      </c>
      <c r="B467" s="1" t="s">
        <v>919</v>
      </c>
      <c r="C467" s="1" t="str">
        <f>VLOOKUP(B467,MAESTRA!I:K,2,0)</f>
        <v>*40214725*</v>
      </c>
      <c r="D467" s="1" t="str">
        <f>VLOOKUP(B467,MAESTRA!I:K,3,0)</f>
        <v>CONJUNTO CABALLERO INGLATERRA AAA LOCAL TALLA M</v>
      </c>
      <c r="E467" s="1" t="s">
        <v>842</v>
      </c>
      <c r="F467" s="45">
        <v>2.0</v>
      </c>
      <c r="G467" s="2"/>
      <c r="H467" s="2">
        <f t="shared" si="1"/>
        <v>0</v>
      </c>
      <c r="I467" s="2">
        <f t="shared" si="2"/>
        <v>0</v>
      </c>
      <c r="J467" s="47" t="str">
        <f t="shared" si="3"/>
        <v/>
      </c>
      <c r="K467" s="2">
        <f t="shared" si="4"/>
        <v>0</v>
      </c>
      <c r="L467" s="1"/>
    </row>
    <row r="468">
      <c r="A468" s="55">
        <v>46186.0</v>
      </c>
      <c r="B468" s="1" t="s">
        <v>920</v>
      </c>
      <c r="C468" s="1" t="str">
        <f>VLOOKUP(B468,MAESTRA!I:K,2,0)</f>
        <v>*40214727*</v>
      </c>
      <c r="D468" s="1" t="str">
        <f>VLOOKUP(B468,MAESTRA!I:K,3,0)</f>
        <v>CONJUNTO CABALLERO INGLATERRA AAA LOCAL TALLA S</v>
      </c>
      <c r="E468" s="1" t="s">
        <v>842</v>
      </c>
      <c r="F468" s="45">
        <v>1.0</v>
      </c>
      <c r="G468" s="2"/>
      <c r="H468" s="2">
        <f t="shared" si="1"/>
        <v>0</v>
      </c>
      <c r="I468" s="2">
        <f t="shared" si="2"/>
        <v>0</v>
      </c>
      <c r="J468" s="47" t="str">
        <f t="shared" si="3"/>
        <v/>
      </c>
      <c r="K468" s="2">
        <f t="shared" si="4"/>
        <v>0</v>
      </c>
      <c r="L468" s="1"/>
    </row>
    <row r="469">
      <c r="A469" s="55">
        <v>46186.0</v>
      </c>
      <c r="B469" s="1" t="s">
        <v>921</v>
      </c>
      <c r="C469" s="1" t="str">
        <f>VLOOKUP(B469,MAESTRA!I:K,2,0)</f>
        <v>*4023332*</v>
      </c>
      <c r="D469" s="1" t="str">
        <f>VLOOKUP(B469,MAESTRA!I:K,3,0)</f>
        <v>CONJUNTO CABALLERO ARGENTINA AAA LOCAL TALLA XL</v>
      </c>
      <c r="E469" s="1" t="s">
        <v>806</v>
      </c>
      <c r="F469" s="45">
        <v>1.0</v>
      </c>
      <c r="G469" s="2"/>
      <c r="H469" s="2">
        <f t="shared" si="1"/>
        <v>0</v>
      </c>
      <c r="I469" s="2">
        <f t="shared" si="2"/>
        <v>0</v>
      </c>
      <c r="J469" s="47" t="str">
        <f t="shared" si="3"/>
        <v/>
      </c>
      <c r="K469" s="2">
        <f t="shared" si="4"/>
        <v>0</v>
      </c>
      <c r="L469" s="1"/>
    </row>
    <row r="470">
      <c r="A470" s="55">
        <v>46186.0</v>
      </c>
      <c r="B470" s="1" t="s">
        <v>922</v>
      </c>
      <c r="C470" s="1" t="str">
        <f>VLOOKUP(B470,MAESTRA!I:K,2,0)</f>
        <v>*4023323*</v>
      </c>
      <c r="D470" s="1" t="str">
        <f>VLOOKUP(B470,MAESTRA!I:K,3,0)</f>
        <v>CONJUNTO CABALLERO ARGENTINA AAA LOCAL TALLA L</v>
      </c>
      <c r="E470" s="1" t="s">
        <v>806</v>
      </c>
      <c r="F470" s="45">
        <v>2.0</v>
      </c>
      <c r="G470" s="2"/>
      <c r="H470" s="2">
        <f t="shared" si="1"/>
        <v>0</v>
      </c>
      <c r="I470" s="2">
        <f t="shared" si="2"/>
        <v>0</v>
      </c>
      <c r="J470" s="47" t="str">
        <f t="shared" si="3"/>
        <v/>
      </c>
      <c r="K470" s="2">
        <f t="shared" si="4"/>
        <v>0</v>
      </c>
      <c r="L470" s="1"/>
    </row>
    <row r="471">
      <c r="A471" s="55">
        <v>46186.0</v>
      </c>
      <c r="B471" s="1" t="s">
        <v>923</v>
      </c>
      <c r="C471" s="1" t="str">
        <f>VLOOKUP(B471,MAESTRA!I:K,2,0)</f>
        <v>*4023325*</v>
      </c>
      <c r="D471" s="1" t="str">
        <f>VLOOKUP(B471,MAESTRA!I:K,3,0)</f>
        <v>CONJUNTO CABALLERO ARGENTINA AAA LOCAL TALLA M</v>
      </c>
      <c r="E471" s="1" t="s">
        <v>806</v>
      </c>
      <c r="F471" s="45">
        <v>2.0</v>
      </c>
      <c r="G471" s="2"/>
      <c r="H471" s="2">
        <f t="shared" si="1"/>
        <v>0</v>
      </c>
      <c r="I471" s="2">
        <f t="shared" si="2"/>
        <v>0</v>
      </c>
      <c r="J471" s="47" t="str">
        <f t="shared" si="3"/>
        <v/>
      </c>
      <c r="K471" s="2">
        <f t="shared" si="4"/>
        <v>0</v>
      </c>
      <c r="L471" s="1"/>
    </row>
    <row r="472">
      <c r="A472" s="55">
        <v>46186.0</v>
      </c>
      <c r="B472" s="1" t="s">
        <v>924</v>
      </c>
      <c r="C472" s="1" t="str">
        <f>VLOOKUP(B472,MAESTRA!I:K,2,0)</f>
        <v>*4023327*</v>
      </c>
      <c r="D472" s="1" t="str">
        <f>VLOOKUP(B472,MAESTRA!I:K,3,0)</f>
        <v>CONJUNTO CABALLERO ARGENTINA AAA LOCAL TALLA S</v>
      </c>
      <c r="E472" s="1" t="s">
        <v>806</v>
      </c>
      <c r="F472" s="45">
        <v>1.0</v>
      </c>
      <c r="G472" s="2"/>
      <c r="H472" s="2">
        <f t="shared" si="1"/>
        <v>0</v>
      </c>
      <c r="I472" s="2">
        <f t="shared" si="2"/>
        <v>0</v>
      </c>
      <c r="J472" s="47" t="str">
        <f t="shared" si="3"/>
        <v/>
      </c>
      <c r="K472" s="2">
        <f t="shared" si="4"/>
        <v>0</v>
      </c>
      <c r="L472" s="1"/>
    </row>
    <row r="473">
      <c r="A473" s="55">
        <v>46186.0</v>
      </c>
      <c r="B473" s="1" t="s">
        <v>925</v>
      </c>
      <c r="C473" s="1" t="str">
        <f>VLOOKUP(B473,MAESTRA!I:K,2,0)</f>
        <v>*2529234*</v>
      </c>
      <c r="D473" s="1" t="str">
        <f>VLOOKUP(B473,MAESTRA!I:K,3,0)</f>
        <v>CHAQUETAS CABALLERO CON CAPOTA TALLA XXL</v>
      </c>
      <c r="E473" s="1" t="s">
        <v>926</v>
      </c>
      <c r="F473" s="45">
        <v>1.0</v>
      </c>
      <c r="G473" s="2">
        <v>40000.0</v>
      </c>
      <c r="H473" s="2">
        <f t="shared" si="1"/>
        <v>40000</v>
      </c>
      <c r="I473" s="2">
        <f t="shared" si="2"/>
        <v>80000</v>
      </c>
      <c r="J473" s="47">
        <f t="shared" si="3"/>
        <v>1</v>
      </c>
      <c r="K473" s="2">
        <f t="shared" si="4"/>
        <v>80000</v>
      </c>
      <c r="L473" s="1"/>
    </row>
    <row r="474">
      <c r="A474" s="55">
        <v>46186.0</v>
      </c>
      <c r="B474" s="1" t="s">
        <v>927</v>
      </c>
      <c r="C474" s="1" t="str">
        <f>VLOOKUP(B474,MAESTRA!I:K,2,0)</f>
        <v>*25214021*</v>
      </c>
      <c r="D474" s="1" t="str">
        <f>VLOOKUP(B474,MAESTRA!I:K,3,0)</f>
        <v>CHAQUETAS CABALLERO H M LUN SIN CAPOTA TALLA 4XL</v>
      </c>
      <c r="E474" s="1" t="s">
        <v>926</v>
      </c>
      <c r="F474" s="45">
        <v>1.0</v>
      </c>
      <c r="G474" s="2">
        <v>80000.0</v>
      </c>
      <c r="H474" s="2">
        <f t="shared" si="1"/>
        <v>80000</v>
      </c>
      <c r="I474" s="2">
        <f t="shared" si="2"/>
        <v>160000</v>
      </c>
      <c r="J474" s="47">
        <f t="shared" si="3"/>
        <v>1</v>
      </c>
      <c r="K474" s="2">
        <f t="shared" si="4"/>
        <v>160000</v>
      </c>
      <c r="L474" s="1"/>
    </row>
    <row r="475">
      <c r="A475" s="55">
        <v>46186.0</v>
      </c>
      <c r="B475" s="1" t="s">
        <v>928</v>
      </c>
      <c r="C475" s="1" t="str">
        <f>VLOOKUP(B475,MAESTRA!I:K,2,0)</f>
        <v>*25214022*</v>
      </c>
      <c r="D475" s="1" t="str">
        <f>VLOOKUP(B475,MAESTRA!I:K,3,0)</f>
        <v>CHAQUETAS CABALLERO H M LUN SIN CAPOTA TALLA 6XL</v>
      </c>
      <c r="E475" s="1" t="s">
        <v>926</v>
      </c>
      <c r="F475" s="45">
        <v>1.0</v>
      </c>
      <c r="G475" s="2">
        <v>80000.0</v>
      </c>
      <c r="H475" s="2">
        <f t="shared" si="1"/>
        <v>80000</v>
      </c>
      <c r="I475" s="2">
        <f t="shared" si="2"/>
        <v>160000</v>
      </c>
      <c r="J475" s="47">
        <f t="shared" si="3"/>
        <v>1</v>
      </c>
      <c r="K475" s="2">
        <f t="shared" si="4"/>
        <v>160000</v>
      </c>
      <c r="L475" s="1"/>
    </row>
    <row r="476">
      <c r="A476" s="55">
        <v>46186.0</v>
      </c>
      <c r="B476" s="1" t="s">
        <v>929</v>
      </c>
      <c r="C476" s="1" t="str">
        <f>VLOOKUP(B476,MAESTRA!I:K,2,0)</f>
        <v>*25215932*</v>
      </c>
      <c r="D476" s="1" t="str">
        <f>VLOOKUP(B476,MAESTRA!I:K,3,0)</f>
        <v>CHAQUETAS CABALLERO KAIZHELUN, CON CAPOTA TALLA XL</v>
      </c>
      <c r="E476" s="1" t="s">
        <v>926</v>
      </c>
      <c r="F476" s="45">
        <v>1.0</v>
      </c>
      <c r="G476" s="2">
        <v>80000.0</v>
      </c>
      <c r="H476" s="2">
        <f t="shared" si="1"/>
        <v>80000</v>
      </c>
      <c r="I476" s="2">
        <f t="shared" si="2"/>
        <v>160000</v>
      </c>
      <c r="J476" s="47">
        <f t="shared" si="3"/>
        <v>1</v>
      </c>
      <c r="K476" s="2">
        <f t="shared" si="4"/>
        <v>160000</v>
      </c>
      <c r="L476" s="1"/>
    </row>
    <row r="477">
      <c r="A477" s="55">
        <v>46186.0</v>
      </c>
      <c r="B477" s="1" t="s">
        <v>930</v>
      </c>
      <c r="C477" s="1" t="str">
        <f>VLOOKUP(B477,MAESTRA!I:K,2,0)</f>
        <v>*25220134*</v>
      </c>
      <c r="D477" s="1" t="str">
        <f>VLOOKUP(B477,MAESTRA!I:K,3,0)</f>
        <v>CHAQUETAS CABALLERO OVEJERA HAN CHENG TALLA XXL</v>
      </c>
      <c r="E477" s="1" t="s">
        <v>926</v>
      </c>
      <c r="F477" s="45">
        <v>1.0</v>
      </c>
      <c r="G477" s="2">
        <v>80000.0</v>
      </c>
      <c r="H477" s="2">
        <f t="shared" si="1"/>
        <v>80000</v>
      </c>
      <c r="I477" s="2">
        <f t="shared" si="2"/>
        <v>160000</v>
      </c>
      <c r="J477" s="47">
        <f t="shared" si="3"/>
        <v>1</v>
      </c>
      <c r="K477" s="2">
        <f t="shared" si="4"/>
        <v>160000</v>
      </c>
      <c r="L477" s="1"/>
    </row>
    <row r="478">
      <c r="A478" s="55">
        <v>46186.0</v>
      </c>
      <c r="B478" s="1" t="s">
        <v>931</v>
      </c>
      <c r="C478" s="1" t="str">
        <f>VLOOKUP(B478,MAESTRA!I:K,2,0)</f>
        <v>*25226023*</v>
      </c>
      <c r="D478" s="1" t="str">
        <f>VLOOKUP(B478,MAESTRA!I:K,3,0)</f>
        <v>CHAQUETAS CABALLERO THE NORTH FACE CON CAPOTA TALLA L</v>
      </c>
      <c r="E478" s="1" t="s">
        <v>932</v>
      </c>
      <c r="F478" s="45">
        <v>1.0</v>
      </c>
      <c r="G478" s="2">
        <v>80000.0</v>
      </c>
      <c r="H478" s="2">
        <f t="shared" si="1"/>
        <v>80000</v>
      </c>
      <c r="I478" s="2">
        <f t="shared" si="2"/>
        <v>160000</v>
      </c>
      <c r="J478" s="47">
        <f t="shared" si="3"/>
        <v>1</v>
      </c>
      <c r="K478" s="2">
        <f t="shared" si="4"/>
        <v>160000</v>
      </c>
      <c r="L478" s="1"/>
    </row>
    <row r="479">
      <c r="A479" s="55">
        <v>46186.0</v>
      </c>
      <c r="B479" s="1" t="s">
        <v>933</v>
      </c>
      <c r="C479" s="1" t="str">
        <f>VLOOKUP(B479,MAESTRA!I:K,2,0)</f>
        <v>*2511134*</v>
      </c>
      <c r="D479" s="1" t="str">
        <f>VLOOKUP(B479,MAESTRA!I:K,3,0)</f>
        <v>CHAQUETAS DAMA ACOLCHADA TALLA XXL</v>
      </c>
      <c r="E479" s="1" t="s">
        <v>934</v>
      </c>
      <c r="F479" s="45">
        <v>1.0</v>
      </c>
      <c r="G479" s="2">
        <v>84000.0</v>
      </c>
      <c r="H479" s="2">
        <f t="shared" si="1"/>
        <v>84000</v>
      </c>
      <c r="I479" s="2">
        <f t="shared" si="2"/>
        <v>168000</v>
      </c>
      <c r="J479" s="47">
        <f t="shared" si="3"/>
        <v>1</v>
      </c>
      <c r="K479" s="2">
        <f t="shared" si="4"/>
        <v>168000</v>
      </c>
      <c r="L479" s="1"/>
    </row>
    <row r="480">
      <c r="A480" s="55">
        <v>46186.0</v>
      </c>
      <c r="B480" s="1" t="s">
        <v>935</v>
      </c>
      <c r="C480" s="1" t="str">
        <f>VLOOKUP(B480,MAESTRA!I:K,2,0)</f>
        <v>*2511220*</v>
      </c>
      <c r="D480" s="1" t="str">
        <f>VLOOKUP(B480,MAESTRA!I:K,3,0)</f>
        <v>CHAQUETAS DAMA ACOLCHADA LARGA TALLA 3XL</v>
      </c>
      <c r="E480" s="1" t="s">
        <v>926</v>
      </c>
      <c r="F480" s="45">
        <v>1.0</v>
      </c>
      <c r="G480" s="2">
        <v>84000.0</v>
      </c>
      <c r="H480" s="2">
        <f t="shared" si="1"/>
        <v>84000</v>
      </c>
      <c r="I480" s="2">
        <f t="shared" si="2"/>
        <v>168000</v>
      </c>
      <c r="J480" s="47">
        <f t="shared" si="3"/>
        <v>1</v>
      </c>
      <c r="K480" s="2">
        <f t="shared" si="4"/>
        <v>168000</v>
      </c>
      <c r="L480" s="1"/>
    </row>
    <row r="481">
      <c r="A481" s="55">
        <v>46186.0</v>
      </c>
      <c r="B481" s="1" t="s">
        <v>936</v>
      </c>
      <c r="C481" s="1" t="str">
        <f>VLOOKUP(B481,MAESTRA!I:K,2,0)</f>
        <v>*40217925*</v>
      </c>
      <c r="D481" s="1" t="str">
        <f>VLOOKUP(B481,MAESTRA!I:K,3,0)</f>
        <v>CONJUNTO CABALLERO MANCHESTER CITY AAA LOCAL 2025 TALLA M</v>
      </c>
      <c r="E481" s="1" t="s">
        <v>937</v>
      </c>
      <c r="F481" s="45">
        <v>1.0</v>
      </c>
      <c r="G481" s="2">
        <v>30000.0</v>
      </c>
      <c r="H481" s="2">
        <f t="shared" si="1"/>
        <v>30000</v>
      </c>
      <c r="I481" s="2">
        <f t="shared" si="2"/>
        <v>60000</v>
      </c>
      <c r="J481" s="47">
        <f t="shared" si="3"/>
        <v>1</v>
      </c>
      <c r="K481" s="2">
        <f t="shared" si="4"/>
        <v>60000</v>
      </c>
      <c r="L481" s="1"/>
    </row>
    <row r="482">
      <c r="A482" s="55">
        <v>46186.0</v>
      </c>
      <c r="B482" s="1" t="s">
        <v>936</v>
      </c>
      <c r="C482" s="1" t="str">
        <f>VLOOKUP(B482,MAESTRA!I:K,2,0)</f>
        <v>*40217925*</v>
      </c>
      <c r="D482" s="1" t="str">
        <f>VLOOKUP(B482,MAESTRA!I:K,3,0)</f>
        <v>CONJUNTO CABALLERO MANCHESTER CITY AAA LOCAL 2025 TALLA M</v>
      </c>
      <c r="E482" s="1" t="s">
        <v>937</v>
      </c>
      <c r="F482" s="45">
        <v>1.0</v>
      </c>
      <c r="G482" s="2">
        <v>30000.0</v>
      </c>
      <c r="H482" s="2">
        <f t="shared" si="1"/>
        <v>30000</v>
      </c>
      <c r="I482" s="2">
        <f t="shared" si="2"/>
        <v>60000</v>
      </c>
      <c r="J482" s="47">
        <f t="shared" si="3"/>
        <v>1</v>
      </c>
      <c r="K482" s="2">
        <f t="shared" si="4"/>
        <v>60000</v>
      </c>
      <c r="L482" s="1"/>
    </row>
    <row r="483">
      <c r="A483" s="55">
        <v>46186.0</v>
      </c>
      <c r="B483" s="1" t="s">
        <v>938</v>
      </c>
      <c r="C483" s="1" t="str">
        <f>VLOOKUP(B483,MAESTRA!I:K,2,0)</f>
        <v>*40217923*</v>
      </c>
      <c r="D483" s="1" t="str">
        <f>VLOOKUP(B483,MAESTRA!I:K,3,0)</f>
        <v>CONJUNTO CABALLERO MANCHESTER CITY AAA LOCAL 2025 TALLA L</v>
      </c>
      <c r="E483" s="1" t="s">
        <v>937</v>
      </c>
      <c r="F483" s="45">
        <v>1.0</v>
      </c>
      <c r="G483" s="2">
        <v>30000.0</v>
      </c>
      <c r="H483" s="2">
        <f t="shared" si="1"/>
        <v>30000</v>
      </c>
      <c r="I483" s="2">
        <f t="shared" si="2"/>
        <v>60000</v>
      </c>
      <c r="J483" s="47">
        <f t="shared" si="3"/>
        <v>1</v>
      </c>
      <c r="K483" s="2">
        <f t="shared" si="4"/>
        <v>60000</v>
      </c>
      <c r="L483" s="1"/>
    </row>
    <row r="484">
      <c r="A484" s="55">
        <v>46186.0</v>
      </c>
      <c r="B484" s="1" t="s">
        <v>939</v>
      </c>
      <c r="C484" s="1" t="str">
        <f>VLOOKUP(B484,MAESTRA!I:K,2,0)</f>
        <v>*4024432*</v>
      </c>
      <c r="D484" s="1" t="str">
        <f>VLOOKUP(B484,MAESTRA!I:K,3,0)</f>
        <v>CONJUNTO CABALLERO BARCELONA AAA VISITANTE 2025 TALLA XL</v>
      </c>
      <c r="E484" s="1" t="s">
        <v>940</v>
      </c>
      <c r="F484" s="45">
        <v>1.0</v>
      </c>
      <c r="G484" s="2">
        <v>30000.0</v>
      </c>
      <c r="H484" s="2">
        <f t="shared" si="1"/>
        <v>30000</v>
      </c>
      <c r="I484" s="2">
        <f t="shared" si="2"/>
        <v>60000</v>
      </c>
      <c r="J484" s="47">
        <f t="shared" si="3"/>
        <v>1</v>
      </c>
      <c r="K484" s="2">
        <f t="shared" si="4"/>
        <v>60000</v>
      </c>
      <c r="L484" s="1"/>
    </row>
    <row r="485">
      <c r="A485" s="55">
        <v>46186.0</v>
      </c>
      <c r="B485" s="1" t="s">
        <v>941</v>
      </c>
      <c r="C485" s="1" t="str">
        <f>VLOOKUP(B485,MAESTRA!I:K,2,0)</f>
        <v>*4024425*</v>
      </c>
      <c r="D485" s="1" t="str">
        <f>VLOOKUP(B485,MAESTRA!I:K,3,0)</f>
        <v>CONJUNTO CABALLERO BARCELONA AAA VISITANTE 2025 TALLA M</v>
      </c>
      <c r="E485" s="1" t="s">
        <v>940</v>
      </c>
      <c r="F485" s="45">
        <v>3.0</v>
      </c>
      <c r="G485" s="2">
        <v>30000.0</v>
      </c>
      <c r="H485" s="2">
        <f t="shared" si="1"/>
        <v>90000</v>
      </c>
      <c r="I485" s="2">
        <f t="shared" si="2"/>
        <v>60000</v>
      </c>
      <c r="J485" s="47">
        <f t="shared" si="3"/>
        <v>1</v>
      </c>
      <c r="K485" s="2">
        <f t="shared" si="4"/>
        <v>180000</v>
      </c>
      <c r="L485" s="1"/>
    </row>
    <row r="486">
      <c r="A486" s="55">
        <v>46186.0</v>
      </c>
      <c r="B486" s="1" t="s">
        <v>942</v>
      </c>
      <c r="C486" s="1" t="str">
        <f>VLOOKUP(B486,MAESTRA!I:K,2,0)</f>
        <v>*4024427*</v>
      </c>
      <c r="D486" s="1" t="str">
        <f>VLOOKUP(B486,MAESTRA!I:K,3,0)</f>
        <v>CONJUNTO CABALLERO BARCELONA AAA VISITANTE 2025 TALLA S</v>
      </c>
      <c r="E486" s="1" t="s">
        <v>940</v>
      </c>
      <c r="F486" s="45">
        <v>2.0</v>
      </c>
      <c r="G486" s="2">
        <v>30000.0</v>
      </c>
      <c r="H486" s="2">
        <f t="shared" si="1"/>
        <v>60000</v>
      </c>
      <c r="I486" s="2">
        <f t="shared" si="2"/>
        <v>60000</v>
      </c>
      <c r="J486" s="47">
        <f t="shared" si="3"/>
        <v>1</v>
      </c>
      <c r="K486" s="2">
        <f t="shared" si="4"/>
        <v>120000</v>
      </c>
      <c r="L486" s="1"/>
    </row>
    <row r="487">
      <c r="A487" s="55">
        <v>46186.0</v>
      </c>
      <c r="B487" s="1" t="s">
        <v>943</v>
      </c>
      <c r="C487" s="1" t="str">
        <f>VLOOKUP(B487,MAESTRA!I:K,2,0)</f>
        <v>*4024434*</v>
      </c>
      <c r="D487" s="1" t="str">
        <f>VLOOKUP(B487,MAESTRA!I:K,3,0)</f>
        <v>CONJUNTO CABALLERO BARCELONA AAA VISITANTE 2025 TALLA XXL</v>
      </c>
      <c r="E487" s="1" t="s">
        <v>940</v>
      </c>
      <c r="F487" s="45">
        <v>1.0</v>
      </c>
      <c r="G487" s="2">
        <v>30000.0</v>
      </c>
      <c r="H487" s="2">
        <f t="shared" si="1"/>
        <v>30000</v>
      </c>
      <c r="I487" s="2">
        <f t="shared" si="2"/>
        <v>60000</v>
      </c>
      <c r="J487" s="47">
        <f t="shared" si="3"/>
        <v>1</v>
      </c>
      <c r="K487" s="2">
        <f t="shared" si="4"/>
        <v>60000</v>
      </c>
      <c r="L487" s="1"/>
    </row>
    <row r="488">
      <c r="A488" s="55">
        <v>46186.0</v>
      </c>
      <c r="B488" s="1" t="s">
        <v>944</v>
      </c>
      <c r="C488" s="1" t="str">
        <f>VLOOKUP(B488,MAESTRA!I:K,2,0)</f>
        <v>*4023532*</v>
      </c>
      <c r="D488" s="1" t="str">
        <f>VLOOKUP(B488,MAESTRA!I:K,3,0)</f>
        <v>CONJUNTO CABALLERO ATLETICO MADRID AAA LOCAL 2025 TALLA XL</v>
      </c>
      <c r="E488" s="1" t="s">
        <v>940</v>
      </c>
      <c r="F488" s="45">
        <v>1.0</v>
      </c>
      <c r="G488" s="2">
        <v>30000.0</v>
      </c>
      <c r="H488" s="2">
        <f t="shared" si="1"/>
        <v>30000</v>
      </c>
      <c r="I488" s="2">
        <f t="shared" si="2"/>
        <v>60000</v>
      </c>
      <c r="J488" s="47">
        <f t="shared" si="3"/>
        <v>1</v>
      </c>
      <c r="K488" s="2">
        <f t="shared" si="4"/>
        <v>60000</v>
      </c>
      <c r="L488" s="1"/>
    </row>
    <row r="489">
      <c r="A489" s="55">
        <v>46186.0</v>
      </c>
      <c r="B489" s="1" t="s">
        <v>945</v>
      </c>
      <c r="C489" s="1" t="str">
        <f>VLOOKUP(B489,MAESTRA!I:K,2,0)</f>
        <v>*4023523*</v>
      </c>
      <c r="D489" s="1" t="str">
        <f>VLOOKUP(B489,MAESTRA!I:K,3,0)</f>
        <v>CONJUNTO CABALLERO ATLETICO MADRID AAA LOCAL 2025 TALLA L</v>
      </c>
      <c r="E489" s="1" t="s">
        <v>940</v>
      </c>
      <c r="F489" s="45">
        <v>1.0</v>
      </c>
      <c r="G489" s="2">
        <v>30000.0</v>
      </c>
      <c r="H489" s="2">
        <f t="shared" si="1"/>
        <v>30000</v>
      </c>
      <c r="I489" s="2">
        <f t="shared" si="2"/>
        <v>60000</v>
      </c>
      <c r="J489" s="47">
        <f t="shared" si="3"/>
        <v>1</v>
      </c>
      <c r="K489" s="2">
        <f t="shared" si="4"/>
        <v>60000</v>
      </c>
      <c r="L489" s="1"/>
    </row>
    <row r="490">
      <c r="A490" s="55">
        <v>46186.0</v>
      </c>
      <c r="B490" s="1" t="s">
        <v>946</v>
      </c>
      <c r="C490" s="1" t="str">
        <f>VLOOKUP(B490,MAESTRA!I:K,2,0)</f>
        <v>*4023525*</v>
      </c>
      <c r="D490" s="1" t="str">
        <f>VLOOKUP(B490,MAESTRA!I:K,3,0)</f>
        <v>CONJUNTO CABALLERO ATLETICO MADRID AAA LOCAL 2025 TALLA M</v>
      </c>
      <c r="E490" s="1" t="s">
        <v>940</v>
      </c>
      <c r="F490" s="45">
        <v>1.0</v>
      </c>
      <c r="G490" s="2">
        <v>30000.0</v>
      </c>
      <c r="H490" s="2">
        <f t="shared" si="1"/>
        <v>30000</v>
      </c>
      <c r="I490" s="2">
        <f t="shared" si="2"/>
        <v>60000</v>
      </c>
      <c r="J490" s="47">
        <f t="shared" si="3"/>
        <v>1</v>
      </c>
      <c r="K490" s="2">
        <f t="shared" si="4"/>
        <v>60000</v>
      </c>
      <c r="L490" s="1"/>
    </row>
    <row r="491">
      <c r="A491" s="55">
        <v>46186.0</v>
      </c>
      <c r="B491" s="1" t="s">
        <v>947</v>
      </c>
      <c r="C491" s="1" t="str">
        <f>VLOOKUP(B491,MAESTRA!I:K,2,0)</f>
        <v>*4023527*</v>
      </c>
      <c r="D491" s="1" t="str">
        <f>VLOOKUP(B491,MAESTRA!I:K,3,0)</f>
        <v>CONJUNTO CABALLERO ATLETICO MADRID AAA LOCAL 2025 TALLA S</v>
      </c>
      <c r="E491" s="1" t="s">
        <v>940</v>
      </c>
      <c r="F491" s="45">
        <v>1.0</v>
      </c>
      <c r="G491" s="2">
        <v>30000.0</v>
      </c>
      <c r="H491" s="2">
        <f t="shared" si="1"/>
        <v>30000</v>
      </c>
      <c r="I491" s="2">
        <f t="shared" si="2"/>
        <v>60000</v>
      </c>
      <c r="J491" s="47">
        <f t="shared" si="3"/>
        <v>1</v>
      </c>
      <c r="K491" s="2">
        <f t="shared" si="4"/>
        <v>60000</v>
      </c>
      <c r="L491" s="1"/>
    </row>
    <row r="492">
      <c r="A492" s="55">
        <v>46186.0</v>
      </c>
      <c r="B492" s="1" t="s">
        <v>948</v>
      </c>
      <c r="C492" s="1" t="str">
        <f>VLOOKUP(B492,MAESTRA!I:K,2,0)</f>
        <v>*40216321*</v>
      </c>
      <c r="D492" s="1" t="str">
        <f>VLOOKUP(B492,MAESTRA!I:K,3,0)</f>
        <v>CONJUNTO CABALLERO LAKERS TALLA 4XL</v>
      </c>
      <c r="E492" s="1" t="s">
        <v>949</v>
      </c>
      <c r="F492" s="45">
        <v>1.0</v>
      </c>
      <c r="G492" s="2">
        <v>30000.0</v>
      </c>
      <c r="H492" s="2">
        <f t="shared" si="1"/>
        <v>30000</v>
      </c>
      <c r="I492" s="2">
        <f t="shared" si="2"/>
        <v>60000</v>
      </c>
      <c r="J492" s="47">
        <f t="shared" si="3"/>
        <v>1</v>
      </c>
      <c r="K492" s="2">
        <f t="shared" si="4"/>
        <v>60000</v>
      </c>
      <c r="L492" s="1"/>
    </row>
    <row r="493">
      <c r="A493" s="55">
        <v>46186.0</v>
      </c>
      <c r="B493" s="1" t="s">
        <v>950</v>
      </c>
      <c r="C493" s="1" t="str">
        <f>VLOOKUP(B493,MAESTRA!I:K,2,0)</f>
        <v>*40216320*</v>
      </c>
      <c r="D493" s="1" t="str">
        <f>VLOOKUP(B493,MAESTRA!I:K,3,0)</f>
        <v>CONJUNTO CABALLERO LAKERS TALLA 3XL</v>
      </c>
      <c r="E493" s="1" t="s">
        <v>949</v>
      </c>
      <c r="F493" s="45">
        <v>1.0</v>
      </c>
      <c r="G493" s="2">
        <v>30000.0</v>
      </c>
      <c r="H493" s="2">
        <f t="shared" si="1"/>
        <v>30000</v>
      </c>
      <c r="I493" s="2">
        <f t="shared" si="2"/>
        <v>60000</v>
      </c>
      <c r="J493" s="47">
        <f t="shared" si="3"/>
        <v>1</v>
      </c>
      <c r="K493" s="2">
        <f t="shared" si="4"/>
        <v>60000</v>
      </c>
      <c r="L493" s="1"/>
    </row>
    <row r="494">
      <c r="A494" s="55">
        <v>46186.0</v>
      </c>
      <c r="B494" s="1" t="s">
        <v>948</v>
      </c>
      <c r="C494" s="1" t="str">
        <f>VLOOKUP(B494,MAESTRA!I:K,2,0)</f>
        <v>*40216321*</v>
      </c>
      <c r="D494" s="1" t="str">
        <f>VLOOKUP(B494,MAESTRA!I:K,3,0)</f>
        <v>CONJUNTO CABALLERO LAKERS TALLA 4XL</v>
      </c>
      <c r="E494" s="1" t="s">
        <v>949</v>
      </c>
      <c r="F494" s="45">
        <v>1.0</v>
      </c>
      <c r="G494" s="2">
        <v>30000.0</v>
      </c>
      <c r="H494" s="2">
        <f t="shared" si="1"/>
        <v>30000</v>
      </c>
      <c r="I494" s="2">
        <f t="shared" si="2"/>
        <v>60000</v>
      </c>
      <c r="J494" s="47">
        <f t="shared" si="3"/>
        <v>1</v>
      </c>
      <c r="K494" s="2">
        <f t="shared" si="4"/>
        <v>60000</v>
      </c>
      <c r="L494" s="1"/>
    </row>
    <row r="495">
      <c r="A495" s="55">
        <v>46186.0</v>
      </c>
      <c r="B495" s="1" t="s">
        <v>951</v>
      </c>
      <c r="C495" s="1" t="str">
        <f>VLOOKUP(B495,MAESTRA!I:K,2,0)</f>
        <v>*4025619*</v>
      </c>
      <c r="D495" s="1" t="str">
        <f>VLOOKUP(B495,MAESTRA!I:K,3,0)</f>
        <v>CONJUNTO CABALLERO BULLS TALLA 2XL</v>
      </c>
      <c r="E495" s="1" t="s">
        <v>949</v>
      </c>
      <c r="F495" s="45">
        <v>1.0</v>
      </c>
      <c r="G495" s="2">
        <v>30000.0</v>
      </c>
      <c r="H495" s="2">
        <f t="shared" si="1"/>
        <v>30000</v>
      </c>
      <c r="I495" s="2">
        <f t="shared" si="2"/>
        <v>60000</v>
      </c>
      <c r="J495" s="47">
        <f t="shared" si="3"/>
        <v>1</v>
      </c>
      <c r="K495" s="2">
        <f t="shared" si="4"/>
        <v>60000</v>
      </c>
      <c r="L495" s="1"/>
    </row>
    <row r="496">
      <c r="A496" s="55">
        <v>46186.0</v>
      </c>
      <c r="B496" s="1" t="s">
        <v>952</v>
      </c>
      <c r="C496" s="1" t="str">
        <f>VLOOKUP(B496,MAESTRA!I:K,2,0)</f>
        <v>*4025621*</v>
      </c>
      <c r="D496" s="1" t="str">
        <f>VLOOKUP(B496,MAESTRA!I:K,3,0)</f>
        <v>CONJUNTO CABALLERO BULLS TALLA 4XL</v>
      </c>
      <c r="E496" s="1" t="s">
        <v>949</v>
      </c>
      <c r="F496" s="45">
        <v>2.0</v>
      </c>
      <c r="G496" s="2">
        <v>30000.0</v>
      </c>
      <c r="H496" s="2">
        <f t="shared" si="1"/>
        <v>60000</v>
      </c>
      <c r="I496" s="2">
        <f t="shared" si="2"/>
        <v>60000</v>
      </c>
      <c r="J496" s="47">
        <f t="shared" si="3"/>
        <v>1</v>
      </c>
      <c r="K496" s="2">
        <f t="shared" si="4"/>
        <v>120000</v>
      </c>
      <c r="L496" s="1"/>
    </row>
    <row r="497">
      <c r="A497" s="55">
        <v>46186.0</v>
      </c>
      <c r="B497" s="1" t="s">
        <v>953</v>
      </c>
      <c r="C497" s="1" t="str">
        <f>VLOOKUP(B497,MAESTRA!I:K,2,0)</f>
        <v>*11115727*</v>
      </c>
      <c r="D497" s="1" t="str">
        <f>VLOOKUP(B497,MAESTRA!I:K,3,0)</f>
        <v>CAMISETAS DAMA JUNIOR AAA VISITANTE 2024 TALLA S</v>
      </c>
      <c r="E497" s="1" t="s">
        <v>954</v>
      </c>
      <c r="F497" s="45">
        <v>1.0</v>
      </c>
      <c r="G497" s="2">
        <v>30000.0</v>
      </c>
      <c r="H497" s="2">
        <f t="shared" si="1"/>
        <v>30000</v>
      </c>
      <c r="I497" s="2">
        <f t="shared" si="2"/>
        <v>60000</v>
      </c>
      <c r="J497" s="47">
        <f t="shared" si="3"/>
        <v>1</v>
      </c>
      <c r="K497" s="2">
        <f t="shared" si="4"/>
        <v>60000</v>
      </c>
      <c r="L497" s="1"/>
    </row>
    <row r="498">
      <c r="A498" s="55">
        <v>46186.0</v>
      </c>
      <c r="B498" s="1" t="s">
        <v>955</v>
      </c>
      <c r="C498" s="1" t="str">
        <f>VLOOKUP(B498,MAESTRA!I:K,2,0)</f>
        <v>*11115725*</v>
      </c>
      <c r="D498" s="1" t="str">
        <f>VLOOKUP(B498,MAESTRA!I:K,3,0)</f>
        <v>CAMISETAS DAMA JUNIOR AAA VISITANTE 2024 TALLA M</v>
      </c>
      <c r="E498" s="1" t="s">
        <v>954</v>
      </c>
      <c r="F498" s="45">
        <v>1.0</v>
      </c>
      <c r="G498" s="2">
        <v>30000.0</v>
      </c>
      <c r="H498" s="2">
        <f t="shared" si="1"/>
        <v>30000</v>
      </c>
      <c r="I498" s="2">
        <f t="shared" si="2"/>
        <v>60000</v>
      </c>
      <c r="J498" s="47">
        <f t="shared" si="3"/>
        <v>1</v>
      </c>
      <c r="K498" s="2">
        <f t="shared" si="4"/>
        <v>60000</v>
      </c>
      <c r="L498" s="1"/>
    </row>
    <row r="499">
      <c r="A499" s="55">
        <v>46186.0</v>
      </c>
      <c r="B499" s="1" t="s">
        <v>956</v>
      </c>
      <c r="C499" s="1" t="str">
        <f>VLOOKUP(B499,MAESTRA!I:K,2,0)</f>
        <v>*11115723*</v>
      </c>
      <c r="D499" s="1" t="str">
        <f>VLOOKUP(B499,MAESTRA!I:K,3,0)</f>
        <v>CAMISETAS DAMA JUNIOR AAA VISITANTE 2024 TALLA L</v>
      </c>
      <c r="E499" s="1" t="s">
        <v>954</v>
      </c>
      <c r="F499" s="45">
        <v>1.0</v>
      </c>
      <c r="G499" s="2">
        <v>30000.0</v>
      </c>
      <c r="H499" s="2">
        <f t="shared" si="1"/>
        <v>30000</v>
      </c>
      <c r="I499" s="2">
        <f t="shared" si="2"/>
        <v>60000</v>
      </c>
      <c r="J499" s="47">
        <f t="shared" si="3"/>
        <v>1</v>
      </c>
      <c r="K499" s="2">
        <f t="shared" si="4"/>
        <v>60000</v>
      </c>
      <c r="L499" s="1"/>
    </row>
    <row r="500">
      <c r="A500" s="55">
        <v>46186.0</v>
      </c>
      <c r="B500" s="1" t="s">
        <v>957</v>
      </c>
      <c r="C500" s="1" t="str">
        <f>VLOOKUP(B500,MAESTRA!I:K,2,0)</f>
        <v>*11115732*</v>
      </c>
      <c r="D500" s="1" t="str">
        <f>VLOOKUP(B500,MAESTRA!I:K,3,0)</f>
        <v>CAMISETAS DAMA JUNIOR AAA VISITANTE 2024 TALLA XL</v>
      </c>
      <c r="E500" s="1" t="s">
        <v>954</v>
      </c>
      <c r="F500" s="45">
        <v>1.0</v>
      </c>
      <c r="G500" s="2">
        <v>30000.0</v>
      </c>
      <c r="H500" s="2">
        <f t="shared" si="1"/>
        <v>30000</v>
      </c>
      <c r="I500" s="2">
        <f t="shared" si="2"/>
        <v>60000</v>
      </c>
      <c r="J500" s="47">
        <f t="shared" si="3"/>
        <v>1</v>
      </c>
      <c r="K500" s="2">
        <f t="shared" si="4"/>
        <v>60000</v>
      </c>
      <c r="L500" s="1"/>
    </row>
    <row r="501">
      <c r="A501" s="55">
        <v>46186.0</v>
      </c>
      <c r="B501" s="1" t="s">
        <v>958</v>
      </c>
      <c r="C501" s="1" t="str">
        <f>VLOOKUP(B501,MAESTRA!I:K,2,0)</f>
        <v>*11214927*</v>
      </c>
      <c r="D501" s="1" t="str">
        <f>VLOOKUP(B501,MAESTRA!I:K,3,0)</f>
        <v>CAMISETAS CABALLERO INTER MIAMI 1.1 VISITANTE MESSI TALLA S</v>
      </c>
      <c r="E501" s="1" t="s">
        <v>954</v>
      </c>
      <c r="F501" s="45">
        <v>2.0</v>
      </c>
      <c r="G501" s="2">
        <v>30000.0</v>
      </c>
      <c r="H501" s="2">
        <f t="shared" si="1"/>
        <v>60000</v>
      </c>
      <c r="I501" s="2">
        <f t="shared" si="2"/>
        <v>60000</v>
      </c>
      <c r="J501" s="47">
        <f t="shared" si="3"/>
        <v>1</v>
      </c>
      <c r="K501" s="2">
        <f t="shared" si="4"/>
        <v>120000</v>
      </c>
      <c r="L501" s="1"/>
    </row>
    <row r="502">
      <c r="A502" s="55">
        <v>46186.0</v>
      </c>
      <c r="B502" s="1" t="s">
        <v>959</v>
      </c>
      <c r="C502" s="1" t="str">
        <f>VLOOKUP(B502,MAESTRA!I:K,2,0)</f>
        <v>*11214925*</v>
      </c>
      <c r="D502" s="1" t="str">
        <f>VLOOKUP(B502,MAESTRA!I:K,3,0)</f>
        <v>CAMISETAS CABALLERO INTER MIAMI 1.1 VISITANTE MESSI TALLA M</v>
      </c>
      <c r="E502" s="1" t="s">
        <v>954</v>
      </c>
      <c r="F502" s="45">
        <v>4.0</v>
      </c>
      <c r="G502" s="2">
        <v>30000.0</v>
      </c>
      <c r="H502" s="2">
        <f t="shared" si="1"/>
        <v>120000</v>
      </c>
      <c r="I502" s="2">
        <f t="shared" si="2"/>
        <v>60000</v>
      </c>
      <c r="J502" s="47">
        <f t="shared" si="3"/>
        <v>1</v>
      </c>
      <c r="K502" s="2">
        <f t="shared" si="4"/>
        <v>240000</v>
      </c>
      <c r="L502" s="1"/>
    </row>
    <row r="503">
      <c r="A503" s="55">
        <v>46186.0</v>
      </c>
      <c r="B503" s="1" t="s">
        <v>960</v>
      </c>
      <c r="C503" s="1" t="str">
        <f>VLOOKUP(B503,MAESTRA!I:K,2,0)</f>
        <v>*40227032*</v>
      </c>
      <c r="D503" s="1" t="str">
        <f>VLOOKUP(B503,MAESTRA!I:K,3,0)</f>
        <v>CONJUNTO CABALLERO TOTTENHAM AAA LOCAL 2025 TALLA XL</v>
      </c>
      <c r="E503" s="1" t="s">
        <v>940</v>
      </c>
      <c r="F503" s="45">
        <v>1.0</v>
      </c>
      <c r="G503" s="2">
        <v>30000.0</v>
      </c>
      <c r="H503" s="2">
        <f t="shared" si="1"/>
        <v>30000</v>
      </c>
      <c r="I503" s="2">
        <f t="shared" si="2"/>
        <v>60000</v>
      </c>
      <c r="J503" s="47">
        <f t="shared" si="3"/>
        <v>1</v>
      </c>
      <c r="K503" s="2">
        <f t="shared" si="4"/>
        <v>60000</v>
      </c>
      <c r="L503" s="1"/>
    </row>
    <row r="504">
      <c r="A504" s="55">
        <v>46186.0</v>
      </c>
      <c r="B504" s="1" t="s">
        <v>961</v>
      </c>
      <c r="C504" s="1" t="str">
        <f>VLOOKUP(B504,MAESTRA!I:K,2,0)</f>
        <v>*40227027*</v>
      </c>
      <c r="D504" s="1" t="str">
        <f>VLOOKUP(B504,MAESTRA!I:K,3,0)</f>
        <v>CONJUNTO CABALLERO TOTTENHAM AAA LOCAL 2025 TALLA S</v>
      </c>
      <c r="E504" s="1" t="s">
        <v>940</v>
      </c>
      <c r="F504" s="45">
        <v>1.0</v>
      </c>
      <c r="G504" s="2">
        <v>30000.0</v>
      </c>
      <c r="H504" s="2">
        <f t="shared" si="1"/>
        <v>30000</v>
      </c>
      <c r="I504" s="2">
        <f t="shared" si="2"/>
        <v>60000</v>
      </c>
      <c r="J504" s="47">
        <f t="shared" si="3"/>
        <v>1</v>
      </c>
      <c r="K504" s="2">
        <f t="shared" si="4"/>
        <v>60000</v>
      </c>
      <c r="L504" s="1"/>
    </row>
    <row r="505">
      <c r="A505" s="55">
        <v>46186.0</v>
      </c>
      <c r="B505" s="1" t="s">
        <v>962</v>
      </c>
      <c r="C505" s="1" t="str">
        <f>VLOOKUP(B505,MAESTRA!I:K,2,0)</f>
        <v>*40223827*</v>
      </c>
      <c r="D505" s="1" t="str">
        <f>VLOOKUP(B505,MAESTRA!I:K,3,0)</f>
        <v>CONJUNTO CABALLERO RIVER PLATE AAA LOCAL 2025 TALLA S</v>
      </c>
      <c r="E505" s="1" t="s">
        <v>954</v>
      </c>
      <c r="F505" s="45">
        <v>1.0</v>
      </c>
      <c r="G505" s="2">
        <v>30000.0</v>
      </c>
      <c r="H505" s="2">
        <f t="shared" si="1"/>
        <v>30000</v>
      </c>
      <c r="I505" s="2">
        <f t="shared" si="2"/>
        <v>60000</v>
      </c>
      <c r="J505" s="47">
        <f t="shared" si="3"/>
        <v>1</v>
      </c>
      <c r="K505" s="2">
        <f t="shared" si="4"/>
        <v>60000</v>
      </c>
      <c r="L505" s="1"/>
    </row>
    <row r="506">
      <c r="A506" s="55">
        <v>46186.0</v>
      </c>
      <c r="B506" s="1" t="s">
        <v>963</v>
      </c>
      <c r="C506" s="1" t="str">
        <f>VLOOKUP(B506,MAESTRA!I:K,2,0)</f>
        <v>*40214823*</v>
      </c>
      <c r="D506" s="1" t="str">
        <f>VLOOKUP(B506,MAESTRA!I:K,3,0)</f>
        <v>CONJUNTO CABALLERO INTER DE MILAN AAA LOCAL 2025 TALLA L</v>
      </c>
      <c r="E506" s="1" t="s">
        <v>940</v>
      </c>
      <c r="F506" s="45">
        <v>1.0</v>
      </c>
      <c r="G506" s="2">
        <v>30000.0</v>
      </c>
      <c r="H506" s="2">
        <f t="shared" si="1"/>
        <v>30000</v>
      </c>
      <c r="I506" s="2">
        <f t="shared" si="2"/>
        <v>60000</v>
      </c>
      <c r="J506" s="47">
        <f t="shared" si="3"/>
        <v>1</v>
      </c>
      <c r="K506" s="2">
        <f t="shared" si="4"/>
        <v>60000</v>
      </c>
      <c r="L506" s="1"/>
    </row>
    <row r="507">
      <c r="A507" s="55">
        <v>46186.0</v>
      </c>
      <c r="B507" s="1" t="s">
        <v>964</v>
      </c>
      <c r="C507" s="1" t="str">
        <f>VLOOKUP(B507,MAESTRA!I:K,2,0)</f>
        <v>*40214825*</v>
      </c>
      <c r="D507" s="1" t="str">
        <f>VLOOKUP(B507,MAESTRA!I:K,3,0)</f>
        <v>CONJUNTO CABALLERO INTER DE MILAN AAA LOCAL 2025 TALLA M</v>
      </c>
      <c r="E507" s="1" t="s">
        <v>940</v>
      </c>
      <c r="F507" s="45">
        <v>1.0</v>
      </c>
      <c r="G507" s="2">
        <v>30000.0</v>
      </c>
      <c r="H507" s="2">
        <f t="shared" si="1"/>
        <v>30000</v>
      </c>
      <c r="I507" s="2">
        <f t="shared" si="2"/>
        <v>60000</v>
      </c>
      <c r="J507" s="47">
        <f t="shared" si="3"/>
        <v>1</v>
      </c>
      <c r="K507" s="2">
        <f t="shared" si="4"/>
        <v>60000</v>
      </c>
      <c r="L507" s="1"/>
    </row>
    <row r="508">
      <c r="A508" s="55">
        <v>46186.0</v>
      </c>
      <c r="B508" s="1" t="s">
        <v>965</v>
      </c>
      <c r="C508" s="1" t="str">
        <f>VLOOKUP(B508,MAESTRA!I:K,2,0)</f>
        <v>*40217627*</v>
      </c>
      <c r="D508" s="1" t="str">
        <f>VLOOKUP(B508,MAESTRA!I:K,3,0)</f>
        <v>CONJUNTO CABALLERO LIVERPOOL AAA LOCAL 2025 TALLA S</v>
      </c>
      <c r="E508" s="1" t="s">
        <v>966</v>
      </c>
      <c r="F508" s="45">
        <v>2.0</v>
      </c>
      <c r="G508" s="2">
        <v>30000.0</v>
      </c>
      <c r="H508" s="2">
        <f t="shared" si="1"/>
        <v>60000</v>
      </c>
      <c r="I508" s="2">
        <f t="shared" si="2"/>
        <v>60000</v>
      </c>
      <c r="J508" s="47">
        <f t="shared" si="3"/>
        <v>1</v>
      </c>
      <c r="K508" s="2">
        <f t="shared" si="4"/>
        <v>120000</v>
      </c>
      <c r="L508" s="1"/>
    </row>
    <row r="509">
      <c r="A509" s="55">
        <v>46186.0</v>
      </c>
      <c r="B509" s="1" t="s">
        <v>967</v>
      </c>
      <c r="C509" s="1" t="str">
        <f>VLOOKUP(B509,MAESTRA!I:K,2,0)</f>
        <v>*40217623*</v>
      </c>
      <c r="D509" s="1" t="str">
        <f>VLOOKUP(B509,MAESTRA!I:K,3,0)</f>
        <v>CONJUNTO CABALLERO LIVERPOOL AAA LOCAL 2025 TALLA L</v>
      </c>
      <c r="E509" s="1" t="s">
        <v>954</v>
      </c>
      <c r="F509" s="45">
        <v>1.0</v>
      </c>
      <c r="G509" s="2">
        <v>30000.0</v>
      </c>
      <c r="H509" s="2">
        <f t="shared" si="1"/>
        <v>30000</v>
      </c>
      <c r="I509" s="2">
        <f t="shared" si="2"/>
        <v>60000</v>
      </c>
      <c r="J509" s="47">
        <f t="shared" si="3"/>
        <v>1</v>
      </c>
      <c r="K509" s="2">
        <f t="shared" si="4"/>
        <v>60000</v>
      </c>
      <c r="L509" s="1"/>
    </row>
    <row r="510">
      <c r="A510" s="55">
        <v>46186.0</v>
      </c>
      <c r="B510" s="1" t="s">
        <v>968</v>
      </c>
      <c r="C510" s="1" t="str">
        <f>VLOOKUP(B510,MAESTRA!I:K,2,0)</f>
        <v>*40217727*</v>
      </c>
      <c r="D510" s="1" t="str">
        <f>VLOOKUP(B510,MAESTRA!I:K,3,0)</f>
        <v>CONJUNTO CABALLERO LIVERPOOL AAA VISITANTE 2025 TALLA S</v>
      </c>
      <c r="E510" s="1" t="s">
        <v>954</v>
      </c>
      <c r="F510" s="45">
        <v>1.0</v>
      </c>
      <c r="G510" s="2">
        <v>30000.0</v>
      </c>
      <c r="H510" s="2">
        <f t="shared" si="1"/>
        <v>30000</v>
      </c>
      <c r="I510" s="2">
        <f t="shared" si="2"/>
        <v>60000</v>
      </c>
      <c r="J510" s="47">
        <f t="shared" si="3"/>
        <v>1</v>
      </c>
      <c r="K510" s="2">
        <f t="shared" si="4"/>
        <v>60000</v>
      </c>
      <c r="L510" s="1"/>
    </row>
    <row r="511">
      <c r="A511" s="55">
        <v>46186.0</v>
      </c>
      <c r="B511" s="1" t="s">
        <v>969</v>
      </c>
      <c r="C511" s="1" t="str">
        <f>VLOOKUP(B511,MAESTRA!I:K,2,0)</f>
        <v>*40217723*</v>
      </c>
      <c r="D511" s="1" t="str">
        <f>VLOOKUP(B511,MAESTRA!I:K,3,0)</f>
        <v>CONJUNTO CABALLERO LIVERPOOL AAA VISITANTE 2025 TALLA L</v>
      </c>
      <c r="E511" s="1" t="s">
        <v>954</v>
      </c>
      <c r="F511" s="45">
        <v>1.0</v>
      </c>
      <c r="G511" s="2">
        <v>30000.0</v>
      </c>
      <c r="H511" s="2">
        <f t="shared" si="1"/>
        <v>30000</v>
      </c>
      <c r="I511" s="2">
        <f t="shared" si="2"/>
        <v>60000</v>
      </c>
      <c r="J511" s="47">
        <f t="shared" si="3"/>
        <v>1</v>
      </c>
      <c r="K511" s="2">
        <f t="shared" si="4"/>
        <v>60000</v>
      </c>
      <c r="L511" s="1"/>
    </row>
    <row r="512">
      <c r="A512" s="55">
        <v>46186.0</v>
      </c>
      <c r="B512" s="1" t="s">
        <v>970</v>
      </c>
      <c r="C512" s="1" t="str">
        <f>VLOOKUP(B512,MAESTRA!I:K,2,0)</f>
        <v>*1123632*</v>
      </c>
      <c r="D512" s="1" t="str">
        <f>VLOOKUP(B512,MAESTRA!I:K,3,0)</f>
        <v>CAMISETAS CABALLERO ATLETICO NACIONAL 1.1 LOCAL 2025 TALLA XL</v>
      </c>
      <c r="E512" s="1" t="s">
        <v>940</v>
      </c>
      <c r="F512" s="45">
        <v>2.0</v>
      </c>
      <c r="G512" s="2">
        <v>30000.0</v>
      </c>
      <c r="H512" s="2">
        <f t="shared" si="1"/>
        <v>60000</v>
      </c>
      <c r="I512" s="2">
        <f t="shared" si="2"/>
        <v>60000</v>
      </c>
      <c r="J512" s="47">
        <f t="shared" si="3"/>
        <v>1</v>
      </c>
      <c r="K512" s="2">
        <f t="shared" si="4"/>
        <v>120000</v>
      </c>
      <c r="L512" s="1"/>
    </row>
    <row r="513">
      <c r="A513" s="55">
        <v>46186.0</v>
      </c>
      <c r="B513" s="1" t="s">
        <v>971</v>
      </c>
      <c r="C513" s="1" t="str">
        <f>VLOOKUP(B513,MAESTRA!I:K,2,0)</f>
        <v>*11218832*</v>
      </c>
      <c r="D513" s="1" t="str">
        <f>VLOOKUP(B513,MAESTRA!I:K,3,0)</f>
        <v>CAMISETAS CABALLERO MILLONARIOS 1.1 LOCAL 2025 TALLA XL</v>
      </c>
      <c r="E513" s="1" t="s">
        <v>954</v>
      </c>
      <c r="F513" s="45">
        <v>1.0</v>
      </c>
      <c r="G513" s="2">
        <v>30000.0</v>
      </c>
      <c r="H513" s="2">
        <f t="shared" si="1"/>
        <v>30000</v>
      </c>
      <c r="I513" s="2">
        <f t="shared" si="2"/>
        <v>60000</v>
      </c>
      <c r="J513" s="47">
        <f t="shared" si="3"/>
        <v>1</v>
      </c>
      <c r="K513" s="2">
        <f t="shared" si="4"/>
        <v>60000</v>
      </c>
      <c r="L513" s="1"/>
    </row>
    <row r="514">
      <c r="A514" s="55">
        <v>46186.0</v>
      </c>
      <c r="B514" s="1" t="s">
        <v>972</v>
      </c>
      <c r="C514" s="1" t="str">
        <f>VLOOKUP(B514,MAESTRA!I:K,2,0)</f>
        <v>*11218823*</v>
      </c>
      <c r="D514" s="1" t="str">
        <f>VLOOKUP(B514,MAESTRA!I:K,3,0)</f>
        <v>CAMISETAS CABALLERO MILLONARIOS 1.1 LOCAL 2025 TALLA L</v>
      </c>
      <c r="E514" s="1" t="s">
        <v>954</v>
      </c>
      <c r="F514" s="45">
        <v>1.0</v>
      </c>
      <c r="G514" s="2">
        <v>30000.0</v>
      </c>
      <c r="H514" s="2">
        <f t="shared" si="1"/>
        <v>30000</v>
      </c>
      <c r="I514" s="2">
        <f t="shared" si="2"/>
        <v>60000</v>
      </c>
      <c r="J514" s="47">
        <f t="shared" si="3"/>
        <v>1</v>
      </c>
      <c r="K514" s="2">
        <f t="shared" si="4"/>
        <v>60000</v>
      </c>
      <c r="L514" s="1"/>
    </row>
    <row r="515">
      <c r="A515" s="55">
        <v>46186.0</v>
      </c>
      <c r="B515" s="1" t="s">
        <v>973</v>
      </c>
      <c r="C515" s="1" t="str">
        <f>VLOOKUP(B515,MAESTRA!I:K,2,0)</f>
        <v>*11218923*</v>
      </c>
      <c r="D515" s="1" t="str">
        <f>VLOOKUP(B515,MAESTRA!I:K,3,0)</f>
        <v>CAMISETAS CABALLERO MILLONARIOS AAA LOCAL 2025 TALLA L</v>
      </c>
      <c r="E515" s="1" t="s">
        <v>954</v>
      </c>
      <c r="F515" s="45">
        <v>1.0</v>
      </c>
      <c r="G515" s="2">
        <v>30000.0</v>
      </c>
      <c r="H515" s="2">
        <f t="shared" si="1"/>
        <v>30000</v>
      </c>
      <c r="I515" s="2">
        <f t="shared" si="2"/>
        <v>60000</v>
      </c>
      <c r="J515" s="47">
        <f t="shared" si="3"/>
        <v>1</v>
      </c>
      <c r="K515" s="2">
        <f t="shared" si="4"/>
        <v>60000</v>
      </c>
      <c r="L515" s="1"/>
    </row>
    <row r="516">
      <c r="A516" s="55">
        <v>46186.0</v>
      </c>
      <c r="B516" s="1" t="s">
        <v>974</v>
      </c>
      <c r="C516" s="1" t="str">
        <f>VLOOKUP(B516,MAESTRA!I:K,2,0)</f>
        <v>*11219032*</v>
      </c>
      <c r="D516" s="1" t="str">
        <f>VLOOKUP(B516,MAESTRA!I:K,3,0)</f>
        <v>CAMISETAS CABALLERO MILLONARIOS CAMISA TALLA XL</v>
      </c>
      <c r="E516" s="1" t="s">
        <v>954</v>
      </c>
      <c r="F516" s="45">
        <v>1.0</v>
      </c>
      <c r="G516" s="2">
        <v>30000.0</v>
      </c>
      <c r="H516" s="2">
        <f t="shared" si="1"/>
        <v>30000</v>
      </c>
      <c r="I516" s="2">
        <f t="shared" si="2"/>
        <v>60000</v>
      </c>
      <c r="J516" s="47">
        <f t="shared" si="3"/>
        <v>1</v>
      </c>
      <c r="K516" s="2">
        <f t="shared" si="4"/>
        <v>60000</v>
      </c>
      <c r="L516" s="1"/>
    </row>
    <row r="517">
      <c r="A517" s="55">
        <v>46186.0</v>
      </c>
      <c r="B517" s="1" t="s">
        <v>822</v>
      </c>
      <c r="C517" s="1" t="str">
        <f>VLOOKUP(B517,MAESTRA!I:K,2,0)</f>
        <v>*1118727*</v>
      </c>
      <c r="D517" s="1" t="str">
        <f>VLOOKUP(B517,MAESTRA!I:K,3,0)</f>
        <v>CAMISETAS DAMA COLOMBIA 1.1 LOCAL TALLA S</v>
      </c>
      <c r="E517" s="1" t="s">
        <v>954</v>
      </c>
      <c r="F517" s="45">
        <v>1.0</v>
      </c>
      <c r="G517" s="2">
        <v>37000.0</v>
      </c>
      <c r="H517" s="2">
        <f t="shared" si="1"/>
        <v>37000</v>
      </c>
      <c r="I517" s="2">
        <f t="shared" si="2"/>
        <v>74000</v>
      </c>
      <c r="J517" s="47">
        <f t="shared" si="3"/>
        <v>1</v>
      </c>
      <c r="K517" s="2">
        <f t="shared" si="4"/>
        <v>74000</v>
      </c>
      <c r="L517" s="1"/>
    </row>
    <row r="518">
      <c r="A518" s="55">
        <v>46186.0</v>
      </c>
      <c r="B518" s="1" t="s">
        <v>824</v>
      </c>
      <c r="C518" s="1" t="str">
        <f>VLOOKUP(B518,MAESTRA!I:K,2,0)</f>
        <v>*1118723*</v>
      </c>
      <c r="D518" s="1" t="str">
        <f>VLOOKUP(B518,MAESTRA!I:K,3,0)</f>
        <v>CAMISETAS DAMA COLOMBIA 1.1 LOCAL TALLA L</v>
      </c>
      <c r="E518" s="1" t="s">
        <v>954</v>
      </c>
      <c r="F518" s="45">
        <v>1.0</v>
      </c>
      <c r="G518" s="2">
        <v>37000.0</v>
      </c>
      <c r="H518" s="2">
        <f t="shared" si="1"/>
        <v>37000</v>
      </c>
      <c r="I518" s="2">
        <f t="shared" si="2"/>
        <v>74000</v>
      </c>
      <c r="J518" s="47">
        <f t="shared" si="3"/>
        <v>1</v>
      </c>
      <c r="K518" s="2">
        <f t="shared" si="4"/>
        <v>74000</v>
      </c>
      <c r="L518" s="1"/>
    </row>
    <row r="519">
      <c r="A519" s="55">
        <v>46186.0</v>
      </c>
      <c r="B519" s="1" t="s">
        <v>825</v>
      </c>
      <c r="C519" s="1" t="str">
        <f>VLOOKUP(B519,MAESTRA!I:K,2,0)</f>
        <v>*1118732*</v>
      </c>
      <c r="D519" s="1" t="str">
        <f>VLOOKUP(B519,MAESTRA!I:K,3,0)</f>
        <v>CAMISETAS DAMA COLOMBIA 1.1 LOCAL TALLA XL</v>
      </c>
      <c r="E519" s="1" t="s">
        <v>954</v>
      </c>
      <c r="F519" s="45">
        <v>1.0</v>
      </c>
      <c r="G519" s="2">
        <v>37000.0</v>
      </c>
      <c r="H519" s="2">
        <f t="shared" si="1"/>
        <v>37000</v>
      </c>
      <c r="I519" s="2">
        <f t="shared" si="2"/>
        <v>74000</v>
      </c>
      <c r="J519" s="47">
        <f t="shared" si="3"/>
        <v>1</v>
      </c>
      <c r="K519" s="2">
        <f t="shared" si="4"/>
        <v>74000</v>
      </c>
      <c r="L519" s="1"/>
    </row>
    <row r="520">
      <c r="A520" s="55">
        <v>46186.0</v>
      </c>
      <c r="B520" s="1" t="s">
        <v>809</v>
      </c>
      <c r="C520" s="1" t="str">
        <f>VLOOKUP(B520,MAESTRA!I:K,2,0)</f>
        <v>*1128732*</v>
      </c>
      <c r="D520" s="1" t="str">
        <f>VLOOKUP(B520,MAESTRA!I:K,3,0)</f>
        <v>CAMISETAS CABALLERO COLOMBIA 1.1 LOCAL TALLA XL</v>
      </c>
      <c r="E520" s="1" t="s">
        <v>954</v>
      </c>
      <c r="F520" s="45">
        <v>1.0</v>
      </c>
      <c r="G520" s="2">
        <v>37000.0</v>
      </c>
      <c r="H520" s="2">
        <f t="shared" si="1"/>
        <v>37000</v>
      </c>
      <c r="I520" s="2">
        <f t="shared" si="2"/>
        <v>74000</v>
      </c>
      <c r="J520" s="47">
        <f t="shared" si="3"/>
        <v>1</v>
      </c>
      <c r="K520" s="2">
        <f t="shared" si="4"/>
        <v>74000</v>
      </c>
      <c r="L520" s="1"/>
    </row>
    <row r="521">
      <c r="A521" s="55">
        <v>46186.0</v>
      </c>
      <c r="B521" s="1" t="s">
        <v>808</v>
      </c>
      <c r="C521" s="1" t="str">
        <f>VLOOKUP(B521,MAESTRA!I:K,2,0)</f>
        <v>*1128723*</v>
      </c>
      <c r="D521" s="1" t="str">
        <f>VLOOKUP(B521,MAESTRA!I:K,3,0)</f>
        <v>CAMISETAS CABALLERO COLOMBIA 1.1 LOCAL TALLA L</v>
      </c>
      <c r="E521" s="1" t="s">
        <v>954</v>
      </c>
      <c r="F521" s="45">
        <v>1.0</v>
      </c>
      <c r="G521" s="2">
        <v>37000.0</v>
      </c>
      <c r="H521" s="2">
        <f t="shared" si="1"/>
        <v>37000</v>
      </c>
      <c r="I521" s="2">
        <f t="shared" si="2"/>
        <v>74000</v>
      </c>
      <c r="J521" s="47">
        <f t="shared" si="3"/>
        <v>1</v>
      </c>
      <c r="K521" s="2">
        <f t="shared" si="4"/>
        <v>74000</v>
      </c>
      <c r="L521" s="1"/>
    </row>
    <row r="522">
      <c r="A522" s="55">
        <v>46186.0</v>
      </c>
      <c r="B522" s="1" t="s">
        <v>975</v>
      </c>
      <c r="C522" s="1" t="str">
        <f>VLOOKUP(B522,MAESTRA!I:K,2,0)</f>
        <v>*4124325*</v>
      </c>
      <c r="D522" s="1" t="str">
        <f>VLOOKUP(B522,MAESTRA!I:K,3,0)</f>
        <v>SUDADERA CABALLERO BARCELONA TALLA M</v>
      </c>
      <c r="E522" s="1" t="s">
        <v>940</v>
      </c>
      <c r="F522" s="45">
        <v>1.0</v>
      </c>
      <c r="G522" s="2">
        <v>90000.0</v>
      </c>
      <c r="H522" s="2">
        <f t="shared" si="1"/>
        <v>90000</v>
      </c>
      <c r="I522" s="2">
        <f t="shared" si="2"/>
        <v>180000</v>
      </c>
      <c r="J522" s="47">
        <f t="shared" si="3"/>
        <v>1</v>
      </c>
      <c r="K522" s="2">
        <f t="shared" si="4"/>
        <v>180000</v>
      </c>
      <c r="L522" s="1"/>
    </row>
    <row r="523">
      <c r="A523" s="55">
        <v>46186.0</v>
      </c>
      <c r="B523" s="1" t="s">
        <v>976</v>
      </c>
      <c r="C523" s="1" t="str">
        <f>VLOOKUP(B523,MAESTRA!I:K,2,0)</f>
        <v>*4124332*</v>
      </c>
      <c r="D523" s="1" t="str">
        <f>VLOOKUP(B523,MAESTRA!I:K,3,0)</f>
        <v>SUDADERA CABALLERO BARCELONA TALLA XL</v>
      </c>
      <c r="E523" s="1" t="s">
        <v>940</v>
      </c>
      <c r="F523" s="45">
        <v>1.0</v>
      </c>
      <c r="G523" s="2">
        <v>90000.0</v>
      </c>
      <c r="H523" s="2">
        <f t="shared" si="1"/>
        <v>90000</v>
      </c>
      <c r="I523" s="2">
        <f t="shared" si="2"/>
        <v>180000</v>
      </c>
      <c r="J523" s="47">
        <f t="shared" si="3"/>
        <v>1</v>
      </c>
      <c r="K523" s="2">
        <f t="shared" si="4"/>
        <v>180000</v>
      </c>
      <c r="L523" s="1"/>
    </row>
    <row r="524">
      <c r="A524" s="55">
        <v>46186.0</v>
      </c>
      <c r="B524" s="1" t="s">
        <v>977</v>
      </c>
      <c r="C524" s="1" t="str">
        <f>VLOOKUP(B524,MAESTRA!I:K,2,0)</f>
        <v>*41223225*</v>
      </c>
      <c r="D524" s="1" t="str">
        <f>VLOOKUP(B524,MAESTRA!I:K,3,0)</f>
        <v>SUDADERA CABALLERO REAL MADRID TALLA M</v>
      </c>
      <c r="E524" s="1" t="s">
        <v>954</v>
      </c>
      <c r="F524" s="45">
        <v>1.0</v>
      </c>
      <c r="G524" s="2">
        <v>90000.0</v>
      </c>
      <c r="H524" s="2">
        <f t="shared" si="1"/>
        <v>90000</v>
      </c>
      <c r="I524" s="2">
        <f t="shared" si="2"/>
        <v>180000</v>
      </c>
      <c r="J524" s="47">
        <f t="shared" si="3"/>
        <v>1</v>
      </c>
      <c r="K524" s="2">
        <f t="shared" si="4"/>
        <v>180000</v>
      </c>
      <c r="L524" s="1"/>
    </row>
    <row r="525">
      <c r="A525" s="55">
        <v>46186.0</v>
      </c>
      <c r="B525" s="1" t="s">
        <v>978</v>
      </c>
      <c r="C525" s="1" t="str">
        <f>VLOOKUP(B525,MAESTRA!I:K,2,0)</f>
        <v>*41223223*</v>
      </c>
      <c r="D525" s="1" t="str">
        <f>VLOOKUP(B525,MAESTRA!I:K,3,0)</f>
        <v>SUDADERA CABALLERO REAL MADRID TALLA L</v>
      </c>
      <c r="E525" s="1" t="s">
        <v>954</v>
      </c>
      <c r="F525" s="45">
        <v>1.0</v>
      </c>
      <c r="G525" s="2">
        <v>90000.0</v>
      </c>
      <c r="H525" s="2">
        <f t="shared" si="1"/>
        <v>90000</v>
      </c>
      <c r="I525" s="2">
        <f t="shared" si="2"/>
        <v>180000</v>
      </c>
      <c r="J525" s="47">
        <f t="shared" si="3"/>
        <v>1</v>
      </c>
      <c r="K525" s="2">
        <f t="shared" si="4"/>
        <v>180000</v>
      </c>
      <c r="L525" s="1"/>
    </row>
    <row r="526">
      <c r="A526" s="55">
        <v>46186.0</v>
      </c>
      <c r="B526" s="1" t="s">
        <v>979</v>
      </c>
      <c r="C526" s="1" t="str">
        <f>VLOOKUP(B526,MAESTRA!I:K,2,0)</f>
        <v>*4128925*</v>
      </c>
      <c r="D526" s="1" t="str">
        <f>VLOOKUP(B526,MAESTRA!I:K,3,0)</f>
        <v>SUDADERA CABALLERO COLOMBIA CENTENARIO TALLA M</v>
      </c>
      <c r="E526" s="1" t="s">
        <v>954</v>
      </c>
      <c r="F526" s="45">
        <v>1.0</v>
      </c>
      <c r="G526" s="2">
        <v>85000.0</v>
      </c>
      <c r="H526" s="2">
        <f t="shared" si="1"/>
        <v>85000</v>
      </c>
      <c r="I526" s="2">
        <f t="shared" si="2"/>
        <v>170000</v>
      </c>
      <c r="J526" s="47">
        <f t="shared" si="3"/>
        <v>1</v>
      </c>
      <c r="K526" s="2">
        <f t="shared" si="4"/>
        <v>170000</v>
      </c>
      <c r="L526" s="1"/>
    </row>
    <row r="527">
      <c r="A527" s="55">
        <v>46186.0</v>
      </c>
      <c r="B527" s="1" t="s">
        <v>980</v>
      </c>
      <c r="C527" s="1" t="str">
        <f>VLOOKUP(B527,MAESTRA!I:K,2,0)</f>
        <v>*1215612*</v>
      </c>
      <c r="D527" s="1" t="str">
        <f>VLOOKUP(B527,MAESTRA!I:K,3,0)</f>
        <v>JEANS CABALLERO JOGGER TALLA 28</v>
      </c>
      <c r="E527" s="1" t="s">
        <v>476</v>
      </c>
      <c r="F527" s="45">
        <v>1.0</v>
      </c>
      <c r="G527" s="2">
        <v>35000.0</v>
      </c>
      <c r="H527" s="2">
        <f t="shared" si="1"/>
        <v>35000</v>
      </c>
      <c r="I527" s="2">
        <f t="shared" si="2"/>
        <v>70000</v>
      </c>
      <c r="J527" s="47">
        <f t="shared" si="3"/>
        <v>1</v>
      </c>
      <c r="K527" s="2">
        <f t="shared" si="4"/>
        <v>70000</v>
      </c>
      <c r="L527" s="1"/>
    </row>
    <row r="528">
      <c r="A528" s="55">
        <v>46186.0</v>
      </c>
      <c r="B528" s="1" t="s">
        <v>981</v>
      </c>
      <c r="C528" s="1" t="str">
        <f>VLOOKUP(B528,MAESTRA!I:K,2,0)</f>
        <v>*1215613*</v>
      </c>
      <c r="D528" s="1" t="str">
        <f>VLOOKUP(B528,MAESTRA!I:K,3,0)</f>
        <v>JEANS CABALLERO JOGGER TALLA 30</v>
      </c>
      <c r="E528" s="1" t="s">
        <v>476</v>
      </c>
      <c r="F528" s="45">
        <v>2.0</v>
      </c>
      <c r="G528" s="2">
        <v>35000.0</v>
      </c>
      <c r="H528" s="2">
        <f t="shared" si="1"/>
        <v>70000</v>
      </c>
      <c r="I528" s="2">
        <f t="shared" si="2"/>
        <v>70000</v>
      </c>
      <c r="J528" s="47">
        <f t="shared" si="3"/>
        <v>1</v>
      </c>
      <c r="K528" s="2">
        <f t="shared" si="4"/>
        <v>140000</v>
      </c>
      <c r="L528" s="1"/>
    </row>
    <row r="529">
      <c r="A529" s="55">
        <v>46186.0</v>
      </c>
      <c r="B529" s="1" t="s">
        <v>982</v>
      </c>
      <c r="C529" s="1" t="str">
        <f>VLOOKUP(B529,MAESTRA!I:K,2,0)</f>
        <v>*1215614*</v>
      </c>
      <c r="D529" s="1" t="str">
        <f>VLOOKUP(B529,MAESTRA!I:K,3,0)</f>
        <v>JEANS CABALLERO JOGGER TALLA 32</v>
      </c>
      <c r="E529" s="1" t="s">
        <v>476</v>
      </c>
      <c r="F529" s="45">
        <v>2.0</v>
      </c>
      <c r="G529" s="2">
        <v>35000.0</v>
      </c>
      <c r="H529" s="2">
        <f t="shared" si="1"/>
        <v>70000</v>
      </c>
      <c r="I529" s="2">
        <f t="shared" si="2"/>
        <v>70000</v>
      </c>
      <c r="J529" s="47">
        <f t="shared" si="3"/>
        <v>1</v>
      </c>
      <c r="K529" s="2">
        <f t="shared" si="4"/>
        <v>140000</v>
      </c>
      <c r="L529" s="1"/>
    </row>
    <row r="530">
      <c r="A530" s="55">
        <v>46186.0</v>
      </c>
      <c r="B530" s="1" t="s">
        <v>983</v>
      </c>
      <c r="C530" s="1" t="str">
        <f>VLOOKUP(B530,MAESTRA!I:K,2,0)</f>
        <v>*1215615*</v>
      </c>
      <c r="D530" s="1" t="str">
        <f>VLOOKUP(B530,MAESTRA!I:K,3,0)</f>
        <v>JEANS CABALLERO JOGGER TALLA 34</v>
      </c>
      <c r="E530" s="1" t="s">
        <v>476</v>
      </c>
      <c r="F530" s="45">
        <v>2.0</v>
      </c>
      <c r="G530" s="2">
        <v>35000.0</v>
      </c>
      <c r="H530" s="2">
        <f t="shared" si="1"/>
        <v>70000</v>
      </c>
      <c r="I530" s="2">
        <f t="shared" si="2"/>
        <v>70000</v>
      </c>
      <c r="J530" s="47">
        <f t="shared" si="3"/>
        <v>1</v>
      </c>
      <c r="K530" s="2">
        <f t="shared" si="4"/>
        <v>140000</v>
      </c>
      <c r="L530" s="1"/>
    </row>
    <row r="531">
      <c r="A531" s="55">
        <v>46186.0</v>
      </c>
      <c r="B531" s="1" t="s">
        <v>984</v>
      </c>
      <c r="C531" s="1" t="str">
        <f>VLOOKUP(B531,MAESTRA!I:K,2,0)</f>
        <v>*1215616*</v>
      </c>
      <c r="D531" s="1" t="str">
        <f>VLOOKUP(B531,MAESTRA!I:K,3,0)</f>
        <v>JEANS CABALLERO JOGGER TALLA 36</v>
      </c>
      <c r="E531" s="1" t="s">
        <v>476</v>
      </c>
      <c r="F531" s="45">
        <v>1.0</v>
      </c>
      <c r="G531" s="2">
        <v>35000.0</v>
      </c>
      <c r="H531" s="2">
        <f t="shared" si="1"/>
        <v>35000</v>
      </c>
      <c r="I531" s="2">
        <f t="shared" si="2"/>
        <v>70000</v>
      </c>
      <c r="J531" s="47">
        <f t="shared" si="3"/>
        <v>1</v>
      </c>
      <c r="K531" s="2">
        <f t="shared" si="4"/>
        <v>70000</v>
      </c>
      <c r="L531" s="1"/>
    </row>
    <row r="532">
      <c r="A532" s="55">
        <v>46186.0</v>
      </c>
      <c r="B532" s="1" t="s">
        <v>980</v>
      </c>
      <c r="C532" s="1" t="str">
        <f>VLOOKUP(B532,MAESTRA!I:K,2,0)</f>
        <v>*1215612*</v>
      </c>
      <c r="D532" s="1" t="str">
        <f>VLOOKUP(B532,MAESTRA!I:K,3,0)</f>
        <v>JEANS CABALLERO JOGGER TALLA 28</v>
      </c>
      <c r="E532" s="1" t="s">
        <v>476</v>
      </c>
      <c r="F532" s="45">
        <v>1.0</v>
      </c>
      <c r="G532" s="2">
        <v>35000.0</v>
      </c>
      <c r="H532" s="2">
        <f t="shared" si="1"/>
        <v>35000</v>
      </c>
      <c r="I532" s="2">
        <f t="shared" si="2"/>
        <v>70000</v>
      </c>
      <c r="J532" s="47">
        <f t="shared" si="3"/>
        <v>1</v>
      </c>
      <c r="K532" s="2">
        <f t="shared" si="4"/>
        <v>70000</v>
      </c>
      <c r="L532" s="1"/>
    </row>
    <row r="533">
      <c r="A533" s="55">
        <v>46186.0</v>
      </c>
      <c r="B533" s="1" t="s">
        <v>981</v>
      </c>
      <c r="C533" s="1" t="str">
        <f>VLOOKUP(B533,MAESTRA!I:K,2,0)</f>
        <v>*1215613*</v>
      </c>
      <c r="D533" s="1" t="str">
        <f>VLOOKUP(B533,MAESTRA!I:K,3,0)</f>
        <v>JEANS CABALLERO JOGGER TALLA 30</v>
      </c>
      <c r="E533" s="1" t="s">
        <v>476</v>
      </c>
      <c r="F533" s="45">
        <v>1.0</v>
      </c>
      <c r="G533" s="2">
        <v>35000.0</v>
      </c>
      <c r="H533" s="2">
        <f t="shared" si="1"/>
        <v>35000</v>
      </c>
      <c r="I533" s="2">
        <f t="shared" si="2"/>
        <v>70000</v>
      </c>
      <c r="J533" s="47">
        <f t="shared" si="3"/>
        <v>1</v>
      </c>
      <c r="K533" s="2">
        <f t="shared" si="4"/>
        <v>70000</v>
      </c>
      <c r="L533" s="1"/>
    </row>
    <row r="534">
      <c r="A534" s="55">
        <v>46186.0</v>
      </c>
      <c r="B534" s="1" t="s">
        <v>982</v>
      </c>
      <c r="C534" s="1" t="str">
        <f>VLOOKUP(B534,MAESTRA!I:K,2,0)</f>
        <v>*1215614*</v>
      </c>
      <c r="D534" s="1" t="str">
        <f>VLOOKUP(B534,MAESTRA!I:K,3,0)</f>
        <v>JEANS CABALLERO JOGGER TALLA 32</v>
      </c>
      <c r="E534" s="1" t="s">
        <v>476</v>
      </c>
      <c r="F534" s="45">
        <v>1.0</v>
      </c>
      <c r="G534" s="2">
        <v>35000.0</v>
      </c>
      <c r="H534" s="2">
        <f t="shared" si="1"/>
        <v>35000</v>
      </c>
      <c r="I534" s="2">
        <f t="shared" si="2"/>
        <v>70000</v>
      </c>
      <c r="J534" s="47">
        <f t="shared" si="3"/>
        <v>1</v>
      </c>
      <c r="K534" s="2">
        <f t="shared" si="4"/>
        <v>70000</v>
      </c>
      <c r="L534" s="1"/>
    </row>
    <row r="535">
      <c r="A535" s="55">
        <v>46186.0</v>
      </c>
      <c r="B535" s="1" t="s">
        <v>983</v>
      </c>
      <c r="C535" s="1" t="str">
        <f>VLOOKUP(B535,MAESTRA!I:K,2,0)</f>
        <v>*1215615*</v>
      </c>
      <c r="D535" s="1" t="str">
        <f>VLOOKUP(B535,MAESTRA!I:K,3,0)</f>
        <v>JEANS CABALLERO JOGGER TALLA 34</v>
      </c>
      <c r="E535" s="1" t="s">
        <v>476</v>
      </c>
      <c r="F535" s="45">
        <v>1.0</v>
      </c>
      <c r="G535" s="2">
        <v>35000.0</v>
      </c>
      <c r="H535" s="2">
        <f t="shared" si="1"/>
        <v>35000</v>
      </c>
      <c r="I535" s="2">
        <f t="shared" si="2"/>
        <v>70000</v>
      </c>
      <c r="J535" s="47">
        <f t="shared" si="3"/>
        <v>1</v>
      </c>
      <c r="K535" s="2">
        <f t="shared" si="4"/>
        <v>70000</v>
      </c>
      <c r="L535" s="1"/>
    </row>
    <row r="536">
      <c r="A536" s="55">
        <v>46186.0</v>
      </c>
      <c r="B536" s="1" t="s">
        <v>984</v>
      </c>
      <c r="C536" s="1" t="str">
        <f>VLOOKUP(B536,MAESTRA!I:K,2,0)</f>
        <v>*1215616*</v>
      </c>
      <c r="D536" s="1" t="str">
        <f>VLOOKUP(B536,MAESTRA!I:K,3,0)</f>
        <v>JEANS CABALLERO JOGGER TALLA 36</v>
      </c>
      <c r="E536" s="1" t="s">
        <v>476</v>
      </c>
      <c r="F536" s="45">
        <v>0.0</v>
      </c>
      <c r="G536" s="2">
        <v>35000.0</v>
      </c>
      <c r="H536" s="2">
        <f t="shared" si="1"/>
        <v>0</v>
      </c>
      <c r="I536" s="2">
        <f t="shared" si="2"/>
        <v>70000</v>
      </c>
      <c r="J536" s="47">
        <f t="shared" si="3"/>
        <v>1</v>
      </c>
      <c r="K536" s="2">
        <f t="shared" si="4"/>
        <v>0</v>
      </c>
      <c r="L536" s="1"/>
    </row>
    <row r="537">
      <c r="A537" s="55">
        <v>46186.0</v>
      </c>
      <c r="B537" s="1" t="s">
        <v>985</v>
      </c>
      <c r="C537" s="1" t="str">
        <f>VLOOKUP(B537,MAESTRA!I:K,2,0)</f>
        <v>*4226612*</v>
      </c>
      <c r="D537" s="1" t="str">
        <f>VLOOKUP(B537,MAESTRA!I:K,3,0)</f>
        <v>DRILL CABALLERO CAMUFLADO TALLA 28</v>
      </c>
      <c r="E537" s="1" t="s">
        <v>476</v>
      </c>
      <c r="F537" s="45">
        <v>3.0</v>
      </c>
      <c r="G537" s="2">
        <v>45000.0</v>
      </c>
      <c r="H537" s="2">
        <f t="shared" si="1"/>
        <v>135000</v>
      </c>
      <c r="I537" s="2">
        <f t="shared" si="2"/>
        <v>90000</v>
      </c>
      <c r="J537" s="47">
        <f t="shared" si="3"/>
        <v>1</v>
      </c>
      <c r="K537" s="2">
        <f t="shared" si="4"/>
        <v>270000</v>
      </c>
      <c r="L537" s="1"/>
    </row>
    <row r="538">
      <c r="A538" s="55">
        <v>46186.0</v>
      </c>
      <c r="B538" s="1" t="s">
        <v>986</v>
      </c>
      <c r="C538" s="1" t="str">
        <f>VLOOKUP(B538,MAESTRA!I:K,2,0)</f>
        <v>*4226613*</v>
      </c>
      <c r="D538" s="1" t="str">
        <f>VLOOKUP(B538,MAESTRA!I:K,3,0)</f>
        <v>DRILL CABALLERO CAMUFLADO TALLA 30</v>
      </c>
      <c r="E538" s="1" t="s">
        <v>476</v>
      </c>
      <c r="F538" s="45">
        <v>4.0</v>
      </c>
      <c r="G538" s="2">
        <v>45000.0</v>
      </c>
      <c r="H538" s="2">
        <f t="shared" si="1"/>
        <v>180000</v>
      </c>
      <c r="I538" s="2">
        <f t="shared" si="2"/>
        <v>90000</v>
      </c>
      <c r="J538" s="47">
        <f t="shared" si="3"/>
        <v>1</v>
      </c>
      <c r="K538" s="2">
        <f t="shared" si="4"/>
        <v>360000</v>
      </c>
      <c r="L538" s="1"/>
    </row>
    <row r="539">
      <c r="A539" s="55">
        <v>46186.0</v>
      </c>
      <c r="B539" s="1" t="s">
        <v>987</v>
      </c>
      <c r="C539" s="1" t="str">
        <f>VLOOKUP(B539,MAESTRA!I:K,2,0)</f>
        <v>*4226614*</v>
      </c>
      <c r="D539" s="1" t="str">
        <f>VLOOKUP(B539,MAESTRA!I:K,3,0)</f>
        <v>DRILL CABALLERO CAMUFLADO TALLA 32</v>
      </c>
      <c r="E539" s="1" t="s">
        <v>476</v>
      </c>
      <c r="F539" s="45">
        <v>4.0</v>
      </c>
      <c r="G539" s="2">
        <v>45000.0</v>
      </c>
      <c r="H539" s="2">
        <f t="shared" si="1"/>
        <v>180000</v>
      </c>
      <c r="I539" s="2">
        <f t="shared" si="2"/>
        <v>90000</v>
      </c>
      <c r="J539" s="47">
        <f t="shared" si="3"/>
        <v>1</v>
      </c>
      <c r="K539" s="2">
        <f t="shared" si="4"/>
        <v>360000</v>
      </c>
      <c r="L539" s="1"/>
    </row>
    <row r="540">
      <c r="A540" s="55">
        <v>46186.0</v>
      </c>
      <c r="B540" s="1" t="s">
        <v>988</v>
      </c>
      <c r="C540" s="1" t="str">
        <f>VLOOKUP(B540,MAESTRA!I:K,2,0)</f>
        <v>*4226615*</v>
      </c>
      <c r="D540" s="1" t="str">
        <f>VLOOKUP(B540,MAESTRA!I:K,3,0)</f>
        <v>DRILL CABALLERO CAMUFLADO TALLA 34</v>
      </c>
      <c r="E540" s="1" t="s">
        <v>476</v>
      </c>
      <c r="F540" s="45">
        <v>3.0</v>
      </c>
      <c r="G540" s="2">
        <v>45000.0</v>
      </c>
      <c r="H540" s="2">
        <f t="shared" si="1"/>
        <v>135000</v>
      </c>
      <c r="I540" s="2">
        <f t="shared" si="2"/>
        <v>90000</v>
      </c>
      <c r="J540" s="47">
        <f t="shared" si="3"/>
        <v>1</v>
      </c>
      <c r="K540" s="2">
        <f t="shared" si="4"/>
        <v>270000</v>
      </c>
      <c r="L540" s="1"/>
    </row>
    <row r="541">
      <c r="A541" s="55">
        <v>46186.0</v>
      </c>
      <c r="B541" s="1" t="s">
        <v>989</v>
      </c>
      <c r="C541" s="1" t="str">
        <f>VLOOKUP(B541,MAESTRA!I:K,2,0)</f>
        <v>*4226616*</v>
      </c>
      <c r="D541" s="1" t="str">
        <f>VLOOKUP(B541,MAESTRA!I:K,3,0)</f>
        <v>DRILL CABALLERO CAMUFLADO TALLA 36</v>
      </c>
      <c r="E541" s="1" t="s">
        <v>476</v>
      </c>
      <c r="F541" s="45">
        <v>1.0</v>
      </c>
      <c r="G541" s="2">
        <v>45000.0</v>
      </c>
      <c r="H541" s="2">
        <f t="shared" si="1"/>
        <v>45000</v>
      </c>
      <c r="I541" s="2">
        <f t="shared" si="2"/>
        <v>90000</v>
      </c>
      <c r="J541" s="47">
        <f t="shared" si="3"/>
        <v>1</v>
      </c>
      <c r="K541" s="2">
        <f t="shared" si="4"/>
        <v>90000</v>
      </c>
      <c r="L541" s="1"/>
    </row>
    <row r="542">
      <c r="A542" s="55">
        <v>46186.0</v>
      </c>
      <c r="B542" s="1" t="s">
        <v>990</v>
      </c>
      <c r="C542" s="1" t="str">
        <f>VLOOKUP(B542,MAESTRA!I:K,2,0)</f>
        <v>*42223712*</v>
      </c>
      <c r="D542" s="1" t="str">
        <f>VLOOKUP(B542,MAESTRA!I:K,3,0)</f>
        <v>DRILL CABALLERO RIBETE TALLA 28</v>
      </c>
      <c r="E542" s="1" t="s">
        <v>476</v>
      </c>
      <c r="F542" s="45">
        <v>0.0</v>
      </c>
      <c r="G542" s="2">
        <v>38000.0</v>
      </c>
      <c r="H542" s="2">
        <f t="shared" si="1"/>
        <v>0</v>
      </c>
      <c r="I542" s="2">
        <f t="shared" si="2"/>
        <v>76000</v>
      </c>
      <c r="J542" s="47">
        <f t="shared" si="3"/>
        <v>1</v>
      </c>
      <c r="K542" s="2">
        <f t="shared" si="4"/>
        <v>0</v>
      </c>
      <c r="L542" s="1"/>
    </row>
    <row r="543">
      <c r="A543" s="55">
        <v>46186.0</v>
      </c>
      <c r="B543" s="1" t="s">
        <v>991</v>
      </c>
      <c r="C543" s="1" t="str">
        <f>VLOOKUP(B543,MAESTRA!I:K,2,0)</f>
        <v>*42223713*</v>
      </c>
      <c r="D543" s="1" t="str">
        <f>VLOOKUP(B543,MAESTRA!I:K,3,0)</f>
        <v>DRILL CABALLERO RIBETE TALLA 30</v>
      </c>
      <c r="E543" s="1" t="s">
        <v>476</v>
      </c>
      <c r="F543" s="45">
        <v>2.0</v>
      </c>
      <c r="G543" s="2">
        <v>38000.0</v>
      </c>
      <c r="H543" s="2">
        <f t="shared" si="1"/>
        <v>76000</v>
      </c>
      <c r="I543" s="2">
        <f t="shared" si="2"/>
        <v>76000</v>
      </c>
      <c r="J543" s="47">
        <f t="shared" si="3"/>
        <v>1</v>
      </c>
      <c r="K543" s="2">
        <f t="shared" si="4"/>
        <v>152000</v>
      </c>
      <c r="L543" s="1"/>
    </row>
    <row r="544">
      <c r="A544" s="55">
        <v>46186.0</v>
      </c>
      <c r="B544" s="1" t="s">
        <v>992</v>
      </c>
      <c r="C544" s="1" t="str">
        <f>VLOOKUP(B544,MAESTRA!I:K,2,0)</f>
        <v>*42223714*</v>
      </c>
      <c r="D544" s="1" t="str">
        <f>VLOOKUP(B544,MAESTRA!I:K,3,0)</f>
        <v>DRILL CABALLERO RIBETE TALLA 32</v>
      </c>
      <c r="E544" s="1" t="s">
        <v>476</v>
      </c>
      <c r="F544" s="45">
        <v>2.0</v>
      </c>
      <c r="G544" s="2">
        <v>38000.0</v>
      </c>
      <c r="H544" s="2">
        <f t="shared" si="1"/>
        <v>76000</v>
      </c>
      <c r="I544" s="2">
        <f t="shared" si="2"/>
        <v>76000</v>
      </c>
      <c r="J544" s="47">
        <f t="shared" si="3"/>
        <v>1</v>
      </c>
      <c r="K544" s="2">
        <f t="shared" si="4"/>
        <v>152000</v>
      </c>
      <c r="L544" s="1"/>
    </row>
    <row r="545">
      <c r="A545" s="55">
        <v>46186.0</v>
      </c>
      <c r="B545" s="1" t="s">
        <v>993</v>
      </c>
      <c r="C545" s="1" t="str">
        <f>VLOOKUP(B545,MAESTRA!I:K,2,0)</f>
        <v>*42223715*</v>
      </c>
      <c r="D545" s="1" t="str">
        <f>VLOOKUP(B545,MAESTRA!I:K,3,0)</f>
        <v>DRILL CABALLERO RIBETE TALLA 34</v>
      </c>
      <c r="E545" s="1" t="s">
        <v>476</v>
      </c>
      <c r="F545" s="45">
        <v>2.0</v>
      </c>
      <c r="G545" s="2">
        <v>38000.0</v>
      </c>
      <c r="H545" s="2">
        <f t="shared" si="1"/>
        <v>76000</v>
      </c>
      <c r="I545" s="2">
        <f t="shared" si="2"/>
        <v>76000</v>
      </c>
      <c r="J545" s="47">
        <f t="shared" si="3"/>
        <v>1</v>
      </c>
      <c r="K545" s="2">
        <f t="shared" si="4"/>
        <v>152000</v>
      </c>
      <c r="L545" s="1"/>
    </row>
    <row r="546">
      <c r="A546" s="55">
        <v>46186.0</v>
      </c>
      <c r="B546" s="1" t="s">
        <v>994</v>
      </c>
      <c r="C546" s="1" t="str">
        <f>VLOOKUP(B546,MAESTRA!I:K,2,0)</f>
        <v>*42223716*</v>
      </c>
      <c r="D546" s="1" t="str">
        <f>VLOOKUP(B546,MAESTRA!I:K,3,0)</f>
        <v>DRILL CABALLERO RIBETE TALLA 36</v>
      </c>
      <c r="E546" s="1" t="s">
        <v>476</v>
      </c>
      <c r="F546" s="45">
        <v>2.0</v>
      </c>
      <c r="G546" s="2">
        <v>38000.0</v>
      </c>
      <c r="H546" s="2">
        <f t="shared" si="1"/>
        <v>76000</v>
      </c>
      <c r="I546" s="2">
        <f t="shared" si="2"/>
        <v>76000</v>
      </c>
      <c r="J546" s="47">
        <f t="shared" si="3"/>
        <v>1</v>
      </c>
      <c r="K546" s="2">
        <f t="shared" si="4"/>
        <v>152000</v>
      </c>
      <c r="L546" s="1"/>
    </row>
    <row r="547">
      <c r="A547" s="55">
        <v>46186.0</v>
      </c>
      <c r="B547" s="1" t="s">
        <v>995</v>
      </c>
      <c r="C547" s="1" t="str">
        <f>VLOOKUP(B547,MAESTRA!I:K,2,0)</f>
        <v>*42215812*</v>
      </c>
      <c r="D547" s="1" t="str">
        <f>VLOOKUP(B547,MAESTRA!I:K,3,0)</f>
        <v>DRILL CABALLERO JUVENIL TALLA 28</v>
      </c>
      <c r="E547" s="1" t="s">
        <v>476</v>
      </c>
      <c r="F547" s="45">
        <v>0.0</v>
      </c>
      <c r="G547" s="2">
        <v>35000.0</v>
      </c>
      <c r="H547" s="2">
        <f t="shared" si="1"/>
        <v>0</v>
      </c>
      <c r="I547" s="2">
        <f t="shared" si="2"/>
        <v>70000</v>
      </c>
      <c r="J547" s="47">
        <f t="shared" si="3"/>
        <v>1</v>
      </c>
      <c r="K547" s="2">
        <f t="shared" si="4"/>
        <v>0</v>
      </c>
      <c r="L547" s="1"/>
    </row>
    <row r="548">
      <c r="A548" s="55">
        <v>46186.0</v>
      </c>
      <c r="B548" s="1" t="s">
        <v>996</v>
      </c>
      <c r="C548" s="1" t="str">
        <f>VLOOKUP(B548,MAESTRA!I:K,2,0)</f>
        <v>*42215813*</v>
      </c>
      <c r="D548" s="1" t="str">
        <f>VLOOKUP(B548,MAESTRA!I:K,3,0)</f>
        <v>DRILL CABALLERO JUVENIL TALLA 30</v>
      </c>
      <c r="E548" s="1" t="s">
        <v>476</v>
      </c>
      <c r="F548" s="45">
        <v>2.0</v>
      </c>
      <c r="G548" s="2">
        <v>35000.0</v>
      </c>
      <c r="H548" s="2">
        <f t="shared" si="1"/>
        <v>70000</v>
      </c>
      <c r="I548" s="2">
        <f t="shared" si="2"/>
        <v>70000</v>
      </c>
      <c r="J548" s="47">
        <f t="shared" si="3"/>
        <v>1</v>
      </c>
      <c r="K548" s="2">
        <f t="shared" si="4"/>
        <v>140000</v>
      </c>
      <c r="L548" s="1"/>
    </row>
    <row r="549">
      <c r="A549" s="55">
        <v>46186.0</v>
      </c>
      <c r="B549" s="1" t="s">
        <v>997</v>
      </c>
      <c r="C549" s="1" t="str">
        <f>VLOOKUP(B549,MAESTRA!I:K,2,0)</f>
        <v>*42215814*</v>
      </c>
      <c r="D549" s="1" t="str">
        <f>VLOOKUP(B549,MAESTRA!I:K,3,0)</f>
        <v>DRILL CABALLERO JUVENIL TALLA 32</v>
      </c>
      <c r="E549" s="1" t="s">
        <v>476</v>
      </c>
      <c r="F549" s="45">
        <v>2.0</v>
      </c>
      <c r="G549" s="2">
        <v>35000.0</v>
      </c>
      <c r="H549" s="2">
        <f t="shared" si="1"/>
        <v>70000</v>
      </c>
      <c r="I549" s="2">
        <f t="shared" si="2"/>
        <v>70000</v>
      </c>
      <c r="J549" s="47">
        <f t="shared" si="3"/>
        <v>1</v>
      </c>
      <c r="K549" s="2">
        <f t="shared" si="4"/>
        <v>140000</v>
      </c>
      <c r="L549" s="1"/>
    </row>
    <row r="550">
      <c r="A550" s="55">
        <v>46186.0</v>
      </c>
      <c r="B550" s="1" t="s">
        <v>998</v>
      </c>
      <c r="C550" s="1" t="str">
        <f>VLOOKUP(B550,MAESTRA!I:K,2,0)</f>
        <v>*42215815*</v>
      </c>
      <c r="D550" s="1" t="str">
        <f>VLOOKUP(B550,MAESTRA!I:K,3,0)</f>
        <v>DRILL CABALLERO JUVENIL TALLA 34</v>
      </c>
      <c r="E550" s="1" t="s">
        <v>476</v>
      </c>
      <c r="F550" s="45">
        <v>2.0</v>
      </c>
      <c r="G550" s="2">
        <v>35000.0</v>
      </c>
      <c r="H550" s="2">
        <f t="shared" si="1"/>
        <v>70000</v>
      </c>
      <c r="I550" s="2">
        <f t="shared" si="2"/>
        <v>70000</v>
      </c>
      <c r="J550" s="47">
        <f t="shared" si="3"/>
        <v>1</v>
      </c>
      <c r="K550" s="2">
        <f t="shared" si="4"/>
        <v>140000</v>
      </c>
      <c r="L550" s="1"/>
    </row>
    <row r="551">
      <c r="A551" s="55">
        <v>46186.0</v>
      </c>
      <c r="B551" s="1" t="s">
        <v>999</v>
      </c>
      <c r="C551" s="1" t="str">
        <f>VLOOKUP(B551,MAESTRA!I:K,2,0)</f>
        <v>*42215816*</v>
      </c>
      <c r="D551" s="1" t="str">
        <f>VLOOKUP(B551,MAESTRA!I:K,3,0)</f>
        <v>DRILL CABALLERO JUVENIL TALLA 36</v>
      </c>
      <c r="E551" s="1" t="s">
        <v>476</v>
      </c>
      <c r="F551" s="45">
        <v>2.0</v>
      </c>
      <c r="G551" s="2">
        <v>35000.0</v>
      </c>
      <c r="H551" s="2">
        <f t="shared" si="1"/>
        <v>70000</v>
      </c>
      <c r="I551" s="2">
        <f t="shared" si="2"/>
        <v>70000</v>
      </c>
      <c r="J551" s="47">
        <f t="shared" si="3"/>
        <v>1</v>
      </c>
      <c r="K551" s="2">
        <f t="shared" si="4"/>
        <v>140000</v>
      </c>
      <c r="L551" s="1"/>
    </row>
    <row r="552">
      <c r="A552" s="55">
        <v>46186.0</v>
      </c>
      <c r="B552" s="1" t="s">
        <v>1000</v>
      </c>
      <c r="C552" s="1" t="str">
        <f>VLOOKUP(B552,MAESTRA!I:K,2,0)</f>
        <v>*127812*</v>
      </c>
      <c r="D552" s="1" t="str">
        <f>VLOOKUP(B552,MAESTRA!I:K,3,0)</f>
        <v>JEANS CABALLERO CLASICO TALLA 28</v>
      </c>
      <c r="E552" s="1" t="s">
        <v>476</v>
      </c>
      <c r="F552" s="45">
        <v>1.0</v>
      </c>
      <c r="G552" s="2">
        <v>35000.0</v>
      </c>
      <c r="H552" s="2">
        <f t="shared" si="1"/>
        <v>35000</v>
      </c>
      <c r="I552" s="2">
        <f t="shared" si="2"/>
        <v>70000</v>
      </c>
      <c r="J552" s="47">
        <f t="shared" si="3"/>
        <v>1</v>
      </c>
      <c r="K552" s="2">
        <f t="shared" si="4"/>
        <v>70000</v>
      </c>
      <c r="L552" s="1"/>
    </row>
    <row r="553">
      <c r="A553" s="55">
        <v>46186.0</v>
      </c>
      <c r="B553" s="1" t="s">
        <v>1001</v>
      </c>
      <c r="C553" s="1" t="str">
        <f>VLOOKUP(B553,MAESTRA!I:K,2,0)</f>
        <v>*127813*</v>
      </c>
      <c r="D553" s="1" t="str">
        <f>VLOOKUP(B553,MAESTRA!I:K,3,0)</f>
        <v>JEANS CABALLERO CLASICO TALLA 30</v>
      </c>
      <c r="E553" s="1" t="s">
        <v>476</v>
      </c>
      <c r="F553" s="45">
        <v>1.0</v>
      </c>
      <c r="G553" s="2">
        <v>35000.0</v>
      </c>
      <c r="H553" s="2">
        <f t="shared" si="1"/>
        <v>35000</v>
      </c>
      <c r="I553" s="2">
        <f t="shared" si="2"/>
        <v>70000</v>
      </c>
      <c r="J553" s="47">
        <f t="shared" si="3"/>
        <v>1</v>
      </c>
      <c r="K553" s="2">
        <f t="shared" si="4"/>
        <v>70000</v>
      </c>
      <c r="L553" s="1"/>
    </row>
    <row r="554">
      <c r="A554" s="55">
        <v>46186.0</v>
      </c>
      <c r="B554" s="1" t="s">
        <v>1002</v>
      </c>
      <c r="C554" s="1" t="str">
        <f>VLOOKUP(B554,MAESTRA!I:K,2,0)</f>
        <v>*127814*</v>
      </c>
      <c r="D554" s="1" t="str">
        <f>VLOOKUP(B554,MAESTRA!I:K,3,0)</f>
        <v>JEANS CABALLERO CLASICO TALLA 32</v>
      </c>
      <c r="E554" s="1" t="s">
        <v>476</v>
      </c>
      <c r="F554" s="45">
        <v>1.0</v>
      </c>
      <c r="G554" s="2">
        <v>35000.0</v>
      </c>
      <c r="H554" s="2">
        <f t="shared" si="1"/>
        <v>35000</v>
      </c>
      <c r="I554" s="2">
        <f t="shared" si="2"/>
        <v>70000</v>
      </c>
      <c r="J554" s="47">
        <f t="shared" si="3"/>
        <v>1</v>
      </c>
      <c r="K554" s="2">
        <f t="shared" si="4"/>
        <v>70000</v>
      </c>
      <c r="L554" s="1"/>
    </row>
    <row r="555">
      <c r="A555" s="55">
        <v>46186.0</v>
      </c>
      <c r="B555" s="1" t="s">
        <v>1003</v>
      </c>
      <c r="C555" s="1" t="str">
        <f>VLOOKUP(B555,MAESTRA!I:K,2,0)</f>
        <v>*127815*</v>
      </c>
      <c r="D555" s="1" t="str">
        <f>VLOOKUP(B555,MAESTRA!I:K,3,0)</f>
        <v>JEANS CABALLERO CLASICO TALLA 34</v>
      </c>
      <c r="E555" s="1" t="s">
        <v>476</v>
      </c>
      <c r="F555" s="45">
        <v>0.0</v>
      </c>
      <c r="G555" s="2">
        <v>35000.0</v>
      </c>
      <c r="H555" s="2">
        <f t="shared" si="1"/>
        <v>0</v>
      </c>
      <c r="I555" s="2">
        <f t="shared" si="2"/>
        <v>70000</v>
      </c>
      <c r="J555" s="47">
        <f t="shared" si="3"/>
        <v>1</v>
      </c>
      <c r="K555" s="2">
        <f t="shared" si="4"/>
        <v>0</v>
      </c>
      <c r="L555" s="1"/>
    </row>
    <row r="556">
      <c r="A556" s="55">
        <v>46186.0</v>
      </c>
      <c r="B556" s="1" t="s">
        <v>1000</v>
      </c>
      <c r="C556" s="1" t="str">
        <f>VLOOKUP(B556,MAESTRA!I:K,2,0)</f>
        <v>*127812*</v>
      </c>
      <c r="D556" s="1" t="str">
        <f>VLOOKUP(B556,MAESTRA!I:K,3,0)</f>
        <v>JEANS CABALLERO CLASICO TALLA 28</v>
      </c>
      <c r="E556" s="1" t="s">
        <v>476</v>
      </c>
      <c r="F556" s="45">
        <v>1.0</v>
      </c>
      <c r="G556" s="2">
        <v>35000.0</v>
      </c>
      <c r="H556" s="2">
        <f t="shared" si="1"/>
        <v>35000</v>
      </c>
      <c r="I556" s="2">
        <f t="shared" si="2"/>
        <v>70000</v>
      </c>
      <c r="J556" s="47">
        <f t="shared" si="3"/>
        <v>1</v>
      </c>
      <c r="K556" s="2">
        <f t="shared" si="4"/>
        <v>70000</v>
      </c>
      <c r="L556" s="1"/>
    </row>
    <row r="557">
      <c r="A557" s="55">
        <v>46186.0</v>
      </c>
      <c r="B557" s="1" t="s">
        <v>1001</v>
      </c>
      <c r="C557" s="1" t="str">
        <f>VLOOKUP(B557,MAESTRA!I:K,2,0)</f>
        <v>*127813*</v>
      </c>
      <c r="D557" s="1" t="str">
        <f>VLOOKUP(B557,MAESTRA!I:K,3,0)</f>
        <v>JEANS CABALLERO CLASICO TALLA 30</v>
      </c>
      <c r="E557" s="1" t="s">
        <v>476</v>
      </c>
      <c r="F557" s="45">
        <v>1.0</v>
      </c>
      <c r="G557" s="2">
        <v>35000.0</v>
      </c>
      <c r="H557" s="2">
        <f t="shared" si="1"/>
        <v>35000</v>
      </c>
      <c r="I557" s="2">
        <f t="shared" si="2"/>
        <v>70000</v>
      </c>
      <c r="J557" s="47">
        <f t="shared" si="3"/>
        <v>1</v>
      </c>
      <c r="K557" s="2">
        <f t="shared" si="4"/>
        <v>70000</v>
      </c>
      <c r="L557" s="1"/>
    </row>
    <row r="558">
      <c r="A558" s="55">
        <v>46186.0</v>
      </c>
      <c r="B558" s="1" t="s">
        <v>1002</v>
      </c>
      <c r="C558" s="1" t="str">
        <f>VLOOKUP(B558,MAESTRA!I:K,2,0)</f>
        <v>*127814*</v>
      </c>
      <c r="D558" s="1" t="str">
        <f>VLOOKUP(B558,MAESTRA!I:K,3,0)</f>
        <v>JEANS CABALLERO CLASICO TALLA 32</v>
      </c>
      <c r="E558" s="1" t="s">
        <v>476</v>
      </c>
      <c r="F558" s="45">
        <v>1.0</v>
      </c>
      <c r="G558" s="2">
        <v>35000.0</v>
      </c>
      <c r="H558" s="2">
        <f t="shared" si="1"/>
        <v>35000</v>
      </c>
      <c r="I558" s="2">
        <f t="shared" si="2"/>
        <v>70000</v>
      </c>
      <c r="J558" s="47">
        <f t="shared" si="3"/>
        <v>1</v>
      </c>
      <c r="K558" s="2">
        <f t="shared" si="4"/>
        <v>70000</v>
      </c>
      <c r="L558" s="1"/>
    </row>
    <row r="559">
      <c r="A559" s="55">
        <v>46186.0</v>
      </c>
      <c r="B559" s="1" t="s">
        <v>1003</v>
      </c>
      <c r="C559" s="1" t="str">
        <f>VLOOKUP(B559,MAESTRA!I:K,2,0)</f>
        <v>*127815*</v>
      </c>
      <c r="D559" s="1" t="str">
        <f>VLOOKUP(B559,MAESTRA!I:K,3,0)</f>
        <v>JEANS CABALLERO CLASICO TALLA 34</v>
      </c>
      <c r="E559" s="1" t="s">
        <v>476</v>
      </c>
      <c r="F559" s="45">
        <v>1.0</v>
      </c>
      <c r="G559" s="2">
        <v>35000.0</v>
      </c>
      <c r="H559" s="2">
        <f t="shared" si="1"/>
        <v>35000</v>
      </c>
      <c r="I559" s="2">
        <f t="shared" si="2"/>
        <v>70000</v>
      </c>
      <c r="J559" s="47">
        <f t="shared" si="3"/>
        <v>1</v>
      </c>
      <c r="K559" s="2">
        <f t="shared" si="4"/>
        <v>70000</v>
      </c>
      <c r="L559" s="1"/>
    </row>
    <row r="560">
      <c r="A560" s="55">
        <v>46186.0</v>
      </c>
      <c r="B560" s="1" t="s">
        <v>1004</v>
      </c>
      <c r="C560" s="1" t="str">
        <f>VLOOKUP(B560,MAESTRA!I:K,2,0)</f>
        <v>*127816*</v>
      </c>
      <c r="D560" s="1" t="str">
        <f>VLOOKUP(B560,MAESTRA!I:K,3,0)</f>
        <v>JEANS CABALLERO CLASICO TALLA 36</v>
      </c>
      <c r="E560" s="1" t="s">
        <v>476</v>
      </c>
      <c r="F560" s="45">
        <v>0.0</v>
      </c>
      <c r="G560" s="2">
        <v>35000.0</v>
      </c>
      <c r="H560" s="2">
        <f t="shared" si="1"/>
        <v>0</v>
      </c>
      <c r="I560" s="2">
        <f t="shared" si="2"/>
        <v>70000</v>
      </c>
      <c r="J560" s="47">
        <f t="shared" si="3"/>
        <v>1</v>
      </c>
      <c r="K560" s="2">
        <f t="shared" si="4"/>
        <v>0</v>
      </c>
      <c r="L560" s="1"/>
    </row>
    <row r="561">
      <c r="A561" s="55">
        <v>46186.0</v>
      </c>
      <c r="B561" s="1" t="s">
        <v>1000</v>
      </c>
      <c r="C561" s="1" t="str">
        <f>VLOOKUP(B561,MAESTRA!I:K,2,0)</f>
        <v>*127812*</v>
      </c>
      <c r="D561" s="1" t="str">
        <f>VLOOKUP(B561,MAESTRA!I:K,3,0)</f>
        <v>JEANS CABALLERO CLASICO TALLA 28</v>
      </c>
      <c r="E561" s="1" t="s">
        <v>476</v>
      </c>
      <c r="F561" s="45">
        <v>1.0</v>
      </c>
      <c r="G561" s="2">
        <v>35000.0</v>
      </c>
      <c r="H561" s="2">
        <f t="shared" si="1"/>
        <v>35000</v>
      </c>
      <c r="I561" s="2">
        <f t="shared" si="2"/>
        <v>70000</v>
      </c>
      <c r="J561" s="47">
        <f t="shared" si="3"/>
        <v>1</v>
      </c>
      <c r="K561" s="2">
        <f t="shared" si="4"/>
        <v>70000</v>
      </c>
      <c r="L561" s="1"/>
    </row>
    <row r="562">
      <c r="A562" s="55">
        <v>46186.0</v>
      </c>
      <c r="B562" s="1" t="s">
        <v>1001</v>
      </c>
      <c r="C562" s="1" t="str">
        <f>VLOOKUP(B562,MAESTRA!I:K,2,0)</f>
        <v>*127813*</v>
      </c>
      <c r="D562" s="1" t="str">
        <f>VLOOKUP(B562,MAESTRA!I:K,3,0)</f>
        <v>JEANS CABALLERO CLASICO TALLA 30</v>
      </c>
      <c r="E562" s="1" t="s">
        <v>476</v>
      </c>
      <c r="F562" s="45">
        <v>1.0</v>
      </c>
      <c r="G562" s="2">
        <v>35000.0</v>
      </c>
      <c r="H562" s="2">
        <f t="shared" si="1"/>
        <v>35000</v>
      </c>
      <c r="I562" s="2">
        <f t="shared" si="2"/>
        <v>70000</v>
      </c>
      <c r="J562" s="47">
        <f t="shared" si="3"/>
        <v>1</v>
      </c>
      <c r="K562" s="2">
        <f t="shared" si="4"/>
        <v>70000</v>
      </c>
      <c r="L562" s="1"/>
    </row>
    <row r="563">
      <c r="A563" s="55">
        <v>46186.0</v>
      </c>
      <c r="B563" s="1" t="s">
        <v>1002</v>
      </c>
      <c r="C563" s="1" t="str">
        <f>VLOOKUP(B563,MAESTRA!I:K,2,0)</f>
        <v>*127814*</v>
      </c>
      <c r="D563" s="1" t="str">
        <f>VLOOKUP(B563,MAESTRA!I:K,3,0)</f>
        <v>JEANS CABALLERO CLASICO TALLA 32</v>
      </c>
      <c r="E563" s="1" t="s">
        <v>476</v>
      </c>
      <c r="F563" s="45">
        <v>1.0</v>
      </c>
      <c r="G563" s="2">
        <v>35000.0</v>
      </c>
      <c r="H563" s="2">
        <f t="shared" si="1"/>
        <v>35000</v>
      </c>
      <c r="I563" s="2">
        <f t="shared" si="2"/>
        <v>70000</v>
      </c>
      <c r="J563" s="47">
        <f t="shared" si="3"/>
        <v>1</v>
      </c>
      <c r="K563" s="2">
        <f t="shared" si="4"/>
        <v>70000</v>
      </c>
      <c r="L563" s="1"/>
    </row>
    <row r="564">
      <c r="A564" s="55">
        <v>46186.0</v>
      </c>
      <c r="B564" s="1" t="s">
        <v>1003</v>
      </c>
      <c r="C564" s="1" t="str">
        <f>VLOOKUP(B564,MAESTRA!I:K,2,0)</f>
        <v>*127815*</v>
      </c>
      <c r="D564" s="1" t="str">
        <f>VLOOKUP(B564,MAESTRA!I:K,3,0)</f>
        <v>JEANS CABALLERO CLASICO TALLA 34</v>
      </c>
      <c r="E564" s="1" t="s">
        <v>476</v>
      </c>
      <c r="F564" s="45">
        <v>1.0</v>
      </c>
      <c r="G564" s="2">
        <v>35000.0</v>
      </c>
      <c r="H564" s="2">
        <f t="shared" si="1"/>
        <v>35000</v>
      </c>
      <c r="I564" s="2">
        <f t="shared" si="2"/>
        <v>70000</v>
      </c>
      <c r="J564" s="47">
        <f t="shared" si="3"/>
        <v>1</v>
      </c>
      <c r="K564" s="2">
        <f t="shared" si="4"/>
        <v>70000</v>
      </c>
      <c r="L564" s="1"/>
    </row>
    <row r="565">
      <c r="A565" s="55">
        <v>46186.0</v>
      </c>
      <c r="B565" s="1" t="s">
        <v>1004</v>
      </c>
      <c r="C565" s="1" t="str">
        <f>VLOOKUP(B565,MAESTRA!I:K,2,0)</f>
        <v>*127816*</v>
      </c>
      <c r="D565" s="1" t="str">
        <f>VLOOKUP(B565,MAESTRA!I:K,3,0)</f>
        <v>JEANS CABALLERO CLASICO TALLA 36</v>
      </c>
      <c r="E565" s="1" t="s">
        <v>476</v>
      </c>
      <c r="F565" s="45">
        <v>1.0</v>
      </c>
      <c r="G565" s="2">
        <v>35000.0</v>
      </c>
      <c r="H565" s="2">
        <f t="shared" si="1"/>
        <v>35000</v>
      </c>
      <c r="I565" s="2">
        <f t="shared" si="2"/>
        <v>70000</v>
      </c>
      <c r="J565" s="47">
        <f t="shared" si="3"/>
        <v>1</v>
      </c>
      <c r="K565" s="2">
        <f t="shared" si="4"/>
        <v>70000</v>
      </c>
      <c r="L565" s="1"/>
    </row>
    <row r="566">
      <c r="A566" s="55">
        <v>46186.0</v>
      </c>
      <c r="B566" s="1" t="s">
        <v>1005</v>
      </c>
      <c r="C566" s="1" t="str">
        <f>VLOOKUP(B566,MAESTRA!I:K,2,0)</f>
        <v>*5611930*</v>
      </c>
      <c r="D566" s="1" t="str">
        <f>VLOOKUP(B566,MAESTRA!I:K,3,0)</f>
        <v>MOÑOS DAMA MOÑOS COLOMBIA</v>
      </c>
      <c r="E566" s="1" t="s">
        <v>1006</v>
      </c>
      <c r="F566" s="45">
        <v>3.0</v>
      </c>
      <c r="G566" s="2">
        <v>3500.0</v>
      </c>
      <c r="H566" s="2">
        <f t="shared" si="1"/>
        <v>10500</v>
      </c>
      <c r="I566" s="2">
        <f t="shared" si="2"/>
        <v>7000</v>
      </c>
      <c r="J566" s="47">
        <f t="shared" si="3"/>
        <v>1</v>
      </c>
      <c r="K566" s="2">
        <f t="shared" si="4"/>
        <v>21000</v>
      </c>
      <c r="L566" s="1"/>
    </row>
    <row r="567">
      <c r="A567" s="55">
        <v>46186.0</v>
      </c>
      <c r="B567" s="1" t="s">
        <v>1007</v>
      </c>
      <c r="C567" s="1" t="str">
        <f>VLOOKUP(B567,MAESTRA!I:K,2,0)</f>
        <v>*5711200*</v>
      </c>
      <c r="D567" s="1" t="str">
        <f>VLOOKUP(B567,MAESTRA!I:K,3,0)</f>
        <v>ENCRESPADOR DAMA DOS COLORES</v>
      </c>
      <c r="E567" s="1" t="s">
        <v>1006</v>
      </c>
      <c r="F567" s="45">
        <v>2.0</v>
      </c>
      <c r="G567" s="2">
        <v>7500.0</v>
      </c>
      <c r="H567" s="2">
        <f t="shared" si="1"/>
        <v>15000</v>
      </c>
      <c r="I567" s="2">
        <f t="shared" si="2"/>
        <v>15000</v>
      </c>
      <c r="J567" s="47">
        <f t="shared" si="3"/>
        <v>1</v>
      </c>
      <c r="K567" s="2">
        <f t="shared" si="4"/>
        <v>30000</v>
      </c>
      <c r="L567" s="1"/>
    </row>
    <row r="568">
      <c r="A568" s="55">
        <v>46186.0</v>
      </c>
      <c r="B568" s="1" t="s">
        <v>1008</v>
      </c>
      <c r="C568" s="1" t="str">
        <f>VLOOKUP(B568,MAESTRA!I:K,2,0)</f>
        <v>*571950*</v>
      </c>
      <c r="D568" s="1" t="str">
        <f>VLOOKUP(B568,MAESTRA!I:K,3,0)</f>
        <v>ENCRESPADOR DAMA CON SIRENA</v>
      </c>
      <c r="E568" s="1" t="s">
        <v>1006</v>
      </c>
      <c r="F568" s="45">
        <v>2.0</v>
      </c>
      <c r="G568" s="2">
        <v>5500.0</v>
      </c>
      <c r="H568" s="2">
        <f t="shared" si="1"/>
        <v>11000</v>
      </c>
      <c r="I568" s="2">
        <f t="shared" si="2"/>
        <v>11000</v>
      </c>
      <c r="J568" s="47">
        <f t="shared" si="3"/>
        <v>1</v>
      </c>
      <c r="K568" s="2">
        <f t="shared" si="4"/>
        <v>22000</v>
      </c>
      <c r="L568" s="1"/>
    </row>
    <row r="569">
      <c r="A569" s="55">
        <v>46186.0</v>
      </c>
      <c r="B569" s="1" t="s">
        <v>1009</v>
      </c>
      <c r="C569" s="1" t="str">
        <f>VLOOKUP(B569,MAESTRA!I:K,2,0)</f>
        <v>*5712080*</v>
      </c>
      <c r="D569" s="1" t="str">
        <f>VLOOKUP(B569,MAESTRA!I:K,3,0)</f>
        <v>ENCRESPADOR DAMA PEPITAS BRILLANTES</v>
      </c>
      <c r="E569" s="1" t="s">
        <v>1006</v>
      </c>
      <c r="F569" s="45">
        <v>2.0</v>
      </c>
      <c r="G569" s="2">
        <v>5500.0</v>
      </c>
      <c r="H569" s="2">
        <f t="shared" si="1"/>
        <v>11000</v>
      </c>
      <c r="I569" s="2">
        <f t="shared" si="2"/>
        <v>11000</v>
      </c>
      <c r="J569" s="47">
        <f t="shared" si="3"/>
        <v>1</v>
      </c>
      <c r="K569" s="2">
        <f t="shared" si="4"/>
        <v>22000</v>
      </c>
      <c r="L569" s="1"/>
    </row>
    <row r="570">
      <c r="A570" s="55">
        <v>46186.0</v>
      </c>
      <c r="B570" s="1" t="s">
        <v>1010</v>
      </c>
      <c r="C570" s="1" t="str">
        <f>VLOOKUP(B570,MAESTRA!I:K,2,0)</f>
        <v>*5812060*</v>
      </c>
      <c r="D570" s="1" t="str">
        <f>VLOOKUP(B570,MAESTRA!I:K,3,0)</f>
        <v>PAQUETE CAUCHOS DAMA PAQUETE CAUCHOS</v>
      </c>
      <c r="E570" s="1" t="s">
        <v>1006</v>
      </c>
      <c r="F570" s="45">
        <v>12.0</v>
      </c>
      <c r="G570" s="2">
        <v>1000.0</v>
      </c>
      <c r="H570" s="2">
        <f t="shared" si="1"/>
        <v>12000</v>
      </c>
      <c r="I570" s="2">
        <f t="shared" si="2"/>
        <v>2000</v>
      </c>
      <c r="J570" s="47">
        <f t="shared" si="3"/>
        <v>1</v>
      </c>
      <c r="K570" s="2">
        <f t="shared" si="4"/>
        <v>24000</v>
      </c>
      <c r="L570" s="1"/>
    </row>
    <row r="571">
      <c r="A571" s="55">
        <v>46186.0</v>
      </c>
      <c r="B571" s="1" t="s">
        <v>1011</v>
      </c>
      <c r="C571" s="1" t="str">
        <f>VLOOKUP(B571,MAESTRA!I:K,2,0)</f>
        <v>*3111110*</v>
      </c>
      <c r="D571" s="1" t="str">
        <f>VLOOKUP(B571,MAESTRA!I:K,3,0)</f>
        <v>PULSERAS DAMA DE COLOMBIA</v>
      </c>
      <c r="E571" s="1" t="s">
        <v>1006</v>
      </c>
      <c r="F571" s="45">
        <v>24.0</v>
      </c>
      <c r="G571" s="2">
        <v>2500.0</v>
      </c>
      <c r="H571" s="2">
        <f t="shared" si="1"/>
        <v>60000</v>
      </c>
      <c r="I571" s="2">
        <f t="shared" si="2"/>
        <v>5000</v>
      </c>
      <c r="J571" s="47">
        <f t="shared" si="3"/>
        <v>1</v>
      </c>
      <c r="K571" s="2">
        <f t="shared" si="4"/>
        <v>120000</v>
      </c>
      <c r="L571" s="1"/>
    </row>
    <row r="572">
      <c r="A572" s="55">
        <v>46186.0</v>
      </c>
      <c r="B572" s="1" t="s">
        <v>1012</v>
      </c>
      <c r="C572" s="1" t="str">
        <f>VLOOKUP(B572,MAESTRA!I:K,2,0)</f>
        <v>*591550*</v>
      </c>
      <c r="D572" s="1" t="str">
        <f>VLOOKUP(B572,MAESTRA!I:K,3,0)</f>
        <v>CAIMAN DAMA BRONCE CAIMAN</v>
      </c>
      <c r="E572" s="1" t="s">
        <v>1006</v>
      </c>
      <c r="F572" s="45">
        <v>3.0</v>
      </c>
      <c r="G572" s="2">
        <v>3000.0</v>
      </c>
      <c r="H572" s="2">
        <f t="shared" si="1"/>
        <v>9000</v>
      </c>
      <c r="I572" s="2">
        <f t="shared" si="2"/>
        <v>6000</v>
      </c>
      <c r="J572" s="47">
        <f t="shared" si="3"/>
        <v>1</v>
      </c>
      <c r="K572" s="2">
        <f t="shared" si="4"/>
        <v>18000</v>
      </c>
      <c r="L572" s="1"/>
    </row>
    <row r="573">
      <c r="A573" s="55">
        <v>46186.0</v>
      </c>
      <c r="B573" s="1" t="s">
        <v>1013</v>
      </c>
      <c r="C573" s="1" t="str">
        <f>VLOOKUP(B573,MAESTRA!I:K,2,0)</f>
        <v>*6011030*</v>
      </c>
      <c r="D573" s="1" t="str">
        <f>VLOOKUP(B573,MAESTRA!I:K,3,0)</f>
        <v>COSMETIQUERA DAMA COSMETIQUERA COLORES</v>
      </c>
      <c r="E573" s="1" t="s">
        <v>1006</v>
      </c>
      <c r="F573" s="45">
        <v>2.0</v>
      </c>
      <c r="G573" s="2">
        <v>11000.0</v>
      </c>
      <c r="H573" s="2">
        <f t="shared" si="1"/>
        <v>22000</v>
      </c>
      <c r="I573" s="2">
        <f t="shared" si="2"/>
        <v>22000</v>
      </c>
      <c r="J573" s="47">
        <f t="shared" si="3"/>
        <v>1</v>
      </c>
      <c r="K573" s="2">
        <f t="shared" si="4"/>
        <v>44000</v>
      </c>
      <c r="L573" s="1"/>
    </row>
    <row r="574">
      <c r="A574" s="55">
        <v>46186.0</v>
      </c>
      <c r="B574" s="1" t="s">
        <v>1014</v>
      </c>
      <c r="C574" s="1" t="str">
        <f>VLOOKUP(B574,MAESTRA!I:K,2,0)</f>
        <v>*611410*</v>
      </c>
      <c r="D574" s="1" t="str">
        <f>VLOOKUP(B574,MAESTRA!I:K,3,0)</f>
        <v>BALACA DAMA BALACA TELA</v>
      </c>
      <c r="E574" s="1" t="s">
        <v>1006</v>
      </c>
      <c r="F574" s="45">
        <v>13.0</v>
      </c>
      <c r="G574" s="2">
        <v>9000.0</v>
      </c>
      <c r="H574" s="2">
        <f t="shared" si="1"/>
        <v>117000</v>
      </c>
      <c r="I574" s="2">
        <f t="shared" si="2"/>
        <v>18000</v>
      </c>
      <c r="J574" s="47">
        <f t="shared" si="3"/>
        <v>1</v>
      </c>
      <c r="K574" s="2">
        <f t="shared" si="4"/>
        <v>234000</v>
      </c>
      <c r="L574" s="1"/>
    </row>
    <row r="575">
      <c r="A575" s="55">
        <v>46186.0</v>
      </c>
      <c r="B575" s="1" t="s">
        <v>1015</v>
      </c>
      <c r="C575" s="1" t="str">
        <f>VLOOKUP(B575,MAESTRA!I:K,2,0)</f>
        <v>*471590*</v>
      </c>
      <c r="D575" s="1" t="str">
        <f>VLOOKUP(B575,MAESTRA!I:K,3,0)</f>
        <v>BRILLO DAMA CAJA GRIS</v>
      </c>
      <c r="E575" s="1" t="s">
        <v>1006</v>
      </c>
      <c r="F575" s="45">
        <v>6.0</v>
      </c>
      <c r="G575" s="2">
        <v>7500.0</v>
      </c>
      <c r="H575" s="2">
        <f t="shared" si="1"/>
        <v>45000</v>
      </c>
      <c r="I575" s="2">
        <f t="shared" si="2"/>
        <v>15000</v>
      </c>
      <c r="J575" s="47">
        <f t="shared" si="3"/>
        <v>1</v>
      </c>
      <c r="K575" s="2">
        <f t="shared" si="4"/>
        <v>90000</v>
      </c>
      <c r="L575" s="1"/>
    </row>
    <row r="576">
      <c r="A576" s="55">
        <v>46186.0</v>
      </c>
      <c r="B576" s="1" t="s">
        <v>1016</v>
      </c>
      <c r="C576" s="1" t="str">
        <f>VLOOKUP(B576,MAESTRA!I:K,2,0)</f>
        <v>*6211410*</v>
      </c>
      <c r="D576" s="1" t="str">
        <f>VLOOKUP(B576,MAESTRA!I:K,3,0)</f>
        <v>HEBILLA DAMA HEBILLA ESTRELLA</v>
      </c>
      <c r="E576" s="1" t="s">
        <v>1006</v>
      </c>
      <c r="F576" s="45">
        <v>2.0</v>
      </c>
      <c r="G576" s="2">
        <v>4000.0</v>
      </c>
      <c r="H576" s="2">
        <f t="shared" si="1"/>
        <v>8000</v>
      </c>
      <c r="I576" s="2">
        <f t="shared" si="2"/>
        <v>8000</v>
      </c>
      <c r="J576" s="47">
        <f t="shared" si="3"/>
        <v>1</v>
      </c>
      <c r="K576" s="2">
        <f t="shared" si="4"/>
        <v>16000</v>
      </c>
      <c r="L576" s="1"/>
    </row>
    <row r="577">
      <c r="A577" s="55">
        <v>46186.0</v>
      </c>
      <c r="B577" s="1" t="s">
        <v>1017</v>
      </c>
      <c r="C577" s="1" t="str">
        <f>VLOOKUP(B577,MAESTRA!I:K,2,0)</f>
        <v>*631420*</v>
      </c>
      <c r="D577" s="1" t="str">
        <f>VLOOKUP(B577,MAESTRA!I:K,3,0)</f>
        <v>BAMBA DAMA BAMBA SATIN</v>
      </c>
      <c r="E577" s="1" t="s">
        <v>1006</v>
      </c>
      <c r="F577" s="45">
        <v>24.0</v>
      </c>
      <c r="G577" s="2">
        <v>1500.0</v>
      </c>
      <c r="H577" s="2">
        <f t="shared" si="1"/>
        <v>36000</v>
      </c>
      <c r="I577" s="2">
        <f t="shared" si="2"/>
        <v>3000</v>
      </c>
      <c r="J577" s="47">
        <f t="shared" si="3"/>
        <v>1</v>
      </c>
      <c r="K577" s="2">
        <f t="shared" si="4"/>
        <v>72000</v>
      </c>
      <c r="L577" s="1"/>
    </row>
    <row r="578">
      <c r="A578" s="55">
        <v>46186.0</v>
      </c>
      <c r="B578" s="1" t="s">
        <v>1018</v>
      </c>
      <c r="C578" s="1" t="str">
        <f>VLOOKUP(B578,MAESTRA!I:K,2,0)</f>
        <v>*4712570*</v>
      </c>
      <c r="D578" s="1" t="str">
        <f>VLOOKUP(B578,MAESTRA!I:K,3,0)</f>
        <v>BRILLO DAMA TAPA CONCHA</v>
      </c>
      <c r="E578" s="1" t="s">
        <v>1006</v>
      </c>
      <c r="F578" s="45">
        <v>6.0</v>
      </c>
      <c r="G578" s="2">
        <v>3500.0</v>
      </c>
      <c r="H578" s="2">
        <f t="shared" si="1"/>
        <v>21000</v>
      </c>
      <c r="I578" s="2">
        <f t="shared" si="2"/>
        <v>7000</v>
      </c>
      <c r="J578" s="47">
        <f t="shared" si="3"/>
        <v>1</v>
      </c>
      <c r="K578" s="2">
        <f t="shared" si="4"/>
        <v>42000</v>
      </c>
      <c r="L578" s="1"/>
    </row>
    <row r="579">
      <c r="A579" s="55">
        <v>46186.0</v>
      </c>
      <c r="B579" s="1" t="s">
        <v>1019</v>
      </c>
      <c r="C579" s="1" t="str">
        <f>VLOOKUP(B579,MAESTRA!I:K,2,0)</f>
        <v>*6412450*</v>
      </c>
      <c r="D579" s="1" t="str">
        <f>VLOOKUP(B579,MAESTRA!I:K,3,0)</f>
        <v>RUBOR DAMA RUBOR RIMOCOO</v>
      </c>
      <c r="E579" s="1" t="s">
        <v>1006</v>
      </c>
      <c r="F579" s="45">
        <v>3.0</v>
      </c>
      <c r="G579" s="2">
        <v>5000.0</v>
      </c>
      <c r="H579" s="2">
        <f t="shared" si="1"/>
        <v>15000</v>
      </c>
      <c r="I579" s="2">
        <f t="shared" si="2"/>
        <v>10000</v>
      </c>
      <c r="J579" s="47">
        <f t="shared" si="3"/>
        <v>1</v>
      </c>
      <c r="K579" s="2">
        <f t="shared" si="4"/>
        <v>30000</v>
      </c>
      <c r="L579" s="1"/>
    </row>
    <row r="580">
      <c r="A580" s="55">
        <v>46186.0</v>
      </c>
      <c r="B580" s="1" t="s">
        <v>1020</v>
      </c>
      <c r="C580" s="1" t="str">
        <f>VLOOKUP(B580,MAESTRA!I:K,2,0)</f>
        <v>*6512530*</v>
      </c>
      <c r="D580" s="1" t="str">
        <f>VLOOKUP(B580,MAESTRA!I:K,3,0)</f>
        <v>SOMBRA DAMA SOMBRA BIGCAKE</v>
      </c>
      <c r="E580" s="1" t="s">
        <v>1006</v>
      </c>
      <c r="F580" s="45">
        <v>2.0</v>
      </c>
      <c r="G580" s="2">
        <v>12000.0</v>
      </c>
      <c r="H580" s="2">
        <f t="shared" si="1"/>
        <v>24000</v>
      </c>
      <c r="I580" s="2">
        <f t="shared" si="2"/>
        <v>24000</v>
      </c>
      <c r="J580" s="47">
        <f t="shared" si="3"/>
        <v>1</v>
      </c>
      <c r="K580" s="2">
        <f t="shared" si="4"/>
        <v>48000</v>
      </c>
      <c r="L580" s="1"/>
    </row>
    <row r="581">
      <c r="A581" s="55">
        <v>46186.0</v>
      </c>
      <c r="B581" s="1" t="s">
        <v>1021</v>
      </c>
      <c r="C581" s="1" t="str">
        <f>VLOOKUP(B581,MAESTRA!I:K,2,0)</f>
        <v>*6511190*</v>
      </c>
      <c r="D581" s="1" t="str">
        <f>VLOOKUP(B581,MAESTRA!I:K,3,0)</f>
        <v>SOMBRA DAMA DIY BEAR</v>
      </c>
      <c r="E581" s="1" t="s">
        <v>1006</v>
      </c>
      <c r="F581" s="45">
        <v>2.0</v>
      </c>
      <c r="G581" s="2">
        <v>10000.0</v>
      </c>
      <c r="H581" s="2">
        <f t="shared" si="1"/>
        <v>20000</v>
      </c>
      <c r="I581" s="2">
        <f t="shared" si="2"/>
        <v>20000</v>
      </c>
      <c r="J581" s="47">
        <f t="shared" si="3"/>
        <v>1</v>
      </c>
      <c r="K581" s="2">
        <f t="shared" si="4"/>
        <v>40000</v>
      </c>
      <c r="L581" s="1"/>
    </row>
    <row r="582">
      <c r="A582" s="55">
        <v>46186.0</v>
      </c>
      <c r="B582" s="1" t="s">
        <v>1022</v>
      </c>
      <c r="C582" s="1" t="str">
        <f>VLOOKUP(B582,MAESTRA!I:K,2,0)</f>
        <v>*4711100*</v>
      </c>
      <c r="D582" s="1" t="str">
        <f>VLOOKUP(B582,MAESTRA!I:K,3,0)</f>
        <v>BRILLO DAMA CUTE RABBIT</v>
      </c>
      <c r="E582" s="1" t="s">
        <v>1006</v>
      </c>
      <c r="F582" s="45">
        <v>2.0</v>
      </c>
      <c r="G582" s="2">
        <v>6000.0</v>
      </c>
      <c r="H582" s="2">
        <f t="shared" si="1"/>
        <v>12000</v>
      </c>
      <c r="I582" s="2">
        <f t="shared" si="2"/>
        <v>12000</v>
      </c>
      <c r="J582" s="47">
        <f t="shared" si="3"/>
        <v>1</v>
      </c>
      <c r="K582" s="2">
        <f t="shared" si="4"/>
        <v>24000</v>
      </c>
      <c r="L582" s="1"/>
    </row>
    <row r="583">
      <c r="A583" s="55">
        <v>46186.0</v>
      </c>
      <c r="B583" s="1" t="s">
        <v>1023</v>
      </c>
      <c r="C583" s="1" t="str">
        <f>VLOOKUP(B583,MAESTRA!I:K,2,0)</f>
        <v>*6511380*</v>
      </c>
      <c r="D583" s="1" t="str">
        <f>VLOOKUP(B583,MAESTRA!I:K,3,0)</f>
        <v>SOMBRA DAMA GIRL POWER - DELICIUS CHEESE</v>
      </c>
      <c r="E583" s="1" t="s">
        <v>1006</v>
      </c>
      <c r="F583" s="45">
        <v>4.0</v>
      </c>
      <c r="G583" s="2">
        <v>13000.0</v>
      </c>
      <c r="H583" s="2">
        <f t="shared" si="1"/>
        <v>52000</v>
      </c>
      <c r="I583" s="2">
        <f t="shared" si="2"/>
        <v>26000</v>
      </c>
      <c r="J583" s="47">
        <f t="shared" si="3"/>
        <v>1</v>
      </c>
      <c r="K583" s="2">
        <f t="shared" si="4"/>
        <v>104000</v>
      </c>
      <c r="L583" s="1"/>
    </row>
    <row r="584">
      <c r="A584" s="55">
        <v>46186.0</v>
      </c>
      <c r="B584" s="1" t="s">
        <v>1024</v>
      </c>
      <c r="C584" s="1" t="str">
        <f>VLOOKUP(B584,MAESTRA!I:K,2,0)</f>
        <v>*591580*</v>
      </c>
      <c r="D584" s="1" t="str">
        <f>VLOOKUP(B584,MAESTRA!I:K,3,0)</f>
        <v>CAIMAN DAMA CAIMAN BRILLO</v>
      </c>
      <c r="E584" s="1" t="s">
        <v>1006</v>
      </c>
      <c r="F584" s="45">
        <v>6.0</v>
      </c>
      <c r="G584" s="2">
        <v>1500.0</v>
      </c>
      <c r="H584" s="2">
        <f t="shared" si="1"/>
        <v>9000</v>
      </c>
      <c r="I584" s="2">
        <f t="shared" si="2"/>
        <v>3000</v>
      </c>
      <c r="J584" s="47">
        <f t="shared" si="3"/>
        <v>1</v>
      </c>
      <c r="K584" s="2">
        <f t="shared" si="4"/>
        <v>18000</v>
      </c>
      <c r="L584" s="1"/>
    </row>
    <row r="585">
      <c r="A585" s="55">
        <v>46186.0</v>
      </c>
      <c r="B585" s="1" t="s">
        <v>1025</v>
      </c>
      <c r="C585" s="1" t="str">
        <f>VLOOKUP(B585,MAESTRA!I:K,2,0)</f>
        <v>*5911360*</v>
      </c>
      <c r="D585" s="1" t="str">
        <f>VLOOKUP(B585,MAESTRA!I:K,3,0)</f>
        <v>CAIMAN DAMA FLORES PELUCHE Y DEMAS</v>
      </c>
      <c r="E585" s="1" t="s">
        <v>1006</v>
      </c>
      <c r="F585" s="45">
        <v>15.0</v>
      </c>
      <c r="G585" s="2">
        <v>3000.0</v>
      </c>
      <c r="H585" s="2">
        <f t="shared" si="1"/>
        <v>45000</v>
      </c>
      <c r="I585" s="2">
        <f t="shared" si="2"/>
        <v>6000</v>
      </c>
      <c r="J585" s="47">
        <f t="shared" si="3"/>
        <v>1</v>
      </c>
      <c r="K585" s="2">
        <f t="shared" si="4"/>
        <v>90000</v>
      </c>
      <c r="L585" s="1"/>
    </row>
    <row r="586">
      <c r="A586" s="55">
        <v>46186.0</v>
      </c>
      <c r="B586" s="1" t="s">
        <v>1026</v>
      </c>
      <c r="C586" s="1" t="str">
        <f>VLOOKUP(B586,MAESTRA!I:K,2,0)</f>
        <v>*5911980*</v>
      </c>
      <c r="D586" s="1" t="str">
        <f>VLOOKUP(B586,MAESTRA!I:K,3,0)</f>
        <v>CAIMAN DAMA OSCURO CAFE</v>
      </c>
      <c r="E586" s="1" t="s">
        <v>1006</v>
      </c>
      <c r="F586" s="45">
        <v>4.0</v>
      </c>
      <c r="G586" s="2">
        <v>3000.0</v>
      </c>
      <c r="H586" s="2">
        <f t="shared" si="1"/>
        <v>12000</v>
      </c>
      <c r="I586" s="2">
        <f t="shared" si="2"/>
        <v>6000</v>
      </c>
      <c r="J586" s="47">
        <f t="shared" si="3"/>
        <v>1</v>
      </c>
      <c r="K586" s="2">
        <f t="shared" si="4"/>
        <v>24000</v>
      </c>
      <c r="L586" s="1"/>
    </row>
    <row r="587">
      <c r="A587" s="55">
        <v>46186.0</v>
      </c>
      <c r="B587" s="1" t="s">
        <v>1027</v>
      </c>
      <c r="C587" s="1" t="str">
        <f>VLOOKUP(B587,MAESTRA!I:K,2,0)</f>
        <v>*661960*</v>
      </c>
      <c r="D587" s="1" t="str">
        <f>VLOOKUP(B587,MAESTRA!I:K,3,0)</f>
        <v>CORRECTOR DAMA CONCEDER YEAHKISS</v>
      </c>
      <c r="E587" s="1" t="s">
        <v>1006</v>
      </c>
      <c r="F587" s="45">
        <v>2.0</v>
      </c>
      <c r="G587" s="2">
        <v>8000.0</v>
      </c>
      <c r="H587" s="2">
        <f t="shared" si="1"/>
        <v>16000</v>
      </c>
      <c r="I587" s="2">
        <f t="shared" si="2"/>
        <v>16000</v>
      </c>
      <c r="J587" s="47">
        <f t="shared" si="3"/>
        <v>1</v>
      </c>
      <c r="K587" s="2">
        <f t="shared" si="4"/>
        <v>32000</v>
      </c>
      <c r="L587" s="1"/>
    </row>
    <row r="588">
      <c r="A588" s="55">
        <v>46186.0</v>
      </c>
      <c r="B588" s="1" t="s">
        <v>1028</v>
      </c>
      <c r="C588" s="1" t="str">
        <f>VLOOKUP(B588,MAESTRA!I:K,2,0)</f>
        <v>*5611960*</v>
      </c>
      <c r="D588" s="1" t="str">
        <f>VLOOKUP(B588,MAESTRA!I:K,3,0)</f>
        <v>MOÑOS DAMA NEGRA CAFE BEIGE</v>
      </c>
      <c r="E588" s="1" t="s">
        <v>1006</v>
      </c>
      <c r="F588" s="45">
        <v>12.0</v>
      </c>
      <c r="G588" s="2">
        <v>800.0</v>
      </c>
      <c r="H588" s="2">
        <f t="shared" si="1"/>
        <v>9600</v>
      </c>
      <c r="I588" s="2">
        <f t="shared" si="2"/>
        <v>2000</v>
      </c>
      <c r="J588" s="47">
        <f t="shared" si="3"/>
        <v>1.5</v>
      </c>
      <c r="K588" s="2">
        <f t="shared" si="4"/>
        <v>24000</v>
      </c>
      <c r="L588" s="1"/>
    </row>
    <row r="589">
      <c r="A589" s="55">
        <v>46186.0</v>
      </c>
      <c r="B589" s="1" t="s">
        <v>1029</v>
      </c>
      <c r="C589" s="1" t="str">
        <f>VLOOKUP(B589,MAESTRA!I:K,2,0)</f>
        <v>*671530*</v>
      </c>
      <c r="D589" s="1" t="str">
        <f>VLOOKUP(B589,MAESTRA!I:K,3,0)</f>
        <v>COLEROS DAMA BRILLANTES FIGURAS</v>
      </c>
      <c r="E589" s="1" t="s">
        <v>1006</v>
      </c>
      <c r="F589" s="45">
        <v>8.0</v>
      </c>
      <c r="G589" s="2">
        <v>500.0</v>
      </c>
      <c r="H589" s="2">
        <f t="shared" si="1"/>
        <v>4000</v>
      </c>
      <c r="I589" s="2">
        <f t="shared" si="2"/>
        <v>1000</v>
      </c>
      <c r="J589" s="47">
        <f t="shared" si="3"/>
        <v>1</v>
      </c>
      <c r="K589" s="2">
        <f t="shared" si="4"/>
        <v>8000</v>
      </c>
      <c r="L589" s="1"/>
    </row>
    <row r="590">
      <c r="A590" s="55">
        <v>46186.0</v>
      </c>
      <c r="B590" s="1" t="s">
        <v>1030</v>
      </c>
      <c r="C590" s="1" t="str">
        <f>VLOOKUP(B590,MAESTRA!I:K,2,0)</f>
        <v>*6412440*</v>
      </c>
      <c r="D590" s="1" t="str">
        <f>VLOOKUP(B590,MAESTRA!I:K,3,0)</f>
        <v>RUBOR DAMA RUBOR CORAZON</v>
      </c>
      <c r="E590" s="1" t="s">
        <v>1006</v>
      </c>
      <c r="F590" s="45">
        <v>2.0</v>
      </c>
      <c r="G590" s="2">
        <v>6000.0</v>
      </c>
      <c r="H590" s="2">
        <f t="shared" si="1"/>
        <v>12000</v>
      </c>
      <c r="I590" s="2">
        <f t="shared" si="2"/>
        <v>12000</v>
      </c>
      <c r="J590" s="47">
        <f t="shared" si="3"/>
        <v>1</v>
      </c>
      <c r="K590" s="2">
        <f t="shared" si="4"/>
        <v>24000</v>
      </c>
      <c r="L590" s="1"/>
    </row>
    <row r="591">
      <c r="A591" s="55">
        <v>46186.0</v>
      </c>
      <c r="B591" s="1" t="s">
        <v>1031</v>
      </c>
      <c r="C591" s="1" t="str">
        <f>VLOOKUP(B591,MAESTRA!I:K,2,0)</f>
        <v>*6811610*</v>
      </c>
      <c r="D591" s="1" t="str">
        <f>VLOOKUP(B591,MAESTRA!I:K,3,0)</f>
        <v>LABIAL DAMA LABIAL CORAZON</v>
      </c>
      <c r="E591" s="1" t="s">
        <v>1006</v>
      </c>
      <c r="F591" s="45">
        <v>4.0</v>
      </c>
      <c r="G591" s="2">
        <v>6000.0</v>
      </c>
      <c r="H591" s="2">
        <f t="shared" si="1"/>
        <v>24000</v>
      </c>
      <c r="I591" s="2">
        <f t="shared" si="2"/>
        <v>12000</v>
      </c>
      <c r="J591" s="47">
        <f t="shared" si="3"/>
        <v>1</v>
      </c>
      <c r="K591" s="2">
        <f t="shared" si="4"/>
        <v>48000</v>
      </c>
      <c r="L591" s="1"/>
    </row>
    <row r="592">
      <c r="A592" s="55">
        <v>46186.0</v>
      </c>
      <c r="B592" s="1" t="s">
        <v>1032</v>
      </c>
      <c r="C592" s="1" t="str">
        <f>VLOOKUP(B592,MAESTRA!I:K,2,0)</f>
        <v>*6911440*</v>
      </c>
      <c r="D592" s="1" t="str">
        <f>VLOOKUP(B592,MAESTRA!I:K,3,0)</f>
        <v>ILUMINADORES DAMA ILUMINADORES SKIN</v>
      </c>
      <c r="E592" s="1" t="s">
        <v>1006</v>
      </c>
      <c r="F592" s="45">
        <v>3.0</v>
      </c>
      <c r="G592" s="2">
        <v>5000.0</v>
      </c>
      <c r="H592" s="2">
        <f t="shared" si="1"/>
        <v>15000</v>
      </c>
      <c r="I592" s="2">
        <f t="shared" si="2"/>
        <v>10000</v>
      </c>
      <c r="J592" s="47">
        <f t="shared" si="3"/>
        <v>1</v>
      </c>
      <c r="K592" s="2">
        <f t="shared" si="4"/>
        <v>30000</v>
      </c>
      <c r="L592" s="1"/>
    </row>
    <row r="593">
      <c r="A593" s="55">
        <v>46186.0</v>
      </c>
      <c r="B593" s="1" t="s">
        <v>1033</v>
      </c>
      <c r="C593" s="1" t="str">
        <f>VLOOKUP(B593,MAESTRA!I:K,2,0)</f>
        <v>*6811620*</v>
      </c>
      <c r="D593" s="1" t="str">
        <f>VLOOKUP(B593,MAESTRA!I:K,3,0)</f>
        <v>LABIAL DAMA LABIAL THE OILY LIPS</v>
      </c>
      <c r="E593" s="1" t="s">
        <v>1006</v>
      </c>
      <c r="F593" s="45">
        <v>4.0</v>
      </c>
      <c r="G593" s="2">
        <v>6000.0</v>
      </c>
      <c r="H593" s="2">
        <f t="shared" si="1"/>
        <v>24000</v>
      </c>
      <c r="I593" s="2">
        <f t="shared" si="2"/>
        <v>12000</v>
      </c>
      <c r="J593" s="47">
        <f t="shared" si="3"/>
        <v>1</v>
      </c>
      <c r="K593" s="2">
        <f t="shared" si="4"/>
        <v>48000</v>
      </c>
      <c r="L593" s="1"/>
    </row>
    <row r="594">
      <c r="A594" s="55">
        <v>46186.0</v>
      </c>
      <c r="B594" s="1" t="s">
        <v>1034</v>
      </c>
      <c r="C594" s="1" t="str">
        <f>VLOOKUP(B594,MAESTRA!I:K,2,0)</f>
        <v>*6812610*</v>
      </c>
      <c r="D594" s="1" t="str">
        <f>VLOOKUP(B594,MAESTRA!I:K,3,0)</f>
        <v>LABIAL DAMA TINTAS ENGOIL</v>
      </c>
      <c r="E594" s="1" t="s">
        <v>1006</v>
      </c>
      <c r="F594" s="45">
        <v>2.0</v>
      </c>
      <c r="G594" s="2">
        <v>6000.0</v>
      </c>
      <c r="H594" s="2">
        <f t="shared" si="1"/>
        <v>12000</v>
      </c>
      <c r="I594" s="2">
        <f t="shared" si="2"/>
        <v>12000</v>
      </c>
      <c r="J594" s="47">
        <f t="shared" si="3"/>
        <v>1</v>
      </c>
      <c r="K594" s="2">
        <f t="shared" si="4"/>
        <v>24000</v>
      </c>
      <c r="L594" s="1"/>
    </row>
    <row r="595">
      <c r="A595" s="55">
        <v>46186.0</v>
      </c>
      <c r="B595" s="1" t="s">
        <v>1035</v>
      </c>
      <c r="C595" s="1" t="str">
        <f>VLOOKUP(B595,MAESTRA!I:K,2,0)</f>
        <v>*7012100*</v>
      </c>
      <c r="D595" s="1" t="str">
        <f>VLOOKUP(B595,MAESTRA!I:K,3,0)</f>
        <v>PESTAÑINA DAMA PESTAÑINAS PAGEVINE</v>
      </c>
      <c r="E595" s="1" t="s">
        <v>1006</v>
      </c>
      <c r="F595" s="45">
        <v>6.0</v>
      </c>
      <c r="G595" s="2">
        <v>8000.0</v>
      </c>
      <c r="H595" s="2">
        <f t="shared" si="1"/>
        <v>48000</v>
      </c>
      <c r="I595" s="2">
        <f t="shared" si="2"/>
        <v>16000</v>
      </c>
      <c r="J595" s="47">
        <f t="shared" si="3"/>
        <v>1</v>
      </c>
      <c r="K595" s="2">
        <f t="shared" si="4"/>
        <v>96000</v>
      </c>
      <c r="L595" s="1"/>
    </row>
    <row r="596">
      <c r="A596" s="55">
        <v>46186.0</v>
      </c>
      <c r="B596" s="1" t="s">
        <v>1036</v>
      </c>
      <c r="C596" s="1" t="str">
        <f>VLOOKUP(B596,MAESTRA!I:K,2,0)</f>
        <v>*7111300*</v>
      </c>
      <c r="D596" s="1" t="str">
        <f>VLOOKUP(B596,MAESTRA!I:K,3,0)</f>
        <v>ESPEJO DAMA ESPEJOS LOVE</v>
      </c>
      <c r="E596" s="1" t="s">
        <v>1006</v>
      </c>
      <c r="F596" s="45">
        <v>6.0</v>
      </c>
      <c r="G596" s="2">
        <v>2800.0</v>
      </c>
      <c r="H596" s="2">
        <f t="shared" si="1"/>
        <v>16800</v>
      </c>
      <c r="I596" s="2">
        <f t="shared" si="2"/>
        <v>6000</v>
      </c>
      <c r="J596" s="47">
        <f t="shared" si="3"/>
        <v>1.142857143</v>
      </c>
      <c r="K596" s="2">
        <f t="shared" si="4"/>
        <v>36000</v>
      </c>
      <c r="L596" s="1"/>
    </row>
    <row r="597">
      <c r="A597" s="55">
        <v>46186.0</v>
      </c>
      <c r="B597" s="1" t="s">
        <v>1037</v>
      </c>
      <c r="C597" s="1" t="str">
        <f>VLOOKUP(B597,MAESTRA!I:K,2,0)</f>
        <v>*7211640*</v>
      </c>
      <c r="D597" s="1" t="str">
        <f>VLOOKUP(B597,MAESTRA!I:K,3,0)</f>
        <v>LAPIZ DAMA LAPIZ UBC</v>
      </c>
      <c r="E597" s="1" t="s">
        <v>1006</v>
      </c>
      <c r="F597" s="45">
        <v>15.0</v>
      </c>
      <c r="G597" s="2">
        <v>1200.0</v>
      </c>
      <c r="H597" s="2">
        <f t="shared" si="1"/>
        <v>18000</v>
      </c>
      <c r="I597" s="2">
        <f t="shared" si="2"/>
        <v>3000</v>
      </c>
      <c r="J597" s="47">
        <f t="shared" si="3"/>
        <v>1.5</v>
      </c>
      <c r="K597" s="2">
        <f t="shared" si="4"/>
        <v>45000</v>
      </c>
      <c r="L597" s="1"/>
    </row>
    <row r="598">
      <c r="A598" s="55">
        <v>46186.0</v>
      </c>
      <c r="B598" s="1" t="s">
        <v>1038</v>
      </c>
      <c r="C598" s="1" t="str">
        <f>VLOOKUP(B598,MAESTRA!I:K,2,0)</f>
        <v>*651320*</v>
      </c>
      <c r="D598" s="1" t="str">
        <f>VLOOKUP(B598,MAESTRA!I:K,3,0)</f>
        <v>SOMBRA DAMA APLICADOR SOMBRA</v>
      </c>
      <c r="E598" s="1" t="s">
        <v>1006</v>
      </c>
      <c r="F598" s="45">
        <v>24.0</v>
      </c>
      <c r="G598" s="2">
        <v>200.0</v>
      </c>
      <c r="H598" s="2">
        <f t="shared" si="1"/>
        <v>4800</v>
      </c>
      <c r="I598" s="2">
        <f t="shared" si="2"/>
        <v>1000</v>
      </c>
      <c r="J598" s="47">
        <f t="shared" si="3"/>
        <v>4</v>
      </c>
      <c r="K598" s="2">
        <f t="shared" si="4"/>
        <v>24000</v>
      </c>
      <c r="L598" s="1"/>
    </row>
    <row r="599">
      <c r="A599" s="55">
        <v>46186.0</v>
      </c>
      <c r="B599" s="1" t="s">
        <v>1039</v>
      </c>
      <c r="C599" s="1" t="str">
        <f>VLOOKUP(B599,MAESTRA!I:K,2,0)</f>
        <v>*6211420*</v>
      </c>
      <c r="D599" s="1" t="str">
        <f>VLOOKUP(B599,MAESTRA!I:K,3,0)</f>
        <v>HEBILLA DAMA HEBILLA NEGRA *3</v>
      </c>
      <c r="E599" s="1" t="s">
        <v>1006</v>
      </c>
      <c r="F599" s="45">
        <v>1.0</v>
      </c>
      <c r="G599" s="2">
        <v>3000.0</v>
      </c>
      <c r="H599" s="2">
        <f t="shared" si="1"/>
        <v>3000</v>
      </c>
      <c r="I599" s="2">
        <f t="shared" si="2"/>
        <v>6000</v>
      </c>
      <c r="J599" s="47">
        <f t="shared" si="3"/>
        <v>1</v>
      </c>
      <c r="K599" s="2">
        <f t="shared" si="4"/>
        <v>6000</v>
      </c>
      <c r="L599" s="1"/>
    </row>
    <row r="600">
      <c r="A600" s="55">
        <v>46186.0</v>
      </c>
      <c r="B600" s="1" t="s">
        <v>1040</v>
      </c>
      <c r="C600" s="1" t="str">
        <f>VLOOKUP(B600,MAESTRA!I:K,2,0)</f>
        <v>*6311950*</v>
      </c>
      <c r="D600" s="1" t="str">
        <f>VLOOKUP(B600,MAESTRA!I:K,3,0)</f>
        <v>BAMBA DAMA MURANO BRILLOS</v>
      </c>
      <c r="E600" s="1" t="s">
        <v>1006</v>
      </c>
      <c r="F600" s="45">
        <v>3.0</v>
      </c>
      <c r="G600" s="2">
        <v>1800.0</v>
      </c>
      <c r="H600" s="2">
        <f t="shared" si="1"/>
        <v>5400</v>
      </c>
      <c r="I600" s="2">
        <f t="shared" si="2"/>
        <v>4000</v>
      </c>
      <c r="J600" s="47">
        <f t="shared" si="3"/>
        <v>1.222222222</v>
      </c>
      <c r="K600" s="2">
        <f t="shared" si="4"/>
        <v>12000</v>
      </c>
      <c r="L600" s="1"/>
    </row>
    <row r="601">
      <c r="A601" s="55">
        <v>46186.0</v>
      </c>
      <c r="B601" s="1" t="s">
        <v>1041</v>
      </c>
      <c r="C601" s="1" t="str">
        <f>VLOOKUP(B601,MAESTRA!I:K,2,0)</f>
        <v>*7312210*</v>
      </c>
      <c r="D601" s="1" t="str">
        <f>VLOOKUP(B601,MAESTRA!I:K,3,0)</f>
        <v>POLVO DAMA POLVO ROSADO</v>
      </c>
      <c r="E601" s="1" t="s">
        <v>1006</v>
      </c>
      <c r="F601" s="45">
        <v>1.0</v>
      </c>
      <c r="G601" s="2">
        <v>10000.0</v>
      </c>
      <c r="H601" s="2">
        <f t="shared" si="1"/>
        <v>10000</v>
      </c>
      <c r="I601" s="2">
        <f t="shared" si="2"/>
        <v>20000</v>
      </c>
      <c r="J601" s="47">
        <f t="shared" si="3"/>
        <v>1</v>
      </c>
      <c r="K601" s="2">
        <f t="shared" si="4"/>
        <v>20000</v>
      </c>
      <c r="L601" s="1"/>
    </row>
    <row r="602">
      <c r="A602" s="55">
        <v>46186.0</v>
      </c>
      <c r="B602" s="1" t="s">
        <v>1042</v>
      </c>
      <c r="C602" s="1" t="str">
        <f>VLOOKUP(B602,MAESTRA!I:K,2,0)</f>
        <v>*5912090*</v>
      </c>
      <c r="D602" s="1" t="str">
        <f>VLOOKUP(B602,MAESTRA!I:K,3,0)</f>
        <v>CAIMAN DAMA PEQUEÑO DORADO MURANO </v>
      </c>
      <c r="E602" s="1" t="s">
        <v>1006</v>
      </c>
      <c r="F602" s="45">
        <v>24.0</v>
      </c>
      <c r="G602" s="2">
        <v>800.0</v>
      </c>
      <c r="H602" s="2">
        <f t="shared" si="1"/>
        <v>19200</v>
      </c>
      <c r="I602" s="2">
        <f t="shared" si="2"/>
        <v>2000</v>
      </c>
      <c r="J602" s="47">
        <f t="shared" si="3"/>
        <v>1.5</v>
      </c>
      <c r="K602" s="2">
        <f t="shared" si="4"/>
        <v>48000</v>
      </c>
      <c r="L602" s="1"/>
    </row>
    <row r="603">
      <c r="A603" s="55">
        <v>46186.0</v>
      </c>
      <c r="B603" s="1" t="s">
        <v>1043</v>
      </c>
      <c r="C603" s="1" t="str">
        <f>VLOOKUP(B603,MAESTRA!I:K,2,0)</f>
        <v>*5911860*</v>
      </c>
      <c r="D603" s="1" t="str">
        <f>VLOOKUP(B603,MAESTRA!I:K,3,0)</f>
        <v>CAIMAN DAMA MEDIANO MURANO DORADO</v>
      </c>
      <c r="E603" s="1" t="s">
        <v>1006</v>
      </c>
      <c r="F603" s="45">
        <v>12.0</v>
      </c>
      <c r="G603" s="2">
        <v>1500.0</v>
      </c>
      <c r="H603" s="2">
        <f t="shared" si="1"/>
        <v>18000</v>
      </c>
      <c r="I603" s="2">
        <f t="shared" si="2"/>
        <v>3000</v>
      </c>
      <c r="J603" s="47">
        <f t="shared" si="3"/>
        <v>1</v>
      </c>
      <c r="K603" s="2">
        <f t="shared" si="4"/>
        <v>36000</v>
      </c>
      <c r="L603" s="1"/>
    </row>
    <row r="604">
      <c r="A604" s="55">
        <v>46186.0</v>
      </c>
      <c r="B604" s="1" t="s">
        <v>1044</v>
      </c>
      <c r="C604" s="1" t="str">
        <f>VLOOKUP(B604,MAESTRA!I:K,2,0)</f>
        <v>*5912140*</v>
      </c>
      <c r="D604" s="1" t="str">
        <f>VLOOKUP(B604,MAESTRA!I:K,3,0)</f>
        <v>CAIMAN DAMA PLATEADO MEDIANO MURANO</v>
      </c>
      <c r="E604" s="1" t="s">
        <v>1006</v>
      </c>
      <c r="F604" s="45">
        <v>4.0</v>
      </c>
      <c r="G604" s="2">
        <v>3000.0</v>
      </c>
      <c r="H604" s="2">
        <f t="shared" si="1"/>
        <v>12000</v>
      </c>
      <c r="I604" s="2">
        <f t="shared" si="2"/>
        <v>6000</v>
      </c>
      <c r="J604" s="47">
        <f t="shared" si="3"/>
        <v>1</v>
      </c>
      <c r="K604" s="2">
        <f t="shared" si="4"/>
        <v>24000</v>
      </c>
      <c r="L604" s="1"/>
    </row>
    <row r="605">
      <c r="A605" s="55">
        <v>46186.0</v>
      </c>
      <c r="B605" s="1" t="s">
        <v>1045</v>
      </c>
      <c r="C605" s="1" t="str">
        <f>VLOOKUP(B605,MAESTRA!I:K,2,0)</f>
        <v>*7412120*</v>
      </c>
      <c r="D605" s="1" t="str">
        <f>VLOOKUP(B605,MAESTRA!I:K,3,0)</f>
        <v>PINTUCARA DAMA PINTUCARA TRICOLOR</v>
      </c>
      <c r="E605" s="1" t="s">
        <v>1006</v>
      </c>
      <c r="F605" s="45">
        <v>4.0</v>
      </c>
      <c r="G605" s="2">
        <v>3500.0</v>
      </c>
      <c r="H605" s="2">
        <f t="shared" si="1"/>
        <v>14000</v>
      </c>
      <c r="I605" s="2">
        <f t="shared" si="2"/>
        <v>7000</v>
      </c>
      <c r="J605" s="47">
        <f t="shared" si="3"/>
        <v>1</v>
      </c>
      <c r="K605" s="2">
        <f t="shared" si="4"/>
        <v>28000</v>
      </c>
      <c r="L605" s="1"/>
    </row>
    <row r="606">
      <c r="A606" s="56"/>
      <c r="B606" s="1" t="s">
        <v>476</v>
      </c>
      <c r="C606" s="1" t="str">
        <f>VLOOKUP(B606,MAESTRA!I:K,2,0)</f>
        <v/>
      </c>
      <c r="D606" s="1" t="str">
        <f>VLOOKUP(B606,MAESTRA!I:K,3,0)</f>
        <v>  </v>
      </c>
      <c r="E606" s="1" t="s">
        <v>476</v>
      </c>
      <c r="F606" s="45"/>
      <c r="G606" s="2"/>
      <c r="H606" s="2">
        <f t="shared" si="1"/>
        <v>0</v>
      </c>
      <c r="I606" s="2">
        <f t="shared" si="2"/>
        <v>0</v>
      </c>
      <c r="J606" s="47" t="str">
        <f t="shared" si="3"/>
        <v/>
      </c>
      <c r="K606" s="2">
        <f t="shared" si="4"/>
        <v>0</v>
      </c>
      <c r="L606" s="1"/>
    </row>
    <row r="607">
      <c r="A607" s="56"/>
      <c r="B607" s="1" t="s">
        <v>476</v>
      </c>
      <c r="C607" s="1" t="str">
        <f>VLOOKUP(B607,MAESTRA!I:K,2,0)</f>
        <v/>
      </c>
      <c r="D607" s="1" t="str">
        <f>VLOOKUP(B607,MAESTRA!I:K,3,0)</f>
        <v>  </v>
      </c>
      <c r="E607" s="1" t="s">
        <v>476</v>
      </c>
      <c r="F607" s="45"/>
      <c r="G607" s="2"/>
      <c r="H607" s="2">
        <f t="shared" si="1"/>
        <v>0</v>
      </c>
      <c r="I607" s="2">
        <f t="shared" si="2"/>
        <v>0</v>
      </c>
      <c r="J607" s="47" t="str">
        <f t="shared" si="3"/>
        <v/>
      </c>
      <c r="K607" s="2">
        <f t="shared" si="4"/>
        <v>0</v>
      </c>
      <c r="L607" s="1"/>
    </row>
    <row r="608">
      <c r="A608" s="56"/>
      <c r="B608" s="1" t="s">
        <v>476</v>
      </c>
      <c r="C608" s="1" t="str">
        <f>VLOOKUP(B608,MAESTRA!I:K,2,0)</f>
        <v/>
      </c>
      <c r="D608" s="1" t="str">
        <f>VLOOKUP(B608,MAESTRA!I:K,3,0)</f>
        <v>  </v>
      </c>
      <c r="E608" s="1" t="s">
        <v>476</v>
      </c>
      <c r="F608" s="45"/>
      <c r="G608" s="2"/>
      <c r="H608" s="2">
        <f t="shared" si="1"/>
        <v>0</v>
      </c>
      <c r="I608" s="2">
        <f t="shared" si="2"/>
        <v>0</v>
      </c>
      <c r="J608" s="47" t="str">
        <f t="shared" si="3"/>
        <v/>
      </c>
      <c r="K608" s="2">
        <f t="shared" si="4"/>
        <v>0</v>
      </c>
      <c r="L608" s="1"/>
    </row>
    <row r="609">
      <c r="A609" s="56"/>
      <c r="B609" s="1" t="s">
        <v>476</v>
      </c>
      <c r="C609" s="1" t="str">
        <f>VLOOKUP(B609,MAESTRA!I:K,2,0)</f>
        <v/>
      </c>
      <c r="D609" s="1" t="str">
        <f>VLOOKUP(B609,MAESTRA!I:K,3,0)</f>
        <v>  </v>
      </c>
      <c r="E609" s="1" t="s">
        <v>476</v>
      </c>
      <c r="F609" s="45"/>
      <c r="G609" s="2"/>
      <c r="H609" s="2">
        <f t="shared" si="1"/>
        <v>0</v>
      </c>
      <c r="I609" s="2">
        <f t="shared" si="2"/>
        <v>0</v>
      </c>
      <c r="J609" s="47" t="str">
        <f t="shared" si="3"/>
        <v/>
      </c>
      <c r="K609" s="2">
        <f t="shared" si="4"/>
        <v>0</v>
      </c>
      <c r="L609" s="1"/>
    </row>
    <row r="610">
      <c r="A610" s="56"/>
      <c r="B610" s="1" t="s">
        <v>476</v>
      </c>
      <c r="C610" s="1" t="str">
        <f>VLOOKUP(B610,MAESTRA!I:K,2,0)</f>
        <v/>
      </c>
      <c r="D610" s="1" t="str">
        <f>VLOOKUP(B610,MAESTRA!I:K,3,0)</f>
        <v>  </v>
      </c>
      <c r="E610" s="1" t="s">
        <v>476</v>
      </c>
      <c r="F610" s="45"/>
      <c r="G610" s="2"/>
      <c r="H610" s="2">
        <f t="shared" si="1"/>
        <v>0</v>
      </c>
      <c r="I610" s="2">
        <f t="shared" si="2"/>
        <v>0</v>
      </c>
      <c r="J610" s="47" t="str">
        <f t="shared" si="3"/>
        <v/>
      </c>
      <c r="K610" s="2">
        <f t="shared" si="4"/>
        <v>0</v>
      </c>
      <c r="L610" s="1"/>
    </row>
    <row r="611">
      <c r="A611" s="56"/>
      <c r="B611" s="1" t="s">
        <v>476</v>
      </c>
      <c r="C611" s="1" t="str">
        <f>VLOOKUP(B611,MAESTRA!I:K,2,0)</f>
        <v/>
      </c>
      <c r="D611" s="1" t="str">
        <f>VLOOKUP(B611,MAESTRA!I:K,3,0)</f>
        <v>  </v>
      </c>
      <c r="E611" s="1" t="s">
        <v>476</v>
      </c>
      <c r="F611" s="45"/>
      <c r="G611" s="2"/>
      <c r="H611" s="2">
        <f t="shared" si="1"/>
        <v>0</v>
      </c>
      <c r="I611" s="2">
        <f t="shared" si="2"/>
        <v>0</v>
      </c>
      <c r="J611" s="47" t="str">
        <f t="shared" si="3"/>
        <v/>
      </c>
      <c r="K611" s="2">
        <f t="shared" si="4"/>
        <v>0</v>
      </c>
      <c r="L611" s="1"/>
    </row>
    <row r="612">
      <c r="A612" s="56"/>
      <c r="B612" s="1" t="s">
        <v>476</v>
      </c>
      <c r="C612" s="1" t="str">
        <f>VLOOKUP(B612,MAESTRA!I:K,2,0)</f>
        <v/>
      </c>
      <c r="D612" s="1" t="str">
        <f>VLOOKUP(B612,MAESTRA!I:K,3,0)</f>
        <v>  </v>
      </c>
      <c r="E612" s="1" t="s">
        <v>476</v>
      </c>
      <c r="F612" s="45"/>
      <c r="G612" s="2"/>
      <c r="H612" s="2">
        <f t="shared" si="1"/>
        <v>0</v>
      </c>
      <c r="I612" s="2">
        <f t="shared" si="2"/>
        <v>0</v>
      </c>
      <c r="J612" s="47" t="str">
        <f t="shared" si="3"/>
        <v/>
      </c>
      <c r="K612" s="2">
        <f t="shared" si="4"/>
        <v>0</v>
      </c>
      <c r="L612" s="1"/>
    </row>
    <row r="613">
      <c r="A613" s="56"/>
      <c r="B613" s="1" t="s">
        <v>476</v>
      </c>
      <c r="C613" s="1" t="str">
        <f>VLOOKUP(B613,MAESTRA!I:K,2,0)</f>
        <v/>
      </c>
      <c r="D613" s="1" t="str">
        <f>VLOOKUP(B613,MAESTRA!I:K,3,0)</f>
        <v>  </v>
      </c>
      <c r="E613" s="1" t="s">
        <v>476</v>
      </c>
      <c r="F613" s="45"/>
      <c r="G613" s="2"/>
      <c r="H613" s="2">
        <f t="shared" si="1"/>
        <v>0</v>
      </c>
      <c r="I613" s="2">
        <f t="shared" si="2"/>
        <v>0</v>
      </c>
      <c r="J613" s="47" t="str">
        <f t="shared" si="3"/>
        <v/>
      </c>
      <c r="K613" s="2">
        <f t="shared" si="4"/>
        <v>0</v>
      </c>
      <c r="L613" s="1"/>
    </row>
    <row r="614">
      <c r="A614" s="56"/>
      <c r="B614" s="1" t="s">
        <v>476</v>
      </c>
      <c r="C614" s="1" t="str">
        <f>VLOOKUP(B614,MAESTRA!I:K,2,0)</f>
        <v/>
      </c>
      <c r="D614" s="1" t="str">
        <f>VLOOKUP(B614,MAESTRA!I:K,3,0)</f>
        <v>  </v>
      </c>
      <c r="E614" s="1" t="s">
        <v>476</v>
      </c>
      <c r="F614" s="45"/>
      <c r="G614" s="2"/>
      <c r="H614" s="2">
        <f t="shared" si="1"/>
        <v>0</v>
      </c>
      <c r="I614" s="2">
        <f t="shared" si="2"/>
        <v>0</v>
      </c>
      <c r="J614" s="47" t="str">
        <f t="shared" si="3"/>
        <v/>
      </c>
      <c r="K614" s="2">
        <f t="shared" si="4"/>
        <v>0</v>
      </c>
      <c r="L614" s="1"/>
    </row>
    <row r="615">
      <c r="A615" s="56"/>
      <c r="B615" s="1" t="s">
        <v>476</v>
      </c>
      <c r="C615" s="1" t="str">
        <f>VLOOKUP(B615,MAESTRA!I:K,2,0)</f>
        <v/>
      </c>
      <c r="D615" s="1" t="str">
        <f>VLOOKUP(B615,MAESTRA!I:K,3,0)</f>
        <v>  </v>
      </c>
      <c r="E615" s="1" t="s">
        <v>476</v>
      </c>
      <c r="F615" s="45"/>
      <c r="G615" s="2"/>
      <c r="H615" s="2">
        <f t="shared" si="1"/>
        <v>0</v>
      </c>
      <c r="I615" s="2">
        <f t="shared" si="2"/>
        <v>0</v>
      </c>
      <c r="J615" s="47" t="str">
        <f t="shared" si="3"/>
        <v/>
      </c>
      <c r="K615" s="2">
        <f t="shared" si="4"/>
        <v>0</v>
      </c>
      <c r="L615" s="1"/>
    </row>
    <row r="616">
      <c r="A616" s="56"/>
      <c r="B616" s="1" t="s">
        <v>476</v>
      </c>
      <c r="C616" s="1" t="str">
        <f>VLOOKUP(B616,MAESTRA!I:K,2,0)</f>
        <v/>
      </c>
      <c r="D616" s="1" t="str">
        <f>VLOOKUP(B616,MAESTRA!I:K,3,0)</f>
        <v>  </v>
      </c>
      <c r="E616" s="1" t="s">
        <v>476</v>
      </c>
      <c r="F616" s="45"/>
      <c r="G616" s="2"/>
      <c r="H616" s="2">
        <f t="shared" si="1"/>
        <v>0</v>
      </c>
      <c r="I616" s="2">
        <f t="shared" si="2"/>
        <v>0</v>
      </c>
      <c r="J616" s="47" t="str">
        <f t="shared" si="3"/>
        <v/>
      </c>
      <c r="K616" s="2">
        <f t="shared" si="4"/>
        <v>0</v>
      </c>
      <c r="L616" s="1"/>
    </row>
    <row r="617">
      <c r="A617" s="56"/>
      <c r="B617" s="1" t="s">
        <v>476</v>
      </c>
      <c r="C617" s="1" t="str">
        <f>VLOOKUP(B617,MAESTRA!I:K,2,0)</f>
        <v/>
      </c>
      <c r="D617" s="1" t="str">
        <f>VLOOKUP(B617,MAESTRA!I:K,3,0)</f>
        <v>  </v>
      </c>
      <c r="E617" s="1" t="s">
        <v>476</v>
      </c>
      <c r="F617" s="45"/>
      <c r="G617" s="2"/>
      <c r="H617" s="2">
        <f t="shared" si="1"/>
        <v>0</v>
      </c>
      <c r="I617" s="2">
        <f t="shared" si="2"/>
        <v>0</v>
      </c>
      <c r="J617" s="47" t="str">
        <f t="shared" si="3"/>
        <v/>
      </c>
      <c r="K617" s="2">
        <f t="shared" si="4"/>
        <v>0</v>
      </c>
      <c r="L617" s="1"/>
    </row>
    <row r="618">
      <c r="A618" s="56"/>
      <c r="B618" s="1" t="s">
        <v>476</v>
      </c>
      <c r="C618" s="1" t="str">
        <f>VLOOKUP(B618,MAESTRA!I:K,2,0)</f>
        <v/>
      </c>
      <c r="D618" s="1" t="str">
        <f>VLOOKUP(B618,MAESTRA!I:K,3,0)</f>
        <v>  </v>
      </c>
      <c r="E618" s="1" t="s">
        <v>476</v>
      </c>
      <c r="F618" s="45"/>
      <c r="G618" s="2"/>
      <c r="H618" s="2">
        <f t="shared" si="1"/>
        <v>0</v>
      </c>
      <c r="I618" s="2">
        <f t="shared" si="2"/>
        <v>0</v>
      </c>
      <c r="J618" s="47" t="str">
        <f t="shared" si="3"/>
        <v/>
      </c>
      <c r="K618" s="2">
        <f t="shared" si="4"/>
        <v>0</v>
      </c>
      <c r="L618" s="1"/>
    </row>
    <row r="619">
      <c r="A619" s="56"/>
      <c r="B619" s="1" t="s">
        <v>476</v>
      </c>
      <c r="C619" s="1" t="str">
        <f>VLOOKUP(B619,MAESTRA!I:K,2,0)</f>
        <v/>
      </c>
      <c r="D619" s="1" t="str">
        <f>VLOOKUP(B619,MAESTRA!I:K,3,0)</f>
        <v>  </v>
      </c>
      <c r="E619" s="1" t="s">
        <v>476</v>
      </c>
      <c r="F619" s="45"/>
      <c r="G619" s="2"/>
      <c r="H619" s="2">
        <f t="shared" si="1"/>
        <v>0</v>
      </c>
      <c r="I619" s="2">
        <f t="shared" si="2"/>
        <v>0</v>
      </c>
      <c r="J619" s="47" t="str">
        <f t="shared" si="3"/>
        <v/>
      </c>
      <c r="K619" s="2">
        <f t="shared" si="4"/>
        <v>0</v>
      </c>
      <c r="L619" s="1"/>
    </row>
    <row r="620">
      <c r="A620" s="56"/>
      <c r="B620" s="1" t="s">
        <v>476</v>
      </c>
      <c r="C620" s="1" t="str">
        <f>VLOOKUP(B620,MAESTRA!I:K,2,0)</f>
        <v/>
      </c>
      <c r="D620" s="1" t="str">
        <f>VLOOKUP(B620,MAESTRA!I:K,3,0)</f>
        <v>  </v>
      </c>
      <c r="E620" s="1" t="s">
        <v>476</v>
      </c>
      <c r="F620" s="45"/>
      <c r="G620" s="2"/>
      <c r="H620" s="2">
        <f t="shared" si="1"/>
        <v>0</v>
      </c>
      <c r="I620" s="2">
        <f t="shared" si="2"/>
        <v>0</v>
      </c>
      <c r="J620" s="47" t="str">
        <f t="shared" si="3"/>
        <v/>
      </c>
      <c r="K620" s="2">
        <f t="shared" si="4"/>
        <v>0</v>
      </c>
      <c r="L620" s="1"/>
    </row>
    <row r="621">
      <c r="A621" s="56"/>
      <c r="B621" s="1" t="s">
        <v>476</v>
      </c>
      <c r="C621" s="1" t="str">
        <f>VLOOKUP(B621,MAESTRA!I:K,2,0)</f>
        <v/>
      </c>
      <c r="D621" s="1" t="str">
        <f>VLOOKUP(B621,MAESTRA!I:K,3,0)</f>
        <v>  </v>
      </c>
      <c r="E621" s="1" t="s">
        <v>476</v>
      </c>
      <c r="F621" s="45"/>
      <c r="G621" s="2"/>
      <c r="H621" s="2">
        <f t="shared" si="1"/>
        <v>0</v>
      </c>
      <c r="I621" s="2">
        <f t="shared" si="2"/>
        <v>0</v>
      </c>
      <c r="J621" s="47" t="str">
        <f t="shared" si="3"/>
        <v/>
      </c>
      <c r="K621" s="2">
        <f t="shared" si="4"/>
        <v>0</v>
      </c>
      <c r="L621" s="1"/>
    </row>
    <row r="622">
      <c r="A622" s="56"/>
      <c r="B622" s="1" t="s">
        <v>476</v>
      </c>
      <c r="C622" s="1" t="str">
        <f>VLOOKUP(B622,MAESTRA!I:K,2,0)</f>
        <v/>
      </c>
      <c r="D622" s="1" t="str">
        <f>VLOOKUP(B622,MAESTRA!I:K,3,0)</f>
        <v>  </v>
      </c>
      <c r="E622" s="1" t="s">
        <v>476</v>
      </c>
      <c r="F622" s="45"/>
      <c r="G622" s="2"/>
      <c r="H622" s="2">
        <f t="shared" si="1"/>
        <v>0</v>
      </c>
      <c r="I622" s="2">
        <f t="shared" si="2"/>
        <v>0</v>
      </c>
      <c r="J622" s="47" t="str">
        <f t="shared" si="3"/>
        <v/>
      </c>
      <c r="K622" s="2">
        <f t="shared" si="4"/>
        <v>0</v>
      </c>
      <c r="L622" s="1"/>
    </row>
    <row r="623">
      <c r="A623" s="56"/>
      <c r="B623" s="1" t="s">
        <v>476</v>
      </c>
      <c r="C623" s="1" t="str">
        <f>VLOOKUP(B623,MAESTRA!I:K,2,0)</f>
        <v/>
      </c>
      <c r="D623" s="1" t="str">
        <f>VLOOKUP(B623,MAESTRA!I:K,3,0)</f>
        <v>  </v>
      </c>
      <c r="E623" s="1" t="s">
        <v>476</v>
      </c>
      <c r="F623" s="45"/>
      <c r="G623" s="2"/>
      <c r="H623" s="2">
        <f t="shared" si="1"/>
        <v>0</v>
      </c>
      <c r="I623" s="2">
        <f t="shared" si="2"/>
        <v>0</v>
      </c>
      <c r="J623" s="47" t="str">
        <f t="shared" si="3"/>
        <v/>
      </c>
      <c r="K623" s="2">
        <f t="shared" si="4"/>
        <v>0</v>
      </c>
      <c r="L623" s="1"/>
    </row>
    <row r="624">
      <c r="A624" s="56"/>
      <c r="B624" s="1" t="s">
        <v>476</v>
      </c>
      <c r="C624" s="1" t="str">
        <f>VLOOKUP(B624,MAESTRA!I:K,2,0)</f>
        <v/>
      </c>
      <c r="D624" s="1" t="str">
        <f>VLOOKUP(B624,MAESTRA!I:K,3,0)</f>
        <v>  </v>
      </c>
      <c r="E624" s="1" t="s">
        <v>476</v>
      </c>
      <c r="F624" s="45"/>
      <c r="G624" s="2"/>
      <c r="H624" s="2">
        <f t="shared" si="1"/>
        <v>0</v>
      </c>
      <c r="I624" s="2">
        <f t="shared" si="2"/>
        <v>0</v>
      </c>
      <c r="J624" s="47" t="str">
        <f t="shared" si="3"/>
        <v/>
      </c>
      <c r="K624" s="2">
        <f t="shared" si="4"/>
        <v>0</v>
      </c>
      <c r="L624" s="1"/>
    </row>
    <row r="625">
      <c r="A625" s="56"/>
      <c r="B625" s="1" t="s">
        <v>476</v>
      </c>
      <c r="C625" s="1" t="str">
        <f>VLOOKUP(B625,MAESTRA!I:K,2,0)</f>
        <v/>
      </c>
      <c r="D625" s="1" t="str">
        <f>VLOOKUP(B625,MAESTRA!I:K,3,0)</f>
        <v>  </v>
      </c>
      <c r="E625" s="1" t="s">
        <v>476</v>
      </c>
      <c r="F625" s="45"/>
      <c r="G625" s="2"/>
      <c r="H625" s="2">
        <f t="shared" si="1"/>
        <v>0</v>
      </c>
      <c r="I625" s="2">
        <f t="shared" si="2"/>
        <v>0</v>
      </c>
      <c r="J625" s="47" t="str">
        <f t="shared" si="3"/>
        <v/>
      </c>
      <c r="K625" s="2">
        <f t="shared" si="4"/>
        <v>0</v>
      </c>
      <c r="L625" s="1"/>
    </row>
    <row r="626">
      <c r="A626" s="56"/>
      <c r="B626" s="1" t="s">
        <v>476</v>
      </c>
      <c r="C626" s="1" t="str">
        <f>VLOOKUP(B626,MAESTRA!I:K,2,0)</f>
        <v/>
      </c>
      <c r="D626" s="1" t="str">
        <f>VLOOKUP(B626,MAESTRA!I:K,3,0)</f>
        <v>  </v>
      </c>
      <c r="E626" s="1" t="s">
        <v>476</v>
      </c>
      <c r="F626" s="45"/>
      <c r="G626" s="2"/>
      <c r="H626" s="2">
        <f t="shared" si="1"/>
        <v>0</v>
      </c>
      <c r="I626" s="2">
        <f t="shared" si="2"/>
        <v>0</v>
      </c>
      <c r="J626" s="47" t="str">
        <f t="shared" si="3"/>
        <v/>
      </c>
      <c r="K626" s="2">
        <f t="shared" si="4"/>
        <v>0</v>
      </c>
      <c r="L626" s="1"/>
    </row>
    <row r="627">
      <c r="A627" s="56"/>
      <c r="B627" s="1" t="s">
        <v>476</v>
      </c>
      <c r="C627" s="1" t="str">
        <f>VLOOKUP(B627,MAESTRA!I:K,2,0)</f>
        <v/>
      </c>
      <c r="D627" s="1" t="str">
        <f>VLOOKUP(B627,MAESTRA!I:K,3,0)</f>
        <v>  </v>
      </c>
      <c r="E627" s="1" t="s">
        <v>476</v>
      </c>
      <c r="F627" s="45"/>
      <c r="G627" s="2"/>
      <c r="H627" s="2">
        <f t="shared" si="1"/>
        <v>0</v>
      </c>
      <c r="I627" s="2">
        <f t="shared" si="2"/>
        <v>0</v>
      </c>
      <c r="J627" s="47" t="str">
        <f t="shared" si="3"/>
        <v/>
      </c>
      <c r="K627" s="2">
        <f t="shared" si="4"/>
        <v>0</v>
      </c>
      <c r="L627" s="1"/>
    </row>
    <row r="628">
      <c r="A628" s="56"/>
      <c r="B628" s="1" t="s">
        <v>476</v>
      </c>
      <c r="C628" s="1" t="str">
        <f>VLOOKUP(B628,MAESTRA!I:K,2,0)</f>
        <v/>
      </c>
      <c r="D628" s="1" t="str">
        <f>VLOOKUP(B628,MAESTRA!I:K,3,0)</f>
        <v>  </v>
      </c>
      <c r="E628" s="1" t="s">
        <v>476</v>
      </c>
      <c r="F628" s="45"/>
      <c r="G628" s="2"/>
      <c r="H628" s="2">
        <f t="shared" si="1"/>
        <v>0</v>
      </c>
      <c r="I628" s="2">
        <f t="shared" si="2"/>
        <v>0</v>
      </c>
      <c r="J628" s="47" t="str">
        <f t="shared" si="3"/>
        <v/>
      </c>
      <c r="K628" s="2">
        <f t="shared" si="4"/>
        <v>0</v>
      </c>
      <c r="L628" s="1"/>
    </row>
    <row r="629">
      <c r="A629" s="56"/>
      <c r="B629" s="1" t="s">
        <v>476</v>
      </c>
      <c r="C629" s="1" t="str">
        <f>VLOOKUP(B629,MAESTRA!I:K,2,0)</f>
        <v/>
      </c>
      <c r="D629" s="1" t="str">
        <f>VLOOKUP(B629,MAESTRA!I:K,3,0)</f>
        <v>  </v>
      </c>
      <c r="E629" s="1" t="s">
        <v>476</v>
      </c>
      <c r="F629" s="45"/>
      <c r="G629" s="2"/>
      <c r="H629" s="2">
        <f t="shared" si="1"/>
        <v>0</v>
      </c>
      <c r="I629" s="2">
        <f t="shared" si="2"/>
        <v>0</v>
      </c>
      <c r="J629" s="47" t="str">
        <f t="shared" si="3"/>
        <v/>
      </c>
      <c r="K629" s="2">
        <f t="shared" si="4"/>
        <v>0</v>
      </c>
      <c r="L629" s="1"/>
    </row>
    <row r="630">
      <c r="A630" s="56"/>
      <c r="B630" s="1" t="s">
        <v>476</v>
      </c>
      <c r="C630" s="1" t="str">
        <f>VLOOKUP(B630,MAESTRA!I:K,2,0)</f>
        <v/>
      </c>
      <c r="D630" s="1" t="str">
        <f>VLOOKUP(B630,MAESTRA!I:K,3,0)</f>
        <v>  </v>
      </c>
      <c r="E630" s="1" t="s">
        <v>476</v>
      </c>
      <c r="F630" s="45"/>
      <c r="G630" s="2"/>
      <c r="H630" s="2">
        <f t="shared" si="1"/>
        <v>0</v>
      </c>
      <c r="I630" s="2">
        <f t="shared" si="2"/>
        <v>0</v>
      </c>
      <c r="J630" s="47" t="str">
        <f t="shared" si="3"/>
        <v/>
      </c>
      <c r="K630" s="2">
        <f t="shared" si="4"/>
        <v>0</v>
      </c>
      <c r="L630" s="1"/>
    </row>
    <row r="631">
      <c r="A631" s="56"/>
      <c r="B631" s="1" t="s">
        <v>476</v>
      </c>
      <c r="C631" s="1" t="str">
        <f>VLOOKUP(B631,MAESTRA!I:K,2,0)</f>
        <v/>
      </c>
      <c r="D631" s="1" t="str">
        <f>VLOOKUP(B631,MAESTRA!I:K,3,0)</f>
        <v>  </v>
      </c>
      <c r="E631" s="1" t="s">
        <v>476</v>
      </c>
      <c r="F631" s="45"/>
      <c r="G631" s="2"/>
      <c r="H631" s="2">
        <f t="shared" si="1"/>
        <v>0</v>
      </c>
      <c r="I631" s="2">
        <f t="shared" si="2"/>
        <v>0</v>
      </c>
      <c r="J631" s="47" t="str">
        <f t="shared" si="3"/>
        <v/>
      </c>
      <c r="K631" s="2">
        <f t="shared" si="4"/>
        <v>0</v>
      </c>
      <c r="L631" s="1"/>
    </row>
    <row r="632">
      <c r="A632" s="56"/>
      <c r="B632" s="1" t="s">
        <v>476</v>
      </c>
      <c r="C632" s="1" t="str">
        <f>VLOOKUP(B632,MAESTRA!I:K,2,0)</f>
        <v/>
      </c>
      <c r="D632" s="1" t="str">
        <f>VLOOKUP(B632,MAESTRA!I:K,3,0)</f>
        <v>  </v>
      </c>
      <c r="E632" s="1" t="s">
        <v>476</v>
      </c>
      <c r="F632" s="45"/>
      <c r="G632" s="2"/>
      <c r="H632" s="2">
        <f t="shared" si="1"/>
        <v>0</v>
      </c>
      <c r="I632" s="2">
        <f t="shared" si="2"/>
        <v>0</v>
      </c>
      <c r="J632" s="47" t="str">
        <f t="shared" si="3"/>
        <v/>
      </c>
      <c r="K632" s="2">
        <f t="shared" si="4"/>
        <v>0</v>
      </c>
      <c r="L632" s="1"/>
    </row>
    <row r="633">
      <c r="A633" s="56"/>
      <c r="B633" s="1" t="s">
        <v>476</v>
      </c>
      <c r="C633" s="1" t="str">
        <f>VLOOKUP(B633,MAESTRA!I:K,2,0)</f>
        <v/>
      </c>
      <c r="D633" s="1" t="str">
        <f>VLOOKUP(B633,MAESTRA!I:K,3,0)</f>
        <v>  </v>
      </c>
      <c r="E633" s="1" t="s">
        <v>476</v>
      </c>
      <c r="F633" s="45"/>
      <c r="G633" s="2"/>
      <c r="H633" s="2">
        <f t="shared" si="1"/>
        <v>0</v>
      </c>
      <c r="I633" s="2">
        <f t="shared" si="2"/>
        <v>0</v>
      </c>
      <c r="J633" s="47" t="str">
        <f t="shared" si="3"/>
        <v/>
      </c>
      <c r="K633" s="2">
        <f t="shared" si="4"/>
        <v>0</v>
      </c>
      <c r="L633" s="1"/>
    </row>
    <row r="634">
      <c r="A634" s="56"/>
      <c r="B634" s="1" t="s">
        <v>476</v>
      </c>
      <c r="C634" s="1" t="str">
        <f>VLOOKUP(B634,MAESTRA!I:K,2,0)</f>
        <v/>
      </c>
      <c r="D634" s="1" t="str">
        <f>VLOOKUP(B634,MAESTRA!I:K,3,0)</f>
        <v>  </v>
      </c>
      <c r="E634" s="1" t="s">
        <v>476</v>
      </c>
      <c r="F634" s="45"/>
      <c r="G634" s="2"/>
      <c r="H634" s="2">
        <f t="shared" si="1"/>
        <v>0</v>
      </c>
      <c r="I634" s="2">
        <f t="shared" si="2"/>
        <v>0</v>
      </c>
      <c r="J634" s="47" t="str">
        <f t="shared" si="3"/>
        <v/>
      </c>
      <c r="K634" s="2">
        <f t="shared" si="4"/>
        <v>0</v>
      </c>
      <c r="L634" s="1"/>
    </row>
    <row r="635">
      <c r="A635" s="56"/>
      <c r="B635" s="1" t="s">
        <v>476</v>
      </c>
      <c r="C635" s="1" t="str">
        <f>VLOOKUP(B635,MAESTRA!I:K,2,0)</f>
        <v/>
      </c>
      <c r="D635" s="1" t="str">
        <f>VLOOKUP(B635,MAESTRA!I:K,3,0)</f>
        <v>  </v>
      </c>
      <c r="E635" s="1" t="s">
        <v>476</v>
      </c>
      <c r="F635" s="45"/>
      <c r="G635" s="2"/>
      <c r="H635" s="2">
        <f t="shared" si="1"/>
        <v>0</v>
      </c>
      <c r="I635" s="2">
        <f t="shared" si="2"/>
        <v>0</v>
      </c>
      <c r="J635" s="47" t="str">
        <f t="shared" si="3"/>
        <v/>
      </c>
      <c r="K635" s="2">
        <f t="shared" si="4"/>
        <v>0</v>
      </c>
      <c r="L635" s="1"/>
    </row>
    <row r="636">
      <c r="A636" s="56"/>
      <c r="B636" s="1" t="s">
        <v>476</v>
      </c>
      <c r="C636" s="1" t="str">
        <f>VLOOKUP(B636,MAESTRA!I:K,2,0)</f>
        <v/>
      </c>
      <c r="D636" s="1" t="str">
        <f>VLOOKUP(B636,MAESTRA!I:K,3,0)</f>
        <v>  </v>
      </c>
      <c r="E636" s="1" t="s">
        <v>476</v>
      </c>
      <c r="F636" s="45"/>
      <c r="G636" s="2"/>
      <c r="H636" s="2">
        <f t="shared" si="1"/>
        <v>0</v>
      </c>
      <c r="I636" s="2">
        <f t="shared" si="2"/>
        <v>0</v>
      </c>
      <c r="J636" s="47" t="str">
        <f t="shared" si="3"/>
        <v/>
      </c>
      <c r="K636" s="2">
        <f t="shared" si="4"/>
        <v>0</v>
      </c>
      <c r="L636" s="1"/>
    </row>
    <row r="637">
      <c r="A637" s="56"/>
      <c r="B637" s="1" t="s">
        <v>476</v>
      </c>
      <c r="C637" s="1" t="str">
        <f>VLOOKUP(B637,MAESTRA!I:K,2,0)</f>
        <v/>
      </c>
      <c r="D637" s="1" t="str">
        <f>VLOOKUP(B637,MAESTRA!I:K,3,0)</f>
        <v>  </v>
      </c>
      <c r="E637" s="1" t="s">
        <v>476</v>
      </c>
      <c r="F637" s="45"/>
      <c r="G637" s="2"/>
      <c r="H637" s="2">
        <f t="shared" si="1"/>
        <v>0</v>
      </c>
      <c r="I637" s="2">
        <f t="shared" si="2"/>
        <v>0</v>
      </c>
      <c r="J637" s="47" t="str">
        <f t="shared" si="3"/>
        <v/>
      </c>
      <c r="K637" s="2">
        <f t="shared" si="4"/>
        <v>0</v>
      </c>
      <c r="L637" s="1"/>
    </row>
    <row r="638">
      <c r="A638" s="56"/>
      <c r="B638" s="1" t="s">
        <v>476</v>
      </c>
      <c r="C638" s="1" t="str">
        <f>VLOOKUP(B638,MAESTRA!I:K,2,0)</f>
        <v/>
      </c>
      <c r="D638" s="1" t="str">
        <f>VLOOKUP(B638,MAESTRA!I:K,3,0)</f>
        <v>  </v>
      </c>
      <c r="E638" s="1" t="s">
        <v>476</v>
      </c>
      <c r="F638" s="45"/>
      <c r="G638" s="2"/>
      <c r="H638" s="2">
        <f t="shared" si="1"/>
        <v>0</v>
      </c>
      <c r="I638" s="2">
        <f t="shared" si="2"/>
        <v>0</v>
      </c>
      <c r="J638" s="47" t="str">
        <f t="shared" si="3"/>
        <v/>
      </c>
      <c r="K638" s="2">
        <f t="shared" si="4"/>
        <v>0</v>
      </c>
      <c r="L638" s="1"/>
    </row>
    <row r="639">
      <c r="A639" s="56"/>
      <c r="B639" s="1" t="s">
        <v>476</v>
      </c>
      <c r="C639" s="1" t="str">
        <f>VLOOKUP(B639,MAESTRA!I:K,2,0)</f>
        <v/>
      </c>
      <c r="D639" s="1" t="str">
        <f>VLOOKUP(B639,MAESTRA!I:K,3,0)</f>
        <v>  </v>
      </c>
      <c r="E639" s="1" t="s">
        <v>476</v>
      </c>
      <c r="F639" s="45"/>
      <c r="G639" s="2"/>
      <c r="H639" s="2">
        <f t="shared" si="1"/>
        <v>0</v>
      </c>
      <c r="I639" s="2">
        <f t="shared" si="2"/>
        <v>0</v>
      </c>
      <c r="J639" s="47" t="str">
        <f t="shared" si="3"/>
        <v/>
      </c>
      <c r="K639" s="2">
        <f t="shared" si="4"/>
        <v>0</v>
      </c>
      <c r="L639" s="1"/>
    </row>
    <row r="640">
      <c r="A640" s="56"/>
      <c r="B640" s="1" t="s">
        <v>476</v>
      </c>
      <c r="C640" s="1" t="str">
        <f>VLOOKUP(B640,MAESTRA!I:K,2,0)</f>
        <v/>
      </c>
      <c r="D640" s="1" t="str">
        <f>VLOOKUP(B640,MAESTRA!I:K,3,0)</f>
        <v>  </v>
      </c>
      <c r="E640" s="1" t="s">
        <v>476</v>
      </c>
      <c r="F640" s="45"/>
      <c r="G640" s="2"/>
      <c r="H640" s="2">
        <f t="shared" si="1"/>
        <v>0</v>
      </c>
      <c r="I640" s="2">
        <f t="shared" si="2"/>
        <v>0</v>
      </c>
      <c r="J640" s="47" t="str">
        <f t="shared" si="3"/>
        <v/>
      </c>
      <c r="K640" s="2">
        <f t="shared" si="4"/>
        <v>0</v>
      </c>
      <c r="L640" s="1"/>
    </row>
    <row r="641">
      <c r="A641" s="56"/>
      <c r="B641" s="1" t="s">
        <v>476</v>
      </c>
      <c r="C641" s="1" t="str">
        <f>VLOOKUP(B641,MAESTRA!I:K,2,0)</f>
        <v/>
      </c>
      <c r="D641" s="1" t="str">
        <f>VLOOKUP(B641,MAESTRA!I:K,3,0)</f>
        <v>  </v>
      </c>
      <c r="E641" s="1" t="s">
        <v>476</v>
      </c>
      <c r="F641" s="45"/>
      <c r="G641" s="2"/>
      <c r="H641" s="2">
        <f t="shared" si="1"/>
        <v>0</v>
      </c>
      <c r="I641" s="2">
        <f t="shared" si="2"/>
        <v>0</v>
      </c>
      <c r="J641" s="47" t="str">
        <f t="shared" si="3"/>
        <v/>
      </c>
      <c r="K641" s="2">
        <f t="shared" si="4"/>
        <v>0</v>
      </c>
      <c r="L641" s="1"/>
    </row>
    <row r="642">
      <c r="A642" s="56"/>
      <c r="B642" s="1" t="s">
        <v>476</v>
      </c>
      <c r="C642" s="1" t="str">
        <f>VLOOKUP(B642,MAESTRA!I:K,2,0)</f>
        <v/>
      </c>
      <c r="D642" s="1" t="str">
        <f>VLOOKUP(B642,MAESTRA!I:K,3,0)</f>
        <v>  </v>
      </c>
      <c r="E642" s="1" t="s">
        <v>476</v>
      </c>
      <c r="F642" s="45"/>
      <c r="G642" s="2"/>
      <c r="H642" s="2">
        <f t="shared" si="1"/>
        <v>0</v>
      </c>
      <c r="I642" s="2">
        <f t="shared" si="2"/>
        <v>0</v>
      </c>
      <c r="J642" s="47" t="str">
        <f t="shared" si="3"/>
        <v/>
      </c>
      <c r="K642" s="2">
        <f t="shared" si="4"/>
        <v>0</v>
      </c>
      <c r="L642" s="1"/>
    </row>
    <row r="643">
      <c r="A643" s="56"/>
      <c r="B643" s="1" t="s">
        <v>476</v>
      </c>
      <c r="C643" s="1" t="str">
        <f>VLOOKUP(B643,MAESTRA!I:K,2,0)</f>
        <v/>
      </c>
      <c r="D643" s="1" t="str">
        <f>VLOOKUP(B643,MAESTRA!I:K,3,0)</f>
        <v>  </v>
      </c>
      <c r="E643" s="1" t="s">
        <v>476</v>
      </c>
      <c r="F643" s="45"/>
      <c r="G643" s="2"/>
      <c r="H643" s="2">
        <f t="shared" si="1"/>
        <v>0</v>
      </c>
      <c r="I643" s="2">
        <f t="shared" si="2"/>
        <v>0</v>
      </c>
      <c r="J643" s="47" t="str">
        <f t="shared" si="3"/>
        <v/>
      </c>
      <c r="K643" s="2">
        <f t="shared" si="4"/>
        <v>0</v>
      </c>
      <c r="L643" s="1"/>
    </row>
    <row r="644">
      <c r="A644" s="56"/>
      <c r="B644" s="1" t="s">
        <v>476</v>
      </c>
      <c r="C644" s="1" t="str">
        <f>VLOOKUP(B644,MAESTRA!I:K,2,0)</f>
        <v/>
      </c>
      <c r="D644" s="1" t="str">
        <f>VLOOKUP(B644,MAESTRA!I:K,3,0)</f>
        <v>  </v>
      </c>
      <c r="E644" s="1" t="s">
        <v>476</v>
      </c>
      <c r="F644" s="45"/>
      <c r="G644" s="2"/>
      <c r="H644" s="2">
        <f t="shared" si="1"/>
        <v>0</v>
      </c>
      <c r="I644" s="2">
        <f t="shared" si="2"/>
        <v>0</v>
      </c>
      <c r="J644" s="47" t="str">
        <f t="shared" si="3"/>
        <v/>
      </c>
      <c r="K644" s="2">
        <f t="shared" si="4"/>
        <v>0</v>
      </c>
      <c r="L644" s="1"/>
    </row>
    <row r="645">
      <c r="A645" s="56"/>
      <c r="B645" s="1" t="s">
        <v>476</v>
      </c>
      <c r="C645" s="1" t="str">
        <f>VLOOKUP(B645,MAESTRA!I:K,2,0)</f>
        <v/>
      </c>
      <c r="D645" s="1" t="str">
        <f>VLOOKUP(B645,MAESTRA!I:K,3,0)</f>
        <v>  </v>
      </c>
      <c r="E645" s="1" t="s">
        <v>476</v>
      </c>
      <c r="F645" s="45"/>
      <c r="G645" s="2"/>
      <c r="H645" s="2">
        <f t="shared" si="1"/>
        <v>0</v>
      </c>
      <c r="I645" s="2">
        <f t="shared" si="2"/>
        <v>0</v>
      </c>
      <c r="J645" s="47" t="str">
        <f t="shared" si="3"/>
        <v/>
      </c>
      <c r="K645" s="2">
        <f t="shared" si="4"/>
        <v>0</v>
      </c>
      <c r="L645" s="1"/>
    </row>
    <row r="646">
      <c r="A646" s="56"/>
      <c r="B646" s="1" t="s">
        <v>476</v>
      </c>
      <c r="C646" s="1" t="str">
        <f>VLOOKUP(B646,MAESTRA!I:K,2,0)</f>
        <v/>
      </c>
      <c r="D646" s="1" t="str">
        <f>VLOOKUP(B646,MAESTRA!I:K,3,0)</f>
        <v>  </v>
      </c>
      <c r="E646" s="1" t="s">
        <v>476</v>
      </c>
      <c r="F646" s="45"/>
      <c r="G646" s="2"/>
      <c r="H646" s="2">
        <f t="shared" si="1"/>
        <v>0</v>
      </c>
      <c r="I646" s="2">
        <f t="shared" si="2"/>
        <v>0</v>
      </c>
      <c r="J646" s="47" t="str">
        <f t="shared" si="3"/>
        <v/>
      </c>
      <c r="K646" s="2">
        <f t="shared" si="4"/>
        <v>0</v>
      </c>
      <c r="L646" s="1"/>
    </row>
    <row r="647">
      <c r="A647" s="56"/>
      <c r="B647" s="1" t="s">
        <v>476</v>
      </c>
      <c r="C647" s="1" t="str">
        <f>VLOOKUP(B647,MAESTRA!I:K,2,0)</f>
        <v/>
      </c>
      <c r="D647" s="1" t="str">
        <f>VLOOKUP(B647,MAESTRA!I:K,3,0)</f>
        <v>  </v>
      </c>
      <c r="E647" s="1" t="s">
        <v>476</v>
      </c>
      <c r="F647" s="45"/>
      <c r="G647" s="2"/>
      <c r="H647" s="2">
        <f t="shared" si="1"/>
        <v>0</v>
      </c>
      <c r="I647" s="2">
        <f t="shared" si="2"/>
        <v>0</v>
      </c>
      <c r="J647" s="47" t="str">
        <f t="shared" si="3"/>
        <v/>
      </c>
      <c r="K647" s="2">
        <f t="shared" si="4"/>
        <v>0</v>
      </c>
      <c r="L647" s="1"/>
    </row>
    <row r="648">
      <c r="A648" s="56"/>
      <c r="B648" s="1" t="s">
        <v>476</v>
      </c>
      <c r="C648" s="1" t="str">
        <f>VLOOKUP(B648,MAESTRA!I:K,2,0)</f>
        <v/>
      </c>
      <c r="D648" s="1" t="str">
        <f>VLOOKUP(B648,MAESTRA!I:K,3,0)</f>
        <v>  </v>
      </c>
      <c r="E648" s="1" t="s">
        <v>476</v>
      </c>
      <c r="F648" s="45"/>
      <c r="G648" s="2"/>
      <c r="H648" s="2">
        <f t="shared" si="1"/>
        <v>0</v>
      </c>
      <c r="I648" s="2">
        <f t="shared" si="2"/>
        <v>0</v>
      </c>
      <c r="J648" s="47" t="str">
        <f t="shared" si="3"/>
        <v/>
      </c>
      <c r="K648" s="2">
        <f t="shared" si="4"/>
        <v>0</v>
      </c>
      <c r="L648" s="1"/>
    </row>
    <row r="649">
      <c r="A649" s="56"/>
      <c r="B649" s="1" t="s">
        <v>476</v>
      </c>
      <c r="C649" s="1" t="str">
        <f>VLOOKUP(B649,MAESTRA!I:K,2,0)</f>
        <v/>
      </c>
      <c r="D649" s="1" t="str">
        <f>VLOOKUP(B649,MAESTRA!I:K,3,0)</f>
        <v>  </v>
      </c>
      <c r="E649" s="1" t="s">
        <v>476</v>
      </c>
      <c r="F649" s="45"/>
      <c r="G649" s="2"/>
      <c r="H649" s="2">
        <f t="shared" si="1"/>
        <v>0</v>
      </c>
      <c r="I649" s="2">
        <f t="shared" si="2"/>
        <v>0</v>
      </c>
      <c r="J649" s="47" t="str">
        <f t="shared" si="3"/>
        <v/>
      </c>
      <c r="K649" s="2">
        <f t="shared" si="4"/>
        <v>0</v>
      </c>
      <c r="L649" s="1"/>
    </row>
    <row r="650">
      <c r="A650" s="56"/>
      <c r="B650" s="1" t="s">
        <v>476</v>
      </c>
      <c r="C650" s="1" t="str">
        <f>VLOOKUP(B650,MAESTRA!I:K,2,0)</f>
        <v/>
      </c>
      <c r="D650" s="1" t="str">
        <f>VLOOKUP(B650,MAESTRA!I:K,3,0)</f>
        <v>  </v>
      </c>
      <c r="E650" s="1" t="s">
        <v>476</v>
      </c>
      <c r="F650" s="45"/>
      <c r="G650" s="2"/>
      <c r="H650" s="2">
        <f t="shared" si="1"/>
        <v>0</v>
      </c>
      <c r="I650" s="2">
        <f t="shared" si="2"/>
        <v>0</v>
      </c>
      <c r="J650" s="47" t="str">
        <f t="shared" si="3"/>
        <v/>
      </c>
      <c r="K650" s="2">
        <f t="shared" si="4"/>
        <v>0</v>
      </c>
      <c r="L650" s="1"/>
    </row>
    <row r="651">
      <c r="A651" s="56"/>
      <c r="B651" s="1" t="s">
        <v>476</v>
      </c>
      <c r="C651" s="1" t="str">
        <f>VLOOKUP(B651,MAESTRA!I:K,2,0)</f>
        <v/>
      </c>
      <c r="D651" s="1" t="str">
        <f>VLOOKUP(B651,MAESTRA!I:K,3,0)</f>
        <v>  </v>
      </c>
      <c r="E651" s="1" t="s">
        <v>476</v>
      </c>
      <c r="F651" s="45"/>
      <c r="G651" s="2"/>
      <c r="H651" s="2">
        <f t="shared" si="1"/>
        <v>0</v>
      </c>
      <c r="I651" s="2">
        <f t="shared" si="2"/>
        <v>0</v>
      </c>
      <c r="J651" s="47" t="str">
        <f t="shared" si="3"/>
        <v/>
      </c>
      <c r="K651" s="2">
        <f t="shared" si="4"/>
        <v>0</v>
      </c>
      <c r="L651" s="1"/>
    </row>
    <row r="652">
      <c r="A652" s="56"/>
      <c r="B652" s="1" t="s">
        <v>476</v>
      </c>
      <c r="C652" s="1" t="str">
        <f>VLOOKUP(B652,MAESTRA!I:K,2,0)</f>
        <v/>
      </c>
      <c r="D652" s="1" t="str">
        <f>VLOOKUP(B652,MAESTRA!I:K,3,0)</f>
        <v>  </v>
      </c>
      <c r="E652" s="1" t="s">
        <v>476</v>
      </c>
      <c r="F652" s="45"/>
      <c r="G652" s="2"/>
      <c r="H652" s="2">
        <f t="shared" si="1"/>
        <v>0</v>
      </c>
      <c r="I652" s="2">
        <f t="shared" si="2"/>
        <v>0</v>
      </c>
      <c r="J652" s="47" t="str">
        <f t="shared" si="3"/>
        <v/>
      </c>
      <c r="K652" s="2">
        <f t="shared" si="4"/>
        <v>0</v>
      </c>
      <c r="L652" s="1"/>
    </row>
    <row r="653">
      <c r="A653" s="56"/>
      <c r="B653" s="1" t="s">
        <v>476</v>
      </c>
      <c r="C653" s="1" t="str">
        <f>VLOOKUP(B653,MAESTRA!I:K,2,0)</f>
        <v/>
      </c>
      <c r="D653" s="1" t="str">
        <f>VLOOKUP(B653,MAESTRA!I:K,3,0)</f>
        <v>  </v>
      </c>
      <c r="E653" s="1" t="s">
        <v>476</v>
      </c>
      <c r="F653" s="45"/>
      <c r="G653" s="2"/>
      <c r="H653" s="2">
        <f t="shared" si="1"/>
        <v>0</v>
      </c>
      <c r="I653" s="2">
        <f t="shared" si="2"/>
        <v>0</v>
      </c>
      <c r="J653" s="47" t="str">
        <f t="shared" si="3"/>
        <v/>
      </c>
      <c r="K653" s="2">
        <f t="shared" si="4"/>
        <v>0</v>
      </c>
      <c r="L653" s="1"/>
    </row>
    <row r="654">
      <c r="A654" s="56"/>
      <c r="B654" s="1" t="s">
        <v>476</v>
      </c>
      <c r="C654" s="1" t="str">
        <f>VLOOKUP(B654,MAESTRA!I:K,2,0)</f>
        <v/>
      </c>
      <c r="D654" s="1" t="str">
        <f>VLOOKUP(B654,MAESTRA!I:K,3,0)</f>
        <v>  </v>
      </c>
      <c r="E654" s="1" t="s">
        <v>476</v>
      </c>
      <c r="F654" s="45"/>
      <c r="G654" s="2"/>
      <c r="H654" s="2">
        <f t="shared" si="1"/>
        <v>0</v>
      </c>
      <c r="I654" s="2">
        <f t="shared" si="2"/>
        <v>0</v>
      </c>
      <c r="J654" s="47" t="str">
        <f t="shared" si="3"/>
        <v/>
      </c>
      <c r="K654" s="2">
        <f t="shared" si="4"/>
        <v>0</v>
      </c>
      <c r="L654" s="1"/>
    </row>
    <row r="655">
      <c r="A655" s="56"/>
      <c r="B655" s="1" t="s">
        <v>476</v>
      </c>
      <c r="C655" s="1" t="str">
        <f>VLOOKUP(B655,MAESTRA!I:K,2,0)</f>
        <v/>
      </c>
      <c r="D655" s="1" t="str">
        <f>VLOOKUP(B655,MAESTRA!I:K,3,0)</f>
        <v>  </v>
      </c>
      <c r="E655" s="1" t="s">
        <v>476</v>
      </c>
      <c r="F655" s="45"/>
      <c r="G655" s="2"/>
      <c r="H655" s="2">
        <f t="shared" si="1"/>
        <v>0</v>
      </c>
      <c r="I655" s="2">
        <f t="shared" si="2"/>
        <v>0</v>
      </c>
      <c r="J655" s="47" t="str">
        <f t="shared" si="3"/>
        <v/>
      </c>
      <c r="K655" s="2">
        <f t="shared" si="4"/>
        <v>0</v>
      </c>
      <c r="L655" s="1"/>
    </row>
    <row r="656">
      <c r="A656" s="56"/>
      <c r="B656" s="1" t="s">
        <v>476</v>
      </c>
      <c r="C656" s="1" t="str">
        <f>VLOOKUP(B656,MAESTRA!I:K,2,0)</f>
        <v/>
      </c>
      <c r="D656" s="1" t="str">
        <f>VLOOKUP(B656,MAESTRA!I:K,3,0)</f>
        <v>  </v>
      </c>
      <c r="E656" s="1" t="s">
        <v>476</v>
      </c>
      <c r="F656" s="45"/>
      <c r="G656" s="2"/>
      <c r="H656" s="2">
        <f t="shared" si="1"/>
        <v>0</v>
      </c>
      <c r="I656" s="2">
        <f t="shared" si="2"/>
        <v>0</v>
      </c>
      <c r="J656" s="47" t="str">
        <f t="shared" si="3"/>
        <v/>
      </c>
      <c r="K656" s="2">
        <f t="shared" si="4"/>
        <v>0</v>
      </c>
      <c r="L656" s="1"/>
    </row>
    <row r="657">
      <c r="A657" s="56"/>
      <c r="B657" s="1" t="s">
        <v>476</v>
      </c>
      <c r="C657" s="1" t="str">
        <f>VLOOKUP(B657,MAESTRA!I:K,2,0)</f>
        <v/>
      </c>
      <c r="D657" s="1" t="str">
        <f>VLOOKUP(B657,MAESTRA!I:K,3,0)</f>
        <v>  </v>
      </c>
      <c r="E657" s="1" t="s">
        <v>476</v>
      </c>
      <c r="F657" s="45"/>
      <c r="G657" s="2"/>
      <c r="H657" s="2">
        <f t="shared" si="1"/>
        <v>0</v>
      </c>
      <c r="I657" s="2">
        <f t="shared" si="2"/>
        <v>0</v>
      </c>
      <c r="J657" s="47" t="str">
        <f t="shared" si="3"/>
        <v/>
      </c>
      <c r="K657" s="2">
        <f t="shared" si="4"/>
        <v>0</v>
      </c>
      <c r="L657" s="1"/>
    </row>
    <row r="658">
      <c r="A658" s="56"/>
      <c r="B658" s="1" t="s">
        <v>476</v>
      </c>
      <c r="C658" s="1" t="str">
        <f>VLOOKUP(B658,MAESTRA!I:K,2,0)</f>
        <v/>
      </c>
      <c r="D658" s="1" t="str">
        <f>VLOOKUP(B658,MAESTRA!I:K,3,0)</f>
        <v>  </v>
      </c>
      <c r="E658" s="1" t="s">
        <v>476</v>
      </c>
      <c r="F658" s="45"/>
      <c r="G658" s="2"/>
      <c r="H658" s="2">
        <f t="shared" si="1"/>
        <v>0</v>
      </c>
      <c r="I658" s="2">
        <f t="shared" si="2"/>
        <v>0</v>
      </c>
      <c r="J658" s="47" t="str">
        <f t="shared" si="3"/>
        <v/>
      </c>
      <c r="K658" s="2">
        <f t="shared" si="4"/>
        <v>0</v>
      </c>
      <c r="L658" s="1"/>
    </row>
    <row r="659">
      <c r="A659" s="56"/>
      <c r="B659" s="1" t="s">
        <v>476</v>
      </c>
      <c r="C659" s="1" t="str">
        <f>VLOOKUP(B659,MAESTRA!I:K,2,0)</f>
        <v/>
      </c>
      <c r="D659" s="1" t="str">
        <f>VLOOKUP(B659,MAESTRA!I:K,3,0)</f>
        <v>  </v>
      </c>
      <c r="E659" s="1" t="s">
        <v>476</v>
      </c>
      <c r="F659" s="45"/>
      <c r="G659" s="2"/>
      <c r="H659" s="2">
        <f t="shared" si="1"/>
        <v>0</v>
      </c>
      <c r="I659" s="2">
        <f t="shared" si="2"/>
        <v>0</v>
      </c>
      <c r="J659" s="47" t="str">
        <f t="shared" si="3"/>
        <v/>
      </c>
      <c r="K659" s="2">
        <f t="shared" si="4"/>
        <v>0</v>
      </c>
      <c r="L659" s="1"/>
    </row>
    <row r="660">
      <c r="A660" s="56"/>
      <c r="B660" s="1" t="s">
        <v>476</v>
      </c>
      <c r="C660" s="1" t="str">
        <f>VLOOKUP(B660,MAESTRA!I:K,2,0)</f>
        <v/>
      </c>
      <c r="D660" s="1" t="str">
        <f>VLOOKUP(B660,MAESTRA!I:K,3,0)</f>
        <v>  </v>
      </c>
      <c r="E660" s="1" t="s">
        <v>476</v>
      </c>
      <c r="F660" s="45"/>
      <c r="G660" s="2"/>
      <c r="H660" s="2">
        <f t="shared" si="1"/>
        <v>0</v>
      </c>
      <c r="I660" s="2">
        <f t="shared" si="2"/>
        <v>0</v>
      </c>
      <c r="J660" s="47" t="str">
        <f t="shared" si="3"/>
        <v/>
      </c>
      <c r="K660" s="2">
        <f t="shared" si="4"/>
        <v>0</v>
      </c>
      <c r="L660" s="1"/>
    </row>
    <row r="661">
      <c r="A661" s="56"/>
      <c r="B661" s="1" t="s">
        <v>476</v>
      </c>
      <c r="C661" s="1" t="str">
        <f>VLOOKUP(B661,MAESTRA!I:K,2,0)</f>
        <v/>
      </c>
      <c r="D661" s="1" t="str">
        <f>VLOOKUP(B661,MAESTRA!I:K,3,0)</f>
        <v>  </v>
      </c>
      <c r="E661" s="1" t="s">
        <v>476</v>
      </c>
      <c r="F661" s="45"/>
      <c r="G661" s="2"/>
      <c r="H661" s="2">
        <f t="shared" si="1"/>
        <v>0</v>
      </c>
      <c r="I661" s="2">
        <f t="shared" si="2"/>
        <v>0</v>
      </c>
      <c r="J661" s="47" t="str">
        <f t="shared" si="3"/>
        <v/>
      </c>
      <c r="K661" s="2">
        <f t="shared" si="4"/>
        <v>0</v>
      </c>
      <c r="L661" s="1"/>
    </row>
    <row r="662">
      <c r="A662" s="56"/>
      <c r="B662" s="1" t="s">
        <v>476</v>
      </c>
      <c r="C662" s="1" t="str">
        <f>VLOOKUP(B662,MAESTRA!I:K,2,0)</f>
        <v/>
      </c>
      <c r="D662" s="1" t="str">
        <f>VLOOKUP(B662,MAESTRA!I:K,3,0)</f>
        <v>  </v>
      </c>
      <c r="E662" s="1" t="s">
        <v>476</v>
      </c>
      <c r="F662" s="45"/>
      <c r="G662" s="2"/>
      <c r="H662" s="2">
        <f t="shared" si="1"/>
        <v>0</v>
      </c>
      <c r="I662" s="2">
        <f t="shared" si="2"/>
        <v>0</v>
      </c>
      <c r="J662" s="47" t="str">
        <f t="shared" si="3"/>
        <v/>
      </c>
      <c r="K662" s="2">
        <f t="shared" si="4"/>
        <v>0</v>
      </c>
      <c r="L662" s="1"/>
    </row>
    <row r="663">
      <c r="A663" s="56"/>
      <c r="B663" s="1" t="s">
        <v>476</v>
      </c>
      <c r="C663" s="1" t="str">
        <f>VLOOKUP(B663,MAESTRA!I:K,2,0)</f>
        <v/>
      </c>
      <c r="D663" s="1" t="str">
        <f>VLOOKUP(B663,MAESTRA!I:K,3,0)</f>
        <v>  </v>
      </c>
      <c r="E663" s="1" t="s">
        <v>476</v>
      </c>
      <c r="F663" s="45"/>
      <c r="G663" s="2"/>
      <c r="H663" s="2">
        <f t="shared" si="1"/>
        <v>0</v>
      </c>
      <c r="I663" s="2">
        <f t="shared" si="2"/>
        <v>0</v>
      </c>
      <c r="J663" s="47" t="str">
        <f t="shared" si="3"/>
        <v/>
      </c>
      <c r="K663" s="2">
        <f t="shared" si="4"/>
        <v>0</v>
      </c>
      <c r="L663" s="1"/>
    </row>
    <row r="664">
      <c r="A664" s="56"/>
      <c r="B664" s="1" t="s">
        <v>476</v>
      </c>
      <c r="C664" s="1" t="str">
        <f>VLOOKUP(B664,MAESTRA!I:K,2,0)</f>
        <v/>
      </c>
      <c r="D664" s="1" t="str">
        <f>VLOOKUP(B664,MAESTRA!I:K,3,0)</f>
        <v>  </v>
      </c>
      <c r="E664" s="1" t="s">
        <v>476</v>
      </c>
      <c r="F664" s="45"/>
      <c r="G664" s="2"/>
      <c r="H664" s="2">
        <f t="shared" si="1"/>
        <v>0</v>
      </c>
      <c r="I664" s="2">
        <f t="shared" si="2"/>
        <v>0</v>
      </c>
      <c r="J664" s="47" t="str">
        <f t="shared" si="3"/>
        <v/>
      </c>
      <c r="K664" s="2">
        <f t="shared" si="4"/>
        <v>0</v>
      </c>
      <c r="L664" s="1"/>
    </row>
    <row r="665">
      <c r="A665" s="56"/>
      <c r="B665" s="1" t="s">
        <v>476</v>
      </c>
      <c r="C665" s="1" t="str">
        <f>VLOOKUP(B665,MAESTRA!I:K,2,0)</f>
        <v/>
      </c>
      <c r="D665" s="1" t="str">
        <f>VLOOKUP(B665,MAESTRA!I:K,3,0)</f>
        <v>  </v>
      </c>
      <c r="E665" s="1" t="s">
        <v>476</v>
      </c>
      <c r="F665" s="45"/>
      <c r="G665" s="2"/>
      <c r="H665" s="2">
        <f t="shared" si="1"/>
        <v>0</v>
      </c>
      <c r="I665" s="2">
        <f t="shared" si="2"/>
        <v>0</v>
      </c>
      <c r="J665" s="47" t="str">
        <f t="shared" si="3"/>
        <v/>
      </c>
      <c r="K665" s="2">
        <f t="shared" si="4"/>
        <v>0</v>
      </c>
      <c r="L665" s="1"/>
    </row>
    <row r="666">
      <c r="A666" s="56"/>
      <c r="B666" s="1" t="s">
        <v>476</v>
      </c>
      <c r="C666" s="1" t="str">
        <f>VLOOKUP(B666,MAESTRA!I:K,2,0)</f>
        <v/>
      </c>
      <c r="D666" s="1" t="str">
        <f>VLOOKUP(B666,MAESTRA!I:K,3,0)</f>
        <v>  </v>
      </c>
      <c r="E666" s="1" t="s">
        <v>476</v>
      </c>
      <c r="F666" s="45"/>
      <c r="G666" s="2"/>
      <c r="H666" s="2">
        <f t="shared" si="1"/>
        <v>0</v>
      </c>
      <c r="I666" s="2">
        <f t="shared" si="2"/>
        <v>0</v>
      </c>
      <c r="J666" s="47" t="str">
        <f t="shared" si="3"/>
        <v/>
      </c>
      <c r="K666" s="2">
        <f t="shared" si="4"/>
        <v>0</v>
      </c>
      <c r="L666" s="1"/>
    </row>
    <row r="667">
      <c r="A667" s="56"/>
      <c r="B667" s="1" t="s">
        <v>476</v>
      </c>
      <c r="C667" s="1" t="str">
        <f>VLOOKUP(B667,MAESTRA!I:K,2,0)</f>
        <v/>
      </c>
      <c r="D667" s="1" t="str">
        <f>VLOOKUP(B667,MAESTRA!I:K,3,0)</f>
        <v>  </v>
      </c>
      <c r="E667" s="1" t="s">
        <v>476</v>
      </c>
      <c r="F667" s="45"/>
      <c r="G667" s="2"/>
      <c r="H667" s="2">
        <f t="shared" si="1"/>
        <v>0</v>
      </c>
      <c r="I667" s="2">
        <f t="shared" si="2"/>
        <v>0</v>
      </c>
      <c r="J667" s="47" t="str">
        <f t="shared" si="3"/>
        <v/>
      </c>
      <c r="K667" s="2">
        <f t="shared" si="4"/>
        <v>0</v>
      </c>
      <c r="L667" s="1"/>
    </row>
    <row r="668">
      <c r="A668" s="56"/>
      <c r="B668" s="1" t="s">
        <v>476</v>
      </c>
      <c r="C668" s="1" t="str">
        <f>VLOOKUP(B668,MAESTRA!I:K,2,0)</f>
        <v/>
      </c>
      <c r="D668" s="1" t="str">
        <f>VLOOKUP(B668,MAESTRA!I:K,3,0)</f>
        <v>  </v>
      </c>
      <c r="E668" s="1" t="s">
        <v>476</v>
      </c>
      <c r="F668" s="45"/>
      <c r="G668" s="2"/>
      <c r="H668" s="2">
        <f t="shared" si="1"/>
        <v>0</v>
      </c>
      <c r="I668" s="2">
        <f t="shared" si="2"/>
        <v>0</v>
      </c>
      <c r="J668" s="47" t="str">
        <f t="shared" si="3"/>
        <v/>
      </c>
      <c r="K668" s="2">
        <f t="shared" si="4"/>
        <v>0</v>
      </c>
      <c r="L668" s="1"/>
    </row>
    <row r="669">
      <c r="A669" s="56"/>
      <c r="B669" s="1" t="s">
        <v>476</v>
      </c>
      <c r="C669" s="1" t="str">
        <f>VLOOKUP(B669,MAESTRA!I:K,2,0)</f>
        <v/>
      </c>
      <c r="D669" s="1" t="str">
        <f>VLOOKUP(B669,MAESTRA!I:K,3,0)</f>
        <v>  </v>
      </c>
      <c r="E669" s="1" t="s">
        <v>476</v>
      </c>
      <c r="F669" s="45"/>
      <c r="G669" s="2"/>
      <c r="H669" s="2">
        <f t="shared" si="1"/>
        <v>0</v>
      </c>
      <c r="I669" s="2">
        <f t="shared" si="2"/>
        <v>0</v>
      </c>
      <c r="J669" s="47" t="str">
        <f t="shared" si="3"/>
        <v/>
      </c>
      <c r="K669" s="2">
        <f t="shared" si="4"/>
        <v>0</v>
      </c>
      <c r="L669" s="1"/>
    </row>
    <row r="670">
      <c r="A670" s="56"/>
      <c r="B670" s="1" t="s">
        <v>476</v>
      </c>
      <c r="C670" s="1" t="str">
        <f>VLOOKUP(B670,MAESTRA!I:K,2,0)</f>
        <v/>
      </c>
      <c r="D670" s="1" t="str">
        <f>VLOOKUP(B670,MAESTRA!I:K,3,0)</f>
        <v>  </v>
      </c>
      <c r="E670" s="1" t="s">
        <v>476</v>
      </c>
      <c r="F670" s="45"/>
      <c r="G670" s="2"/>
      <c r="H670" s="2">
        <f t="shared" si="1"/>
        <v>0</v>
      </c>
      <c r="I670" s="2">
        <f t="shared" si="2"/>
        <v>0</v>
      </c>
      <c r="J670" s="47" t="str">
        <f t="shared" si="3"/>
        <v/>
      </c>
      <c r="K670" s="2">
        <f t="shared" si="4"/>
        <v>0</v>
      </c>
      <c r="L670" s="1"/>
    </row>
    <row r="671">
      <c r="A671" s="56"/>
      <c r="B671" s="1" t="s">
        <v>476</v>
      </c>
      <c r="C671" s="1" t="str">
        <f>VLOOKUP(B671,MAESTRA!I:K,2,0)</f>
        <v/>
      </c>
      <c r="D671" s="1" t="str">
        <f>VLOOKUP(B671,MAESTRA!I:K,3,0)</f>
        <v>  </v>
      </c>
      <c r="E671" s="1" t="s">
        <v>476</v>
      </c>
      <c r="F671" s="45"/>
      <c r="G671" s="2"/>
      <c r="H671" s="2">
        <f t="shared" si="1"/>
        <v>0</v>
      </c>
      <c r="I671" s="2">
        <f t="shared" si="2"/>
        <v>0</v>
      </c>
      <c r="J671" s="47" t="str">
        <f t="shared" si="3"/>
        <v/>
      </c>
      <c r="K671" s="2">
        <f t="shared" si="4"/>
        <v>0</v>
      </c>
      <c r="L671" s="1"/>
    </row>
    <row r="672">
      <c r="A672" s="56"/>
      <c r="B672" s="1" t="s">
        <v>476</v>
      </c>
      <c r="C672" s="1" t="str">
        <f>VLOOKUP(B672,MAESTRA!I:K,2,0)</f>
        <v/>
      </c>
      <c r="D672" s="1" t="str">
        <f>VLOOKUP(B672,MAESTRA!I:K,3,0)</f>
        <v>  </v>
      </c>
      <c r="E672" s="1" t="s">
        <v>476</v>
      </c>
      <c r="F672" s="45"/>
      <c r="G672" s="2"/>
      <c r="H672" s="2">
        <f t="shared" si="1"/>
        <v>0</v>
      </c>
      <c r="I672" s="2">
        <f t="shared" si="2"/>
        <v>0</v>
      </c>
      <c r="J672" s="47" t="str">
        <f t="shared" si="3"/>
        <v/>
      </c>
      <c r="K672" s="2">
        <f t="shared" si="4"/>
        <v>0</v>
      </c>
      <c r="L672" s="1"/>
    </row>
    <row r="673">
      <c r="A673" s="56"/>
      <c r="B673" s="1" t="s">
        <v>476</v>
      </c>
      <c r="C673" s="1" t="str">
        <f>VLOOKUP(B673,MAESTRA!I:K,2,0)</f>
        <v/>
      </c>
      <c r="D673" s="1" t="str">
        <f>VLOOKUP(B673,MAESTRA!I:K,3,0)</f>
        <v>  </v>
      </c>
      <c r="E673" s="1" t="s">
        <v>476</v>
      </c>
      <c r="F673" s="45"/>
      <c r="G673" s="2"/>
      <c r="H673" s="2">
        <f t="shared" si="1"/>
        <v>0</v>
      </c>
      <c r="I673" s="2">
        <f t="shared" si="2"/>
        <v>0</v>
      </c>
      <c r="J673" s="47" t="str">
        <f t="shared" si="3"/>
        <v/>
      </c>
      <c r="K673" s="2">
        <f t="shared" si="4"/>
        <v>0</v>
      </c>
      <c r="L673" s="1"/>
    </row>
    <row r="674">
      <c r="A674" s="56"/>
      <c r="B674" s="1" t="s">
        <v>476</v>
      </c>
      <c r="C674" s="1" t="str">
        <f>VLOOKUP(B674,MAESTRA!I:K,2,0)</f>
        <v/>
      </c>
      <c r="D674" s="1" t="str">
        <f>VLOOKUP(B674,MAESTRA!I:K,3,0)</f>
        <v>  </v>
      </c>
      <c r="E674" s="1" t="s">
        <v>476</v>
      </c>
      <c r="F674" s="45"/>
      <c r="G674" s="2"/>
      <c r="H674" s="2">
        <f t="shared" si="1"/>
        <v>0</v>
      </c>
      <c r="I674" s="2">
        <f t="shared" si="2"/>
        <v>0</v>
      </c>
      <c r="J674" s="47" t="str">
        <f t="shared" si="3"/>
        <v/>
      </c>
      <c r="K674" s="2">
        <f t="shared" si="4"/>
        <v>0</v>
      </c>
      <c r="L674" s="1"/>
    </row>
    <row r="675">
      <c r="A675" s="56"/>
      <c r="B675" s="1" t="s">
        <v>476</v>
      </c>
      <c r="C675" s="1" t="str">
        <f>VLOOKUP(B675,MAESTRA!I:K,2,0)</f>
        <v/>
      </c>
      <c r="D675" s="1" t="str">
        <f>VLOOKUP(B675,MAESTRA!I:K,3,0)</f>
        <v>  </v>
      </c>
      <c r="E675" s="1" t="s">
        <v>476</v>
      </c>
      <c r="F675" s="45"/>
      <c r="G675" s="2"/>
      <c r="H675" s="2">
        <f t="shared" si="1"/>
        <v>0</v>
      </c>
      <c r="I675" s="2">
        <f t="shared" si="2"/>
        <v>0</v>
      </c>
      <c r="J675" s="47" t="str">
        <f t="shared" si="3"/>
        <v/>
      </c>
      <c r="K675" s="2">
        <f t="shared" si="4"/>
        <v>0</v>
      </c>
      <c r="L675" s="1"/>
    </row>
    <row r="676">
      <c r="A676" s="56"/>
      <c r="B676" s="1" t="s">
        <v>476</v>
      </c>
      <c r="C676" s="1" t="str">
        <f>VLOOKUP(B676,MAESTRA!I:K,2,0)</f>
        <v/>
      </c>
      <c r="D676" s="1" t="str">
        <f>VLOOKUP(B676,MAESTRA!I:K,3,0)</f>
        <v>  </v>
      </c>
      <c r="E676" s="1" t="s">
        <v>476</v>
      </c>
      <c r="F676" s="45"/>
      <c r="G676" s="2"/>
      <c r="H676" s="2">
        <f t="shared" si="1"/>
        <v>0</v>
      </c>
      <c r="I676" s="2">
        <f t="shared" si="2"/>
        <v>0</v>
      </c>
      <c r="J676" s="47" t="str">
        <f t="shared" si="3"/>
        <v/>
      </c>
      <c r="K676" s="2">
        <f t="shared" si="4"/>
        <v>0</v>
      </c>
      <c r="L676" s="1"/>
    </row>
    <row r="677">
      <c r="A677" s="56"/>
      <c r="B677" s="1" t="s">
        <v>476</v>
      </c>
      <c r="C677" s="1" t="str">
        <f>VLOOKUP(B677,MAESTRA!I:K,2,0)</f>
        <v/>
      </c>
      <c r="D677" s="1" t="str">
        <f>VLOOKUP(B677,MAESTRA!I:K,3,0)</f>
        <v>  </v>
      </c>
      <c r="E677" s="1" t="s">
        <v>476</v>
      </c>
      <c r="F677" s="45"/>
      <c r="G677" s="2"/>
      <c r="H677" s="2">
        <f t="shared" si="1"/>
        <v>0</v>
      </c>
      <c r="I677" s="2">
        <f t="shared" si="2"/>
        <v>0</v>
      </c>
      <c r="J677" s="47" t="str">
        <f t="shared" si="3"/>
        <v/>
      </c>
      <c r="K677" s="2">
        <f t="shared" si="4"/>
        <v>0</v>
      </c>
      <c r="L677" s="1"/>
    </row>
    <row r="678">
      <c r="A678" s="56"/>
      <c r="B678" s="1" t="s">
        <v>476</v>
      </c>
      <c r="C678" s="1" t="str">
        <f>VLOOKUP(B678,MAESTRA!I:K,2,0)</f>
        <v/>
      </c>
      <c r="D678" s="1" t="str">
        <f>VLOOKUP(B678,MAESTRA!I:K,3,0)</f>
        <v>  </v>
      </c>
      <c r="E678" s="1" t="s">
        <v>476</v>
      </c>
      <c r="F678" s="45"/>
      <c r="G678" s="2"/>
      <c r="H678" s="2">
        <f t="shared" si="1"/>
        <v>0</v>
      </c>
      <c r="I678" s="2">
        <f t="shared" si="2"/>
        <v>0</v>
      </c>
      <c r="J678" s="47" t="str">
        <f t="shared" si="3"/>
        <v/>
      </c>
      <c r="K678" s="2">
        <f t="shared" si="4"/>
        <v>0</v>
      </c>
      <c r="L678" s="1"/>
    </row>
    <row r="679">
      <c r="A679" s="56"/>
      <c r="B679" s="1" t="s">
        <v>476</v>
      </c>
      <c r="C679" s="1" t="str">
        <f>VLOOKUP(B679,MAESTRA!I:K,2,0)</f>
        <v/>
      </c>
      <c r="D679" s="1" t="str">
        <f>VLOOKUP(B679,MAESTRA!I:K,3,0)</f>
        <v>  </v>
      </c>
      <c r="E679" s="1" t="s">
        <v>476</v>
      </c>
      <c r="F679" s="45"/>
      <c r="G679" s="2"/>
      <c r="H679" s="2">
        <f t="shared" si="1"/>
        <v>0</v>
      </c>
      <c r="I679" s="2">
        <f t="shared" si="2"/>
        <v>0</v>
      </c>
      <c r="J679" s="47" t="str">
        <f t="shared" si="3"/>
        <v/>
      </c>
      <c r="K679" s="2">
        <f t="shared" si="4"/>
        <v>0</v>
      </c>
      <c r="L679" s="1"/>
    </row>
    <row r="680">
      <c r="A680" s="56"/>
      <c r="B680" s="1" t="s">
        <v>476</v>
      </c>
      <c r="C680" s="1" t="str">
        <f>VLOOKUP(B680,MAESTRA!I:K,2,0)</f>
        <v/>
      </c>
      <c r="D680" s="1" t="str">
        <f>VLOOKUP(B680,MAESTRA!I:K,3,0)</f>
        <v>  </v>
      </c>
      <c r="E680" s="1" t="s">
        <v>476</v>
      </c>
      <c r="F680" s="45"/>
      <c r="G680" s="2"/>
      <c r="H680" s="2">
        <f t="shared" si="1"/>
        <v>0</v>
      </c>
      <c r="I680" s="2">
        <f t="shared" si="2"/>
        <v>0</v>
      </c>
      <c r="J680" s="47" t="str">
        <f t="shared" si="3"/>
        <v/>
      </c>
      <c r="K680" s="2">
        <f t="shared" si="4"/>
        <v>0</v>
      </c>
      <c r="L680" s="1"/>
    </row>
    <row r="681">
      <c r="A681" s="56"/>
      <c r="B681" s="1" t="s">
        <v>476</v>
      </c>
      <c r="C681" s="1" t="str">
        <f>VLOOKUP(B681,MAESTRA!I:K,2,0)</f>
        <v/>
      </c>
      <c r="D681" s="1" t="str">
        <f>VLOOKUP(B681,MAESTRA!I:K,3,0)</f>
        <v>  </v>
      </c>
      <c r="E681" s="1" t="s">
        <v>476</v>
      </c>
      <c r="F681" s="45"/>
      <c r="G681" s="2"/>
      <c r="H681" s="2">
        <f t="shared" si="1"/>
        <v>0</v>
      </c>
      <c r="I681" s="2">
        <f t="shared" si="2"/>
        <v>0</v>
      </c>
      <c r="J681" s="47" t="str">
        <f t="shared" si="3"/>
        <v/>
      </c>
      <c r="K681" s="2">
        <f t="shared" si="4"/>
        <v>0</v>
      </c>
      <c r="L681" s="1"/>
    </row>
    <row r="682">
      <c r="A682" s="56"/>
      <c r="B682" s="1" t="s">
        <v>476</v>
      </c>
      <c r="C682" s="1" t="str">
        <f>VLOOKUP(B682,MAESTRA!I:K,2,0)</f>
        <v/>
      </c>
      <c r="D682" s="1" t="str">
        <f>VLOOKUP(B682,MAESTRA!I:K,3,0)</f>
        <v>  </v>
      </c>
      <c r="E682" s="1" t="s">
        <v>476</v>
      </c>
      <c r="F682" s="45"/>
      <c r="G682" s="2"/>
      <c r="H682" s="2">
        <f t="shared" si="1"/>
        <v>0</v>
      </c>
      <c r="I682" s="2">
        <f t="shared" si="2"/>
        <v>0</v>
      </c>
      <c r="J682" s="47" t="str">
        <f t="shared" si="3"/>
        <v/>
      </c>
      <c r="K682" s="2">
        <f t="shared" si="4"/>
        <v>0</v>
      </c>
      <c r="L682" s="1"/>
    </row>
    <row r="683">
      <c r="A683" s="56"/>
      <c r="B683" s="1" t="s">
        <v>476</v>
      </c>
      <c r="C683" s="1" t="str">
        <f>VLOOKUP(B683,MAESTRA!I:K,2,0)</f>
        <v/>
      </c>
      <c r="D683" s="1" t="str">
        <f>VLOOKUP(B683,MAESTRA!I:K,3,0)</f>
        <v>  </v>
      </c>
      <c r="E683" s="1" t="s">
        <v>476</v>
      </c>
      <c r="F683" s="45"/>
      <c r="G683" s="2"/>
      <c r="H683" s="2">
        <f t="shared" si="1"/>
        <v>0</v>
      </c>
      <c r="I683" s="2">
        <f t="shared" si="2"/>
        <v>0</v>
      </c>
      <c r="J683" s="47" t="str">
        <f t="shared" si="3"/>
        <v/>
      </c>
      <c r="K683" s="2">
        <f t="shared" si="4"/>
        <v>0</v>
      </c>
      <c r="L683" s="1"/>
    </row>
    <row r="684">
      <c r="A684" s="56"/>
      <c r="B684" s="1" t="s">
        <v>476</v>
      </c>
      <c r="C684" s="1" t="str">
        <f>VLOOKUP(B684,MAESTRA!I:K,2,0)</f>
        <v/>
      </c>
      <c r="D684" s="1" t="str">
        <f>VLOOKUP(B684,MAESTRA!I:K,3,0)</f>
        <v>  </v>
      </c>
      <c r="E684" s="1" t="s">
        <v>476</v>
      </c>
      <c r="F684" s="45"/>
      <c r="G684" s="2"/>
      <c r="H684" s="2">
        <f t="shared" si="1"/>
        <v>0</v>
      </c>
      <c r="I684" s="2">
        <f t="shared" si="2"/>
        <v>0</v>
      </c>
      <c r="J684" s="47" t="str">
        <f t="shared" si="3"/>
        <v/>
      </c>
      <c r="K684" s="2">
        <f t="shared" si="4"/>
        <v>0</v>
      </c>
      <c r="L684" s="1"/>
    </row>
    <row r="685">
      <c r="A685" s="56"/>
      <c r="B685" s="1" t="s">
        <v>476</v>
      </c>
      <c r="C685" s="1" t="str">
        <f>VLOOKUP(B685,MAESTRA!I:K,2,0)</f>
        <v/>
      </c>
      <c r="D685" s="1" t="str">
        <f>VLOOKUP(B685,MAESTRA!I:K,3,0)</f>
        <v>  </v>
      </c>
      <c r="E685" s="1" t="s">
        <v>476</v>
      </c>
      <c r="F685" s="45"/>
      <c r="G685" s="2"/>
      <c r="H685" s="2">
        <f t="shared" si="1"/>
        <v>0</v>
      </c>
      <c r="I685" s="2">
        <f t="shared" si="2"/>
        <v>0</v>
      </c>
      <c r="J685" s="47" t="str">
        <f t="shared" si="3"/>
        <v/>
      </c>
      <c r="K685" s="2">
        <f t="shared" si="4"/>
        <v>0</v>
      </c>
      <c r="L685" s="1"/>
    </row>
    <row r="686">
      <c r="A686" s="56"/>
      <c r="B686" s="1" t="s">
        <v>476</v>
      </c>
      <c r="C686" s="1" t="str">
        <f>VLOOKUP(B686,MAESTRA!I:K,2,0)</f>
        <v/>
      </c>
      <c r="D686" s="1" t="str">
        <f>VLOOKUP(B686,MAESTRA!I:K,3,0)</f>
        <v>  </v>
      </c>
      <c r="E686" s="1" t="s">
        <v>476</v>
      </c>
      <c r="F686" s="45"/>
      <c r="G686" s="2"/>
      <c r="H686" s="2">
        <f t="shared" si="1"/>
        <v>0</v>
      </c>
      <c r="I686" s="2">
        <f t="shared" si="2"/>
        <v>0</v>
      </c>
      <c r="J686" s="47" t="str">
        <f t="shared" si="3"/>
        <v/>
      </c>
      <c r="K686" s="2">
        <f t="shared" si="4"/>
        <v>0</v>
      </c>
      <c r="L686" s="1"/>
    </row>
    <row r="687">
      <c r="A687" s="56"/>
      <c r="B687" s="1" t="s">
        <v>476</v>
      </c>
      <c r="C687" s="1" t="str">
        <f>VLOOKUP(B687,MAESTRA!I:K,2,0)</f>
        <v/>
      </c>
      <c r="D687" s="1" t="str">
        <f>VLOOKUP(B687,MAESTRA!I:K,3,0)</f>
        <v>  </v>
      </c>
      <c r="E687" s="1" t="s">
        <v>476</v>
      </c>
      <c r="F687" s="45"/>
      <c r="G687" s="2"/>
      <c r="H687" s="2">
        <f t="shared" si="1"/>
        <v>0</v>
      </c>
      <c r="I687" s="2">
        <f t="shared" si="2"/>
        <v>0</v>
      </c>
      <c r="J687" s="47" t="str">
        <f t="shared" si="3"/>
        <v/>
      </c>
      <c r="K687" s="2">
        <f t="shared" si="4"/>
        <v>0</v>
      </c>
      <c r="L687" s="1"/>
    </row>
    <row r="688">
      <c r="A688" s="56"/>
      <c r="B688" s="1" t="s">
        <v>476</v>
      </c>
      <c r="C688" s="1" t="str">
        <f>VLOOKUP(B688,MAESTRA!I:K,2,0)</f>
        <v/>
      </c>
      <c r="D688" s="1" t="str">
        <f>VLOOKUP(B688,MAESTRA!I:K,3,0)</f>
        <v>  </v>
      </c>
      <c r="E688" s="1" t="s">
        <v>476</v>
      </c>
      <c r="F688" s="45"/>
      <c r="G688" s="2"/>
      <c r="H688" s="2">
        <f t="shared" si="1"/>
        <v>0</v>
      </c>
      <c r="I688" s="2">
        <f t="shared" si="2"/>
        <v>0</v>
      </c>
      <c r="J688" s="47" t="str">
        <f t="shared" si="3"/>
        <v/>
      </c>
      <c r="K688" s="2">
        <f t="shared" si="4"/>
        <v>0</v>
      </c>
      <c r="L688" s="1"/>
    </row>
    <row r="689">
      <c r="A689" s="56"/>
      <c r="B689" s="1" t="s">
        <v>476</v>
      </c>
      <c r="C689" s="1" t="str">
        <f>VLOOKUP(B689,MAESTRA!I:K,2,0)</f>
        <v/>
      </c>
      <c r="D689" s="1" t="str">
        <f>VLOOKUP(B689,MAESTRA!I:K,3,0)</f>
        <v>  </v>
      </c>
      <c r="E689" s="1" t="s">
        <v>476</v>
      </c>
      <c r="F689" s="45"/>
      <c r="G689" s="2"/>
      <c r="H689" s="2">
        <f t="shared" si="1"/>
        <v>0</v>
      </c>
      <c r="I689" s="2">
        <f t="shared" si="2"/>
        <v>0</v>
      </c>
      <c r="J689" s="47" t="str">
        <f t="shared" si="3"/>
        <v/>
      </c>
      <c r="K689" s="2">
        <f t="shared" si="4"/>
        <v>0</v>
      </c>
      <c r="L689" s="1"/>
    </row>
    <row r="690">
      <c r="A690" s="56"/>
      <c r="B690" s="1" t="s">
        <v>476</v>
      </c>
      <c r="C690" s="1" t="str">
        <f>VLOOKUP(B690,MAESTRA!I:K,2,0)</f>
        <v/>
      </c>
      <c r="D690" s="1" t="str">
        <f>VLOOKUP(B690,MAESTRA!I:K,3,0)</f>
        <v>  </v>
      </c>
      <c r="E690" s="1" t="s">
        <v>476</v>
      </c>
      <c r="F690" s="45"/>
      <c r="G690" s="2"/>
      <c r="H690" s="2">
        <f t="shared" si="1"/>
        <v>0</v>
      </c>
      <c r="I690" s="2">
        <f t="shared" si="2"/>
        <v>0</v>
      </c>
      <c r="J690" s="47" t="str">
        <f t="shared" si="3"/>
        <v/>
      </c>
      <c r="K690" s="2">
        <f t="shared" si="4"/>
        <v>0</v>
      </c>
      <c r="L690" s="1"/>
    </row>
    <row r="691">
      <c r="A691" s="56"/>
      <c r="B691" s="1" t="s">
        <v>476</v>
      </c>
      <c r="C691" s="1" t="str">
        <f>VLOOKUP(B691,MAESTRA!I:K,2,0)</f>
        <v/>
      </c>
      <c r="D691" s="1" t="str">
        <f>VLOOKUP(B691,MAESTRA!I:K,3,0)</f>
        <v>  </v>
      </c>
      <c r="E691" s="1" t="s">
        <v>476</v>
      </c>
      <c r="F691" s="45"/>
      <c r="G691" s="2"/>
      <c r="H691" s="2">
        <f t="shared" si="1"/>
        <v>0</v>
      </c>
      <c r="I691" s="2">
        <f t="shared" si="2"/>
        <v>0</v>
      </c>
      <c r="J691" s="47" t="str">
        <f t="shared" si="3"/>
        <v/>
      </c>
      <c r="K691" s="2">
        <f t="shared" si="4"/>
        <v>0</v>
      </c>
      <c r="L691" s="1"/>
    </row>
    <row r="692">
      <c r="A692" s="56"/>
      <c r="B692" s="1" t="s">
        <v>476</v>
      </c>
      <c r="C692" s="1" t="str">
        <f>VLOOKUP(B692,MAESTRA!I:K,2,0)</f>
        <v/>
      </c>
      <c r="D692" s="1" t="str">
        <f>VLOOKUP(B692,MAESTRA!I:K,3,0)</f>
        <v>  </v>
      </c>
      <c r="E692" s="1" t="s">
        <v>476</v>
      </c>
      <c r="F692" s="45"/>
      <c r="G692" s="2"/>
      <c r="H692" s="2">
        <f t="shared" si="1"/>
        <v>0</v>
      </c>
      <c r="I692" s="2">
        <f t="shared" si="2"/>
        <v>0</v>
      </c>
      <c r="J692" s="47" t="str">
        <f t="shared" si="3"/>
        <v/>
      </c>
      <c r="K692" s="2">
        <f t="shared" si="4"/>
        <v>0</v>
      </c>
      <c r="L692" s="1"/>
    </row>
    <row r="693">
      <c r="A693" s="56"/>
      <c r="B693" s="1" t="s">
        <v>476</v>
      </c>
      <c r="C693" s="1" t="str">
        <f>VLOOKUP(B693,MAESTRA!I:K,2,0)</f>
        <v/>
      </c>
      <c r="D693" s="1" t="str">
        <f>VLOOKUP(B693,MAESTRA!I:K,3,0)</f>
        <v>  </v>
      </c>
      <c r="E693" s="1" t="s">
        <v>476</v>
      </c>
      <c r="F693" s="45"/>
      <c r="G693" s="2"/>
      <c r="H693" s="2">
        <f t="shared" si="1"/>
        <v>0</v>
      </c>
      <c r="I693" s="2">
        <f t="shared" si="2"/>
        <v>0</v>
      </c>
      <c r="J693" s="47" t="str">
        <f t="shared" si="3"/>
        <v/>
      </c>
      <c r="K693" s="2">
        <f t="shared" si="4"/>
        <v>0</v>
      </c>
      <c r="L693" s="1"/>
    </row>
    <row r="694">
      <c r="A694" s="56"/>
      <c r="B694" s="1" t="s">
        <v>476</v>
      </c>
      <c r="C694" s="1" t="str">
        <f>VLOOKUP(B694,MAESTRA!I:K,2,0)</f>
        <v/>
      </c>
      <c r="D694" s="1" t="str">
        <f>VLOOKUP(B694,MAESTRA!I:K,3,0)</f>
        <v>  </v>
      </c>
      <c r="E694" s="1" t="s">
        <v>476</v>
      </c>
      <c r="F694" s="45"/>
      <c r="G694" s="2"/>
      <c r="H694" s="2">
        <f t="shared" si="1"/>
        <v>0</v>
      </c>
      <c r="I694" s="2">
        <f t="shared" si="2"/>
        <v>0</v>
      </c>
      <c r="J694" s="47" t="str">
        <f t="shared" si="3"/>
        <v/>
      </c>
      <c r="K694" s="2">
        <f t="shared" si="4"/>
        <v>0</v>
      </c>
      <c r="L694" s="1"/>
    </row>
    <row r="695">
      <c r="A695" s="56"/>
      <c r="B695" s="1" t="s">
        <v>476</v>
      </c>
      <c r="C695" s="1" t="str">
        <f>VLOOKUP(B695,MAESTRA!I:K,2,0)</f>
        <v/>
      </c>
      <c r="D695" s="1" t="str">
        <f>VLOOKUP(B695,MAESTRA!I:K,3,0)</f>
        <v>  </v>
      </c>
      <c r="E695" s="1" t="s">
        <v>476</v>
      </c>
      <c r="F695" s="45"/>
      <c r="G695" s="2"/>
      <c r="H695" s="2">
        <f t="shared" si="1"/>
        <v>0</v>
      </c>
      <c r="I695" s="2">
        <f t="shared" si="2"/>
        <v>0</v>
      </c>
      <c r="J695" s="47" t="str">
        <f t="shared" si="3"/>
        <v/>
      </c>
      <c r="K695" s="2">
        <f t="shared" si="4"/>
        <v>0</v>
      </c>
      <c r="L695" s="1"/>
    </row>
    <row r="696">
      <c r="A696" s="56"/>
      <c r="B696" s="1" t="s">
        <v>476</v>
      </c>
      <c r="C696" s="1" t="str">
        <f>VLOOKUP(B696,MAESTRA!I:K,2,0)</f>
        <v/>
      </c>
      <c r="D696" s="1" t="str">
        <f>VLOOKUP(B696,MAESTRA!I:K,3,0)</f>
        <v>  </v>
      </c>
      <c r="E696" s="1" t="s">
        <v>476</v>
      </c>
      <c r="F696" s="45"/>
      <c r="G696" s="2"/>
      <c r="H696" s="2">
        <f t="shared" si="1"/>
        <v>0</v>
      </c>
      <c r="I696" s="2">
        <f t="shared" si="2"/>
        <v>0</v>
      </c>
      <c r="J696" s="47" t="str">
        <f t="shared" si="3"/>
        <v/>
      </c>
      <c r="K696" s="2">
        <f t="shared" si="4"/>
        <v>0</v>
      </c>
      <c r="L696" s="1"/>
    </row>
    <row r="697">
      <c r="A697" s="56"/>
      <c r="B697" s="1" t="s">
        <v>476</v>
      </c>
      <c r="C697" s="1" t="str">
        <f>VLOOKUP(B697,MAESTRA!I:K,2,0)</f>
        <v/>
      </c>
      <c r="D697" s="1" t="str">
        <f>VLOOKUP(B697,MAESTRA!I:K,3,0)</f>
        <v>  </v>
      </c>
      <c r="E697" s="1" t="s">
        <v>476</v>
      </c>
      <c r="F697" s="45"/>
      <c r="G697" s="2"/>
      <c r="H697" s="2">
        <f t="shared" si="1"/>
        <v>0</v>
      </c>
      <c r="I697" s="2">
        <f t="shared" si="2"/>
        <v>0</v>
      </c>
      <c r="J697" s="47" t="str">
        <f t="shared" si="3"/>
        <v/>
      </c>
      <c r="K697" s="2">
        <f t="shared" si="4"/>
        <v>0</v>
      </c>
      <c r="L697" s="1"/>
    </row>
    <row r="698">
      <c r="A698" s="56"/>
      <c r="B698" s="1" t="s">
        <v>476</v>
      </c>
      <c r="C698" s="1" t="str">
        <f>VLOOKUP(B698,MAESTRA!I:K,2,0)</f>
        <v/>
      </c>
      <c r="D698" s="1" t="str">
        <f>VLOOKUP(B698,MAESTRA!I:K,3,0)</f>
        <v>  </v>
      </c>
      <c r="E698" s="1" t="s">
        <v>476</v>
      </c>
      <c r="F698" s="45"/>
      <c r="G698" s="2"/>
      <c r="H698" s="2">
        <f t="shared" si="1"/>
        <v>0</v>
      </c>
      <c r="I698" s="2">
        <f t="shared" si="2"/>
        <v>0</v>
      </c>
      <c r="J698" s="47" t="str">
        <f t="shared" si="3"/>
        <v/>
      </c>
      <c r="K698" s="2">
        <f t="shared" si="4"/>
        <v>0</v>
      </c>
      <c r="L698" s="1"/>
    </row>
    <row r="699">
      <c r="A699" s="56"/>
      <c r="B699" s="1" t="s">
        <v>476</v>
      </c>
      <c r="C699" s="1" t="str">
        <f>VLOOKUP(B699,MAESTRA!I:K,2,0)</f>
        <v/>
      </c>
      <c r="D699" s="1" t="str">
        <f>VLOOKUP(B699,MAESTRA!I:K,3,0)</f>
        <v>  </v>
      </c>
      <c r="E699" s="1" t="s">
        <v>476</v>
      </c>
      <c r="F699" s="45"/>
      <c r="G699" s="2"/>
      <c r="H699" s="2">
        <f t="shared" si="1"/>
        <v>0</v>
      </c>
      <c r="I699" s="2">
        <f t="shared" si="2"/>
        <v>0</v>
      </c>
      <c r="J699" s="47" t="str">
        <f t="shared" si="3"/>
        <v/>
      </c>
      <c r="K699" s="2">
        <f t="shared" si="4"/>
        <v>0</v>
      </c>
      <c r="L699" s="1"/>
    </row>
    <row r="700">
      <c r="A700" s="56"/>
      <c r="B700" s="1" t="s">
        <v>476</v>
      </c>
      <c r="C700" s="1" t="str">
        <f>VLOOKUP(B700,MAESTRA!I:K,2,0)</f>
        <v/>
      </c>
      <c r="D700" s="1" t="str">
        <f>VLOOKUP(B700,MAESTRA!I:K,3,0)</f>
        <v>  </v>
      </c>
      <c r="E700" s="1" t="s">
        <v>476</v>
      </c>
      <c r="F700" s="45"/>
      <c r="G700" s="2"/>
      <c r="H700" s="2">
        <f t="shared" si="1"/>
        <v>0</v>
      </c>
      <c r="I700" s="2">
        <f t="shared" si="2"/>
        <v>0</v>
      </c>
      <c r="J700" s="47" t="str">
        <f t="shared" si="3"/>
        <v/>
      </c>
      <c r="K700" s="2">
        <f t="shared" si="4"/>
        <v>0</v>
      </c>
      <c r="L700" s="1"/>
    </row>
    <row r="701">
      <c r="A701" s="56"/>
      <c r="B701" s="1" t="s">
        <v>476</v>
      </c>
      <c r="C701" s="1" t="str">
        <f>VLOOKUP(B701,MAESTRA!I:K,2,0)</f>
        <v/>
      </c>
      <c r="D701" s="1" t="str">
        <f>VLOOKUP(B701,MAESTRA!I:K,3,0)</f>
        <v>  </v>
      </c>
      <c r="E701" s="1" t="s">
        <v>476</v>
      </c>
      <c r="F701" s="45"/>
      <c r="G701" s="2"/>
      <c r="H701" s="2">
        <f t="shared" si="1"/>
        <v>0</v>
      </c>
      <c r="I701" s="2">
        <f t="shared" si="2"/>
        <v>0</v>
      </c>
      <c r="J701" s="47" t="str">
        <f t="shared" si="3"/>
        <v/>
      </c>
      <c r="K701" s="2">
        <f t="shared" si="4"/>
        <v>0</v>
      </c>
      <c r="L701" s="1"/>
    </row>
    <row r="702">
      <c r="A702" s="56"/>
      <c r="B702" s="1" t="s">
        <v>476</v>
      </c>
      <c r="C702" s="1" t="str">
        <f>VLOOKUP(B702,MAESTRA!I:K,2,0)</f>
        <v/>
      </c>
      <c r="D702" s="1" t="str">
        <f>VLOOKUP(B702,MAESTRA!I:K,3,0)</f>
        <v>  </v>
      </c>
      <c r="E702" s="1" t="s">
        <v>476</v>
      </c>
      <c r="F702" s="45"/>
      <c r="G702" s="2"/>
      <c r="H702" s="2">
        <f t="shared" si="1"/>
        <v>0</v>
      </c>
      <c r="I702" s="2">
        <f t="shared" si="2"/>
        <v>0</v>
      </c>
      <c r="J702" s="47" t="str">
        <f t="shared" si="3"/>
        <v/>
      </c>
      <c r="K702" s="2">
        <f t="shared" si="4"/>
        <v>0</v>
      </c>
      <c r="L702" s="1"/>
    </row>
    <row r="703">
      <c r="A703" s="56"/>
      <c r="B703" s="1" t="s">
        <v>476</v>
      </c>
      <c r="C703" s="1" t="str">
        <f>VLOOKUP(B703,MAESTRA!I:K,2,0)</f>
        <v/>
      </c>
      <c r="D703" s="1" t="str">
        <f>VLOOKUP(B703,MAESTRA!I:K,3,0)</f>
        <v>  </v>
      </c>
      <c r="E703" s="1" t="s">
        <v>476</v>
      </c>
      <c r="F703" s="45"/>
      <c r="G703" s="2"/>
      <c r="H703" s="2">
        <f t="shared" si="1"/>
        <v>0</v>
      </c>
      <c r="I703" s="2">
        <f t="shared" si="2"/>
        <v>0</v>
      </c>
      <c r="J703" s="47" t="str">
        <f t="shared" si="3"/>
        <v/>
      </c>
      <c r="K703" s="2">
        <f t="shared" si="4"/>
        <v>0</v>
      </c>
      <c r="L703" s="1"/>
    </row>
    <row r="704">
      <c r="A704" s="56"/>
      <c r="B704" s="1" t="s">
        <v>476</v>
      </c>
      <c r="C704" s="1" t="str">
        <f>VLOOKUP(B704,MAESTRA!I:K,2,0)</f>
        <v/>
      </c>
      <c r="D704" s="1" t="str">
        <f>VLOOKUP(B704,MAESTRA!I:K,3,0)</f>
        <v>  </v>
      </c>
      <c r="E704" s="1" t="s">
        <v>476</v>
      </c>
      <c r="F704" s="45"/>
      <c r="G704" s="2"/>
      <c r="H704" s="2">
        <f t="shared" si="1"/>
        <v>0</v>
      </c>
      <c r="I704" s="2">
        <f t="shared" si="2"/>
        <v>0</v>
      </c>
      <c r="J704" s="47" t="str">
        <f t="shared" si="3"/>
        <v/>
      </c>
      <c r="K704" s="2">
        <f t="shared" si="4"/>
        <v>0</v>
      </c>
      <c r="L704" s="1"/>
    </row>
    <row r="705">
      <c r="A705" s="56"/>
      <c r="B705" s="1" t="s">
        <v>476</v>
      </c>
      <c r="C705" s="1" t="str">
        <f>VLOOKUP(B705,MAESTRA!I:K,2,0)</f>
        <v/>
      </c>
      <c r="D705" s="1" t="str">
        <f>VLOOKUP(B705,MAESTRA!I:K,3,0)</f>
        <v>  </v>
      </c>
      <c r="E705" s="1" t="s">
        <v>476</v>
      </c>
      <c r="F705" s="45"/>
      <c r="G705" s="2"/>
      <c r="H705" s="2">
        <f t="shared" si="1"/>
        <v>0</v>
      </c>
      <c r="I705" s="2">
        <f t="shared" si="2"/>
        <v>0</v>
      </c>
      <c r="J705" s="47" t="str">
        <f t="shared" si="3"/>
        <v/>
      </c>
      <c r="K705" s="2">
        <f t="shared" si="4"/>
        <v>0</v>
      </c>
      <c r="L705" s="1"/>
    </row>
    <row r="706">
      <c r="A706" s="56"/>
      <c r="B706" s="1" t="s">
        <v>476</v>
      </c>
      <c r="C706" s="1" t="str">
        <f>VLOOKUP(B706,MAESTRA!I:K,2,0)</f>
        <v/>
      </c>
      <c r="D706" s="1" t="str">
        <f>VLOOKUP(B706,MAESTRA!I:K,3,0)</f>
        <v>  </v>
      </c>
      <c r="E706" s="1" t="s">
        <v>476</v>
      </c>
      <c r="F706" s="45"/>
      <c r="G706" s="2"/>
      <c r="H706" s="2">
        <f t="shared" si="1"/>
        <v>0</v>
      </c>
      <c r="I706" s="2">
        <f t="shared" si="2"/>
        <v>0</v>
      </c>
      <c r="J706" s="47" t="str">
        <f t="shared" si="3"/>
        <v/>
      </c>
      <c r="K706" s="2">
        <f t="shared" si="4"/>
        <v>0</v>
      </c>
      <c r="L706" s="1"/>
    </row>
    <row r="707">
      <c r="A707" s="56"/>
      <c r="B707" s="1" t="s">
        <v>476</v>
      </c>
      <c r="C707" s="1" t="str">
        <f>VLOOKUP(B707,MAESTRA!I:K,2,0)</f>
        <v/>
      </c>
      <c r="D707" s="1" t="str">
        <f>VLOOKUP(B707,MAESTRA!I:K,3,0)</f>
        <v>  </v>
      </c>
      <c r="E707" s="1" t="s">
        <v>476</v>
      </c>
      <c r="F707" s="45"/>
      <c r="G707" s="2"/>
      <c r="H707" s="2">
        <f t="shared" si="1"/>
        <v>0</v>
      </c>
      <c r="I707" s="2">
        <f t="shared" si="2"/>
        <v>0</v>
      </c>
      <c r="J707" s="47" t="str">
        <f t="shared" si="3"/>
        <v/>
      </c>
      <c r="K707" s="2">
        <f t="shared" si="4"/>
        <v>0</v>
      </c>
      <c r="L707" s="1"/>
    </row>
    <row r="708">
      <c r="A708" s="56"/>
      <c r="B708" s="1" t="s">
        <v>476</v>
      </c>
      <c r="C708" s="1" t="str">
        <f>VLOOKUP(B708,MAESTRA!I:K,2,0)</f>
        <v/>
      </c>
      <c r="D708" s="1" t="str">
        <f>VLOOKUP(B708,MAESTRA!I:K,3,0)</f>
        <v>  </v>
      </c>
      <c r="E708" s="1" t="s">
        <v>476</v>
      </c>
      <c r="F708" s="45"/>
      <c r="G708" s="2"/>
      <c r="H708" s="2">
        <f t="shared" si="1"/>
        <v>0</v>
      </c>
      <c r="I708" s="2">
        <f t="shared" si="2"/>
        <v>0</v>
      </c>
      <c r="J708" s="47" t="str">
        <f t="shared" si="3"/>
        <v/>
      </c>
      <c r="K708" s="2">
        <f t="shared" si="4"/>
        <v>0</v>
      </c>
      <c r="L708" s="1"/>
    </row>
    <row r="709">
      <c r="A709" s="56"/>
      <c r="B709" s="1" t="s">
        <v>476</v>
      </c>
      <c r="C709" s="1" t="str">
        <f>VLOOKUP(B709,MAESTRA!I:K,2,0)</f>
        <v/>
      </c>
      <c r="D709" s="1" t="str">
        <f>VLOOKUP(B709,MAESTRA!I:K,3,0)</f>
        <v>  </v>
      </c>
      <c r="E709" s="1" t="s">
        <v>476</v>
      </c>
      <c r="F709" s="45"/>
      <c r="G709" s="2"/>
      <c r="H709" s="2">
        <f t="shared" si="1"/>
        <v>0</v>
      </c>
      <c r="I709" s="2">
        <f t="shared" si="2"/>
        <v>0</v>
      </c>
      <c r="J709" s="47" t="str">
        <f t="shared" si="3"/>
        <v/>
      </c>
      <c r="K709" s="2">
        <f t="shared" si="4"/>
        <v>0</v>
      </c>
      <c r="L709" s="1"/>
    </row>
    <row r="710">
      <c r="A710" s="56"/>
      <c r="B710" s="1" t="s">
        <v>476</v>
      </c>
      <c r="C710" s="1" t="str">
        <f>VLOOKUP(B710,MAESTRA!I:K,2,0)</f>
        <v/>
      </c>
      <c r="D710" s="1" t="str">
        <f>VLOOKUP(B710,MAESTRA!I:K,3,0)</f>
        <v>  </v>
      </c>
      <c r="E710" s="1" t="s">
        <v>476</v>
      </c>
      <c r="F710" s="45"/>
      <c r="G710" s="2"/>
      <c r="H710" s="2">
        <f t="shared" si="1"/>
        <v>0</v>
      </c>
      <c r="I710" s="2">
        <f t="shared" si="2"/>
        <v>0</v>
      </c>
      <c r="J710" s="47" t="str">
        <f t="shared" si="3"/>
        <v/>
      </c>
      <c r="K710" s="2">
        <f t="shared" si="4"/>
        <v>0</v>
      </c>
      <c r="L710" s="1"/>
    </row>
    <row r="711">
      <c r="A711" s="56"/>
      <c r="B711" s="1" t="s">
        <v>476</v>
      </c>
      <c r="C711" s="1" t="str">
        <f>VLOOKUP(B711,MAESTRA!I:K,2,0)</f>
        <v/>
      </c>
      <c r="D711" s="1" t="str">
        <f>VLOOKUP(B711,MAESTRA!I:K,3,0)</f>
        <v>  </v>
      </c>
      <c r="E711" s="1" t="s">
        <v>476</v>
      </c>
      <c r="F711" s="45"/>
      <c r="G711" s="2"/>
      <c r="H711" s="2">
        <f t="shared" si="1"/>
        <v>0</v>
      </c>
      <c r="I711" s="2">
        <f t="shared" si="2"/>
        <v>0</v>
      </c>
      <c r="J711" s="47" t="str">
        <f t="shared" si="3"/>
        <v/>
      </c>
      <c r="K711" s="2">
        <f t="shared" si="4"/>
        <v>0</v>
      </c>
      <c r="L711" s="1"/>
    </row>
    <row r="712">
      <c r="A712" s="56"/>
      <c r="B712" s="1" t="s">
        <v>476</v>
      </c>
      <c r="C712" s="1" t="str">
        <f>VLOOKUP(B712,MAESTRA!I:K,2,0)</f>
        <v/>
      </c>
      <c r="D712" s="1" t="str">
        <f>VLOOKUP(B712,MAESTRA!I:K,3,0)</f>
        <v>  </v>
      </c>
      <c r="E712" s="1" t="s">
        <v>476</v>
      </c>
      <c r="F712" s="45"/>
      <c r="G712" s="2"/>
      <c r="H712" s="2">
        <f t="shared" si="1"/>
        <v>0</v>
      </c>
      <c r="I712" s="2">
        <f t="shared" si="2"/>
        <v>0</v>
      </c>
      <c r="J712" s="47" t="str">
        <f t="shared" si="3"/>
        <v/>
      </c>
      <c r="K712" s="2">
        <f t="shared" si="4"/>
        <v>0</v>
      </c>
      <c r="L712" s="1"/>
    </row>
    <row r="713">
      <c r="A713" s="56"/>
      <c r="B713" s="1" t="s">
        <v>476</v>
      </c>
      <c r="C713" s="1" t="str">
        <f>VLOOKUP(B713,MAESTRA!I:K,2,0)</f>
        <v/>
      </c>
      <c r="D713" s="1" t="str">
        <f>VLOOKUP(B713,MAESTRA!I:K,3,0)</f>
        <v>  </v>
      </c>
      <c r="E713" s="1" t="s">
        <v>476</v>
      </c>
      <c r="F713" s="45"/>
      <c r="G713" s="2"/>
      <c r="H713" s="2">
        <f t="shared" si="1"/>
        <v>0</v>
      </c>
      <c r="I713" s="2">
        <f t="shared" si="2"/>
        <v>0</v>
      </c>
      <c r="J713" s="47" t="str">
        <f t="shared" si="3"/>
        <v/>
      </c>
      <c r="K713" s="2">
        <f t="shared" si="4"/>
        <v>0</v>
      </c>
      <c r="L713" s="1"/>
    </row>
    <row r="714">
      <c r="A714" s="56"/>
      <c r="B714" s="1" t="s">
        <v>476</v>
      </c>
      <c r="C714" s="1" t="str">
        <f>VLOOKUP(B714,MAESTRA!I:K,2,0)</f>
        <v/>
      </c>
      <c r="D714" s="1" t="str">
        <f>VLOOKUP(B714,MAESTRA!I:K,3,0)</f>
        <v>  </v>
      </c>
      <c r="E714" s="1" t="s">
        <v>476</v>
      </c>
      <c r="F714" s="45"/>
      <c r="G714" s="2"/>
      <c r="H714" s="2">
        <f t="shared" si="1"/>
        <v>0</v>
      </c>
      <c r="I714" s="2">
        <f t="shared" si="2"/>
        <v>0</v>
      </c>
      <c r="J714" s="47" t="str">
        <f t="shared" si="3"/>
        <v/>
      </c>
      <c r="K714" s="2">
        <f t="shared" si="4"/>
        <v>0</v>
      </c>
      <c r="L714" s="1"/>
    </row>
    <row r="715">
      <c r="A715" s="56"/>
      <c r="B715" s="1" t="s">
        <v>476</v>
      </c>
      <c r="C715" s="1" t="str">
        <f>VLOOKUP(B715,MAESTRA!I:K,2,0)</f>
        <v/>
      </c>
      <c r="D715" s="1" t="str">
        <f>VLOOKUP(B715,MAESTRA!I:K,3,0)</f>
        <v>  </v>
      </c>
      <c r="E715" s="1" t="s">
        <v>476</v>
      </c>
      <c r="F715" s="45"/>
      <c r="G715" s="2"/>
      <c r="H715" s="2">
        <f t="shared" si="1"/>
        <v>0</v>
      </c>
      <c r="I715" s="2">
        <f t="shared" si="2"/>
        <v>0</v>
      </c>
      <c r="J715" s="47" t="str">
        <f t="shared" si="3"/>
        <v/>
      </c>
      <c r="K715" s="2">
        <f t="shared" si="4"/>
        <v>0</v>
      </c>
      <c r="L715" s="1"/>
    </row>
    <row r="716">
      <c r="A716" s="56"/>
      <c r="B716" s="1" t="s">
        <v>476</v>
      </c>
      <c r="C716" s="1" t="str">
        <f>VLOOKUP(B716,MAESTRA!I:K,2,0)</f>
        <v/>
      </c>
      <c r="D716" s="1" t="str">
        <f>VLOOKUP(B716,MAESTRA!I:K,3,0)</f>
        <v>  </v>
      </c>
      <c r="E716" s="1" t="s">
        <v>476</v>
      </c>
      <c r="F716" s="45"/>
      <c r="G716" s="2"/>
      <c r="H716" s="2">
        <f t="shared" si="1"/>
        <v>0</v>
      </c>
      <c r="I716" s="2">
        <f t="shared" si="2"/>
        <v>0</v>
      </c>
      <c r="J716" s="47" t="str">
        <f t="shared" si="3"/>
        <v/>
      </c>
      <c r="K716" s="2">
        <f t="shared" si="4"/>
        <v>0</v>
      </c>
      <c r="L716" s="1"/>
    </row>
    <row r="717">
      <c r="A717" s="56"/>
      <c r="B717" s="1" t="s">
        <v>476</v>
      </c>
      <c r="C717" s="1" t="str">
        <f>VLOOKUP(B717,MAESTRA!I:K,2,0)</f>
        <v/>
      </c>
      <c r="D717" s="1" t="str">
        <f>VLOOKUP(B717,MAESTRA!I:K,3,0)</f>
        <v>  </v>
      </c>
      <c r="E717" s="1" t="s">
        <v>476</v>
      </c>
      <c r="F717" s="45"/>
      <c r="G717" s="2"/>
      <c r="H717" s="2">
        <f t="shared" si="1"/>
        <v>0</v>
      </c>
      <c r="I717" s="2">
        <f t="shared" si="2"/>
        <v>0</v>
      </c>
      <c r="J717" s="47" t="str">
        <f t="shared" si="3"/>
        <v/>
      </c>
      <c r="K717" s="2">
        <f t="shared" si="4"/>
        <v>0</v>
      </c>
      <c r="L717" s="1"/>
    </row>
    <row r="718">
      <c r="A718" s="56"/>
      <c r="B718" s="1" t="s">
        <v>476</v>
      </c>
      <c r="C718" s="1" t="str">
        <f>VLOOKUP(B718,MAESTRA!I:K,2,0)</f>
        <v/>
      </c>
      <c r="D718" s="1" t="str">
        <f>VLOOKUP(B718,MAESTRA!I:K,3,0)</f>
        <v>  </v>
      </c>
      <c r="E718" s="1" t="s">
        <v>476</v>
      </c>
      <c r="F718" s="45"/>
      <c r="G718" s="2"/>
      <c r="H718" s="2">
        <f t="shared" si="1"/>
        <v>0</v>
      </c>
      <c r="I718" s="2">
        <f t="shared" si="2"/>
        <v>0</v>
      </c>
      <c r="J718" s="47" t="str">
        <f t="shared" si="3"/>
        <v/>
      </c>
      <c r="K718" s="2">
        <f t="shared" si="4"/>
        <v>0</v>
      </c>
      <c r="L718" s="1"/>
    </row>
    <row r="719">
      <c r="A719" s="56"/>
      <c r="B719" s="1" t="s">
        <v>476</v>
      </c>
      <c r="C719" s="1" t="str">
        <f>VLOOKUP(B719,MAESTRA!I:K,2,0)</f>
        <v/>
      </c>
      <c r="D719" s="1" t="str">
        <f>VLOOKUP(B719,MAESTRA!I:K,3,0)</f>
        <v>  </v>
      </c>
      <c r="E719" s="1" t="s">
        <v>476</v>
      </c>
      <c r="F719" s="45"/>
      <c r="G719" s="2"/>
      <c r="H719" s="2">
        <f t="shared" si="1"/>
        <v>0</v>
      </c>
      <c r="I719" s="2">
        <f t="shared" si="2"/>
        <v>0</v>
      </c>
      <c r="J719" s="47" t="str">
        <f t="shared" si="3"/>
        <v/>
      </c>
      <c r="K719" s="2">
        <f t="shared" si="4"/>
        <v>0</v>
      </c>
      <c r="L719" s="1"/>
    </row>
    <row r="720">
      <c r="A720" s="56"/>
      <c r="B720" s="1" t="s">
        <v>476</v>
      </c>
      <c r="C720" s="1" t="str">
        <f>VLOOKUP(B720,MAESTRA!I:K,2,0)</f>
        <v/>
      </c>
      <c r="D720" s="1" t="str">
        <f>VLOOKUP(B720,MAESTRA!I:K,3,0)</f>
        <v>  </v>
      </c>
      <c r="E720" s="1" t="s">
        <v>476</v>
      </c>
      <c r="F720" s="45"/>
      <c r="G720" s="2"/>
      <c r="H720" s="2">
        <f t="shared" si="1"/>
        <v>0</v>
      </c>
      <c r="I720" s="2">
        <f t="shared" si="2"/>
        <v>0</v>
      </c>
      <c r="J720" s="47" t="str">
        <f t="shared" si="3"/>
        <v/>
      </c>
      <c r="K720" s="2">
        <f t="shared" si="4"/>
        <v>0</v>
      </c>
      <c r="L720" s="1"/>
    </row>
    <row r="721">
      <c r="A721" s="56"/>
      <c r="B721" s="1" t="s">
        <v>476</v>
      </c>
      <c r="C721" s="1" t="str">
        <f>VLOOKUP(B721,MAESTRA!I:K,2,0)</f>
        <v/>
      </c>
      <c r="D721" s="1" t="str">
        <f>VLOOKUP(B721,MAESTRA!I:K,3,0)</f>
        <v>  </v>
      </c>
      <c r="E721" s="1" t="s">
        <v>476</v>
      </c>
      <c r="F721" s="45"/>
      <c r="G721" s="2"/>
      <c r="H721" s="2">
        <f t="shared" si="1"/>
        <v>0</v>
      </c>
      <c r="I721" s="2">
        <f t="shared" si="2"/>
        <v>0</v>
      </c>
      <c r="J721" s="47" t="str">
        <f t="shared" si="3"/>
        <v/>
      </c>
      <c r="K721" s="2">
        <f t="shared" si="4"/>
        <v>0</v>
      </c>
      <c r="L721" s="1"/>
    </row>
    <row r="722">
      <c r="A722" s="56"/>
      <c r="B722" s="1" t="s">
        <v>476</v>
      </c>
      <c r="C722" s="1" t="str">
        <f>VLOOKUP(B722,MAESTRA!I:K,2,0)</f>
        <v/>
      </c>
      <c r="D722" s="1" t="str">
        <f>VLOOKUP(B722,MAESTRA!I:K,3,0)</f>
        <v>  </v>
      </c>
      <c r="E722" s="1" t="s">
        <v>476</v>
      </c>
      <c r="F722" s="45"/>
      <c r="G722" s="2"/>
      <c r="H722" s="2">
        <f t="shared" si="1"/>
        <v>0</v>
      </c>
      <c r="I722" s="2">
        <f t="shared" si="2"/>
        <v>0</v>
      </c>
      <c r="J722" s="47" t="str">
        <f t="shared" si="3"/>
        <v/>
      </c>
      <c r="K722" s="2">
        <f t="shared" si="4"/>
        <v>0</v>
      </c>
      <c r="L722" s="1"/>
    </row>
    <row r="723">
      <c r="A723" s="56"/>
      <c r="B723" s="1" t="s">
        <v>476</v>
      </c>
      <c r="C723" s="1" t="str">
        <f>VLOOKUP(B723,MAESTRA!I:K,2,0)</f>
        <v/>
      </c>
      <c r="D723" s="1" t="str">
        <f>VLOOKUP(B723,MAESTRA!I:K,3,0)</f>
        <v>  </v>
      </c>
      <c r="E723" s="1" t="s">
        <v>476</v>
      </c>
      <c r="F723" s="45"/>
      <c r="G723" s="2"/>
      <c r="H723" s="2">
        <f t="shared" si="1"/>
        <v>0</v>
      </c>
      <c r="I723" s="2">
        <f t="shared" si="2"/>
        <v>0</v>
      </c>
      <c r="J723" s="47" t="str">
        <f t="shared" si="3"/>
        <v/>
      </c>
      <c r="K723" s="2">
        <f t="shared" si="4"/>
        <v>0</v>
      </c>
      <c r="L723" s="1"/>
    </row>
    <row r="724">
      <c r="A724" s="56"/>
      <c r="B724" s="1" t="s">
        <v>476</v>
      </c>
      <c r="C724" s="1" t="str">
        <f>VLOOKUP(B724,MAESTRA!I:K,2,0)</f>
        <v/>
      </c>
      <c r="D724" s="1" t="str">
        <f>VLOOKUP(B724,MAESTRA!I:K,3,0)</f>
        <v>  </v>
      </c>
      <c r="E724" s="1" t="s">
        <v>476</v>
      </c>
      <c r="F724" s="45"/>
      <c r="G724" s="2"/>
      <c r="H724" s="2">
        <f t="shared" si="1"/>
        <v>0</v>
      </c>
      <c r="I724" s="2">
        <f t="shared" si="2"/>
        <v>0</v>
      </c>
      <c r="J724" s="47" t="str">
        <f t="shared" si="3"/>
        <v/>
      </c>
      <c r="K724" s="2">
        <f t="shared" si="4"/>
        <v>0</v>
      </c>
      <c r="L724" s="1"/>
    </row>
    <row r="725">
      <c r="A725" s="56"/>
      <c r="B725" s="1" t="s">
        <v>476</v>
      </c>
      <c r="C725" s="1" t="str">
        <f>VLOOKUP(B725,MAESTRA!I:K,2,0)</f>
        <v/>
      </c>
      <c r="D725" s="1" t="str">
        <f>VLOOKUP(B725,MAESTRA!I:K,3,0)</f>
        <v>  </v>
      </c>
      <c r="E725" s="1" t="s">
        <v>476</v>
      </c>
      <c r="F725" s="45"/>
      <c r="G725" s="2"/>
      <c r="H725" s="2">
        <f t="shared" si="1"/>
        <v>0</v>
      </c>
      <c r="I725" s="2">
        <f t="shared" si="2"/>
        <v>0</v>
      </c>
      <c r="J725" s="47" t="str">
        <f t="shared" si="3"/>
        <v/>
      </c>
      <c r="K725" s="2">
        <f t="shared" si="4"/>
        <v>0</v>
      </c>
      <c r="L725" s="1"/>
    </row>
    <row r="726">
      <c r="A726" s="56"/>
      <c r="B726" s="1" t="s">
        <v>476</v>
      </c>
      <c r="C726" s="1" t="str">
        <f>VLOOKUP(B726,MAESTRA!I:K,2,0)</f>
        <v/>
      </c>
      <c r="D726" s="1" t="str">
        <f>VLOOKUP(B726,MAESTRA!I:K,3,0)</f>
        <v>  </v>
      </c>
      <c r="E726" s="1" t="s">
        <v>476</v>
      </c>
      <c r="F726" s="45"/>
      <c r="G726" s="2"/>
      <c r="H726" s="2">
        <f t="shared" si="1"/>
        <v>0</v>
      </c>
      <c r="I726" s="2">
        <f t="shared" si="2"/>
        <v>0</v>
      </c>
      <c r="J726" s="47" t="str">
        <f t="shared" si="3"/>
        <v/>
      </c>
      <c r="K726" s="2">
        <f t="shared" si="4"/>
        <v>0</v>
      </c>
      <c r="L726" s="1"/>
    </row>
    <row r="727">
      <c r="A727" s="56"/>
      <c r="B727" s="1" t="s">
        <v>476</v>
      </c>
      <c r="C727" s="1" t="str">
        <f>VLOOKUP(B727,MAESTRA!I:K,2,0)</f>
        <v/>
      </c>
      <c r="D727" s="1" t="str">
        <f>VLOOKUP(B727,MAESTRA!I:K,3,0)</f>
        <v>  </v>
      </c>
      <c r="E727" s="1" t="s">
        <v>476</v>
      </c>
      <c r="F727" s="45"/>
      <c r="G727" s="2"/>
      <c r="H727" s="2">
        <f t="shared" si="1"/>
        <v>0</v>
      </c>
      <c r="I727" s="2">
        <f t="shared" si="2"/>
        <v>0</v>
      </c>
      <c r="J727" s="47" t="str">
        <f t="shared" si="3"/>
        <v/>
      </c>
      <c r="K727" s="2">
        <f t="shared" si="4"/>
        <v>0</v>
      </c>
      <c r="L727" s="1"/>
    </row>
    <row r="728">
      <c r="A728" s="56"/>
      <c r="B728" s="1" t="s">
        <v>476</v>
      </c>
      <c r="C728" s="1" t="str">
        <f>VLOOKUP(B728,MAESTRA!I:K,2,0)</f>
        <v/>
      </c>
      <c r="D728" s="1" t="str">
        <f>VLOOKUP(B728,MAESTRA!I:K,3,0)</f>
        <v>  </v>
      </c>
      <c r="E728" s="1" t="s">
        <v>476</v>
      </c>
      <c r="F728" s="45"/>
      <c r="G728" s="2"/>
      <c r="H728" s="2">
        <f t="shared" si="1"/>
        <v>0</v>
      </c>
      <c r="I728" s="2">
        <f t="shared" si="2"/>
        <v>0</v>
      </c>
      <c r="J728" s="47" t="str">
        <f t="shared" si="3"/>
        <v/>
      </c>
      <c r="K728" s="2">
        <f t="shared" si="4"/>
        <v>0</v>
      </c>
      <c r="L728" s="1"/>
    </row>
    <row r="729">
      <c r="A729" s="56"/>
      <c r="B729" s="1" t="s">
        <v>476</v>
      </c>
      <c r="C729" s="1" t="str">
        <f>VLOOKUP(B729,MAESTRA!I:K,2,0)</f>
        <v/>
      </c>
      <c r="D729" s="1" t="str">
        <f>VLOOKUP(B729,MAESTRA!I:K,3,0)</f>
        <v>  </v>
      </c>
      <c r="E729" s="1" t="s">
        <v>476</v>
      </c>
      <c r="F729" s="45"/>
      <c r="G729" s="2"/>
      <c r="H729" s="2">
        <f t="shared" si="1"/>
        <v>0</v>
      </c>
      <c r="I729" s="2">
        <f t="shared" si="2"/>
        <v>0</v>
      </c>
      <c r="J729" s="47" t="str">
        <f t="shared" si="3"/>
        <v/>
      </c>
      <c r="K729" s="2">
        <f t="shared" si="4"/>
        <v>0</v>
      </c>
      <c r="L729" s="1"/>
    </row>
    <row r="730">
      <c r="A730" s="56"/>
      <c r="B730" s="1" t="s">
        <v>476</v>
      </c>
      <c r="C730" s="1" t="str">
        <f>VLOOKUP(B730,MAESTRA!I:K,2,0)</f>
        <v/>
      </c>
      <c r="D730" s="1" t="str">
        <f>VLOOKUP(B730,MAESTRA!I:K,3,0)</f>
        <v>  </v>
      </c>
      <c r="E730" s="1" t="s">
        <v>476</v>
      </c>
      <c r="F730" s="45"/>
      <c r="G730" s="2"/>
      <c r="H730" s="2">
        <f t="shared" si="1"/>
        <v>0</v>
      </c>
      <c r="I730" s="2">
        <f t="shared" si="2"/>
        <v>0</v>
      </c>
      <c r="J730" s="47" t="str">
        <f t="shared" si="3"/>
        <v/>
      </c>
      <c r="K730" s="2">
        <f t="shared" si="4"/>
        <v>0</v>
      </c>
      <c r="L730" s="1"/>
    </row>
    <row r="731">
      <c r="A731" s="56"/>
      <c r="B731" s="1" t="s">
        <v>476</v>
      </c>
      <c r="C731" s="1" t="str">
        <f>VLOOKUP(B731,MAESTRA!I:K,2,0)</f>
        <v/>
      </c>
      <c r="D731" s="1" t="str">
        <f>VLOOKUP(B731,MAESTRA!I:K,3,0)</f>
        <v>  </v>
      </c>
      <c r="E731" s="1" t="s">
        <v>476</v>
      </c>
      <c r="F731" s="45"/>
      <c r="G731" s="2"/>
      <c r="H731" s="2">
        <f t="shared" si="1"/>
        <v>0</v>
      </c>
      <c r="I731" s="2">
        <f t="shared" si="2"/>
        <v>0</v>
      </c>
      <c r="J731" s="47" t="str">
        <f t="shared" si="3"/>
        <v/>
      </c>
      <c r="K731" s="2">
        <f t="shared" si="4"/>
        <v>0</v>
      </c>
      <c r="L731" s="1"/>
    </row>
    <row r="732">
      <c r="A732" s="56"/>
      <c r="B732" s="1" t="s">
        <v>476</v>
      </c>
      <c r="C732" s="1" t="str">
        <f>VLOOKUP(B732,MAESTRA!I:K,2,0)</f>
        <v/>
      </c>
      <c r="D732" s="1" t="str">
        <f>VLOOKUP(B732,MAESTRA!I:K,3,0)</f>
        <v>  </v>
      </c>
      <c r="E732" s="1" t="s">
        <v>476</v>
      </c>
      <c r="F732" s="45"/>
      <c r="G732" s="2"/>
      <c r="H732" s="2">
        <f t="shared" si="1"/>
        <v>0</v>
      </c>
      <c r="I732" s="2">
        <f t="shared" si="2"/>
        <v>0</v>
      </c>
      <c r="J732" s="47" t="str">
        <f t="shared" si="3"/>
        <v/>
      </c>
      <c r="K732" s="2">
        <f t="shared" si="4"/>
        <v>0</v>
      </c>
      <c r="L732" s="1"/>
    </row>
    <row r="733">
      <c r="A733" s="56"/>
      <c r="B733" s="1" t="s">
        <v>476</v>
      </c>
      <c r="C733" s="1" t="str">
        <f>VLOOKUP(B733,MAESTRA!I:K,2,0)</f>
        <v/>
      </c>
      <c r="D733" s="1" t="str">
        <f>VLOOKUP(B733,MAESTRA!I:K,3,0)</f>
        <v>  </v>
      </c>
      <c r="E733" s="1" t="s">
        <v>476</v>
      </c>
      <c r="F733" s="45"/>
      <c r="G733" s="2"/>
      <c r="H733" s="2">
        <f t="shared" si="1"/>
        <v>0</v>
      </c>
      <c r="I733" s="2">
        <f t="shared" si="2"/>
        <v>0</v>
      </c>
      <c r="J733" s="47" t="str">
        <f t="shared" si="3"/>
        <v/>
      </c>
      <c r="K733" s="2">
        <f t="shared" si="4"/>
        <v>0</v>
      </c>
      <c r="L733" s="1"/>
    </row>
    <row r="734">
      <c r="A734" s="56"/>
      <c r="B734" s="1" t="s">
        <v>476</v>
      </c>
      <c r="C734" s="1" t="str">
        <f>VLOOKUP(B734,MAESTRA!I:K,2,0)</f>
        <v/>
      </c>
      <c r="D734" s="1" t="str">
        <f>VLOOKUP(B734,MAESTRA!I:K,3,0)</f>
        <v>  </v>
      </c>
      <c r="E734" s="1" t="s">
        <v>476</v>
      </c>
      <c r="F734" s="45"/>
      <c r="G734" s="2"/>
      <c r="H734" s="2">
        <f t="shared" si="1"/>
        <v>0</v>
      </c>
      <c r="I734" s="2">
        <f t="shared" si="2"/>
        <v>0</v>
      </c>
      <c r="J734" s="47" t="str">
        <f t="shared" si="3"/>
        <v/>
      </c>
      <c r="K734" s="2">
        <f t="shared" si="4"/>
        <v>0</v>
      </c>
      <c r="L734" s="1"/>
    </row>
    <row r="735">
      <c r="A735" s="56"/>
      <c r="B735" s="1" t="s">
        <v>476</v>
      </c>
      <c r="C735" s="1" t="str">
        <f>VLOOKUP(B735,MAESTRA!I:K,2,0)</f>
        <v/>
      </c>
      <c r="D735" s="1" t="str">
        <f>VLOOKUP(B735,MAESTRA!I:K,3,0)</f>
        <v>  </v>
      </c>
      <c r="E735" s="1" t="s">
        <v>476</v>
      </c>
      <c r="F735" s="45"/>
      <c r="G735" s="2"/>
      <c r="H735" s="2">
        <f t="shared" si="1"/>
        <v>0</v>
      </c>
      <c r="I735" s="2">
        <f t="shared" si="2"/>
        <v>0</v>
      </c>
      <c r="J735" s="47" t="str">
        <f t="shared" si="3"/>
        <v/>
      </c>
      <c r="K735" s="2">
        <f t="shared" si="4"/>
        <v>0</v>
      </c>
      <c r="L735" s="1"/>
    </row>
    <row r="736">
      <c r="A736" s="56"/>
      <c r="B736" s="1" t="s">
        <v>476</v>
      </c>
      <c r="C736" s="1" t="str">
        <f>VLOOKUP(B736,MAESTRA!I:K,2,0)</f>
        <v/>
      </c>
      <c r="D736" s="1" t="str">
        <f>VLOOKUP(B736,MAESTRA!I:K,3,0)</f>
        <v>  </v>
      </c>
      <c r="E736" s="1" t="s">
        <v>476</v>
      </c>
      <c r="F736" s="45"/>
      <c r="G736" s="2"/>
      <c r="H736" s="2">
        <f t="shared" si="1"/>
        <v>0</v>
      </c>
      <c r="I736" s="2">
        <f t="shared" si="2"/>
        <v>0</v>
      </c>
      <c r="J736" s="47" t="str">
        <f t="shared" si="3"/>
        <v/>
      </c>
      <c r="K736" s="2">
        <f t="shared" si="4"/>
        <v>0</v>
      </c>
      <c r="L736" s="1"/>
    </row>
    <row r="737">
      <c r="A737" s="56"/>
      <c r="B737" s="1" t="s">
        <v>476</v>
      </c>
      <c r="C737" s="1" t="str">
        <f>VLOOKUP(B737,MAESTRA!I:K,2,0)</f>
        <v/>
      </c>
      <c r="D737" s="1" t="str">
        <f>VLOOKUP(B737,MAESTRA!I:K,3,0)</f>
        <v>  </v>
      </c>
      <c r="E737" s="1" t="s">
        <v>476</v>
      </c>
      <c r="F737" s="45"/>
      <c r="G737" s="2"/>
      <c r="H737" s="2">
        <f t="shared" si="1"/>
        <v>0</v>
      </c>
      <c r="I737" s="2">
        <f t="shared" si="2"/>
        <v>0</v>
      </c>
      <c r="J737" s="47" t="str">
        <f t="shared" si="3"/>
        <v/>
      </c>
      <c r="K737" s="2">
        <f t="shared" si="4"/>
        <v>0</v>
      </c>
      <c r="L737" s="1"/>
    </row>
    <row r="738">
      <c r="A738" s="56"/>
      <c r="B738" s="1" t="s">
        <v>476</v>
      </c>
      <c r="C738" s="1" t="str">
        <f>VLOOKUP(B738,MAESTRA!I:K,2,0)</f>
        <v/>
      </c>
      <c r="D738" s="1" t="str">
        <f>VLOOKUP(B738,MAESTRA!I:K,3,0)</f>
        <v>  </v>
      </c>
      <c r="E738" s="1" t="s">
        <v>476</v>
      </c>
      <c r="F738" s="45"/>
      <c r="G738" s="2"/>
      <c r="H738" s="2">
        <f t="shared" si="1"/>
        <v>0</v>
      </c>
      <c r="I738" s="2">
        <f t="shared" si="2"/>
        <v>0</v>
      </c>
      <c r="J738" s="47" t="str">
        <f t="shared" si="3"/>
        <v/>
      </c>
      <c r="K738" s="2">
        <f t="shared" si="4"/>
        <v>0</v>
      </c>
      <c r="L738" s="1"/>
    </row>
    <row r="739">
      <c r="A739" s="56"/>
      <c r="B739" s="1" t="s">
        <v>476</v>
      </c>
      <c r="C739" s="1" t="str">
        <f>VLOOKUP(B739,MAESTRA!I:K,2,0)</f>
        <v/>
      </c>
      <c r="D739" s="1" t="str">
        <f>VLOOKUP(B739,MAESTRA!I:K,3,0)</f>
        <v>  </v>
      </c>
      <c r="E739" s="1" t="s">
        <v>476</v>
      </c>
      <c r="F739" s="45"/>
      <c r="G739" s="2"/>
      <c r="H739" s="2">
        <f t="shared" si="1"/>
        <v>0</v>
      </c>
      <c r="I739" s="2">
        <f t="shared" si="2"/>
        <v>0</v>
      </c>
      <c r="J739" s="47" t="str">
        <f t="shared" si="3"/>
        <v/>
      </c>
      <c r="K739" s="2">
        <f t="shared" si="4"/>
        <v>0</v>
      </c>
      <c r="L739" s="1"/>
    </row>
    <row r="740">
      <c r="A740" s="56"/>
      <c r="B740" s="1" t="s">
        <v>476</v>
      </c>
      <c r="C740" s="1" t="str">
        <f>VLOOKUP(B740,MAESTRA!I:K,2,0)</f>
        <v/>
      </c>
      <c r="D740" s="1" t="str">
        <f>VLOOKUP(B740,MAESTRA!I:K,3,0)</f>
        <v>  </v>
      </c>
      <c r="E740" s="1" t="s">
        <v>476</v>
      </c>
      <c r="F740" s="45"/>
      <c r="G740" s="2"/>
      <c r="H740" s="2">
        <f t="shared" si="1"/>
        <v>0</v>
      </c>
      <c r="I740" s="2">
        <f t="shared" si="2"/>
        <v>0</v>
      </c>
      <c r="J740" s="47" t="str">
        <f t="shared" si="3"/>
        <v/>
      </c>
      <c r="K740" s="2">
        <f t="shared" si="4"/>
        <v>0</v>
      </c>
      <c r="L740" s="1"/>
    </row>
    <row r="741">
      <c r="A741" s="56"/>
      <c r="B741" s="1" t="s">
        <v>476</v>
      </c>
      <c r="C741" s="1" t="str">
        <f>VLOOKUP(B741,MAESTRA!I:K,2,0)</f>
        <v/>
      </c>
      <c r="D741" s="1" t="str">
        <f>VLOOKUP(B741,MAESTRA!I:K,3,0)</f>
        <v>  </v>
      </c>
      <c r="E741" s="1" t="s">
        <v>476</v>
      </c>
      <c r="F741" s="45"/>
      <c r="G741" s="2"/>
      <c r="H741" s="2">
        <f t="shared" si="1"/>
        <v>0</v>
      </c>
      <c r="I741" s="2">
        <f t="shared" si="2"/>
        <v>0</v>
      </c>
      <c r="J741" s="47" t="str">
        <f t="shared" si="3"/>
        <v/>
      </c>
      <c r="K741" s="2">
        <f t="shared" si="4"/>
        <v>0</v>
      </c>
      <c r="L741" s="1"/>
    </row>
    <row r="742">
      <c r="A742" s="56"/>
      <c r="B742" s="1" t="s">
        <v>476</v>
      </c>
      <c r="C742" s="1" t="str">
        <f>VLOOKUP(B742,MAESTRA!I:K,2,0)</f>
        <v/>
      </c>
      <c r="D742" s="1" t="str">
        <f>VLOOKUP(B742,MAESTRA!I:K,3,0)</f>
        <v>  </v>
      </c>
      <c r="E742" s="1" t="s">
        <v>476</v>
      </c>
      <c r="F742" s="45"/>
      <c r="G742" s="2"/>
      <c r="H742" s="2">
        <f t="shared" si="1"/>
        <v>0</v>
      </c>
      <c r="I742" s="2">
        <f t="shared" si="2"/>
        <v>0</v>
      </c>
      <c r="J742" s="47" t="str">
        <f t="shared" si="3"/>
        <v/>
      </c>
      <c r="K742" s="2">
        <f t="shared" si="4"/>
        <v>0</v>
      </c>
      <c r="L742" s="1"/>
    </row>
    <row r="743">
      <c r="A743" s="56"/>
      <c r="B743" s="1" t="s">
        <v>476</v>
      </c>
      <c r="C743" s="1" t="str">
        <f>VLOOKUP(B743,MAESTRA!I:K,2,0)</f>
        <v/>
      </c>
      <c r="D743" s="1" t="str">
        <f>VLOOKUP(B743,MAESTRA!I:K,3,0)</f>
        <v>  </v>
      </c>
      <c r="E743" s="1" t="s">
        <v>476</v>
      </c>
      <c r="F743" s="45"/>
      <c r="G743" s="2"/>
      <c r="H743" s="2">
        <f t="shared" si="1"/>
        <v>0</v>
      </c>
      <c r="I743" s="2">
        <f t="shared" si="2"/>
        <v>0</v>
      </c>
      <c r="J743" s="47" t="str">
        <f t="shared" si="3"/>
        <v/>
      </c>
      <c r="K743" s="2">
        <f t="shared" si="4"/>
        <v>0</v>
      </c>
      <c r="L743" s="1"/>
    </row>
    <row r="744">
      <c r="A744" s="56"/>
      <c r="B744" s="1" t="s">
        <v>476</v>
      </c>
      <c r="C744" s="1" t="str">
        <f>VLOOKUP(B744,MAESTRA!I:K,2,0)</f>
        <v/>
      </c>
      <c r="D744" s="1" t="str">
        <f>VLOOKUP(B744,MAESTRA!I:K,3,0)</f>
        <v>  </v>
      </c>
      <c r="E744" s="1" t="s">
        <v>476</v>
      </c>
      <c r="F744" s="45"/>
      <c r="G744" s="2"/>
      <c r="H744" s="2">
        <f t="shared" si="1"/>
        <v>0</v>
      </c>
      <c r="I744" s="2">
        <f t="shared" si="2"/>
        <v>0</v>
      </c>
      <c r="J744" s="47" t="str">
        <f t="shared" si="3"/>
        <v/>
      </c>
      <c r="K744" s="2">
        <f t="shared" si="4"/>
        <v>0</v>
      </c>
      <c r="L744" s="1"/>
    </row>
    <row r="745">
      <c r="A745" s="56"/>
      <c r="B745" s="1" t="s">
        <v>476</v>
      </c>
      <c r="C745" s="1" t="str">
        <f>VLOOKUP(B745,MAESTRA!I:K,2,0)</f>
        <v/>
      </c>
      <c r="D745" s="1" t="str">
        <f>VLOOKUP(B745,MAESTRA!I:K,3,0)</f>
        <v>  </v>
      </c>
      <c r="E745" s="1" t="s">
        <v>476</v>
      </c>
      <c r="F745" s="45"/>
      <c r="G745" s="2"/>
      <c r="H745" s="2">
        <f t="shared" si="1"/>
        <v>0</v>
      </c>
      <c r="I745" s="2">
        <f t="shared" si="2"/>
        <v>0</v>
      </c>
      <c r="J745" s="47" t="str">
        <f t="shared" si="3"/>
        <v/>
      </c>
      <c r="K745" s="2">
        <f t="shared" si="4"/>
        <v>0</v>
      </c>
      <c r="L745" s="1"/>
    </row>
    <row r="746">
      <c r="A746" s="56"/>
      <c r="B746" s="1" t="s">
        <v>476</v>
      </c>
      <c r="C746" s="1" t="str">
        <f>VLOOKUP(B746,MAESTRA!I:K,2,0)</f>
        <v/>
      </c>
      <c r="D746" s="1" t="str">
        <f>VLOOKUP(B746,MAESTRA!I:K,3,0)</f>
        <v>  </v>
      </c>
      <c r="E746" s="1" t="s">
        <v>476</v>
      </c>
      <c r="F746" s="45"/>
      <c r="G746" s="2"/>
      <c r="H746" s="2">
        <f t="shared" si="1"/>
        <v>0</v>
      </c>
      <c r="I746" s="2">
        <f t="shared" si="2"/>
        <v>0</v>
      </c>
      <c r="J746" s="47" t="str">
        <f t="shared" si="3"/>
        <v/>
      </c>
      <c r="K746" s="2">
        <f t="shared" si="4"/>
        <v>0</v>
      </c>
      <c r="L746" s="1"/>
    </row>
    <row r="747">
      <c r="A747" s="56"/>
      <c r="B747" s="1" t="s">
        <v>476</v>
      </c>
      <c r="C747" s="1" t="str">
        <f>VLOOKUP(B747,MAESTRA!I:K,2,0)</f>
        <v/>
      </c>
      <c r="D747" s="1" t="str">
        <f>VLOOKUP(B747,MAESTRA!I:K,3,0)</f>
        <v>  </v>
      </c>
      <c r="E747" s="1" t="s">
        <v>476</v>
      </c>
      <c r="F747" s="45"/>
      <c r="G747" s="2"/>
      <c r="H747" s="2">
        <f t="shared" si="1"/>
        <v>0</v>
      </c>
      <c r="I747" s="2">
        <f t="shared" si="2"/>
        <v>0</v>
      </c>
      <c r="J747" s="47" t="str">
        <f t="shared" si="3"/>
        <v/>
      </c>
      <c r="K747" s="2">
        <f t="shared" si="4"/>
        <v>0</v>
      </c>
      <c r="L747" s="1"/>
    </row>
    <row r="748">
      <c r="A748" s="56"/>
      <c r="B748" s="1" t="s">
        <v>476</v>
      </c>
      <c r="C748" s="1" t="str">
        <f>VLOOKUP(B748,MAESTRA!I:K,2,0)</f>
        <v/>
      </c>
      <c r="D748" s="1" t="str">
        <f>VLOOKUP(B748,MAESTRA!I:K,3,0)</f>
        <v>  </v>
      </c>
      <c r="E748" s="1" t="s">
        <v>476</v>
      </c>
      <c r="F748" s="45"/>
      <c r="G748" s="2"/>
      <c r="H748" s="2">
        <f t="shared" si="1"/>
        <v>0</v>
      </c>
      <c r="I748" s="2">
        <f t="shared" si="2"/>
        <v>0</v>
      </c>
      <c r="J748" s="47" t="str">
        <f t="shared" si="3"/>
        <v/>
      </c>
      <c r="K748" s="2">
        <f t="shared" si="4"/>
        <v>0</v>
      </c>
      <c r="L748" s="1"/>
    </row>
    <row r="749">
      <c r="A749" s="56"/>
      <c r="B749" s="1" t="s">
        <v>476</v>
      </c>
      <c r="C749" s="1" t="str">
        <f>VLOOKUP(B749,MAESTRA!I:K,2,0)</f>
        <v/>
      </c>
      <c r="D749" s="1" t="str">
        <f>VLOOKUP(B749,MAESTRA!I:K,3,0)</f>
        <v>  </v>
      </c>
      <c r="E749" s="1" t="s">
        <v>476</v>
      </c>
      <c r="F749" s="45"/>
      <c r="G749" s="2"/>
      <c r="H749" s="2">
        <f t="shared" si="1"/>
        <v>0</v>
      </c>
      <c r="I749" s="2">
        <f t="shared" si="2"/>
        <v>0</v>
      </c>
      <c r="J749" s="47" t="str">
        <f t="shared" si="3"/>
        <v/>
      </c>
      <c r="K749" s="2">
        <f t="shared" si="4"/>
        <v>0</v>
      </c>
      <c r="L749" s="1"/>
    </row>
    <row r="750">
      <c r="A750" s="56"/>
      <c r="B750" s="1" t="s">
        <v>476</v>
      </c>
      <c r="C750" s="1" t="str">
        <f>VLOOKUP(B750,MAESTRA!I:K,2,0)</f>
        <v/>
      </c>
      <c r="D750" s="1" t="str">
        <f>VLOOKUP(B750,MAESTRA!I:K,3,0)</f>
        <v>  </v>
      </c>
      <c r="E750" s="1" t="s">
        <v>476</v>
      </c>
      <c r="F750" s="45"/>
      <c r="G750" s="2"/>
      <c r="H750" s="2">
        <f t="shared" si="1"/>
        <v>0</v>
      </c>
      <c r="I750" s="2">
        <f t="shared" si="2"/>
        <v>0</v>
      </c>
      <c r="J750" s="47" t="str">
        <f t="shared" si="3"/>
        <v/>
      </c>
      <c r="K750" s="2">
        <f t="shared" si="4"/>
        <v>0</v>
      </c>
      <c r="L750" s="1"/>
    </row>
    <row r="751">
      <c r="A751" s="56"/>
      <c r="B751" s="1" t="s">
        <v>476</v>
      </c>
      <c r="C751" s="1" t="str">
        <f>VLOOKUP(B751,MAESTRA!I:K,2,0)</f>
        <v/>
      </c>
      <c r="D751" s="1" t="str">
        <f>VLOOKUP(B751,MAESTRA!I:K,3,0)</f>
        <v>  </v>
      </c>
      <c r="E751" s="1" t="s">
        <v>476</v>
      </c>
      <c r="F751" s="45"/>
      <c r="G751" s="2"/>
      <c r="H751" s="2">
        <f t="shared" si="1"/>
        <v>0</v>
      </c>
      <c r="I751" s="2">
        <f t="shared" si="2"/>
        <v>0</v>
      </c>
      <c r="J751" s="47" t="str">
        <f t="shared" si="3"/>
        <v/>
      </c>
      <c r="K751" s="2">
        <f t="shared" si="4"/>
        <v>0</v>
      </c>
      <c r="L751" s="1"/>
    </row>
    <row r="752">
      <c r="A752" s="56"/>
      <c r="B752" s="1" t="s">
        <v>476</v>
      </c>
      <c r="C752" s="1" t="str">
        <f>VLOOKUP(B752,MAESTRA!I:K,2,0)</f>
        <v/>
      </c>
      <c r="D752" s="1" t="str">
        <f>VLOOKUP(B752,MAESTRA!I:K,3,0)</f>
        <v>  </v>
      </c>
      <c r="E752" s="1" t="s">
        <v>476</v>
      </c>
      <c r="F752" s="45"/>
      <c r="G752" s="2"/>
      <c r="H752" s="2">
        <f t="shared" si="1"/>
        <v>0</v>
      </c>
      <c r="I752" s="2">
        <f t="shared" si="2"/>
        <v>0</v>
      </c>
      <c r="J752" s="47" t="str">
        <f t="shared" si="3"/>
        <v/>
      </c>
      <c r="K752" s="2">
        <f t="shared" si="4"/>
        <v>0</v>
      </c>
      <c r="L752" s="1"/>
    </row>
    <row r="753">
      <c r="A753" s="56"/>
      <c r="B753" s="1" t="s">
        <v>476</v>
      </c>
      <c r="C753" s="1" t="str">
        <f>VLOOKUP(B753,MAESTRA!I:K,2,0)</f>
        <v/>
      </c>
      <c r="D753" s="1" t="str">
        <f>VLOOKUP(B753,MAESTRA!I:K,3,0)</f>
        <v>  </v>
      </c>
      <c r="E753" s="1" t="s">
        <v>476</v>
      </c>
      <c r="F753" s="45"/>
      <c r="G753" s="2"/>
      <c r="H753" s="2">
        <f t="shared" si="1"/>
        <v>0</v>
      </c>
      <c r="I753" s="2">
        <f t="shared" si="2"/>
        <v>0</v>
      </c>
      <c r="J753" s="47" t="str">
        <f t="shared" si="3"/>
        <v/>
      </c>
      <c r="K753" s="2">
        <f t="shared" si="4"/>
        <v>0</v>
      </c>
      <c r="L753" s="1"/>
    </row>
    <row r="754">
      <c r="A754" s="56"/>
      <c r="B754" s="1" t="s">
        <v>476</v>
      </c>
      <c r="C754" s="1" t="str">
        <f>VLOOKUP(B754,MAESTRA!I:K,2,0)</f>
        <v/>
      </c>
      <c r="D754" s="1" t="str">
        <f>VLOOKUP(B754,MAESTRA!I:K,3,0)</f>
        <v>  </v>
      </c>
      <c r="E754" s="1" t="s">
        <v>476</v>
      </c>
      <c r="F754" s="45"/>
      <c r="G754" s="2"/>
      <c r="H754" s="2">
        <f t="shared" si="1"/>
        <v>0</v>
      </c>
      <c r="I754" s="2">
        <f t="shared" si="2"/>
        <v>0</v>
      </c>
      <c r="J754" s="47" t="str">
        <f t="shared" si="3"/>
        <v/>
      </c>
      <c r="K754" s="2">
        <f t="shared" si="4"/>
        <v>0</v>
      </c>
      <c r="L754" s="1"/>
    </row>
    <row r="755">
      <c r="A755" s="56"/>
      <c r="B755" s="1" t="s">
        <v>476</v>
      </c>
      <c r="C755" s="1" t="str">
        <f>VLOOKUP(B755,MAESTRA!I:K,2,0)</f>
        <v/>
      </c>
      <c r="D755" s="1" t="str">
        <f>VLOOKUP(B755,MAESTRA!I:K,3,0)</f>
        <v>  </v>
      </c>
      <c r="E755" s="1" t="s">
        <v>476</v>
      </c>
      <c r="F755" s="45"/>
      <c r="G755" s="2"/>
      <c r="H755" s="2">
        <f t="shared" si="1"/>
        <v>0</v>
      </c>
      <c r="I755" s="2">
        <f t="shared" si="2"/>
        <v>0</v>
      </c>
      <c r="J755" s="47" t="str">
        <f t="shared" si="3"/>
        <v/>
      </c>
      <c r="K755" s="2">
        <f t="shared" si="4"/>
        <v>0</v>
      </c>
      <c r="L755" s="1"/>
    </row>
    <row r="756">
      <c r="A756" s="56"/>
      <c r="B756" s="1" t="s">
        <v>476</v>
      </c>
      <c r="C756" s="1" t="str">
        <f>VLOOKUP(B756,MAESTRA!I:K,2,0)</f>
        <v/>
      </c>
      <c r="D756" s="1" t="str">
        <f>VLOOKUP(B756,MAESTRA!I:K,3,0)</f>
        <v>  </v>
      </c>
      <c r="E756" s="1" t="s">
        <v>476</v>
      </c>
      <c r="F756" s="45"/>
      <c r="G756" s="2"/>
      <c r="H756" s="2">
        <f t="shared" si="1"/>
        <v>0</v>
      </c>
      <c r="I756" s="2">
        <f t="shared" si="2"/>
        <v>0</v>
      </c>
      <c r="J756" s="47" t="str">
        <f t="shared" si="3"/>
        <v/>
      </c>
      <c r="K756" s="2">
        <f t="shared" si="4"/>
        <v>0</v>
      </c>
      <c r="L756" s="1"/>
    </row>
    <row r="757">
      <c r="A757" s="56"/>
      <c r="B757" s="1" t="s">
        <v>476</v>
      </c>
      <c r="C757" s="1" t="str">
        <f>VLOOKUP(B757,MAESTRA!I:K,2,0)</f>
        <v/>
      </c>
      <c r="D757" s="1" t="str">
        <f>VLOOKUP(B757,MAESTRA!I:K,3,0)</f>
        <v>  </v>
      </c>
      <c r="E757" s="1" t="s">
        <v>476</v>
      </c>
      <c r="F757" s="45"/>
      <c r="G757" s="2"/>
      <c r="H757" s="2">
        <f t="shared" si="1"/>
        <v>0</v>
      </c>
      <c r="I757" s="2">
        <f t="shared" si="2"/>
        <v>0</v>
      </c>
      <c r="J757" s="47" t="str">
        <f t="shared" si="3"/>
        <v/>
      </c>
      <c r="K757" s="2">
        <f t="shared" si="4"/>
        <v>0</v>
      </c>
      <c r="L757" s="1"/>
    </row>
    <row r="758">
      <c r="A758" s="56"/>
      <c r="B758" s="1" t="s">
        <v>476</v>
      </c>
      <c r="C758" s="1" t="str">
        <f>VLOOKUP(B758,MAESTRA!I:K,2,0)</f>
        <v/>
      </c>
      <c r="D758" s="1" t="str">
        <f>VLOOKUP(B758,MAESTRA!I:K,3,0)</f>
        <v>  </v>
      </c>
      <c r="E758" s="1" t="s">
        <v>476</v>
      </c>
      <c r="F758" s="45"/>
      <c r="G758" s="2"/>
      <c r="H758" s="2">
        <f t="shared" si="1"/>
        <v>0</v>
      </c>
      <c r="I758" s="2">
        <f t="shared" si="2"/>
        <v>0</v>
      </c>
      <c r="J758" s="47" t="str">
        <f t="shared" si="3"/>
        <v/>
      </c>
      <c r="K758" s="2">
        <f t="shared" si="4"/>
        <v>0</v>
      </c>
      <c r="L758" s="1"/>
    </row>
    <row r="759">
      <c r="A759" s="56"/>
      <c r="B759" s="1" t="s">
        <v>476</v>
      </c>
      <c r="C759" s="1" t="str">
        <f>VLOOKUP(B759,MAESTRA!I:K,2,0)</f>
        <v/>
      </c>
      <c r="D759" s="1" t="str">
        <f>VLOOKUP(B759,MAESTRA!I:K,3,0)</f>
        <v>  </v>
      </c>
      <c r="E759" s="1" t="s">
        <v>476</v>
      </c>
      <c r="F759" s="45"/>
      <c r="G759" s="2"/>
      <c r="H759" s="2">
        <f t="shared" si="1"/>
        <v>0</v>
      </c>
      <c r="I759" s="2">
        <f t="shared" si="2"/>
        <v>0</v>
      </c>
      <c r="J759" s="47" t="str">
        <f t="shared" si="3"/>
        <v/>
      </c>
      <c r="K759" s="2">
        <f t="shared" si="4"/>
        <v>0</v>
      </c>
      <c r="L759" s="1"/>
    </row>
    <row r="760">
      <c r="A760" s="56"/>
      <c r="B760" s="1" t="s">
        <v>476</v>
      </c>
      <c r="C760" s="1" t="str">
        <f>VLOOKUP(B760,MAESTRA!I:K,2,0)</f>
        <v/>
      </c>
      <c r="D760" s="1" t="str">
        <f>VLOOKUP(B760,MAESTRA!I:K,3,0)</f>
        <v>  </v>
      </c>
      <c r="E760" s="1" t="s">
        <v>476</v>
      </c>
      <c r="F760" s="45"/>
      <c r="G760" s="2"/>
      <c r="H760" s="2">
        <f t="shared" si="1"/>
        <v>0</v>
      </c>
      <c r="I760" s="2">
        <f t="shared" si="2"/>
        <v>0</v>
      </c>
      <c r="J760" s="47" t="str">
        <f t="shared" si="3"/>
        <v/>
      </c>
      <c r="K760" s="2">
        <f t="shared" si="4"/>
        <v>0</v>
      </c>
      <c r="L760" s="1"/>
    </row>
    <row r="761">
      <c r="A761" s="56"/>
      <c r="B761" s="1" t="s">
        <v>476</v>
      </c>
      <c r="C761" s="1" t="str">
        <f>VLOOKUP(B761,MAESTRA!I:K,2,0)</f>
        <v/>
      </c>
      <c r="D761" s="1" t="str">
        <f>VLOOKUP(B761,MAESTRA!I:K,3,0)</f>
        <v>  </v>
      </c>
      <c r="E761" s="1" t="s">
        <v>476</v>
      </c>
      <c r="F761" s="45"/>
      <c r="G761" s="2"/>
      <c r="H761" s="2">
        <f t="shared" si="1"/>
        <v>0</v>
      </c>
      <c r="I761" s="2">
        <f t="shared" si="2"/>
        <v>0</v>
      </c>
      <c r="J761" s="47" t="str">
        <f t="shared" si="3"/>
        <v/>
      </c>
      <c r="K761" s="2">
        <f t="shared" si="4"/>
        <v>0</v>
      </c>
      <c r="L761" s="1"/>
    </row>
    <row r="762">
      <c r="A762" s="56"/>
      <c r="B762" s="1" t="s">
        <v>476</v>
      </c>
      <c r="C762" s="1" t="str">
        <f>VLOOKUP(B762,MAESTRA!I:K,2,0)</f>
        <v/>
      </c>
      <c r="D762" s="1" t="str">
        <f>VLOOKUP(B762,MAESTRA!I:K,3,0)</f>
        <v>  </v>
      </c>
      <c r="E762" s="1" t="s">
        <v>476</v>
      </c>
      <c r="F762" s="45"/>
      <c r="G762" s="2"/>
      <c r="H762" s="2">
        <f t="shared" si="1"/>
        <v>0</v>
      </c>
      <c r="I762" s="2">
        <f t="shared" si="2"/>
        <v>0</v>
      </c>
      <c r="J762" s="47" t="str">
        <f t="shared" si="3"/>
        <v/>
      </c>
      <c r="K762" s="2">
        <f t="shared" si="4"/>
        <v>0</v>
      </c>
      <c r="L762" s="1"/>
    </row>
    <row r="763">
      <c r="A763" s="56"/>
      <c r="B763" s="1" t="s">
        <v>476</v>
      </c>
      <c r="C763" s="1" t="str">
        <f>VLOOKUP(B763,MAESTRA!I:K,2,0)</f>
        <v/>
      </c>
      <c r="D763" s="1" t="str">
        <f>VLOOKUP(B763,MAESTRA!I:K,3,0)</f>
        <v>  </v>
      </c>
      <c r="E763" s="1" t="s">
        <v>476</v>
      </c>
      <c r="F763" s="45"/>
      <c r="G763" s="2"/>
      <c r="H763" s="2">
        <f t="shared" si="1"/>
        <v>0</v>
      </c>
      <c r="I763" s="2">
        <f t="shared" si="2"/>
        <v>0</v>
      </c>
      <c r="J763" s="47" t="str">
        <f t="shared" si="3"/>
        <v/>
      </c>
      <c r="K763" s="2">
        <f t="shared" si="4"/>
        <v>0</v>
      </c>
      <c r="L763" s="1"/>
    </row>
    <row r="764">
      <c r="A764" s="56"/>
      <c r="B764" s="1" t="s">
        <v>476</v>
      </c>
      <c r="C764" s="1" t="str">
        <f>VLOOKUP(B764,MAESTRA!I:K,2,0)</f>
        <v/>
      </c>
      <c r="D764" s="1" t="str">
        <f>VLOOKUP(B764,MAESTRA!I:K,3,0)</f>
        <v>  </v>
      </c>
      <c r="E764" s="1" t="s">
        <v>476</v>
      </c>
      <c r="F764" s="45"/>
      <c r="G764" s="2"/>
      <c r="H764" s="2">
        <f t="shared" si="1"/>
        <v>0</v>
      </c>
      <c r="I764" s="2">
        <f t="shared" si="2"/>
        <v>0</v>
      </c>
      <c r="J764" s="47" t="str">
        <f t="shared" si="3"/>
        <v/>
      </c>
      <c r="K764" s="2">
        <f t="shared" si="4"/>
        <v>0</v>
      </c>
      <c r="L764" s="1"/>
    </row>
    <row r="765">
      <c r="A765" s="56"/>
      <c r="B765" s="1" t="s">
        <v>476</v>
      </c>
      <c r="C765" s="1" t="str">
        <f>VLOOKUP(B765,MAESTRA!I:K,2,0)</f>
        <v/>
      </c>
      <c r="D765" s="1" t="str">
        <f>VLOOKUP(B765,MAESTRA!I:K,3,0)</f>
        <v>  </v>
      </c>
      <c r="E765" s="1" t="s">
        <v>476</v>
      </c>
      <c r="F765" s="45"/>
      <c r="G765" s="2"/>
      <c r="H765" s="2">
        <f t="shared" si="1"/>
        <v>0</v>
      </c>
      <c r="I765" s="2">
        <f t="shared" si="2"/>
        <v>0</v>
      </c>
      <c r="J765" s="47" t="str">
        <f t="shared" si="3"/>
        <v/>
      </c>
      <c r="K765" s="2">
        <f t="shared" si="4"/>
        <v>0</v>
      </c>
      <c r="L765" s="1"/>
    </row>
    <row r="766">
      <c r="A766" s="56"/>
      <c r="B766" s="1" t="s">
        <v>476</v>
      </c>
      <c r="C766" s="1" t="str">
        <f>VLOOKUP(B766,MAESTRA!I:K,2,0)</f>
        <v/>
      </c>
      <c r="D766" s="1" t="str">
        <f>VLOOKUP(B766,MAESTRA!I:K,3,0)</f>
        <v>  </v>
      </c>
      <c r="E766" s="1" t="s">
        <v>476</v>
      </c>
      <c r="F766" s="45"/>
      <c r="G766" s="2"/>
      <c r="H766" s="2">
        <f t="shared" si="1"/>
        <v>0</v>
      </c>
      <c r="I766" s="2">
        <f t="shared" si="2"/>
        <v>0</v>
      </c>
      <c r="J766" s="47" t="str">
        <f t="shared" si="3"/>
        <v/>
      </c>
      <c r="K766" s="2">
        <f t="shared" si="4"/>
        <v>0</v>
      </c>
      <c r="L766" s="1"/>
    </row>
    <row r="767">
      <c r="A767" s="56"/>
      <c r="B767" s="1" t="s">
        <v>476</v>
      </c>
      <c r="C767" s="1" t="str">
        <f>VLOOKUP(B767,MAESTRA!I:K,2,0)</f>
        <v/>
      </c>
      <c r="D767" s="1" t="str">
        <f>VLOOKUP(B767,MAESTRA!I:K,3,0)</f>
        <v>  </v>
      </c>
      <c r="E767" s="1" t="s">
        <v>476</v>
      </c>
      <c r="F767" s="45"/>
      <c r="G767" s="2"/>
      <c r="H767" s="2">
        <f t="shared" si="1"/>
        <v>0</v>
      </c>
      <c r="I767" s="2">
        <f t="shared" si="2"/>
        <v>0</v>
      </c>
      <c r="J767" s="47" t="str">
        <f t="shared" si="3"/>
        <v/>
      </c>
      <c r="K767" s="2">
        <f t="shared" si="4"/>
        <v>0</v>
      </c>
      <c r="L767" s="1"/>
    </row>
    <row r="768">
      <c r="A768" s="56"/>
      <c r="B768" s="1" t="s">
        <v>476</v>
      </c>
      <c r="C768" s="1" t="str">
        <f>VLOOKUP(B768,MAESTRA!I:K,2,0)</f>
        <v/>
      </c>
      <c r="D768" s="1" t="str">
        <f>VLOOKUP(B768,MAESTRA!I:K,3,0)</f>
        <v>  </v>
      </c>
      <c r="E768" s="1" t="s">
        <v>476</v>
      </c>
      <c r="F768" s="45"/>
      <c r="G768" s="2"/>
      <c r="H768" s="2">
        <f t="shared" si="1"/>
        <v>0</v>
      </c>
      <c r="I768" s="2">
        <f t="shared" si="2"/>
        <v>0</v>
      </c>
      <c r="J768" s="47" t="str">
        <f t="shared" si="3"/>
        <v/>
      </c>
      <c r="K768" s="2">
        <f t="shared" si="4"/>
        <v>0</v>
      </c>
      <c r="L768" s="1"/>
    </row>
    <row r="769">
      <c r="A769" s="56"/>
      <c r="B769" s="1" t="s">
        <v>476</v>
      </c>
      <c r="C769" s="1" t="str">
        <f>VLOOKUP(B769,MAESTRA!I:K,2,0)</f>
        <v/>
      </c>
      <c r="D769" s="1" t="str">
        <f>VLOOKUP(B769,MAESTRA!I:K,3,0)</f>
        <v>  </v>
      </c>
      <c r="E769" s="1" t="s">
        <v>476</v>
      </c>
      <c r="F769" s="45"/>
      <c r="G769" s="2"/>
      <c r="H769" s="2">
        <f t="shared" si="1"/>
        <v>0</v>
      </c>
      <c r="I769" s="2">
        <f t="shared" si="2"/>
        <v>0</v>
      </c>
      <c r="J769" s="47" t="str">
        <f t="shared" si="3"/>
        <v/>
      </c>
      <c r="K769" s="2">
        <f t="shared" si="4"/>
        <v>0</v>
      </c>
      <c r="L769" s="1"/>
    </row>
    <row r="770">
      <c r="A770" s="56"/>
      <c r="B770" s="1" t="s">
        <v>476</v>
      </c>
      <c r="C770" s="1" t="str">
        <f>VLOOKUP(B770,MAESTRA!I:K,2,0)</f>
        <v/>
      </c>
      <c r="D770" s="1" t="str">
        <f>VLOOKUP(B770,MAESTRA!I:K,3,0)</f>
        <v>  </v>
      </c>
      <c r="E770" s="1" t="s">
        <v>476</v>
      </c>
      <c r="F770" s="45"/>
      <c r="G770" s="2"/>
      <c r="H770" s="2">
        <f t="shared" si="1"/>
        <v>0</v>
      </c>
      <c r="I770" s="2">
        <f t="shared" si="2"/>
        <v>0</v>
      </c>
      <c r="J770" s="47" t="str">
        <f t="shared" si="3"/>
        <v/>
      </c>
      <c r="K770" s="2">
        <f t="shared" si="4"/>
        <v>0</v>
      </c>
      <c r="L770" s="1"/>
    </row>
    <row r="771">
      <c r="A771" s="56"/>
      <c r="B771" s="1" t="s">
        <v>476</v>
      </c>
      <c r="C771" s="1" t="str">
        <f>VLOOKUP(B771,MAESTRA!I:K,2,0)</f>
        <v/>
      </c>
      <c r="D771" s="1" t="str">
        <f>VLOOKUP(B771,MAESTRA!I:K,3,0)</f>
        <v>  </v>
      </c>
      <c r="E771" s="1" t="s">
        <v>476</v>
      </c>
      <c r="F771" s="45"/>
      <c r="G771" s="2"/>
      <c r="H771" s="2">
        <f t="shared" si="1"/>
        <v>0</v>
      </c>
      <c r="I771" s="2">
        <f t="shared" si="2"/>
        <v>0</v>
      </c>
      <c r="J771" s="47" t="str">
        <f t="shared" si="3"/>
        <v/>
      </c>
      <c r="K771" s="2">
        <f t="shared" si="4"/>
        <v>0</v>
      </c>
      <c r="L771" s="1"/>
    </row>
    <row r="772">
      <c r="A772" s="56"/>
      <c r="B772" s="1" t="s">
        <v>476</v>
      </c>
      <c r="C772" s="1" t="str">
        <f>VLOOKUP(B772,MAESTRA!I:K,2,0)</f>
        <v/>
      </c>
      <c r="D772" s="1" t="str">
        <f>VLOOKUP(B772,MAESTRA!I:K,3,0)</f>
        <v>  </v>
      </c>
      <c r="E772" s="1" t="s">
        <v>476</v>
      </c>
      <c r="F772" s="45"/>
      <c r="G772" s="2"/>
      <c r="H772" s="2">
        <f t="shared" si="1"/>
        <v>0</v>
      </c>
      <c r="I772" s="2">
        <f t="shared" si="2"/>
        <v>0</v>
      </c>
      <c r="J772" s="47" t="str">
        <f t="shared" si="3"/>
        <v/>
      </c>
      <c r="K772" s="2">
        <f t="shared" si="4"/>
        <v>0</v>
      </c>
      <c r="L772" s="1"/>
    </row>
    <row r="773">
      <c r="A773" s="56"/>
      <c r="B773" s="1" t="s">
        <v>476</v>
      </c>
      <c r="C773" s="1" t="str">
        <f>VLOOKUP(B773,MAESTRA!I:K,2,0)</f>
        <v/>
      </c>
      <c r="D773" s="1" t="str">
        <f>VLOOKUP(B773,MAESTRA!I:K,3,0)</f>
        <v>  </v>
      </c>
      <c r="E773" s="1" t="s">
        <v>476</v>
      </c>
      <c r="F773" s="45"/>
      <c r="G773" s="2"/>
      <c r="H773" s="2">
        <f t="shared" si="1"/>
        <v>0</v>
      </c>
      <c r="I773" s="2">
        <f t="shared" si="2"/>
        <v>0</v>
      </c>
      <c r="J773" s="47" t="str">
        <f t="shared" si="3"/>
        <v/>
      </c>
      <c r="K773" s="2">
        <f t="shared" si="4"/>
        <v>0</v>
      </c>
      <c r="L773" s="1"/>
    </row>
    <row r="774">
      <c r="A774" s="56"/>
      <c r="B774" s="1" t="s">
        <v>476</v>
      </c>
      <c r="C774" s="1" t="str">
        <f>VLOOKUP(B774,MAESTRA!I:K,2,0)</f>
        <v/>
      </c>
      <c r="D774" s="1" t="str">
        <f>VLOOKUP(B774,MAESTRA!I:K,3,0)</f>
        <v>  </v>
      </c>
      <c r="E774" s="1" t="s">
        <v>476</v>
      </c>
      <c r="F774" s="45"/>
      <c r="G774" s="2"/>
      <c r="H774" s="2">
        <f t="shared" si="1"/>
        <v>0</v>
      </c>
      <c r="I774" s="2">
        <f t="shared" si="2"/>
        <v>0</v>
      </c>
      <c r="J774" s="47" t="str">
        <f t="shared" si="3"/>
        <v/>
      </c>
      <c r="K774" s="2">
        <f t="shared" si="4"/>
        <v>0</v>
      </c>
      <c r="L774" s="1"/>
    </row>
    <row r="775">
      <c r="A775" s="56"/>
      <c r="B775" s="1" t="s">
        <v>476</v>
      </c>
      <c r="C775" s="1" t="str">
        <f>VLOOKUP(B775,MAESTRA!I:K,2,0)</f>
        <v/>
      </c>
      <c r="D775" s="1" t="str">
        <f>VLOOKUP(B775,MAESTRA!I:K,3,0)</f>
        <v>  </v>
      </c>
      <c r="E775" s="1" t="s">
        <v>476</v>
      </c>
      <c r="F775" s="45"/>
      <c r="G775" s="2"/>
      <c r="H775" s="2">
        <f t="shared" si="1"/>
        <v>0</v>
      </c>
      <c r="I775" s="2">
        <f t="shared" si="2"/>
        <v>0</v>
      </c>
      <c r="J775" s="47" t="str">
        <f t="shared" si="3"/>
        <v/>
      </c>
      <c r="K775" s="2">
        <f t="shared" si="4"/>
        <v>0</v>
      </c>
      <c r="L775" s="1"/>
    </row>
    <row r="776">
      <c r="A776" s="56"/>
      <c r="B776" s="1" t="s">
        <v>476</v>
      </c>
      <c r="C776" s="1" t="str">
        <f>VLOOKUP(B776,MAESTRA!I:K,2,0)</f>
        <v/>
      </c>
      <c r="D776" s="1" t="str">
        <f>VLOOKUP(B776,MAESTRA!I:K,3,0)</f>
        <v>  </v>
      </c>
      <c r="E776" s="1" t="s">
        <v>476</v>
      </c>
      <c r="F776" s="45"/>
      <c r="G776" s="2"/>
      <c r="H776" s="2">
        <f t="shared" si="1"/>
        <v>0</v>
      </c>
      <c r="I776" s="2">
        <f t="shared" si="2"/>
        <v>0</v>
      </c>
      <c r="J776" s="47" t="str">
        <f t="shared" si="3"/>
        <v/>
      </c>
      <c r="K776" s="2">
        <f t="shared" si="4"/>
        <v>0</v>
      </c>
      <c r="L776" s="1"/>
    </row>
    <row r="777">
      <c r="A777" s="56"/>
      <c r="B777" s="1" t="s">
        <v>476</v>
      </c>
      <c r="C777" s="1" t="str">
        <f>VLOOKUP(B777,MAESTRA!I:K,2,0)</f>
        <v/>
      </c>
      <c r="D777" s="1" t="str">
        <f>VLOOKUP(B777,MAESTRA!I:K,3,0)</f>
        <v>  </v>
      </c>
      <c r="E777" s="1" t="s">
        <v>476</v>
      </c>
      <c r="F777" s="45"/>
      <c r="G777" s="2"/>
      <c r="H777" s="2">
        <f t="shared" si="1"/>
        <v>0</v>
      </c>
      <c r="I777" s="2">
        <f t="shared" si="2"/>
        <v>0</v>
      </c>
      <c r="J777" s="47" t="str">
        <f t="shared" si="3"/>
        <v/>
      </c>
      <c r="K777" s="2">
        <f t="shared" si="4"/>
        <v>0</v>
      </c>
      <c r="L777" s="1"/>
    </row>
    <row r="778">
      <c r="A778" s="56"/>
      <c r="B778" s="1" t="s">
        <v>476</v>
      </c>
      <c r="C778" s="1" t="str">
        <f>VLOOKUP(B778,MAESTRA!I:K,2,0)</f>
        <v/>
      </c>
      <c r="D778" s="1" t="str">
        <f>VLOOKUP(B778,MAESTRA!I:K,3,0)</f>
        <v>  </v>
      </c>
      <c r="E778" s="1" t="s">
        <v>476</v>
      </c>
      <c r="F778" s="45"/>
      <c r="G778" s="2"/>
      <c r="H778" s="2">
        <f t="shared" si="1"/>
        <v>0</v>
      </c>
      <c r="I778" s="2">
        <f t="shared" si="2"/>
        <v>0</v>
      </c>
      <c r="J778" s="47" t="str">
        <f t="shared" si="3"/>
        <v/>
      </c>
      <c r="K778" s="2">
        <f t="shared" si="4"/>
        <v>0</v>
      </c>
      <c r="L778" s="1"/>
    </row>
    <row r="779">
      <c r="A779" s="56"/>
      <c r="B779" s="1" t="s">
        <v>476</v>
      </c>
      <c r="C779" s="1" t="str">
        <f>VLOOKUP(B779,MAESTRA!I:K,2,0)</f>
        <v/>
      </c>
      <c r="D779" s="1" t="str">
        <f>VLOOKUP(B779,MAESTRA!I:K,3,0)</f>
        <v>  </v>
      </c>
      <c r="E779" s="1" t="s">
        <v>476</v>
      </c>
      <c r="F779" s="45"/>
      <c r="G779" s="2"/>
      <c r="H779" s="2">
        <f t="shared" si="1"/>
        <v>0</v>
      </c>
      <c r="I779" s="2">
        <f t="shared" si="2"/>
        <v>0</v>
      </c>
      <c r="J779" s="47" t="str">
        <f t="shared" si="3"/>
        <v/>
      </c>
      <c r="K779" s="2">
        <f t="shared" si="4"/>
        <v>0</v>
      </c>
      <c r="L779" s="1"/>
    </row>
    <row r="780">
      <c r="A780" s="56"/>
      <c r="B780" s="1" t="s">
        <v>476</v>
      </c>
      <c r="C780" s="1" t="str">
        <f>VLOOKUP(B780,MAESTRA!I:K,2,0)</f>
        <v/>
      </c>
      <c r="D780" s="1" t="str">
        <f>VLOOKUP(B780,MAESTRA!I:K,3,0)</f>
        <v>  </v>
      </c>
      <c r="E780" s="1" t="s">
        <v>476</v>
      </c>
      <c r="F780" s="45"/>
      <c r="G780" s="2"/>
      <c r="H780" s="2">
        <f t="shared" si="1"/>
        <v>0</v>
      </c>
      <c r="I780" s="2">
        <f t="shared" si="2"/>
        <v>0</v>
      </c>
      <c r="J780" s="47" t="str">
        <f t="shared" si="3"/>
        <v/>
      </c>
      <c r="K780" s="2">
        <f t="shared" si="4"/>
        <v>0</v>
      </c>
      <c r="L780" s="1"/>
    </row>
    <row r="781">
      <c r="A781" s="56"/>
      <c r="B781" s="1" t="s">
        <v>476</v>
      </c>
      <c r="C781" s="1" t="str">
        <f>VLOOKUP(B781,MAESTRA!I:K,2,0)</f>
        <v/>
      </c>
      <c r="D781" s="1" t="str">
        <f>VLOOKUP(B781,MAESTRA!I:K,3,0)</f>
        <v>  </v>
      </c>
      <c r="E781" s="1" t="s">
        <v>476</v>
      </c>
      <c r="F781" s="45"/>
      <c r="G781" s="2"/>
      <c r="H781" s="2">
        <f t="shared" si="1"/>
        <v>0</v>
      </c>
      <c r="I781" s="2">
        <f t="shared" si="2"/>
        <v>0</v>
      </c>
      <c r="J781" s="47" t="str">
        <f t="shared" si="3"/>
        <v/>
      </c>
      <c r="K781" s="2">
        <f t="shared" si="4"/>
        <v>0</v>
      </c>
      <c r="L781" s="1"/>
    </row>
    <row r="782">
      <c r="A782" s="56"/>
      <c r="B782" s="1" t="s">
        <v>476</v>
      </c>
      <c r="C782" s="1" t="str">
        <f>VLOOKUP(B782,MAESTRA!I:K,2,0)</f>
        <v/>
      </c>
      <c r="D782" s="1" t="str">
        <f>VLOOKUP(B782,MAESTRA!I:K,3,0)</f>
        <v>  </v>
      </c>
      <c r="E782" s="1" t="s">
        <v>476</v>
      </c>
      <c r="F782" s="45"/>
      <c r="G782" s="2"/>
      <c r="H782" s="2">
        <f t="shared" si="1"/>
        <v>0</v>
      </c>
      <c r="I782" s="2">
        <f t="shared" si="2"/>
        <v>0</v>
      </c>
      <c r="J782" s="47" t="str">
        <f t="shared" si="3"/>
        <v/>
      </c>
      <c r="K782" s="2">
        <f t="shared" si="4"/>
        <v>0</v>
      </c>
      <c r="L782" s="1"/>
    </row>
    <row r="783">
      <c r="A783" s="56"/>
      <c r="B783" s="1" t="s">
        <v>476</v>
      </c>
      <c r="C783" s="1" t="str">
        <f>VLOOKUP(B783,MAESTRA!I:K,2,0)</f>
        <v/>
      </c>
      <c r="D783" s="1" t="str">
        <f>VLOOKUP(B783,MAESTRA!I:K,3,0)</f>
        <v>  </v>
      </c>
      <c r="E783" s="1" t="s">
        <v>476</v>
      </c>
      <c r="F783" s="45"/>
      <c r="G783" s="2"/>
      <c r="H783" s="2">
        <f t="shared" si="1"/>
        <v>0</v>
      </c>
      <c r="I783" s="2">
        <f t="shared" si="2"/>
        <v>0</v>
      </c>
      <c r="J783" s="47" t="str">
        <f t="shared" si="3"/>
        <v/>
      </c>
      <c r="K783" s="2">
        <f t="shared" si="4"/>
        <v>0</v>
      </c>
      <c r="L783" s="1"/>
    </row>
    <row r="784">
      <c r="A784" s="56"/>
      <c r="B784" s="1" t="s">
        <v>476</v>
      </c>
      <c r="C784" s="1" t="str">
        <f>VLOOKUP(B784,MAESTRA!I:K,2,0)</f>
        <v/>
      </c>
      <c r="D784" s="1" t="str">
        <f>VLOOKUP(B784,MAESTRA!I:K,3,0)</f>
        <v>  </v>
      </c>
      <c r="E784" s="1" t="s">
        <v>476</v>
      </c>
      <c r="F784" s="45"/>
      <c r="G784" s="2"/>
      <c r="H784" s="2">
        <f t="shared" si="1"/>
        <v>0</v>
      </c>
      <c r="I784" s="2">
        <f t="shared" si="2"/>
        <v>0</v>
      </c>
      <c r="J784" s="47" t="str">
        <f t="shared" si="3"/>
        <v/>
      </c>
      <c r="K784" s="2">
        <f t="shared" si="4"/>
        <v>0</v>
      </c>
      <c r="L784" s="1"/>
    </row>
    <row r="785">
      <c r="A785" s="56"/>
      <c r="B785" s="1" t="s">
        <v>476</v>
      </c>
      <c r="C785" s="1" t="str">
        <f>VLOOKUP(B785,MAESTRA!I:K,2,0)</f>
        <v/>
      </c>
      <c r="D785" s="1" t="str">
        <f>VLOOKUP(B785,MAESTRA!I:K,3,0)</f>
        <v>  </v>
      </c>
      <c r="E785" s="1" t="s">
        <v>476</v>
      </c>
      <c r="F785" s="45"/>
      <c r="G785" s="2"/>
      <c r="H785" s="2">
        <f t="shared" si="1"/>
        <v>0</v>
      </c>
      <c r="I785" s="2">
        <f t="shared" si="2"/>
        <v>0</v>
      </c>
      <c r="J785" s="47" t="str">
        <f t="shared" si="3"/>
        <v/>
      </c>
      <c r="K785" s="2">
        <f t="shared" si="4"/>
        <v>0</v>
      </c>
      <c r="L785" s="1"/>
    </row>
    <row r="786">
      <c r="A786" s="56"/>
      <c r="B786" s="1" t="s">
        <v>476</v>
      </c>
      <c r="C786" s="1" t="str">
        <f>VLOOKUP(B786,MAESTRA!I:K,2,0)</f>
        <v/>
      </c>
      <c r="D786" s="1" t="str">
        <f>VLOOKUP(B786,MAESTRA!I:K,3,0)</f>
        <v>  </v>
      </c>
      <c r="E786" s="1" t="s">
        <v>476</v>
      </c>
      <c r="F786" s="45"/>
      <c r="G786" s="2"/>
      <c r="H786" s="2">
        <f t="shared" si="1"/>
        <v>0</v>
      </c>
      <c r="I786" s="2">
        <f t="shared" si="2"/>
        <v>0</v>
      </c>
      <c r="J786" s="47" t="str">
        <f t="shared" si="3"/>
        <v/>
      </c>
      <c r="K786" s="2">
        <f t="shared" si="4"/>
        <v>0</v>
      </c>
      <c r="L786" s="1"/>
    </row>
    <row r="787">
      <c r="A787" s="56"/>
      <c r="B787" s="1" t="s">
        <v>476</v>
      </c>
      <c r="C787" s="1" t="str">
        <f>VLOOKUP(B787,MAESTRA!I:K,2,0)</f>
        <v/>
      </c>
      <c r="D787" s="1" t="str">
        <f>VLOOKUP(B787,MAESTRA!I:K,3,0)</f>
        <v>  </v>
      </c>
      <c r="E787" s="1" t="s">
        <v>476</v>
      </c>
      <c r="F787" s="45"/>
      <c r="G787" s="2"/>
      <c r="H787" s="2">
        <f t="shared" si="1"/>
        <v>0</v>
      </c>
      <c r="I787" s="2">
        <f t="shared" si="2"/>
        <v>0</v>
      </c>
      <c r="J787" s="47" t="str">
        <f t="shared" si="3"/>
        <v/>
      </c>
      <c r="K787" s="2">
        <f t="shared" si="4"/>
        <v>0</v>
      </c>
      <c r="L787" s="1"/>
    </row>
    <row r="788">
      <c r="A788" s="56"/>
      <c r="B788" s="1" t="s">
        <v>476</v>
      </c>
      <c r="C788" s="1" t="str">
        <f>VLOOKUP(B788,MAESTRA!I:K,2,0)</f>
        <v/>
      </c>
      <c r="D788" s="1" t="str">
        <f>VLOOKUP(B788,MAESTRA!I:K,3,0)</f>
        <v>  </v>
      </c>
      <c r="E788" s="1" t="s">
        <v>476</v>
      </c>
      <c r="F788" s="45"/>
      <c r="G788" s="2"/>
      <c r="H788" s="2">
        <f t="shared" si="1"/>
        <v>0</v>
      </c>
      <c r="I788" s="2">
        <f t="shared" si="2"/>
        <v>0</v>
      </c>
      <c r="J788" s="47" t="str">
        <f t="shared" si="3"/>
        <v/>
      </c>
      <c r="K788" s="2">
        <f t="shared" si="4"/>
        <v>0</v>
      </c>
      <c r="L788" s="1"/>
    </row>
    <row r="789">
      <c r="A789" s="56"/>
      <c r="B789" s="1" t="s">
        <v>476</v>
      </c>
      <c r="C789" s="1" t="str">
        <f>VLOOKUP(B789,MAESTRA!I:K,2,0)</f>
        <v/>
      </c>
      <c r="D789" s="1" t="str">
        <f>VLOOKUP(B789,MAESTRA!I:K,3,0)</f>
        <v>  </v>
      </c>
      <c r="E789" s="1" t="s">
        <v>476</v>
      </c>
      <c r="F789" s="45"/>
      <c r="G789" s="2"/>
      <c r="H789" s="2">
        <f t="shared" si="1"/>
        <v>0</v>
      </c>
      <c r="I789" s="2">
        <f t="shared" si="2"/>
        <v>0</v>
      </c>
      <c r="J789" s="47" t="str">
        <f t="shared" si="3"/>
        <v/>
      </c>
      <c r="K789" s="2">
        <f t="shared" si="4"/>
        <v>0</v>
      </c>
      <c r="L789" s="1"/>
    </row>
    <row r="790">
      <c r="A790" s="56"/>
      <c r="B790" s="1" t="s">
        <v>476</v>
      </c>
      <c r="C790" s="1" t="str">
        <f>VLOOKUP(B790,MAESTRA!I:K,2,0)</f>
        <v/>
      </c>
      <c r="D790" s="1" t="str">
        <f>VLOOKUP(B790,MAESTRA!I:K,3,0)</f>
        <v>  </v>
      </c>
      <c r="E790" s="1" t="s">
        <v>476</v>
      </c>
      <c r="F790" s="45"/>
      <c r="G790" s="2"/>
      <c r="H790" s="2">
        <f t="shared" si="1"/>
        <v>0</v>
      </c>
      <c r="I790" s="2">
        <f t="shared" si="2"/>
        <v>0</v>
      </c>
      <c r="J790" s="47" t="str">
        <f t="shared" si="3"/>
        <v/>
      </c>
      <c r="K790" s="2">
        <f t="shared" si="4"/>
        <v>0</v>
      </c>
      <c r="L790" s="1"/>
    </row>
    <row r="791">
      <c r="A791" s="56"/>
      <c r="B791" s="1" t="s">
        <v>476</v>
      </c>
      <c r="C791" s="1" t="str">
        <f>VLOOKUP(B791,MAESTRA!I:K,2,0)</f>
        <v/>
      </c>
      <c r="D791" s="1" t="str">
        <f>VLOOKUP(B791,MAESTRA!I:K,3,0)</f>
        <v>  </v>
      </c>
      <c r="E791" s="1" t="s">
        <v>476</v>
      </c>
      <c r="F791" s="45"/>
      <c r="G791" s="2"/>
      <c r="H791" s="2">
        <f t="shared" si="1"/>
        <v>0</v>
      </c>
      <c r="I791" s="2">
        <f t="shared" si="2"/>
        <v>0</v>
      </c>
      <c r="J791" s="47" t="str">
        <f t="shared" si="3"/>
        <v/>
      </c>
      <c r="K791" s="2">
        <f t="shared" si="4"/>
        <v>0</v>
      </c>
      <c r="L791" s="1"/>
    </row>
    <row r="792">
      <c r="A792" s="56"/>
      <c r="B792" s="1" t="s">
        <v>476</v>
      </c>
      <c r="C792" s="1" t="str">
        <f>VLOOKUP(B792,MAESTRA!I:K,2,0)</f>
        <v/>
      </c>
      <c r="D792" s="1" t="str">
        <f>VLOOKUP(B792,MAESTRA!I:K,3,0)</f>
        <v>  </v>
      </c>
      <c r="E792" s="1" t="s">
        <v>476</v>
      </c>
      <c r="F792" s="45"/>
      <c r="G792" s="2"/>
      <c r="H792" s="2">
        <f t="shared" si="1"/>
        <v>0</v>
      </c>
      <c r="I792" s="2">
        <f t="shared" si="2"/>
        <v>0</v>
      </c>
      <c r="J792" s="47" t="str">
        <f t="shared" si="3"/>
        <v/>
      </c>
      <c r="K792" s="2">
        <f t="shared" si="4"/>
        <v>0</v>
      </c>
      <c r="L792" s="1"/>
    </row>
    <row r="793">
      <c r="A793" s="56"/>
      <c r="B793" s="1" t="s">
        <v>476</v>
      </c>
      <c r="C793" s="1" t="str">
        <f>VLOOKUP(B793,MAESTRA!I:K,2,0)</f>
        <v/>
      </c>
      <c r="D793" s="1" t="str">
        <f>VLOOKUP(B793,MAESTRA!I:K,3,0)</f>
        <v>  </v>
      </c>
      <c r="E793" s="1" t="s">
        <v>476</v>
      </c>
      <c r="F793" s="45"/>
      <c r="G793" s="2"/>
      <c r="H793" s="2">
        <f t="shared" si="1"/>
        <v>0</v>
      </c>
      <c r="I793" s="2">
        <f t="shared" si="2"/>
        <v>0</v>
      </c>
      <c r="J793" s="47" t="str">
        <f t="shared" si="3"/>
        <v/>
      </c>
      <c r="K793" s="2">
        <f t="shared" si="4"/>
        <v>0</v>
      </c>
      <c r="L793" s="1"/>
    </row>
    <row r="794">
      <c r="A794" s="56"/>
      <c r="B794" s="1" t="s">
        <v>476</v>
      </c>
      <c r="C794" s="1" t="str">
        <f>VLOOKUP(B794,MAESTRA!I:K,2,0)</f>
        <v/>
      </c>
      <c r="D794" s="1" t="str">
        <f>VLOOKUP(B794,MAESTRA!I:K,3,0)</f>
        <v>  </v>
      </c>
      <c r="E794" s="1" t="s">
        <v>476</v>
      </c>
      <c r="F794" s="45"/>
      <c r="G794" s="2"/>
      <c r="H794" s="2">
        <f t="shared" si="1"/>
        <v>0</v>
      </c>
      <c r="I794" s="2">
        <f t="shared" si="2"/>
        <v>0</v>
      </c>
      <c r="J794" s="47" t="str">
        <f t="shared" si="3"/>
        <v/>
      </c>
      <c r="K794" s="2">
        <f t="shared" si="4"/>
        <v>0</v>
      </c>
      <c r="L794" s="1"/>
    </row>
    <row r="795">
      <c r="A795" s="56"/>
      <c r="B795" s="1" t="s">
        <v>476</v>
      </c>
      <c r="C795" s="1" t="str">
        <f>VLOOKUP(B795,MAESTRA!I:K,2,0)</f>
        <v/>
      </c>
      <c r="D795" s="1" t="str">
        <f>VLOOKUP(B795,MAESTRA!I:K,3,0)</f>
        <v>  </v>
      </c>
      <c r="E795" s="1" t="s">
        <v>476</v>
      </c>
      <c r="F795" s="45"/>
      <c r="G795" s="2"/>
      <c r="H795" s="2">
        <f t="shared" si="1"/>
        <v>0</v>
      </c>
      <c r="I795" s="2">
        <f t="shared" si="2"/>
        <v>0</v>
      </c>
      <c r="J795" s="47" t="str">
        <f t="shared" si="3"/>
        <v/>
      </c>
      <c r="K795" s="2">
        <f t="shared" si="4"/>
        <v>0</v>
      </c>
      <c r="L795" s="1"/>
    </row>
    <row r="796">
      <c r="A796" s="56"/>
      <c r="B796" s="1" t="s">
        <v>476</v>
      </c>
      <c r="C796" s="1" t="str">
        <f>VLOOKUP(B796,MAESTRA!I:K,2,0)</f>
        <v/>
      </c>
      <c r="D796" s="1" t="str">
        <f>VLOOKUP(B796,MAESTRA!I:K,3,0)</f>
        <v>  </v>
      </c>
      <c r="E796" s="1" t="s">
        <v>476</v>
      </c>
      <c r="F796" s="45"/>
      <c r="G796" s="2"/>
      <c r="H796" s="2">
        <f t="shared" si="1"/>
        <v>0</v>
      </c>
      <c r="I796" s="2">
        <f t="shared" si="2"/>
        <v>0</v>
      </c>
      <c r="J796" s="47" t="str">
        <f t="shared" si="3"/>
        <v/>
      </c>
      <c r="K796" s="2">
        <f t="shared" si="4"/>
        <v>0</v>
      </c>
      <c r="L796" s="1"/>
    </row>
    <row r="797">
      <c r="A797" s="56"/>
      <c r="B797" s="1" t="s">
        <v>476</v>
      </c>
      <c r="C797" s="1" t="str">
        <f>VLOOKUP(B797,MAESTRA!I:K,2,0)</f>
        <v/>
      </c>
      <c r="D797" s="1" t="str">
        <f>VLOOKUP(B797,MAESTRA!I:K,3,0)</f>
        <v>  </v>
      </c>
      <c r="E797" s="1" t="s">
        <v>476</v>
      </c>
      <c r="F797" s="45"/>
      <c r="G797" s="2"/>
      <c r="H797" s="2">
        <f t="shared" si="1"/>
        <v>0</v>
      </c>
      <c r="I797" s="2">
        <f t="shared" si="2"/>
        <v>0</v>
      </c>
      <c r="J797" s="47" t="str">
        <f t="shared" si="3"/>
        <v/>
      </c>
      <c r="K797" s="2">
        <f t="shared" si="4"/>
        <v>0</v>
      </c>
      <c r="L797" s="1"/>
    </row>
    <row r="798">
      <c r="A798" s="56"/>
      <c r="B798" s="1" t="s">
        <v>476</v>
      </c>
      <c r="C798" s="1" t="str">
        <f>VLOOKUP(B798,MAESTRA!I:K,2,0)</f>
        <v/>
      </c>
      <c r="D798" s="1" t="str">
        <f>VLOOKUP(B798,MAESTRA!I:K,3,0)</f>
        <v>  </v>
      </c>
      <c r="E798" s="1" t="s">
        <v>476</v>
      </c>
      <c r="F798" s="45"/>
      <c r="G798" s="2"/>
      <c r="H798" s="2">
        <f t="shared" si="1"/>
        <v>0</v>
      </c>
      <c r="I798" s="2">
        <f t="shared" si="2"/>
        <v>0</v>
      </c>
      <c r="J798" s="47" t="str">
        <f t="shared" si="3"/>
        <v/>
      </c>
      <c r="K798" s="2">
        <f t="shared" si="4"/>
        <v>0</v>
      </c>
      <c r="L798" s="1"/>
    </row>
    <row r="799">
      <c r="A799" s="56"/>
      <c r="B799" s="1" t="s">
        <v>476</v>
      </c>
      <c r="C799" s="1" t="str">
        <f>VLOOKUP(B799,MAESTRA!I:K,2,0)</f>
        <v/>
      </c>
      <c r="D799" s="1" t="str">
        <f>VLOOKUP(B799,MAESTRA!I:K,3,0)</f>
        <v>  </v>
      </c>
      <c r="E799" s="1" t="s">
        <v>476</v>
      </c>
      <c r="F799" s="45"/>
      <c r="G799" s="2"/>
      <c r="H799" s="2">
        <f t="shared" si="1"/>
        <v>0</v>
      </c>
      <c r="I799" s="2">
        <f t="shared" si="2"/>
        <v>0</v>
      </c>
      <c r="J799" s="47" t="str">
        <f t="shared" si="3"/>
        <v/>
      </c>
      <c r="K799" s="2">
        <f t="shared" si="4"/>
        <v>0</v>
      </c>
      <c r="L799" s="1"/>
    </row>
    <row r="800">
      <c r="A800" s="56"/>
      <c r="B800" s="1" t="s">
        <v>476</v>
      </c>
      <c r="C800" s="1" t="str">
        <f>VLOOKUP(B800,MAESTRA!I:K,2,0)</f>
        <v/>
      </c>
      <c r="D800" s="1" t="str">
        <f>VLOOKUP(B800,MAESTRA!I:K,3,0)</f>
        <v>  </v>
      </c>
      <c r="E800" s="1" t="s">
        <v>476</v>
      </c>
      <c r="F800" s="45"/>
      <c r="G800" s="2"/>
      <c r="H800" s="2">
        <f t="shared" si="1"/>
        <v>0</v>
      </c>
      <c r="I800" s="2">
        <f t="shared" si="2"/>
        <v>0</v>
      </c>
      <c r="J800" s="47" t="str">
        <f t="shared" si="3"/>
        <v/>
      </c>
      <c r="K800" s="2">
        <f t="shared" si="4"/>
        <v>0</v>
      </c>
      <c r="L800" s="1"/>
    </row>
    <row r="801">
      <c r="A801" s="56"/>
      <c r="B801" s="1" t="s">
        <v>476</v>
      </c>
      <c r="C801" s="1" t="str">
        <f>VLOOKUP(B801,MAESTRA!I:K,2,0)</f>
        <v/>
      </c>
      <c r="D801" s="1" t="str">
        <f>VLOOKUP(B801,MAESTRA!I:K,3,0)</f>
        <v>  </v>
      </c>
      <c r="E801" s="1" t="s">
        <v>476</v>
      </c>
      <c r="F801" s="45"/>
      <c r="G801" s="2"/>
      <c r="H801" s="2">
        <f t="shared" si="1"/>
        <v>0</v>
      </c>
      <c r="I801" s="2">
        <f t="shared" si="2"/>
        <v>0</v>
      </c>
      <c r="J801" s="47" t="str">
        <f t="shared" si="3"/>
        <v/>
      </c>
      <c r="K801" s="2">
        <f t="shared" si="4"/>
        <v>0</v>
      </c>
      <c r="L801" s="1"/>
    </row>
    <row r="802">
      <c r="A802" s="56"/>
      <c r="B802" s="1" t="s">
        <v>476</v>
      </c>
      <c r="C802" s="1" t="str">
        <f>VLOOKUP(B802,MAESTRA!I:K,2,0)</f>
        <v/>
      </c>
      <c r="D802" s="1" t="str">
        <f>VLOOKUP(B802,MAESTRA!I:K,3,0)</f>
        <v>  </v>
      </c>
      <c r="E802" s="1" t="s">
        <v>476</v>
      </c>
      <c r="F802" s="45"/>
      <c r="G802" s="2"/>
      <c r="H802" s="2">
        <f t="shared" si="1"/>
        <v>0</v>
      </c>
      <c r="I802" s="2">
        <f t="shared" si="2"/>
        <v>0</v>
      </c>
      <c r="J802" s="47" t="str">
        <f t="shared" si="3"/>
        <v/>
      </c>
      <c r="K802" s="2">
        <f t="shared" si="4"/>
        <v>0</v>
      </c>
      <c r="L802" s="1"/>
    </row>
    <row r="803">
      <c r="A803" s="56"/>
      <c r="B803" s="1" t="s">
        <v>476</v>
      </c>
      <c r="C803" s="1" t="str">
        <f>VLOOKUP(B803,MAESTRA!I:K,2,0)</f>
        <v/>
      </c>
      <c r="D803" s="1" t="str">
        <f>VLOOKUP(B803,MAESTRA!I:K,3,0)</f>
        <v>  </v>
      </c>
      <c r="E803" s="1" t="s">
        <v>476</v>
      </c>
      <c r="F803" s="45"/>
      <c r="G803" s="2"/>
      <c r="H803" s="2">
        <f t="shared" si="1"/>
        <v>0</v>
      </c>
      <c r="I803" s="2">
        <f t="shared" si="2"/>
        <v>0</v>
      </c>
      <c r="J803" s="47" t="str">
        <f t="shared" si="3"/>
        <v/>
      </c>
      <c r="K803" s="2">
        <f t="shared" si="4"/>
        <v>0</v>
      </c>
      <c r="L803" s="1"/>
    </row>
    <row r="804">
      <c r="A804" s="56"/>
      <c r="B804" s="1" t="s">
        <v>476</v>
      </c>
      <c r="C804" s="1" t="str">
        <f>VLOOKUP(B804,MAESTRA!I:K,2,0)</f>
        <v/>
      </c>
      <c r="D804" s="1" t="str">
        <f>VLOOKUP(B804,MAESTRA!I:K,3,0)</f>
        <v>  </v>
      </c>
      <c r="E804" s="1" t="s">
        <v>476</v>
      </c>
      <c r="F804" s="45"/>
      <c r="G804" s="2"/>
      <c r="H804" s="2">
        <f t="shared" si="1"/>
        <v>0</v>
      </c>
      <c r="I804" s="2">
        <f t="shared" si="2"/>
        <v>0</v>
      </c>
      <c r="J804" s="47" t="str">
        <f t="shared" si="3"/>
        <v/>
      </c>
      <c r="K804" s="2">
        <f t="shared" si="4"/>
        <v>0</v>
      </c>
      <c r="L804" s="1"/>
    </row>
    <row r="805">
      <c r="A805" s="56"/>
      <c r="B805" s="1" t="s">
        <v>476</v>
      </c>
      <c r="C805" s="1" t="str">
        <f>VLOOKUP(B805,MAESTRA!I:K,2,0)</f>
        <v/>
      </c>
      <c r="D805" s="1" t="str">
        <f>VLOOKUP(B805,MAESTRA!I:K,3,0)</f>
        <v>  </v>
      </c>
      <c r="E805" s="1" t="s">
        <v>476</v>
      </c>
      <c r="F805" s="45"/>
      <c r="G805" s="2"/>
      <c r="H805" s="2">
        <f t="shared" si="1"/>
        <v>0</v>
      </c>
      <c r="I805" s="2">
        <f t="shared" si="2"/>
        <v>0</v>
      </c>
      <c r="J805" s="47" t="str">
        <f t="shared" si="3"/>
        <v/>
      </c>
      <c r="K805" s="2">
        <f t="shared" si="4"/>
        <v>0</v>
      </c>
      <c r="L805" s="1"/>
    </row>
    <row r="806">
      <c r="A806" s="56"/>
      <c r="B806" s="1" t="s">
        <v>476</v>
      </c>
      <c r="C806" s="1" t="str">
        <f>VLOOKUP(B806,MAESTRA!I:K,2,0)</f>
        <v/>
      </c>
      <c r="D806" s="1" t="str">
        <f>VLOOKUP(B806,MAESTRA!I:K,3,0)</f>
        <v>  </v>
      </c>
      <c r="E806" s="1" t="s">
        <v>476</v>
      </c>
      <c r="F806" s="45"/>
      <c r="G806" s="2"/>
      <c r="H806" s="2">
        <f t="shared" si="1"/>
        <v>0</v>
      </c>
      <c r="I806" s="2">
        <f t="shared" si="2"/>
        <v>0</v>
      </c>
      <c r="J806" s="47" t="str">
        <f t="shared" si="3"/>
        <v/>
      </c>
      <c r="K806" s="2">
        <f t="shared" si="4"/>
        <v>0</v>
      </c>
      <c r="L806" s="1"/>
    </row>
    <row r="807">
      <c r="A807" s="56"/>
      <c r="B807" s="1" t="s">
        <v>476</v>
      </c>
      <c r="C807" s="1" t="str">
        <f>VLOOKUP(B807,MAESTRA!I:K,2,0)</f>
        <v/>
      </c>
      <c r="D807" s="1" t="str">
        <f>VLOOKUP(B807,MAESTRA!I:K,3,0)</f>
        <v>  </v>
      </c>
      <c r="E807" s="1" t="s">
        <v>476</v>
      </c>
      <c r="F807" s="45"/>
      <c r="G807" s="2"/>
      <c r="H807" s="2">
        <f t="shared" si="1"/>
        <v>0</v>
      </c>
      <c r="I807" s="2">
        <f t="shared" si="2"/>
        <v>0</v>
      </c>
      <c r="J807" s="47" t="str">
        <f t="shared" si="3"/>
        <v/>
      </c>
      <c r="K807" s="2">
        <f t="shared" si="4"/>
        <v>0</v>
      </c>
      <c r="L807" s="1"/>
    </row>
    <row r="808">
      <c r="A808" s="56"/>
      <c r="B808" s="1" t="s">
        <v>476</v>
      </c>
      <c r="C808" s="1" t="str">
        <f>VLOOKUP(B808,MAESTRA!I:K,2,0)</f>
        <v/>
      </c>
      <c r="D808" s="1" t="str">
        <f>VLOOKUP(B808,MAESTRA!I:K,3,0)</f>
        <v>  </v>
      </c>
      <c r="E808" s="1" t="s">
        <v>476</v>
      </c>
      <c r="F808" s="45"/>
      <c r="G808" s="2"/>
      <c r="H808" s="2">
        <f t="shared" si="1"/>
        <v>0</v>
      </c>
      <c r="I808" s="2">
        <f t="shared" si="2"/>
        <v>0</v>
      </c>
      <c r="J808" s="47" t="str">
        <f t="shared" si="3"/>
        <v/>
      </c>
      <c r="K808" s="2">
        <f t="shared" si="4"/>
        <v>0</v>
      </c>
      <c r="L808" s="1"/>
    </row>
    <row r="809">
      <c r="A809" s="56"/>
      <c r="B809" s="1" t="s">
        <v>476</v>
      </c>
      <c r="C809" s="1" t="str">
        <f>VLOOKUP(B809,MAESTRA!I:K,2,0)</f>
        <v/>
      </c>
      <c r="D809" s="1" t="str">
        <f>VLOOKUP(B809,MAESTRA!I:K,3,0)</f>
        <v>  </v>
      </c>
      <c r="E809" s="1" t="s">
        <v>476</v>
      </c>
      <c r="F809" s="45"/>
      <c r="G809" s="2"/>
      <c r="H809" s="2">
        <f t="shared" si="1"/>
        <v>0</v>
      </c>
      <c r="I809" s="2">
        <f t="shared" si="2"/>
        <v>0</v>
      </c>
      <c r="J809" s="47" t="str">
        <f t="shared" si="3"/>
        <v/>
      </c>
      <c r="K809" s="2">
        <f t="shared" si="4"/>
        <v>0</v>
      </c>
      <c r="L809" s="1"/>
    </row>
    <row r="810">
      <c r="A810" s="56"/>
      <c r="B810" s="1" t="s">
        <v>476</v>
      </c>
      <c r="C810" s="1" t="str">
        <f>VLOOKUP(B810,MAESTRA!I:K,2,0)</f>
        <v/>
      </c>
      <c r="D810" s="1" t="str">
        <f>VLOOKUP(B810,MAESTRA!I:K,3,0)</f>
        <v>  </v>
      </c>
      <c r="E810" s="1" t="s">
        <v>476</v>
      </c>
      <c r="F810" s="45"/>
      <c r="G810" s="2"/>
      <c r="H810" s="2">
        <f t="shared" si="1"/>
        <v>0</v>
      </c>
      <c r="I810" s="2">
        <f t="shared" si="2"/>
        <v>0</v>
      </c>
      <c r="J810" s="47" t="str">
        <f t="shared" si="3"/>
        <v/>
      </c>
      <c r="K810" s="2">
        <f t="shared" si="4"/>
        <v>0</v>
      </c>
      <c r="L810" s="1"/>
    </row>
    <row r="811">
      <c r="A811" s="56"/>
      <c r="B811" s="1" t="s">
        <v>476</v>
      </c>
      <c r="C811" s="1" t="str">
        <f>VLOOKUP(B811,MAESTRA!I:K,2,0)</f>
        <v/>
      </c>
      <c r="D811" s="1" t="str">
        <f>VLOOKUP(B811,MAESTRA!I:K,3,0)</f>
        <v>  </v>
      </c>
      <c r="E811" s="1" t="s">
        <v>476</v>
      </c>
      <c r="F811" s="45"/>
      <c r="G811" s="2"/>
      <c r="H811" s="2">
        <f t="shared" si="1"/>
        <v>0</v>
      </c>
      <c r="I811" s="2">
        <f t="shared" si="2"/>
        <v>0</v>
      </c>
      <c r="J811" s="47" t="str">
        <f t="shared" si="3"/>
        <v/>
      </c>
      <c r="K811" s="2">
        <f t="shared" si="4"/>
        <v>0</v>
      </c>
      <c r="L811" s="1"/>
    </row>
    <row r="812">
      <c r="A812" s="56"/>
      <c r="B812" s="1" t="s">
        <v>476</v>
      </c>
      <c r="C812" s="1" t="str">
        <f>VLOOKUP(B812,MAESTRA!I:K,2,0)</f>
        <v/>
      </c>
      <c r="D812" s="1" t="str">
        <f>VLOOKUP(B812,MAESTRA!I:K,3,0)</f>
        <v>  </v>
      </c>
      <c r="E812" s="1" t="s">
        <v>476</v>
      </c>
      <c r="F812" s="45"/>
      <c r="G812" s="2"/>
      <c r="H812" s="2">
        <f t="shared" si="1"/>
        <v>0</v>
      </c>
      <c r="I812" s="2">
        <f t="shared" si="2"/>
        <v>0</v>
      </c>
      <c r="J812" s="47" t="str">
        <f t="shared" si="3"/>
        <v/>
      </c>
      <c r="K812" s="2">
        <f t="shared" si="4"/>
        <v>0</v>
      </c>
      <c r="L812" s="1"/>
    </row>
    <row r="813">
      <c r="A813" s="56"/>
      <c r="B813" s="1" t="s">
        <v>476</v>
      </c>
      <c r="C813" s="1" t="str">
        <f>VLOOKUP(B813,MAESTRA!I:K,2,0)</f>
        <v/>
      </c>
      <c r="D813" s="1" t="str">
        <f>VLOOKUP(B813,MAESTRA!I:K,3,0)</f>
        <v>  </v>
      </c>
      <c r="E813" s="1" t="s">
        <v>476</v>
      </c>
      <c r="F813" s="45"/>
      <c r="G813" s="2"/>
      <c r="H813" s="2">
        <f t="shared" si="1"/>
        <v>0</v>
      </c>
      <c r="I813" s="2">
        <f t="shared" si="2"/>
        <v>0</v>
      </c>
      <c r="J813" s="47" t="str">
        <f t="shared" si="3"/>
        <v/>
      </c>
      <c r="K813" s="2">
        <f t="shared" si="4"/>
        <v>0</v>
      </c>
      <c r="L813" s="1"/>
    </row>
    <row r="814">
      <c r="A814" s="56"/>
      <c r="B814" s="1" t="s">
        <v>476</v>
      </c>
      <c r="C814" s="1" t="str">
        <f>VLOOKUP(B814,MAESTRA!I:K,2,0)</f>
        <v/>
      </c>
      <c r="D814" s="1" t="str">
        <f>VLOOKUP(B814,MAESTRA!I:K,3,0)</f>
        <v>  </v>
      </c>
      <c r="E814" s="1" t="s">
        <v>476</v>
      </c>
      <c r="F814" s="45"/>
      <c r="G814" s="2"/>
      <c r="H814" s="2">
        <f t="shared" si="1"/>
        <v>0</v>
      </c>
      <c r="I814" s="2">
        <f t="shared" si="2"/>
        <v>0</v>
      </c>
      <c r="J814" s="47" t="str">
        <f t="shared" si="3"/>
        <v/>
      </c>
      <c r="K814" s="2">
        <f t="shared" si="4"/>
        <v>0</v>
      </c>
      <c r="L814" s="1"/>
    </row>
    <row r="815">
      <c r="A815" s="56"/>
      <c r="B815" s="1" t="s">
        <v>476</v>
      </c>
      <c r="C815" s="1" t="str">
        <f>VLOOKUP(B815,MAESTRA!I:K,2,0)</f>
        <v/>
      </c>
      <c r="D815" s="1" t="str">
        <f>VLOOKUP(B815,MAESTRA!I:K,3,0)</f>
        <v>  </v>
      </c>
      <c r="E815" s="1" t="s">
        <v>476</v>
      </c>
      <c r="F815" s="45"/>
      <c r="G815" s="2"/>
      <c r="H815" s="2">
        <f t="shared" si="1"/>
        <v>0</v>
      </c>
      <c r="I815" s="2">
        <f t="shared" si="2"/>
        <v>0</v>
      </c>
      <c r="J815" s="47" t="str">
        <f t="shared" si="3"/>
        <v/>
      </c>
      <c r="K815" s="2">
        <f t="shared" si="4"/>
        <v>0</v>
      </c>
      <c r="L815" s="1"/>
    </row>
    <row r="816">
      <c r="A816" s="56"/>
      <c r="B816" s="1" t="s">
        <v>476</v>
      </c>
      <c r="C816" s="1" t="str">
        <f>VLOOKUP(B816,MAESTRA!I:K,2,0)</f>
        <v/>
      </c>
      <c r="D816" s="1" t="str">
        <f>VLOOKUP(B816,MAESTRA!I:K,3,0)</f>
        <v>  </v>
      </c>
      <c r="E816" s="1" t="s">
        <v>476</v>
      </c>
      <c r="F816" s="45"/>
      <c r="G816" s="2"/>
      <c r="H816" s="2">
        <f t="shared" si="1"/>
        <v>0</v>
      </c>
      <c r="I816" s="2">
        <f t="shared" si="2"/>
        <v>0</v>
      </c>
      <c r="J816" s="47" t="str">
        <f t="shared" si="3"/>
        <v/>
      </c>
      <c r="K816" s="2">
        <f t="shared" si="4"/>
        <v>0</v>
      </c>
      <c r="L816" s="1"/>
    </row>
    <row r="817">
      <c r="A817" s="56"/>
      <c r="B817" s="1" t="s">
        <v>476</v>
      </c>
      <c r="C817" s="1" t="str">
        <f>VLOOKUP(B817,MAESTRA!I:K,2,0)</f>
        <v/>
      </c>
      <c r="D817" s="1" t="str">
        <f>VLOOKUP(B817,MAESTRA!I:K,3,0)</f>
        <v>  </v>
      </c>
      <c r="E817" s="1" t="s">
        <v>476</v>
      </c>
      <c r="F817" s="45"/>
      <c r="G817" s="2"/>
      <c r="H817" s="2">
        <f t="shared" si="1"/>
        <v>0</v>
      </c>
      <c r="I817" s="2">
        <f t="shared" si="2"/>
        <v>0</v>
      </c>
      <c r="J817" s="47" t="str">
        <f t="shared" si="3"/>
        <v/>
      </c>
      <c r="K817" s="2">
        <f t="shared" si="4"/>
        <v>0</v>
      </c>
      <c r="L817" s="1"/>
    </row>
    <row r="818">
      <c r="A818" s="56"/>
      <c r="B818" s="1" t="s">
        <v>476</v>
      </c>
      <c r="C818" s="1" t="str">
        <f>VLOOKUP(B818,MAESTRA!I:K,2,0)</f>
        <v/>
      </c>
      <c r="D818" s="1" t="str">
        <f>VLOOKUP(B818,MAESTRA!I:K,3,0)</f>
        <v>  </v>
      </c>
      <c r="E818" s="1" t="s">
        <v>476</v>
      </c>
      <c r="F818" s="45"/>
      <c r="G818" s="2"/>
      <c r="H818" s="2">
        <f t="shared" si="1"/>
        <v>0</v>
      </c>
      <c r="I818" s="2">
        <f t="shared" si="2"/>
        <v>0</v>
      </c>
      <c r="J818" s="47" t="str">
        <f t="shared" si="3"/>
        <v/>
      </c>
      <c r="K818" s="2">
        <f t="shared" si="4"/>
        <v>0</v>
      </c>
      <c r="L818" s="1"/>
    </row>
    <row r="819">
      <c r="A819" s="56"/>
      <c r="B819" s="1" t="s">
        <v>476</v>
      </c>
      <c r="C819" s="1" t="str">
        <f>VLOOKUP(B819,MAESTRA!I:K,2,0)</f>
        <v/>
      </c>
      <c r="D819" s="1" t="str">
        <f>VLOOKUP(B819,MAESTRA!I:K,3,0)</f>
        <v>  </v>
      </c>
      <c r="E819" s="1" t="s">
        <v>476</v>
      </c>
      <c r="F819" s="45"/>
      <c r="G819" s="2"/>
      <c r="H819" s="2">
        <f t="shared" si="1"/>
        <v>0</v>
      </c>
      <c r="I819" s="2">
        <f t="shared" si="2"/>
        <v>0</v>
      </c>
      <c r="J819" s="47" t="str">
        <f t="shared" si="3"/>
        <v/>
      </c>
      <c r="K819" s="2">
        <f t="shared" si="4"/>
        <v>0</v>
      </c>
      <c r="L819" s="1"/>
    </row>
    <row r="820">
      <c r="A820" s="56"/>
      <c r="B820" s="1" t="s">
        <v>476</v>
      </c>
      <c r="C820" s="1" t="str">
        <f>VLOOKUP(B820,MAESTRA!I:K,2,0)</f>
        <v/>
      </c>
      <c r="D820" s="1" t="str">
        <f>VLOOKUP(B820,MAESTRA!I:K,3,0)</f>
        <v>  </v>
      </c>
      <c r="E820" s="1" t="s">
        <v>476</v>
      </c>
      <c r="F820" s="45"/>
      <c r="G820" s="2"/>
      <c r="H820" s="2">
        <f t="shared" si="1"/>
        <v>0</v>
      </c>
      <c r="I820" s="2">
        <f t="shared" si="2"/>
        <v>0</v>
      </c>
      <c r="J820" s="47" t="str">
        <f t="shared" si="3"/>
        <v/>
      </c>
      <c r="K820" s="2">
        <f t="shared" si="4"/>
        <v>0</v>
      </c>
      <c r="L820" s="1"/>
    </row>
    <row r="821">
      <c r="A821" s="56"/>
      <c r="B821" s="1" t="s">
        <v>476</v>
      </c>
      <c r="C821" s="1" t="str">
        <f>VLOOKUP(B821,MAESTRA!I:K,2,0)</f>
        <v/>
      </c>
      <c r="D821" s="1" t="str">
        <f>VLOOKUP(B821,MAESTRA!I:K,3,0)</f>
        <v>  </v>
      </c>
      <c r="E821" s="1" t="s">
        <v>476</v>
      </c>
      <c r="F821" s="45"/>
      <c r="G821" s="2"/>
      <c r="H821" s="2">
        <f t="shared" si="1"/>
        <v>0</v>
      </c>
      <c r="I821" s="2">
        <f t="shared" si="2"/>
        <v>0</v>
      </c>
      <c r="J821" s="47" t="str">
        <f t="shared" si="3"/>
        <v/>
      </c>
      <c r="K821" s="2">
        <f t="shared" si="4"/>
        <v>0</v>
      </c>
      <c r="L821" s="1"/>
    </row>
    <row r="822">
      <c r="A822" s="56"/>
      <c r="B822" s="1" t="s">
        <v>476</v>
      </c>
      <c r="C822" s="1" t="str">
        <f>VLOOKUP(B822,MAESTRA!I:K,2,0)</f>
        <v/>
      </c>
      <c r="D822" s="1" t="str">
        <f>VLOOKUP(B822,MAESTRA!I:K,3,0)</f>
        <v>  </v>
      </c>
      <c r="E822" s="1" t="s">
        <v>476</v>
      </c>
      <c r="F822" s="45"/>
      <c r="G822" s="2"/>
      <c r="H822" s="2">
        <f t="shared" si="1"/>
        <v>0</v>
      </c>
      <c r="I822" s="2">
        <f t="shared" si="2"/>
        <v>0</v>
      </c>
      <c r="J822" s="47" t="str">
        <f t="shared" si="3"/>
        <v/>
      </c>
      <c r="K822" s="2">
        <f t="shared" si="4"/>
        <v>0</v>
      </c>
      <c r="L822" s="1"/>
    </row>
    <row r="823">
      <c r="A823" s="56"/>
      <c r="B823" s="1" t="s">
        <v>476</v>
      </c>
      <c r="C823" s="1" t="str">
        <f>VLOOKUP(B823,MAESTRA!I:K,2,0)</f>
        <v/>
      </c>
      <c r="D823" s="1" t="str">
        <f>VLOOKUP(B823,MAESTRA!I:K,3,0)</f>
        <v>  </v>
      </c>
      <c r="E823" s="1" t="s">
        <v>476</v>
      </c>
      <c r="F823" s="45"/>
      <c r="G823" s="2"/>
      <c r="H823" s="2">
        <f t="shared" si="1"/>
        <v>0</v>
      </c>
      <c r="I823" s="2">
        <f t="shared" si="2"/>
        <v>0</v>
      </c>
      <c r="J823" s="47" t="str">
        <f t="shared" si="3"/>
        <v/>
      </c>
      <c r="K823" s="2">
        <f t="shared" si="4"/>
        <v>0</v>
      </c>
      <c r="L823" s="1"/>
    </row>
    <row r="824">
      <c r="A824" s="56"/>
      <c r="B824" s="1" t="s">
        <v>476</v>
      </c>
      <c r="C824" s="1" t="str">
        <f>VLOOKUP(B824,MAESTRA!I:K,2,0)</f>
        <v/>
      </c>
      <c r="D824" s="1" t="str">
        <f>VLOOKUP(B824,MAESTRA!I:K,3,0)</f>
        <v>  </v>
      </c>
      <c r="E824" s="1" t="s">
        <v>476</v>
      </c>
      <c r="F824" s="45"/>
      <c r="G824" s="2"/>
      <c r="H824" s="2">
        <f t="shared" si="1"/>
        <v>0</v>
      </c>
      <c r="I824" s="2">
        <f t="shared" si="2"/>
        <v>0</v>
      </c>
      <c r="J824" s="47" t="str">
        <f t="shared" si="3"/>
        <v/>
      </c>
      <c r="K824" s="2">
        <f t="shared" si="4"/>
        <v>0</v>
      </c>
      <c r="L824" s="1"/>
    </row>
    <row r="825">
      <c r="A825" s="56"/>
      <c r="B825" s="1" t="s">
        <v>476</v>
      </c>
      <c r="C825" s="1" t="str">
        <f>VLOOKUP(B825,MAESTRA!I:K,2,0)</f>
        <v/>
      </c>
      <c r="D825" s="1" t="str">
        <f>VLOOKUP(B825,MAESTRA!I:K,3,0)</f>
        <v>  </v>
      </c>
      <c r="E825" s="1" t="s">
        <v>476</v>
      </c>
      <c r="F825" s="45"/>
      <c r="G825" s="2"/>
      <c r="H825" s="2">
        <f t="shared" si="1"/>
        <v>0</v>
      </c>
      <c r="I825" s="2">
        <f t="shared" si="2"/>
        <v>0</v>
      </c>
      <c r="J825" s="47" t="str">
        <f t="shared" si="3"/>
        <v/>
      </c>
      <c r="K825" s="2">
        <f t="shared" si="4"/>
        <v>0</v>
      </c>
      <c r="L825" s="1"/>
    </row>
    <row r="826">
      <c r="A826" s="56"/>
      <c r="B826" s="1" t="s">
        <v>476</v>
      </c>
      <c r="C826" s="1" t="str">
        <f>VLOOKUP(B826,MAESTRA!I:K,2,0)</f>
        <v/>
      </c>
      <c r="D826" s="1" t="str">
        <f>VLOOKUP(B826,MAESTRA!I:K,3,0)</f>
        <v>  </v>
      </c>
      <c r="E826" s="1" t="s">
        <v>476</v>
      </c>
      <c r="F826" s="45"/>
      <c r="G826" s="2"/>
      <c r="H826" s="2">
        <f t="shared" si="1"/>
        <v>0</v>
      </c>
      <c r="I826" s="2">
        <f t="shared" si="2"/>
        <v>0</v>
      </c>
      <c r="J826" s="47" t="str">
        <f t="shared" si="3"/>
        <v/>
      </c>
      <c r="K826" s="2">
        <f t="shared" si="4"/>
        <v>0</v>
      </c>
      <c r="L826" s="1"/>
    </row>
    <row r="827">
      <c r="A827" s="56"/>
      <c r="B827" s="1" t="s">
        <v>476</v>
      </c>
      <c r="C827" s="1" t="str">
        <f>VLOOKUP(B827,MAESTRA!I:K,2,0)</f>
        <v/>
      </c>
      <c r="D827" s="1" t="str">
        <f>VLOOKUP(B827,MAESTRA!I:K,3,0)</f>
        <v>  </v>
      </c>
      <c r="E827" s="1" t="s">
        <v>476</v>
      </c>
      <c r="F827" s="45"/>
      <c r="G827" s="2"/>
      <c r="H827" s="2">
        <f t="shared" si="1"/>
        <v>0</v>
      </c>
      <c r="I827" s="2">
        <f t="shared" si="2"/>
        <v>0</v>
      </c>
      <c r="J827" s="47" t="str">
        <f t="shared" si="3"/>
        <v/>
      </c>
      <c r="K827" s="2">
        <f t="shared" si="4"/>
        <v>0</v>
      </c>
      <c r="L827" s="1"/>
    </row>
    <row r="828">
      <c r="A828" s="56"/>
      <c r="B828" s="1" t="s">
        <v>476</v>
      </c>
      <c r="C828" s="1" t="str">
        <f>VLOOKUP(B828,MAESTRA!I:K,2,0)</f>
        <v/>
      </c>
      <c r="D828" s="1" t="str">
        <f>VLOOKUP(B828,MAESTRA!I:K,3,0)</f>
        <v>  </v>
      </c>
      <c r="E828" s="1" t="s">
        <v>476</v>
      </c>
      <c r="F828" s="45"/>
      <c r="G828" s="2"/>
      <c r="H828" s="2">
        <f t="shared" si="1"/>
        <v>0</v>
      </c>
      <c r="I828" s="2">
        <f t="shared" si="2"/>
        <v>0</v>
      </c>
      <c r="J828" s="47" t="str">
        <f t="shared" si="3"/>
        <v/>
      </c>
      <c r="K828" s="2">
        <f t="shared" si="4"/>
        <v>0</v>
      </c>
      <c r="L828" s="1"/>
    </row>
    <row r="829">
      <c r="A829" s="56"/>
      <c r="B829" s="1" t="s">
        <v>476</v>
      </c>
      <c r="C829" s="1" t="str">
        <f>VLOOKUP(B829,MAESTRA!I:K,2,0)</f>
        <v/>
      </c>
      <c r="D829" s="1" t="str">
        <f>VLOOKUP(B829,MAESTRA!I:K,3,0)</f>
        <v>  </v>
      </c>
      <c r="E829" s="1" t="s">
        <v>476</v>
      </c>
      <c r="F829" s="45"/>
      <c r="G829" s="2"/>
      <c r="H829" s="2">
        <f t="shared" si="1"/>
        <v>0</v>
      </c>
      <c r="I829" s="2">
        <f t="shared" si="2"/>
        <v>0</v>
      </c>
      <c r="J829" s="47" t="str">
        <f t="shared" si="3"/>
        <v/>
      </c>
      <c r="K829" s="2">
        <f t="shared" si="4"/>
        <v>0</v>
      </c>
      <c r="L829" s="1"/>
    </row>
    <row r="830">
      <c r="A830" s="56"/>
      <c r="B830" s="1" t="s">
        <v>476</v>
      </c>
      <c r="C830" s="1" t="str">
        <f>VLOOKUP(B830,MAESTRA!I:K,2,0)</f>
        <v/>
      </c>
      <c r="D830" s="1" t="str">
        <f>VLOOKUP(B830,MAESTRA!I:K,3,0)</f>
        <v>  </v>
      </c>
      <c r="E830" s="1" t="s">
        <v>476</v>
      </c>
      <c r="F830" s="45"/>
      <c r="G830" s="2"/>
      <c r="H830" s="2">
        <f t="shared" si="1"/>
        <v>0</v>
      </c>
      <c r="I830" s="2">
        <f t="shared" si="2"/>
        <v>0</v>
      </c>
      <c r="J830" s="47" t="str">
        <f t="shared" si="3"/>
        <v/>
      </c>
      <c r="K830" s="2">
        <f t="shared" si="4"/>
        <v>0</v>
      </c>
      <c r="L830" s="1"/>
    </row>
    <row r="831">
      <c r="A831" s="56"/>
      <c r="B831" s="1" t="s">
        <v>476</v>
      </c>
      <c r="C831" s="1" t="str">
        <f>VLOOKUP(B831,MAESTRA!I:K,2,0)</f>
        <v/>
      </c>
      <c r="D831" s="1" t="str">
        <f>VLOOKUP(B831,MAESTRA!I:K,3,0)</f>
        <v>  </v>
      </c>
      <c r="E831" s="1" t="s">
        <v>476</v>
      </c>
      <c r="F831" s="45"/>
      <c r="G831" s="2"/>
      <c r="H831" s="2">
        <f t="shared" si="1"/>
        <v>0</v>
      </c>
      <c r="I831" s="2">
        <f t="shared" si="2"/>
        <v>0</v>
      </c>
      <c r="J831" s="47" t="str">
        <f t="shared" si="3"/>
        <v/>
      </c>
      <c r="K831" s="2">
        <f t="shared" si="4"/>
        <v>0</v>
      </c>
      <c r="L831" s="1"/>
    </row>
    <row r="832">
      <c r="A832" s="56"/>
      <c r="B832" s="1" t="s">
        <v>476</v>
      </c>
      <c r="C832" s="1" t="str">
        <f>VLOOKUP(B832,MAESTRA!I:K,2,0)</f>
        <v/>
      </c>
      <c r="D832" s="1" t="str">
        <f>VLOOKUP(B832,MAESTRA!I:K,3,0)</f>
        <v>  </v>
      </c>
      <c r="E832" s="1" t="s">
        <v>476</v>
      </c>
      <c r="F832" s="45"/>
      <c r="G832" s="2"/>
      <c r="H832" s="2">
        <f t="shared" si="1"/>
        <v>0</v>
      </c>
      <c r="I832" s="2">
        <f t="shared" si="2"/>
        <v>0</v>
      </c>
      <c r="J832" s="47" t="str">
        <f t="shared" si="3"/>
        <v/>
      </c>
      <c r="K832" s="2">
        <f t="shared" si="4"/>
        <v>0</v>
      </c>
      <c r="L832" s="1"/>
    </row>
    <row r="833">
      <c r="A833" s="56"/>
      <c r="B833" s="1" t="s">
        <v>476</v>
      </c>
      <c r="C833" s="1" t="str">
        <f>VLOOKUP(B833,MAESTRA!I:K,2,0)</f>
        <v/>
      </c>
      <c r="D833" s="1" t="str">
        <f>VLOOKUP(B833,MAESTRA!I:K,3,0)</f>
        <v>  </v>
      </c>
      <c r="E833" s="1" t="s">
        <v>476</v>
      </c>
      <c r="F833" s="45"/>
      <c r="G833" s="2"/>
      <c r="H833" s="2">
        <f t="shared" si="1"/>
        <v>0</v>
      </c>
      <c r="I833" s="2">
        <f t="shared" si="2"/>
        <v>0</v>
      </c>
      <c r="J833" s="47" t="str">
        <f t="shared" si="3"/>
        <v/>
      </c>
      <c r="K833" s="2">
        <f t="shared" si="4"/>
        <v>0</v>
      </c>
      <c r="L833" s="1"/>
    </row>
    <row r="834">
      <c r="A834" s="56"/>
      <c r="B834" s="1" t="s">
        <v>476</v>
      </c>
      <c r="C834" s="1" t="str">
        <f>VLOOKUP(B834,MAESTRA!I:K,2,0)</f>
        <v/>
      </c>
      <c r="D834" s="1" t="str">
        <f>VLOOKUP(B834,MAESTRA!I:K,3,0)</f>
        <v>  </v>
      </c>
      <c r="E834" s="1" t="s">
        <v>476</v>
      </c>
      <c r="F834" s="45"/>
      <c r="G834" s="2"/>
      <c r="H834" s="2">
        <f t="shared" si="1"/>
        <v>0</v>
      </c>
      <c r="I834" s="2">
        <f t="shared" si="2"/>
        <v>0</v>
      </c>
      <c r="J834" s="47" t="str">
        <f t="shared" si="3"/>
        <v/>
      </c>
      <c r="K834" s="2">
        <f t="shared" si="4"/>
        <v>0</v>
      </c>
      <c r="L834" s="1"/>
    </row>
    <row r="835">
      <c r="A835" s="56"/>
      <c r="B835" s="1" t="s">
        <v>476</v>
      </c>
      <c r="C835" s="1" t="str">
        <f>VLOOKUP(B835,MAESTRA!I:K,2,0)</f>
        <v/>
      </c>
      <c r="D835" s="1" t="str">
        <f>VLOOKUP(B835,MAESTRA!I:K,3,0)</f>
        <v>  </v>
      </c>
      <c r="E835" s="1" t="s">
        <v>476</v>
      </c>
      <c r="F835" s="45"/>
      <c r="G835" s="2"/>
      <c r="H835" s="2">
        <f t="shared" si="1"/>
        <v>0</v>
      </c>
      <c r="I835" s="2">
        <f t="shared" si="2"/>
        <v>0</v>
      </c>
      <c r="J835" s="47" t="str">
        <f t="shared" si="3"/>
        <v/>
      </c>
      <c r="K835" s="2">
        <f t="shared" si="4"/>
        <v>0</v>
      </c>
      <c r="L835" s="1"/>
    </row>
    <row r="836">
      <c r="A836" s="56"/>
      <c r="B836" s="1" t="s">
        <v>476</v>
      </c>
      <c r="C836" s="1" t="str">
        <f>VLOOKUP(B836,MAESTRA!I:K,2,0)</f>
        <v/>
      </c>
      <c r="D836" s="1" t="str">
        <f>VLOOKUP(B836,MAESTRA!I:K,3,0)</f>
        <v>  </v>
      </c>
      <c r="E836" s="1" t="s">
        <v>476</v>
      </c>
      <c r="F836" s="45"/>
      <c r="G836" s="2"/>
      <c r="H836" s="2">
        <f t="shared" si="1"/>
        <v>0</v>
      </c>
      <c r="I836" s="2">
        <f t="shared" si="2"/>
        <v>0</v>
      </c>
      <c r="J836" s="47" t="str">
        <f t="shared" si="3"/>
        <v/>
      </c>
      <c r="K836" s="2">
        <f t="shared" si="4"/>
        <v>0</v>
      </c>
      <c r="L836" s="1"/>
    </row>
    <row r="837">
      <c r="A837" s="56"/>
      <c r="B837" s="1" t="s">
        <v>476</v>
      </c>
      <c r="C837" s="1" t="str">
        <f>VLOOKUP(B837,MAESTRA!I:K,2,0)</f>
        <v/>
      </c>
      <c r="D837" s="1" t="str">
        <f>VLOOKUP(B837,MAESTRA!I:K,3,0)</f>
        <v>  </v>
      </c>
      <c r="E837" s="1" t="s">
        <v>476</v>
      </c>
      <c r="F837" s="45"/>
      <c r="G837" s="2"/>
      <c r="H837" s="2">
        <f t="shared" si="1"/>
        <v>0</v>
      </c>
      <c r="I837" s="2">
        <f t="shared" si="2"/>
        <v>0</v>
      </c>
      <c r="J837" s="47" t="str">
        <f t="shared" si="3"/>
        <v/>
      </c>
      <c r="K837" s="2">
        <f t="shared" si="4"/>
        <v>0</v>
      </c>
      <c r="L837" s="1"/>
    </row>
    <row r="838">
      <c r="A838" s="56"/>
      <c r="B838" s="1" t="s">
        <v>476</v>
      </c>
      <c r="C838" s="1" t="str">
        <f>VLOOKUP(B838,MAESTRA!I:K,2,0)</f>
        <v/>
      </c>
      <c r="D838" s="1" t="str">
        <f>VLOOKUP(B838,MAESTRA!I:K,3,0)</f>
        <v>  </v>
      </c>
      <c r="E838" s="1" t="s">
        <v>476</v>
      </c>
      <c r="F838" s="45"/>
      <c r="G838" s="2"/>
      <c r="H838" s="2">
        <f t="shared" si="1"/>
        <v>0</v>
      </c>
      <c r="I838" s="2">
        <f t="shared" si="2"/>
        <v>0</v>
      </c>
      <c r="J838" s="47" t="str">
        <f t="shared" si="3"/>
        <v/>
      </c>
      <c r="K838" s="2">
        <f t="shared" si="4"/>
        <v>0</v>
      </c>
      <c r="L838" s="1"/>
    </row>
    <row r="839">
      <c r="A839" s="56"/>
      <c r="B839" s="1" t="s">
        <v>476</v>
      </c>
      <c r="C839" s="1" t="str">
        <f>VLOOKUP(B839,MAESTRA!I:K,2,0)</f>
        <v/>
      </c>
      <c r="D839" s="1" t="str">
        <f>VLOOKUP(B839,MAESTRA!I:K,3,0)</f>
        <v>  </v>
      </c>
      <c r="E839" s="1" t="s">
        <v>476</v>
      </c>
      <c r="F839" s="45"/>
      <c r="G839" s="2"/>
      <c r="H839" s="2">
        <f t="shared" si="1"/>
        <v>0</v>
      </c>
      <c r="I839" s="2">
        <f t="shared" si="2"/>
        <v>0</v>
      </c>
      <c r="J839" s="47" t="str">
        <f t="shared" si="3"/>
        <v/>
      </c>
      <c r="K839" s="2">
        <f t="shared" si="4"/>
        <v>0</v>
      </c>
      <c r="L839" s="1"/>
    </row>
    <row r="840">
      <c r="A840" s="56"/>
      <c r="B840" s="1" t="s">
        <v>476</v>
      </c>
      <c r="C840" s="1" t="str">
        <f>VLOOKUP(B840,MAESTRA!I:K,2,0)</f>
        <v/>
      </c>
      <c r="D840" s="1" t="str">
        <f>VLOOKUP(B840,MAESTRA!I:K,3,0)</f>
        <v>  </v>
      </c>
      <c r="E840" s="1" t="s">
        <v>476</v>
      </c>
      <c r="F840" s="45"/>
      <c r="G840" s="2"/>
      <c r="H840" s="2">
        <f t="shared" si="1"/>
        <v>0</v>
      </c>
      <c r="I840" s="2">
        <f t="shared" si="2"/>
        <v>0</v>
      </c>
      <c r="J840" s="47" t="str">
        <f t="shared" si="3"/>
        <v/>
      </c>
      <c r="K840" s="2">
        <f t="shared" si="4"/>
        <v>0</v>
      </c>
      <c r="L840" s="1"/>
    </row>
    <row r="841">
      <c r="A841" s="56"/>
      <c r="B841" s="1" t="s">
        <v>476</v>
      </c>
      <c r="C841" s="1" t="str">
        <f>VLOOKUP(B841,MAESTRA!I:K,2,0)</f>
        <v/>
      </c>
      <c r="D841" s="1" t="str">
        <f>VLOOKUP(B841,MAESTRA!I:K,3,0)</f>
        <v>  </v>
      </c>
      <c r="E841" s="1" t="s">
        <v>476</v>
      </c>
      <c r="F841" s="45"/>
      <c r="G841" s="2"/>
      <c r="H841" s="2">
        <f t="shared" si="1"/>
        <v>0</v>
      </c>
      <c r="I841" s="2">
        <f t="shared" si="2"/>
        <v>0</v>
      </c>
      <c r="J841" s="47" t="str">
        <f t="shared" si="3"/>
        <v/>
      </c>
      <c r="K841" s="2">
        <f t="shared" si="4"/>
        <v>0</v>
      </c>
      <c r="L841" s="1"/>
    </row>
    <row r="842">
      <c r="A842" s="56"/>
      <c r="B842" s="1" t="s">
        <v>476</v>
      </c>
      <c r="C842" s="1" t="str">
        <f>VLOOKUP(B842,MAESTRA!I:K,2,0)</f>
        <v/>
      </c>
      <c r="D842" s="1" t="str">
        <f>VLOOKUP(B842,MAESTRA!I:K,3,0)</f>
        <v>  </v>
      </c>
      <c r="E842" s="1" t="s">
        <v>476</v>
      </c>
      <c r="F842" s="45"/>
      <c r="G842" s="2"/>
      <c r="H842" s="2">
        <f t="shared" si="1"/>
        <v>0</v>
      </c>
      <c r="I842" s="2">
        <f t="shared" si="2"/>
        <v>0</v>
      </c>
      <c r="J842" s="47" t="str">
        <f t="shared" si="3"/>
        <v/>
      </c>
      <c r="K842" s="2">
        <f t="shared" si="4"/>
        <v>0</v>
      </c>
      <c r="L842" s="1"/>
    </row>
    <row r="843">
      <c r="A843" s="56"/>
      <c r="B843" s="1" t="s">
        <v>476</v>
      </c>
      <c r="C843" s="1" t="str">
        <f>VLOOKUP(B843,MAESTRA!I:K,2,0)</f>
        <v/>
      </c>
      <c r="D843" s="1" t="str">
        <f>VLOOKUP(B843,MAESTRA!I:K,3,0)</f>
        <v>  </v>
      </c>
      <c r="E843" s="1" t="s">
        <v>476</v>
      </c>
      <c r="F843" s="45"/>
      <c r="G843" s="2"/>
      <c r="H843" s="2">
        <f t="shared" si="1"/>
        <v>0</v>
      </c>
      <c r="I843" s="2">
        <f t="shared" si="2"/>
        <v>0</v>
      </c>
      <c r="J843" s="47" t="str">
        <f t="shared" si="3"/>
        <v/>
      </c>
      <c r="K843" s="2">
        <f t="shared" si="4"/>
        <v>0</v>
      </c>
      <c r="L843" s="1"/>
    </row>
    <row r="844">
      <c r="A844" s="56"/>
      <c r="B844" s="1" t="s">
        <v>476</v>
      </c>
      <c r="C844" s="1" t="str">
        <f>VLOOKUP(B844,MAESTRA!I:K,2,0)</f>
        <v/>
      </c>
      <c r="D844" s="1" t="str">
        <f>VLOOKUP(B844,MAESTRA!I:K,3,0)</f>
        <v>  </v>
      </c>
      <c r="E844" s="1" t="s">
        <v>476</v>
      </c>
      <c r="F844" s="45"/>
      <c r="G844" s="2"/>
      <c r="H844" s="2">
        <f t="shared" si="1"/>
        <v>0</v>
      </c>
      <c r="I844" s="2">
        <f t="shared" si="2"/>
        <v>0</v>
      </c>
      <c r="J844" s="47" t="str">
        <f t="shared" si="3"/>
        <v/>
      </c>
      <c r="K844" s="2">
        <f t="shared" si="4"/>
        <v>0</v>
      </c>
      <c r="L844" s="1"/>
    </row>
    <row r="845">
      <c r="A845" s="56"/>
      <c r="B845" s="1" t="s">
        <v>476</v>
      </c>
      <c r="C845" s="1" t="str">
        <f>VLOOKUP(B845,MAESTRA!I:K,2,0)</f>
        <v/>
      </c>
      <c r="D845" s="1" t="str">
        <f>VLOOKUP(B845,MAESTRA!I:K,3,0)</f>
        <v>  </v>
      </c>
      <c r="E845" s="1" t="s">
        <v>476</v>
      </c>
      <c r="F845" s="45"/>
      <c r="G845" s="2"/>
      <c r="H845" s="2">
        <f t="shared" si="1"/>
        <v>0</v>
      </c>
      <c r="I845" s="2">
        <f t="shared" si="2"/>
        <v>0</v>
      </c>
      <c r="J845" s="47" t="str">
        <f t="shared" si="3"/>
        <v/>
      </c>
      <c r="K845" s="2">
        <f t="shared" si="4"/>
        <v>0</v>
      </c>
      <c r="L845" s="1"/>
    </row>
    <row r="846">
      <c r="A846" s="56"/>
      <c r="B846" s="1" t="s">
        <v>476</v>
      </c>
      <c r="C846" s="1" t="str">
        <f>VLOOKUP(B846,MAESTRA!I:K,2,0)</f>
        <v/>
      </c>
      <c r="D846" s="1" t="str">
        <f>VLOOKUP(B846,MAESTRA!I:K,3,0)</f>
        <v>  </v>
      </c>
      <c r="E846" s="1" t="s">
        <v>476</v>
      </c>
      <c r="F846" s="45"/>
      <c r="G846" s="2"/>
      <c r="H846" s="2">
        <f t="shared" si="1"/>
        <v>0</v>
      </c>
      <c r="I846" s="2">
        <f t="shared" si="2"/>
        <v>0</v>
      </c>
      <c r="J846" s="47" t="str">
        <f t="shared" si="3"/>
        <v/>
      </c>
      <c r="K846" s="2">
        <f t="shared" si="4"/>
        <v>0</v>
      </c>
      <c r="L846" s="1"/>
    </row>
    <row r="847">
      <c r="A847" s="56"/>
      <c r="B847" s="1" t="s">
        <v>476</v>
      </c>
      <c r="C847" s="1" t="str">
        <f>VLOOKUP(B847,MAESTRA!I:K,2,0)</f>
        <v/>
      </c>
      <c r="D847" s="1" t="str">
        <f>VLOOKUP(B847,MAESTRA!I:K,3,0)</f>
        <v>  </v>
      </c>
      <c r="E847" s="1" t="s">
        <v>476</v>
      </c>
      <c r="F847" s="45"/>
      <c r="G847" s="2"/>
      <c r="H847" s="2">
        <f t="shared" si="1"/>
        <v>0</v>
      </c>
      <c r="I847" s="2">
        <f t="shared" si="2"/>
        <v>0</v>
      </c>
      <c r="J847" s="47" t="str">
        <f t="shared" si="3"/>
        <v/>
      </c>
      <c r="K847" s="2">
        <f t="shared" si="4"/>
        <v>0</v>
      </c>
      <c r="L847" s="1"/>
    </row>
    <row r="848">
      <c r="A848" s="56"/>
      <c r="B848" s="1" t="s">
        <v>476</v>
      </c>
      <c r="C848" s="1" t="str">
        <f>VLOOKUP(B848,MAESTRA!I:K,2,0)</f>
        <v/>
      </c>
      <c r="D848" s="1" t="str">
        <f>VLOOKUP(B848,MAESTRA!I:K,3,0)</f>
        <v>  </v>
      </c>
      <c r="E848" s="1" t="s">
        <v>476</v>
      </c>
      <c r="F848" s="45"/>
      <c r="G848" s="2"/>
      <c r="H848" s="2">
        <f t="shared" si="1"/>
        <v>0</v>
      </c>
      <c r="I848" s="2">
        <f t="shared" si="2"/>
        <v>0</v>
      </c>
      <c r="J848" s="47" t="str">
        <f t="shared" si="3"/>
        <v/>
      </c>
      <c r="K848" s="2">
        <f t="shared" si="4"/>
        <v>0</v>
      </c>
      <c r="L848" s="1"/>
    </row>
    <row r="849">
      <c r="A849" s="56"/>
      <c r="B849" s="1" t="s">
        <v>476</v>
      </c>
      <c r="C849" s="1" t="str">
        <f>VLOOKUP(B849,MAESTRA!I:K,2,0)</f>
        <v/>
      </c>
      <c r="D849" s="1" t="str">
        <f>VLOOKUP(B849,MAESTRA!I:K,3,0)</f>
        <v>  </v>
      </c>
      <c r="E849" s="1" t="s">
        <v>476</v>
      </c>
      <c r="F849" s="45"/>
      <c r="G849" s="2"/>
      <c r="H849" s="2">
        <f t="shared" si="1"/>
        <v>0</v>
      </c>
      <c r="I849" s="2">
        <f t="shared" si="2"/>
        <v>0</v>
      </c>
      <c r="J849" s="47" t="str">
        <f t="shared" si="3"/>
        <v/>
      </c>
      <c r="K849" s="2">
        <f t="shared" si="4"/>
        <v>0</v>
      </c>
      <c r="L849" s="1"/>
    </row>
    <row r="850">
      <c r="A850" s="56"/>
      <c r="B850" s="1" t="s">
        <v>476</v>
      </c>
      <c r="C850" s="1" t="str">
        <f>VLOOKUP(B850,MAESTRA!I:K,2,0)</f>
        <v/>
      </c>
      <c r="D850" s="1" t="str">
        <f>VLOOKUP(B850,MAESTRA!I:K,3,0)</f>
        <v>  </v>
      </c>
      <c r="E850" s="1" t="s">
        <v>476</v>
      </c>
      <c r="F850" s="45"/>
      <c r="G850" s="2"/>
      <c r="H850" s="2">
        <f t="shared" si="1"/>
        <v>0</v>
      </c>
      <c r="I850" s="2">
        <f t="shared" si="2"/>
        <v>0</v>
      </c>
      <c r="J850" s="47" t="str">
        <f t="shared" si="3"/>
        <v/>
      </c>
      <c r="K850" s="2">
        <f t="shared" si="4"/>
        <v>0</v>
      </c>
      <c r="L850" s="1"/>
    </row>
    <row r="851">
      <c r="A851" s="56"/>
      <c r="B851" s="1" t="s">
        <v>476</v>
      </c>
      <c r="C851" s="1" t="str">
        <f>VLOOKUP(B851,MAESTRA!I:K,2,0)</f>
        <v/>
      </c>
      <c r="D851" s="1" t="str">
        <f>VLOOKUP(B851,MAESTRA!I:K,3,0)</f>
        <v>  </v>
      </c>
      <c r="E851" s="1" t="s">
        <v>476</v>
      </c>
      <c r="F851" s="45"/>
      <c r="G851" s="2"/>
      <c r="H851" s="2">
        <f t="shared" si="1"/>
        <v>0</v>
      </c>
      <c r="I851" s="2">
        <f t="shared" si="2"/>
        <v>0</v>
      </c>
      <c r="J851" s="47" t="str">
        <f t="shared" si="3"/>
        <v/>
      </c>
      <c r="K851" s="2">
        <f t="shared" si="4"/>
        <v>0</v>
      </c>
      <c r="L851" s="1"/>
    </row>
    <row r="852">
      <c r="A852" s="56"/>
      <c r="B852" s="1" t="s">
        <v>476</v>
      </c>
      <c r="C852" s="1" t="str">
        <f>VLOOKUP(B852,MAESTRA!I:K,2,0)</f>
        <v/>
      </c>
      <c r="D852" s="1" t="str">
        <f>VLOOKUP(B852,MAESTRA!I:K,3,0)</f>
        <v>  </v>
      </c>
      <c r="E852" s="1" t="s">
        <v>476</v>
      </c>
      <c r="F852" s="45"/>
      <c r="G852" s="2"/>
      <c r="H852" s="2">
        <f t="shared" si="1"/>
        <v>0</v>
      </c>
      <c r="I852" s="2">
        <f t="shared" si="2"/>
        <v>0</v>
      </c>
      <c r="J852" s="47" t="str">
        <f t="shared" si="3"/>
        <v/>
      </c>
      <c r="K852" s="2">
        <f t="shared" si="4"/>
        <v>0</v>
      </c>
      <c r="L852" s="1"/>
    </row>
    <row r="853">
      <c r="A853" s="56"/>
      <c r="B853" s="1" t="s">
        <v>476</v>
      </c>
      <c r="C853" s="1" t="str">
        <f>VLOOKUP(B853,MAESTRA!I:K,2,0)</f>
        <v/>
      </c>
      <c r="D853" s="1" t="str">
        <f>VLOOKUP(B853,MAESTRA!I:K,3,0)</f>
        <v>  </v>
      </c>
      <c r="E853" s="1" t="s">
        <v>476</v>
      </c>
      <c r="F853" s="45"/>
      <c r="G853" s="2"/>
      <c r="H853" s="2">
        <f t="shared" si="1"/>
        <v>0</v>
      </c>
      <c r="I853" s="2">
        <f t="shared" si="2"/>
        <v>0</v>
      </c>
      <c r="J853" s="47" t="str">
        <f t="shared" si="3"/>
        <v/>
      </c>
      <c r="K853" s="2">
        <f t="shared" si="4"/>
        <v>0</v>
      </c>
      <c r="L853" s="1"/>
    </row>
    <row r="854">
      <c r="A854" s="56"/>
      <c r="B854" s="1" t="s">
        <v>476</v>
      </c>
      <c r="C854" s="1" t="str">
        <f>VLOOKUP(B854,MAESTRA!I:K,2,0)</f>
        <v/>
      </c>
      <c r="D854" s="1" t="str">
        <f>VLOOKUP(B854,MAESTRA!I:K,3,0)</f>
        <v>  </v>
      </c>
      <c r="E854" s="1" t="s">
        <v>476</v>
      </c>
      <c r="F854" s="45"/>
      <c r="G854" s="2"/>
      <c r="H854" s="2">
        <f t="shared" si="1"/>
        <v>0</v>
      </c>
      <c r="I854" s="2">
        <f t="shared" si="2"/>
        <v>0</v>
      </c>
      <c r="J854" s="47" t="str">
        <f t="shared" si="3"/>
        <v/>
      </c>
      <c r="K854" s="2">
        <f t="shared" si="4"/>
        <v>0</v>
      </c>
      <c r="L854" s="1"/>
    </row>
    <row r="855">
      <c r="A855" s="56"/>
      <c r="B855" s="1" t="s">
        <v>476</v>
      </c>
      <c r="C855" s="1" t="str">
        <f>VLOOKUP(B855,MAESTRA!I:K,2,0)</f>
        <v/>
      </c>
      <c r="D855" s="1" t="str">
        <f>VLOOKUP(B855,MAESTRA!I:K,3,0)</f>
        <v>  </v>
      </c>
      <c r="E855" s="1" t="s">
        <v>476</v>
      </c>
      <c r="F855" s="45"/>
      <c r="G855" s="2"/>
      <c r="H855" s="2">
        <f t="shared" si="1"/>
        <v>0</v>
      </c>
      <c r="I855" s="2">
        <f t="shared" si="2"/>
        <v>0</v>
      </c>
      <c r="J855" s="47" t="str">
        <f t="shared" si="3"/>
        <v/>
      </c>
      <c r="K855" s="2">
        <f t="shared" si="4"/>
        <v>0</v>
      </c>
      <c r="L855" s="1"/>
    </row>
    <row r="856">
      <c r="A856" s="56"/>
      <c r="B856" s="1" t="s">
        <v>476</v>
      </c>
      <c r="C856" s="1" t="str">
        <f>VLOOKUP(B856,MAESTRA!I:K,2,0)</f>
        <v/>
      </c>
      <c r="D856" s="1" t="str">
        <f>VLOOKUP(B856,MAESTRA!I:K,3,0)</f>
        <v>  </v>
      </c>
      <c r="E856" s="1" t="s">
        <v>476</v>
      </c>
      <c r="F856" s="45"/>
      <c r="G856" s="2"/>
      <c r="H856" s="2">
        <f t="shared" si="1"/>
        <v>0</v>
      </c>
      <c r="I856" s="2">
        <f t="shared" si="2"/>
        <v>0</v>
      </c>
      <c r="J856" s="47" t="str">
        <f t="shared" si="3"/>
        <v/>
      </c>
      <c r="K856" s="2">
        <f t="shared" si="4"/>
        <v>0</v>
      </c>
      <c r="L856" s="1"/>
    </row>
    <row r="857">
      <c r="A857" s="56"/>
      <c r="B857" s="1" t="s">
        <v>476</v>
      </c>
      <c r="C857" s="1" t="str">
        <f>VLOOKUP(B857,MAESTRA!I:K,2,0)</f>
        <v/>
      </c>
      <c r="D857" s="1" t="str">
        <f>VLOOKUP(B857,MAESTRA!I:K,3,0)</f>
        <v>  </v>
      </c>
      <c r="E857" s="1" t="s">
        <v>476</v>
      </c>
      <c r="F857" s="45"/>
      <c r="G857" s="2"/>
      <c r="H857" s="2">
        <f t="shared" si="1"/>
        <v>0</v>
      </c>
      <c r="I857" s="2">
        <f t="shared" si="2"/>
        <v>0</v>
      </c>
      <c r="J857" s="47" t="str">
        <f t="shared" si="3"/>
        <v/>
      </c>
      <c r="K857" s="2">
        <f t="shared" si="4"/>
        <v>0</v>
      </c>
      <c r="L857" s="1"/>
    </row>
    <row r="858">
      <c r="A858" s="56"/>
      <c r="B858" s="1" t="s">
        <v>476</v>
      </c>
      <c r="C858" s="1" t="str">
        <f>VLOOKUP(B858,MAESTRA!I:K,2,0)</f>
        <v/>
      </c>
      <c r="D858" s="1" t="str">
        <f>VLOOKUP(B858,MAESTRA!I:K,3,0)</f>
        <v>  </v>
      </c>
      <c r="E858" s="1" t="s">
        <v>476</v>
      </c>
      <c r="F858" s="45"/>
      <c r="G858" s="2"/>
      <c r="H858" s="2">
        <f t="shared" si="1"/>
        <v>0</v>
      </c>
      <c r="I858" s="2">
        <f t="shared" si="2"/>
        <v>0</v>
      </c>
      <c r="J858" s="47" t="str">
        <f t="shared" si="3"/>
        <v/>
      </c>
      <c r="K858" s="2">
        <f t="shared" si="4"/>
        <v>0</v>
      </c>
      <c r="L858" s="1"/>
    </row>
    <row r="859">
      <c r="A859" s="56"/>
      <c r="B859" s="1" t="s">
        <v>476</v>
      </c>
      <c r="C859" s="1" t="str">
        <f>VLOOKUP(B859,MAESTRA!I:K,2,0)</f>
        <v/>
      </c>
      <c r="D859" s="1" t="str">
        <f>VLOOKUP(B859,MAESTRA!I:K,3,0)</f>
        <v>  </v>
      </c>
      <c r="E859" s="1" t="s">
        <v>476</v>
      </c>
      <c r="F859" s="45"/>
      <c r="G859" s="2"/>
      <c r="H859" s="2">
        <f t="shared" si="1"/>
        <v>0</v>
      </c>
      <c r="I859" s="2">
        <f t="shared" si="2"/>
        <v>0</v>
      </c>
      <c r="J859" s="47" t="str">
        <f t="shared" si="3"/>
        <v/>
      </c>
      <c r="K859" s="2">
        <f t="shared" si="4"/>
        <v>0</v>
      </c>
      <c r="L859" s="1"/>
    </row>
    <row r="860">
      <c r="A860" s="56"/>
      <c r="B860" s="1" t="s">
        <v>476</v>
      </c>
      <c r="C860" s="1" t="str">
        <f>VLOOKUP(B860,MAESTRA!I:K,2,0)</f>
        <v/>
      </c>
      <c r="D860" s="1" t="str">
        <f>VLOOKUP(B860,MAESTRA!I:K,3,0)</f>
        <v>  </v>
      </c>
      <c r="E860" s="1" t="s">
        <v>476</v>
      </c>
      <c r="F860" s="45"/>
      <c r="G860" s="2"/>
      <c r="H860" s="2">
        <f t="shared" si="1"/>
        <v>0</v>
      </c>
      <c r="I860" s="2">
        <f t="shared" si="2"/>
        <v>0</v>
      </c>
      <c r="J860" s="47" t="str">
        <f t="shared" si="3"/>
        <v/>
      </c>
      <c r="K860" s="2">
        <f t="shared" si="4"/>
        <v>0</v>
      </c>
      <c r="L860" s="1"/>
    </row>
    <row r="861">
      <c r="A861" s="56"/>
      <c r="B861" s="1" t="s">
        <v>476</v>
      </c>
      <c r="C861" s="1" t="str">
        <f>VLOOKUP(B861,MAESTRA!I:K,2,0)</f>
        <v/>
      </c>
      <c r="D861" s="1" t="str">
        <f>VLOOKUP(B861,MAESTRA!I:K,3,0)</f>
        <v>  </v>
      </c>
      <c r="E861" s="1" t="s">
        <v>476</v>
      </c>
      <c r="F861" s="45"/>
      <c r="G861" s="2"/>
      <c r="H861" s="2">
        <f t="shared" si="1"/>
        <v>0</v>
      </c>
      <c r="I861" s="2">
        <f t="shared" si="2"/>
        <v>0</v>
      </c>
      <c r="J861" s="47" t="str">
        <f t="shared" si="3"/>
        <v/>
      </c>
      <c r="K861" s="2">
        <f t="shared" si="4"/>
        <v>0</v>
      </c>
      <c r="L861" s="1"/>
    </row>
    <row r="862">
      <c r="A862" s="56"/>
      <c r="B862" s="1" t="s">
        <v>476</v>
      </c>
      <c r="C862" s="1" t="str">
        <f>VLOOKUP(B862,MAESTRA!I:K,2,0)</f>
        <v/>
      </c>
      <c r="D862" s="1" t="str">
        <f>VLOOKUP(B862,MAESTRA!I:K,3,0)</f>
        <v>  </v>
      </c>
      <c r="E862" s="1" t="s">
        <v>476</v>
      </c>
      <c r="F862" s="45"/>
      <c r="G862" s="2"/>
      <c r="H862" s="2">
        <f t="shared" si="1"/>
        <v>0</v>
      </c>
      <c r="I862" s="2">
        <f t="shared" si="2"/>
        <v>0</v>
      </c>
      <c r="J862" s="47" t="str">
        <f t="shared" si="3"/>
        <v/>
      </c>
      <c r="K862" s="2">
        <f t="shared" si="4"/>
        <v>0</v>
      </c>
      <c r="L862" s="1"/>
    </row>
    <row r="863">
      <c r="A863" s="56"/>
      <c r="B863" s="1" t="s">
        <v>476</v>
      </c>
      <c r="C863" s="1" t="str">
        <f>VLOOKUP(B863,MAESTRA!I:K,2,0)</f>
        <v/>
      </c>
      <c r="D863" s="1" t="str">
        <f>VLOOKUP(B863,MAESTRA!I:K,3,0)</f>
        <v>  </v>
      </c>
      <c r="E863" s="1" t="s">
        <v>476</v>
      </c>
      <c r="F863" s="45"/>
      <c r="G863" s="2"/>
      <c r="H863" s="2">
        <f t="shared" si="1"/>
        <v>0</v>
      </c>
      <c r="I863" s="2">
        <f t="shared" si="2"/>
        <v>0</v>
      </c>
      <c r="J863" s="47" t="str">
        <f t="shared" si="3"/>
        <v/>
      </c>
      <c r="K863" s="2">
        <f t="shared" si="4"/>
        <v>0</v>
      </c>
      <c r="L863" s="1"/>
    </row>
    <row r="864">
      <c r="A864" s="56"/>
      <c r="B864" s="1" t="s">
        <v>476</v>
      </c>
      <c r="C864" s="1" t="str">
        <f>VLOOKUP(B864,MAESTRA!I:K,2,0)</f>
        <v/>
      </c>
      <c r="D864" s="1" t="str">
        <f>VLOOKUP(B864,MAESTRA!I:K,3,0)</f>
        <v>  </v>
      </c>
      <c r="E864" s="1" t="s">
        <v>476</v>
      </c>
      <c r="F864" s="45"/>
      <c r="G864" s="2"/>
      <c r="H864" s="2">
        <f t="shared" si="1"/>
        <v>0</v>
      </c>
      <c r="I864" s="2">
        <f t="shared" si="2"/>
        <v>0</v>
      </c>
      <c r="J864" s="47" t="str">
        <f t="shared" si="3"/>
        <v/>
      </c>
      <c r="K864" s="2">
        <f t="shared" si="4"/>
        <v>0</v>
      </c>
      <c r="L864" s="1"/>
    </row>
    <row r="865">
      <c r="A865" s="56"/>
      <c r="B865" s="1" t="s">
        <v>476</v>
      </c>
      <c r="C865" s="1" t="str">
        <f>VLOOKUP(B865,MAESTRA!I:K,2,0)</f>
        <v/>
      </c>
      <c r="D865" s="1" t="str">
        <f>VLOOKUP(B865,MAESTRA!I:K,3,0)</f>
        <v>  </v>
      </c>
      <c r="E865" s="1" t="s">
        <v>476</v>
      </c>
      <c r="F865" s="45"/>
      <c r="G865" s="2"/>
      <c r="H865" s="2">
        <f t="shared" si="1"/>
        <v>0</v>
      </c>
      <c r="I865" s="2">
        <f t="shared" si="2"/>
        <v>0</v>
      </c>
      <c r="J865" s="47" t="str">
        <f t="shared" si="3"/>
        <v/>
      </c>
      <c r="K865" s="2">
        <f t="shared" si="4"/>
        <v>0</v>
      </c>
      <c r="L865" s="1"/>
    </row>
    <row r="866">
      <c r="A866" s="56"/>
      <c r="B866" s="1" t="s">
        <v>476</v>
      </c>
      <c r="C866" s="1" t="str">
        <f>VLOOKUP(B866,MAESTRA!I:K,2,0)</f>
        <v/>
      </c>
      <c r="D866" s="1" t="str">
        <f>VLOOKUP(B866,MAESTRA!I:K,3,0)</f>
        <v>  </v>
      </c>
      <c r="E866" s="1" t="s">
        <v>476</v>
      </c>
      <c r="F866" s="45"/>
      <c r="G866" s="2"/>
      <c r="H866" s="2">
        <f t="shared" si="1"/>
        <v>0</v>
      </c>
      <c r="I866" s="2">
        <f t="shared" si="2"/>
        <v>0</v>
      </c>
      <c r="J866" s="47" t="str">
        <f t="shared" si="3"/>
        <v/>
      </c>
      <c r="K866" s="2">
        <f t="shared" si="4"/>
        <v>0</v>
      </c>
      <c r="L866" s="1"/>
    </row>
    <row r="867">
      <c r="A867" s="56"/>
      <c r="B867" s="1" t="s">
        <v>476</v>
      </c>
      <c r="C867" s="1" t="str">
        <f>VLOOKUP(B867,MAESTRA!I:K,2,0)</f>
        <v/>
      </c>
      <c r="D867" s="1" t="str">
        <f>VLOOKUP(B867,MAESTRA!I:K,3,0)</f>
        <v>  </v>
      </c>
      <c r="E867" s="1" t="s">
        <v>476</v>
      </c>
      <c r="F867" s="45"/>
      <c r="G867" s="2"/>
      <c r="H867" s="2">
        <f t="shared" si="1"/>
        <v>0</v>
      </c>
      <c r="I867" s="2">
        <f t="shared" si="2"/>
        <v>0</v>
      </c>
      <c r="J867" s="47" t="str">
        <f t="shared" si="3"/>
        <v/>
      </c>
      <c r="K867" s="2">
        <f t="shared" si="4"/>
        <v>0</v>
      </c>
      <c r="L867" s="1"/>
    </row>
    <row r="868">
      <c r="A868" s="56"/>
      <c r="B868" s="1" t="s">
        <v>476</v>
      </c>
      <c r="C868" s="1" t="str">
        <f>VLOOKUP(B868,MAESTRA!I:K,2,0)</f>
        <v/>
      </c>
      <c r="D868" s="1" t="str">
        <f>VLOOKUP(B868,MAESTRA!I:K,3,0)</f>
        <v>  </v>
      </c>
      <c r="E868" s="1" t="s">
        <v>476</v>
      </c>
      <c r="F868" s="45"/>
      <c r="G868" s="2"/>
      <c r="H868" s="2">
        <f t="shared" si="1"/>
        <v>0</v>
      </c>
      <c r="I868" s="2">
        <f t="shared" si="2"/>
        <v>0</v>
      </c>
      <c r="J868" s="47" t="str">
        <f t="shared" si="3"/>
        <v/>
      </c>
      <c r="K868" s="2">
        <f t="shared" si="4"/>
        <v>0</v>
      </c>
      <c r="L868" s="1"/>
    </row>
    <row r="869">
      <c r="A869" s="56"/>
      <c r="B869" s="1" t="s">
        <v>476</v>
      </c>
      <c r="C869" s="1" t="str">
        <f>VLOOKUP(B869,MAESTRA!I:K,2,0)</f>
        <v/>
      </c>
      <c r="D869" s="1" t="str">
        <f>VLOOKUP(B869,MAESTRA!I:K,3,0)</f>
        <v>  </v>
      </c>
      <c r="E869" s="1" t="s">
        <v>476</v>
      </c>
      <c r="F869" s="45"/>
      <c r="G869" s="2"/>
      <c r="H869" s="2">
        <f t="shared" si="1"/>
        <v>0</v>
      </c>
      <c r="I869" s="2">
        <f t="shared" si="2"/>
        <v>0</v>
      </c>
      <c r="J869" s="47" t="str">
        <f t="shared" si="3"/>
        <v/>
      </c>
      <c r="K869" s="2">
        <f t="shared" si="4"/>
        <v>0</v>
      </c>
      <c r="L869" s="1"/>
    </row>
    <row r="870">
      <c r="A870" s="56"/>
      <c r="B870" s="1" t="s">
        <v>476</v>
      </c>
      <c r="C870" s="1" t="str">
        <f>VLOOKUP(B870,MAESTRA!I:K,2,0)</f>
        <v/>
      </c>
      <c r="D870" s="1" t="str">
        <f>VLOOKUP(B870,MAESTRA!I:K,3,0)</f>
        <v>  </v>
      </c>
      <c r="E870" s="1" t="s">
        <v>476</v>
      </c>
      <c r="F870" s="45"/>
      <c r="G870" s="2"/>
      <c r="H870" s="2">
        <f t="shared" si="1"/>
        <v>0</v>
      </c>
      <c r="I870" s="2">
        <f t="shared" si="2"/>
        <v>0</v>
      </c>
      <c r="J870" s="47" t="str">
        <f t="shared" si="3"/>
        <v/>
      </c>
      <c r="K870" s="2">
        <f t="shared" si="4"/>
        <v>0</v>
      </c>
      <c r="L870" s="1"/>
    </row>
    <row r="871">
      <c r="A871" s="56"/>
      <c r="B871" s="1" t="s">
        <v>476</v>
      </c>
      <c r="C871" s="1" t="str">
        <f>VLOOKUP(B871,MAESTRA!I:K,2,0)</f>
        <v/>
      </c>
      <c r="D871" s="1" t="str">
        <f>VLOOKUP(B871,MAESTRA!I:K,3,0)</f>
        <v>  </v>
      </c>
      <c r="E871" s="1" t="s">
        <v>476</v>
      </c>
      <c r="F871" s="45"/>
      <c r="G871" s="2"/>
      <c r="H871" s="2">
        <f t="shared" si="1"/>
        <v>0</v>
      </c>
      <c r="I871" s="2">
        <f t="shared" si="2"/>
        <v>0</v>
      </c>
      <c r="J871" s="47" t="str">
        <f t="shared" si="3"/>
        <v/>
      </c>
      <c r="K871" s="2">
        <f t="shared" si="4"/>
        <v>0</v>
      </c>
      <c r="L871" s="1"/>
    </row>
    <row r="872">
      <c r="A872" s="56"/>
      <c r="B872" s="1" t="s">
        <v>476</v>
      </c>
      <c r="C872" s="1" t="str">
        <f>VLOOKUP(B872,MAESTRA!I:K,2,0)</f>
        <v/>
      </c>
      <c r="D872" s="1" t="str">
        <f>VLOOKUP(B872,MAESTRA!I:K,3,0)</f>
        <v>  </v>
      </c>
      <c r="E872" s="1" t="s">
        <v>476</v>
      </c>
      <c r="F872" s="45"/>
      <c r="G872" s="2"/>
      <c r="H872" s="2">
        <f t="shared" si="1"/>
        <v>0</v>
      </c>
      <c r="I872" s="2">
        <f t="shared" si="2"/>
        <v>0</v>
      </c>
      <c r="J872" s="47" t="str">
        <f t="shared" si="3"/>
        <v/>
      </c>
      <c r="K872" s="2">
        <f t="shared" si="4"/>
        <v>0</v>
      </c>
      <c r="L872" s="1"/>
    </row>
    <row r="873">
      <c r="A873" s="56"/>
      <c r="B873" s="1" t="s">
        <v>476</v>
      </c>
      <c r="C873" s="1" t="str">
        <f>VLOOKUP(B873,MAESTRA!I:K,2,0)</f>
        <v/>
      </c>
      <c r="D873" s="1" t="str">
        <f>VLOOKUP(B873,MAESTRA!I:K,3,0)</f>
        <v>  </v>
      </c>
      <c r="E873" s="1" t="s">
        <v>476</v>
      </c>
      <c r="F873" s="45"/>
      <c r="G873" s="2"/>
      <c r="H873" s="2">
        <f t="shared" si="1"/>
        <v>0</v>
      </c>
      <c r="I873" s="2">
        <f t="shared" si="2"/>
        <v>0</v>
      </c>
      <c r="J873" s="47" t="str">
        <f t="shared" si="3"/>
        <v/>
      </c>
      <c r="K873" s="2">
        <f t="shared" si="4"/>
        <v>0</v>
      </c>
      <c r="L873" s="1"/>
    </row>
    <row r="874">
      <c r="A874" s="56"/>
      <c r="B874" s="1" t="s">
        <v>476</v>
      </c>
      <c r="C874" s="1" t="str">
        <f>VLOOKUP(B874,MAESTRA!I:K,2,0)</f>
        <v/>
      </c>
      <c r="D874" s="1" t="str">
        <f>VLOOKUP(B874,MAESTRA!I:K,3,0)</f>
        <v>  </v>
      </c>
      <c r="E874" s="1" t="s">
        <v>476</v>
      </c>
      <c r="F874" s="45"/>
      <c r="G874" s="2"/>
      <c r="H874" s="2">
        <f t="shared" si="1"/>
        <v>0</v>
      </c>
      <c r="I874" s="2">
        <f t="shared" si="2"/>
        <v>0</v>
      </c>
      <c r="J874" s="47" t="str">
        <f t="shared" si="3"/>
        <v/>
      </c>
      <c r="K874" s="2">
        <f t="shared" si="4"/>
        <v>0</v>
      </c>
      <c r="L874" s="1"/>
    </row>
    <row r="875">
      <c r="A875" s="56"/>
      <c r="B875" s="1" t="s">
        <v>476</v>
      </c>
      <c r="C875" s="1" t="str">
        <f>VLOOKUP(B875,MAESTRA!I:K,2,0)</f>
        <v/>
      </c>
      <c r="D875" s="1" t="str">
        <f>VLOOKUP(B875,MAESTRA!I:K,3,0)</f>
        <v>  </v>
      </c>
      <c r="E875" s="1" t="s">
        <v>476</v>
      </c>
      <c r="F875" s="45"/>
      <c r="G875" s="2"/>
      <c r="H875" s="2">
        <f t="shared" si="1"/>
        <v>0</v>
      </c>
      <c r="I875" s="2">
        <f t="shared" si="2"/>
        <v>0</v>
      </c>
      <c r="J875" s="47" t="str">
        <f t="shared" si="3"/>
        <v/>
      </c>
      <c r="K875" s="2">
        <f t="shared" si="4"/>
        <v>0</v>
      </c>
      <c r="L875" s="1"/>
    </row>
    <row r="876">
      <c r="A876" s="56"/>
      <c r="B876" s="1" t="s">
        <v>476</v>
      </c>
      <c r="C876" s="1" t="str">
        <f>VLOOKUP(B876,MAESTRA!I:K,2,0)</f>
        <v/>
      </c>
      <c r="D876" s="1" t="str">
        <f>VLOOKUP(B876,MAESTRA!I:K,3,0)</f>
        <v>  </v>
      </c>
      <c r="E876" s="1" t="s">
        <v>476</v>
      </c>
      <c r="F876" s="45"/>
      <c r="G876" s="2"/>
      <c r="H876" s="2">
        <f t="shared" si="1"/>
        <v>0</v>
      </c>
      <c r="I876" s="2">
        <f t="shared" si="2"/>
        <v>0</v>
      </c>
      <c r="J876" s="47" t="str">
        <f t="shared" si="3"/>
        <v/>
      </c>
      <c r="K876" s="2">
        <f t="shared" si="4"/>
        <v>0</v>
      </c>
      <c r="L876" s="1"/>
    </row>
    <row r="877">
      <c r="A877" s="56"/>
      <c r="B877" s="1" t="s">
        <v>476</v>
      </c>
      <c r="C877" s="1" t="str">
        <f>VLOOKUP(B877,MAESTRA!I:K,2,0)</f>
        <v/>
      </c>
      <c r="D877" s="1" t="str">
        <f>VLOOKUP(B877,MAESTRA!I:K,3,0)</f>
        <v>  </v>
      </c>
      <c r="E877" s="1" t="s">
        <v>476</v>
      </c>
      <c r="F877" s="45"/>
      <c r="G877" s="2"/>
      <c r="H877" s="2">
        <f t="shared" si="1"/>
        <v>0</v>
      </c>
      <c r="I877" s="2">
        <f t="shared" si="2"/>
        <v>0</v>
      </c>
      <c r="J877" s="47" t="str">
        <f t="shared" si="3"/>
        <v/>
      </c>
      <c r="K877" s="2">
        <f t="shared" si="4"/>
        <v>0</v>
      </c>
      <c r="L877" s="1"/>
    </row>
    <row r="878">
      <c r="A878" s="56"/>
      <c r="B878" s="1" t="s">
        <v>476</v>
      </c>
      <c r="C878" s="1" t="str">
        <f>VLOOKUP(B878,MAESTRA!I:K,2,0)</f>
        <v/>
      </c>
      <c r="D878" s="1" t="str">
        <f>VLOOKUP(B878,MAESTRA!I:K,3,0)</f>
        <v>  </v>
      </c>
      <c r="E878" s="1" t="s">
        <v>476</v>
      </c>
      <c r="F878" s="45"/>
      <c r="G878" s="2"/>
      <c r="H878" s="2">
        <f t="shared" si="1"/>
        <v>0</v>
      </c>
      <c r="I878" s="2">
        <f t="shared" si="2"/>
        <v>0</v>
      </c>
      <c r="J878" s="47" t="str">
        <f t="shared" si="3"/>
        <v/>
      </c>
      <c r="K878" s="2">
        <f t="shared" si="4"/>
        <v>0</v>
      </c>
      <c r="L878" s="1"/>
    </row>
    <row r="879">
      <c r="A879" s="56"/>
      <c r="B879" s="1" t="s">
        <v>476</v>
      </c>
      <c r="C879" s="1" t="str">
        <f>VLOOKUP(B879,MAESTRA!I:K,2,0)</f>
        <v/>
      </c>
      <c r="D879" s="1" t="str">
        <f>VLOOKUP(B879,MAESTRA!I:K,3,0)</f>
        <v>  </v>
      </c>
      <c r="E879" s="1" t="s">
        <v>476</v>
      </c>
      <c r="F879" s="45"/>
      <c r="G879" s="2"/>
      <c r="H879" s="2">
        <f t="shared" si="1"/>
        <v>0</v>
      </c>
      <c r="I879" s="2">
        <f t="shared" si="2"/>
        <v>0</v>
      </c>
      <c r="J879" s="47" t="str">
        <f t="shared" si="3"/>
        <v/>
      </c>
      <c r="K879" s="2">
        <f t="shared" si="4"/>
        <v>0</v>
      </c>
      <c r="L879" s="1"/>
    </row>
    <row r="880">
      <c r="A880" s="56"/>
      <c r="B880" s="1" t="s">
        <v>476</v>
      </c>
      <c r="C880" s="1" t="str">
        <f>VLOOKUP(B880,MAESTRA!I:K,2,0)</f>
        <v/>
      </c>
      <c r="D880" s="1" t="str">
        <f>VLOOKUP(B880,MAESTRA!I:K,3,0)</f>
        <v>  </v>
      </c>
      <c r="E880" s="1" t="s">
        <v>476</v>
      </c>
      <c r="F880" s="45"/>
      <c r="G880" s="2"/>
      <c r="H880" s="2">
        <f t="shared" si="1"/>
        <v>0</v>
      </c>
      <c r="I880" s="2">
        <f t="shared" si="2"/>
        <v>0</v>
      </c>
      <c r="J880" s="47" t="str">
        <f t="shared" si="3"/>
        <v/>
      </c>
      <c r="K880" s="2">
        <f t="shared" si="4"/>
        <v>0</v>
      </c>
      <c r="L880" s="1"/>
    </row>
    <row r="881">
      <c r="A881" s="56"/>
      <c r="B881" s="1" t="s">
        <v>476</v>
      </c>
      <c r="C881" s="1" t="str">
        <f>VLOOKUP(B881,MAESTRA!I:K,2,0)</f>
        <v/>
      </c>
      <c r="D881" s="1" t="str">
        <f>VLOOKUP(B881,MAESTRA!I:K,3,0)</f>
        <v>  </v>
      </c>
      <c r="E881" s="1" t="s">
        <v>476</v>
      </c>
      <c r="F881" s="45"/>
      <c r="G881" s="2"/>
      <c r="H881" s="2">
        <f t="shared" si="1"/>
        <v>0</v>
      </c>
      <c r="I881" s="2">
        <f t="shared" si="2"/>
        <v>0</v>
      </c>
      <c r="J881" s="47" t="str">
        <f t="shared" si="3"/>
        <v/>
      </c>
      <c r="K881" s="2">
        <f t="shared" si="4"/>
        <v>0</v>
      </c>
      <c r="L881" s="1"/>
    </row>
    <row r="882">
      <c r="A882" s="56"/>
      <c r="B882" s="1" t="s">
        <v>476</v>
      </c>
      <c r="C882" s="1" t="str">
        <f>VLOOKUP(B882,MAESTRA!I:K,2,0)</f>
        <v/>
      </c>
      <c r="D882" s="1" t="str">
        <f>VLOOKUP(B882,MAESTRA!I:K,3,0)</f>
        <v>  </v>
      </c>
      <c r="E882" s="1" t="s">
        <v>476</v>
      </c>
      <c r="F882" s="45"/>
      <c r="G882" s="2"/>
      <c r="H882" s="2">
        <f t="shared" si="1"/>
        <v>0</v>
      </c>
      <c r="I882" s="2">
        <f t="shared" si="2"/>
        <v>0</v>
      </c>
      <c r="J882" s="47" t="str">
        <f t="shared" si="3"/>
        <v/>
      </c>
      <c r="K882" s="2">
        <f t="shared" si="4"/>
        <v>0</v>
      </c>
      <c r="L882" s="1"/>
    </row>
    <row r="883">
      <c r="A883" s="56"/>
      <c r="B883" s="1" t="s">
        <v>476</v>
      </c>
      <c r="C883" s="1" t="str">
        <f>VLOOKUP(B883,MAESTRA!I:K,2,0)</f>
        <v/>
      </c>
      <c r="D883" s="1" t="str">
        <f>VLOOKUP(B883,MAESTRA!I:K,3,0)</f>
        <v>  </v>
      </c>
      <c r="E883" s="1" t="s">
        <v>476</v>
      </c>
      <c r="F883" s="45"/>
      <c r="G883" s="2"/>
      <c r="H883" s="2">
        <f t="shared" si="1"/>
        <v>0</v>
      </c>
      <c r="I883" s="2">
        <f t="shared" si="2"/>
        <v>0</v>
      </c>
      <c r="J883" s="47" t="str">
        <f t="shared" si="3"/>
        <v/>
      </c>
      <c r="K883" s="2">
        <f t="shared" si="4"/>
        <v>0</v>
      </c>
      <c r="L883" s="1"/>
    </row>
    <row r="884">
      <c r="A884" s="56"/>
      <c r="B884" s="1" t="s">
        <v>476</v>
      </c>
      <c r="C884" s="1" t="str">
        <f>VLOOKUP(B884,MAESTRA!I:K,2,0)</f>
        <v/>
      </c>
      <c r="D884" s="1" t="str">
        <f>VLOOKUP(B884,MAESTRA!I:K,3,0)</f>
        <v>  </v>
      </c>
      <c r="E884" s="1" t="s">
        <v>476</v>
      </c>
      <c r="F884" s="45"/>
      <c r="G884" s="2"/>
      <c r="H884" s="2">
        <f t="shared" si="1"/>
        <v>0</v>
      </c>
      <c r="I884" s="2">
        <f t="shared" si="2"/>
        <v>0</v>
      </c>
      <c r="J884" s="47" t="str">
        <f t="shared" si="3"/>
        <v/>
      </c>
      <c r="K884" s="2">
        <f t="shared" si="4"/>
        <v>0</v>
      </c>
      <c r="L884" s="1"/>
    </row>
    <row r="885">
      <c r="A885" s="56"/>
      <c r="B885" s="1" t="s">
        <v>476</v>
      </c>
      <c r="C885" s="1" t="str">
        <f>VLOOKUP(B885,MAESTRA!I:K,2,0)</f>
        <v/>
      </c>
      <c r="D885" s="1" t="str">
        <f>VLOOKUP(B885,MAESTRA!I:K,3,0)</f>
        <v>  </v>
      </c>
      <c r="E885" s="1" t="s">
        <v>476</v>
      </c>
      <c r="F885" s="45"/>
      <c r="G885" s="2"/>
      <c r="H885" s="2">
        <f t="shared" si="1"/>
        <v>0</v>
      </c>
      <c r="I885" s="2">
        <f t="shared" si="2"/>
        <v>0</v>
      </c>
      <c r="J885" s="47" t="str">
        <f t="shared" si="3"/>
        <v/>
      </c>
      <c r="K885" s="2">
        <f t="shared" si="4"/>
        <v>0</v>
      </c>
      <c r="L885" s="1"/>
    </row>
    <row r="886">
      <c r="A886" s="56"/>
      <c r="B886" s="1" t="s">
        <v>476</v>
      </c>
      <c r="C886" s="1" t="str">
        <f>VLOOKUP(B886,MAESTRA!I:K,2,0)</f>
        <v/>
      </c>
      <c r="D886" s="1" t="str">
        <f>VLOOKUP(B886,MAESTRA!I:K,3,0)</f>
        <v>  </v>
      </c>
      <c r="E886" s="1" t="s">
        <v>476</v>
      </c>
      <c r="F886" s="45"/>
      <c r="G886" s="2"/>
      <c r="H886" s="2">
        <f t="shared" si="1"/>
        <v>0</v>
      </c>
      <c r="I886" s="2">
        <f t="shared" si="2"/>
        <v>0</v>
      </c>
      <c r="J886" s="47" t="str">
        <f t="shared" si="3"/>
        <v/>
      </c>
      <c r="K886" s="2">
        <f t="shared" si="4"/>
        <v>0</v>
      </c>
      <c r="L886" s="1"/>
    </row>
    <row r="887">
      <c r="A887" s="56"/>
      <c r="B887" s="1" t="s">
        <v>476</v>
      </c>
      <c r="C887" s="1" t="str">
        <f>VLOOKUP(B887,MAESTRA!I:K,2,0)</f>
        <v/>
      </c>
      <c r="D887" s="1" t="str">
        <f>VLOOKUP(B887,MAESTRA!I:K,3,0)</f>
        <v>  </v>
      </c>
      <c r="E887" s="1" t="s">
        <v>476</v>
      </c>
      <c r="F887" s="45"/>
      <c r="G887" s="2"/>
      <c r="H887" s="2">
        <f t="shared" si="1"/>
        <v>0</v>
      </c>
      <c r="I887" s="2">
        <f t="shared" si="2"/>
        <v>0</v>
      </c>
      <c r="J887" s="47" t="str">
        <f t="shared" si="3"/>
        <v/>
      </c>
      <c r="K887" s="2">
        <f t="shared" si="4"/>
        <v>0</v>
      </c>
      <c r="L887" s="1"/>
    </row>
    <row r="888">
      <c r="A888" s="56"/>
      <c r="B888" s="1" t="s">
        <v>476</v>
      </c>
      <c r="C888" s="1" t="str">
        <f>VLOOKUP(B888,MAESTRA!I:K,2,0)</f>
        <v/>
      </c>
      <c r="D888" s="1" t="str">
        <f>VLOOKUP(B888,MAESTRA!I:K,3,0)</f>
        <v>  </v>
      </c>
      <c r="E888" s="1" t="s">
        <v>476</v>
      </c>
      <c r="F888" s="45"/>
      <c r="G888" s="2"/>
      <c r="H888" s="2">
        <f t="shared" si="1"/>
        <v>0</v>
      </c>
      <c r="I888" s="2">
        <f t="shared" si="2"/>
        <v>0</v>
      </c>
      <c r="J888" s="47" t="str">
        <f t="shared" si="3"/>
        <v/>
      </c>
      <c r="K888" s="2">
        <f t="shared" si="4"/>
        <v>0</v>
      </c>
      <c r="L888" s="1"/>
    </row>
    <row r="889">
      <c r="A889" s="56"/>
      <c r="B889" s="1" t="s">
        <v>476</v>
      </c>
      <c r="C889" s="1" t="str">
        <f>VLOOKUP(B889,MAESTRA!I:K,2,0)</f>
        <v/>
      </c>
      <c r="D889" s="1" t="str">
        <f>VLOOKUP(B889,MAESTRA!I:K,3,0)</f>
        <v>  </v>
      </c>
      <c r="E889" s="1" t="s">
        <v>476</v>
      </c>
      <c r="F889" s="45"/>
      <c r="G889" s="2"/>
      <c r="H889" s="2">
        <f t="shared" si="1"/>
        <v>0</v>
      </c>
      <c r="I889" s="2">
        <f t="shared" si="2"/>
        <v>0</v>
      </c>
      <c r="J889" s="47" t="str">
        <f t="shared" si="3"/>
        <v/>
      </c>
      <c r="K889" s="2">
        <f t="shared" si="4"/>
        <v>0</v>
      </c>
      <c r="L889" s="1"/>
    </row>
    <row r="890">
      <c r="A890" s="56"/>
      <c r="B890" s="1" t="s">
        <v>476</v>
      </c>
      <c r="C890" s="1" t="str">
        <f>VLOOKUP(B890,MAESTRA!I:K,2,0)</f>
        <v/>
      </c>
      <c r="D890" s="1" t="str">
        <f>VLOOKUP(B890,MAESTRA!I:K,3,0)</f>
        <v>  </v>
      </c>
      <c r="E890" s="1" t="s">
        <v>476</v>
      </c>
      <c r="F890" s="45"/>
      <c r="G890" s="2"/>
      <c r="H890" s="2">
        <f t="shared" si="1"/>
        <v>0</v>
      </c>
      <c r="I890" s="2">
        <f t="shared" si="2"/>
        <v>0</v>
      </c>
      <c r="J890" s="47" t="str">
        <f t="shared" si="3"/>
        <v/>
      </c>
      <c r="K890" s="2">
        <f t="shared" si="4"/>
        <v>0</v>
      </c>
      <c r="L890" s="1"/>
    </row>
    <row r="891">
      <c r="A891" s="56"/>
      <c r="B891" s="1" t="s">
        <v>476</v>
      </c>
      <c r="C891" s="1" t="str">
        <f>VLOOKUP(B891,MAESTRA!I:K,2,0)</f>
        <v/>
      </c>
      <c r="D891" s="1" t="str">
        <f>VLOOKUP(B891,MAESTRA!I:K,3,0)</f>
        <v>  </v>
      </c>
      <c r="E891" s="1" t="s">
        <v>476</v>
      </c>
      <c r="F891" s="45"/>
      <c r="G891" s="2"/>
      <c r="H891" s="2">
        <f t="shared" si="1"/>
        <v>0</v>
      </c>
      <c r="I891" s="2">
        <f t="shared" si="2"/>
        <v>0</v>
      </c>
      <c r="J891" s="47" t="str">
        <f t="shared" si="3"/>
        <v/>
      </c>
      <c r="K891" s="2">
        <f t="shared" si="4"/>
        <v>0</v>
      </c>
      <c r="L891" s="1"/>
    </row>
    <row r="892">
      <c r="A892" s="56"/>
      <c r="B892" s="1" t="s">
        <v>476</v>
      </c>
      <c r="C892" s="1" t="str">
        <f>VLOOKUP(B892,MAESTRA!I:K,2,0)</f>
        <v/>
      </c>
      <c r="D892" s="1" t="str">
        <f>VLOOKUP(B892,MAESTRA!I:K,3,0)</f>
        <v>  </v>
      </c>
      <c r="E892" s="1" t="s">
        <v>476</v>
      </c>
      <c r="F892" s="45"/>
      <c r="G892" s="2"/>
      <c r="H892" s="2">
        <f t="shared" si="1"/>
        <v>0</v>
      </c>
      <c r="I892" s="2">
        <f t="shared" si="2"/>
        <v>0</v>
      </c>
      <c r="J892" s="47" t="str">
        <f t="shared" si="3"/>
        <v/>
      </c>
      <c r="K892" s="2">
        <f t="shared" si="4"/>
        <v>0</v>
      </c>
      <c r="L892" s="1"/>
    </row>
    <row r="893">
      <c r="A893" s="56"/>
      <c r="B893" s="1" t="s">
        <v>476</v>
      </c>
      <c r="C893" s="1" t="str">
        <f>VLOOKUP(B893,MAESTRA!I:K,2,0)</f>
        <v/>
      </c>
      <c r="D893" s="1" t="str">
        <f>VLOOKUP(B893,MAESTRA!I:K,3,0)</f>
        <v>  </v>
      </c>
      <c r="E893" s="1" t="s">
        <v>476</v>
      </c>
      <c r="F893" s="45"/>
      <c r="G893" s="2"/>
      <c r="H893" s="2">
        <f t="shared" si="1"/>
        <v>0</v>
      </c>
      <c r="I893" s="2">
        <f t="shared" si="2"/>
        <v>0</v>
      </c>
      <c r="J893" s="47" t="str">
        <f t="shared" si="3"/>
        <v/>
      </c>
      <c r="K893" s="2">
        <f t="shared" si="4"/>
        <v>0</v>
      </c>
      <c r="L893" s="1"/>
    </row>
    <row r="894">
      <c r="A894" s="56"/>
      <c r="B894" s="1" t="s">
        <v>476</v>
      </c>
      <c r="C894" s="1" t="str">
        <f>VLOOKUP(B894,MAESTRA!I:K,2,0)</f>
        <v/>
      </c>
      <c r="D894" s="1" t="str">
        <f>VLOOKUP(B894,MAESTRA!I:K,3,0)</f>
        <v>  </v>
      </c>
      <c r="E894" s="1" t="s">
        <v>476</v>
      </c>
      <c r="F894" s="45"/>
      <c r="G894" s="2"/>
      <c r="H894" s="2">
        <f t="shared" si="1"/>
        <v>0</v>
      </c>
      <c r="I894" s="2">
        <f t="shared" si="2"/>
        <v>0</v>
      </c>
      <c r="J894" s="47" t="str">
        <f t="shared" si="3"/>
        <v/>
      </c>
      <c r="K894" s="2">
        <f t="shared" si="4"/>
        <v>0</v>
      </c>
      <c r="L894" s="1"/>
    </row>
    <row r="895">
      <c r="A895" s="56"/>
      <c r="B895" s="1" t="s">
        <v>476</v>
      </c>
      <c r="C895" s="1" t="str">
        <f>VLOOKUP(B895,MAESTRA!I:K,2,0)</f>
        <v/>
      </c>
      <c r="D895" s="1" t="str">
        <f>VLOOKUP(B895,MAESTRA!I:K,3,0)</f>
        <v>  </v>
      </c>
      <c r="E895" s="1" t="s">
        <v>476</v>
      </c>
      <c r="F895" s="45"/>
      <c r="G895" s="2"/>
      <c r="H895" s="2">
        <f t="shared" si="1"/>
        <v>0</v>
      </c>
      <c r="I895" s="2">
        <f t="shared" si="2"/>
        <v>0</v>
      </c>
      <c r="J895" s="47" t="str">
        <f t="shared" si="3"/>
        <v/>
      </c>
      <c r="K895" s="2">
        <f t="shared" si="4"/>
        <v>0</v>
      </c>
      <c r="L895" s="1"/>
    </row>
    <row r="896">
      <c r="A896" s="56"/>
      <c r="B896" s="1" t="s">
        <v>476</v>
      </c>
      <c r="C896" s="1" t="str">
        <f>VLOOKUP(B896,MAESTRA!I:K,2,0)</f>
        <v/>
      </c>
      <c r="D896" s="1" t="str">
        <f>VLOOKUP(B896,MAESTRA!I:K,3,0)</f>
        <v>  </v>
      </c>
      <c r="E896" s="1" t="s">
        <v>476</v>
      </c>
      <c r="F896" s="45"/>
      <c r="G896" s="2"/>
      <c r="H896" s="2">
        <f t="shared" si="1"/>
        <v>0</v>
      </c>
      <c r="I896" s="2">
        <f t="shared" si="2"/>
        <v>0</v>
      </c>
      <c r="J896" s="47" t="str">
        <f t="shared" si="3"/>
        <v/>
      </c>
      <c r="K896" s="2">
        <f t="shared" si="4"/>
        <v>0</v>
      </c>
      <c r="L896" s="1"/>
    </row>
    <row r="897">
      <c r="A897" s="56"/>
      <c r="B897" s="1" t="s">
        <v>476</v>
      </c>
      <c r="C897" s="1" t="str">
        <f>VLOOKUP(B897,MAESTRA!I:K,2,0)</f>
        <v/>
      </c>
      <c r="D897" s="1" t="str">
        <f>VLOOKUP(B897,MAESTRA!I:K,3,0)</f>
        <v>  </v>
      </c>
      <c r="E897" s="1" t="s">
        <v>476</v>
      </c>
      <c r="F897" s="45"/>
      <c r="G897" s="2"/>
      <c r="H897" s="2">
        <f t="shared" si="1"/>
        <v>0</v>
      </c>
      <c r="I897" s="2">
        <f t="shared" si="2"/>
        <v>0</v>
      </c>
      <c r="J897" s="47" t="str">
        <f t="shared" si="3"/>
        <v/>
      </c>
      <c r="K897" s="2">
        <f t="shared" si="4"/>
        <v>0</v>
      </c>
      <c r="L897" s="1"/>
    </row>
    <row r="898">
      <c r="A898" s="56"/>
      <c r="B898" s="1" t="s">
        <v>476</v>
      </c>
      <c r="C898" s="1" t="str">
        <f>VLOOKUP(B898,MAESTRA!I:K,2,0)</f>
        <v/>
      </c>
      <c r="D898" s="1" t="str">
        <f>VLOOKUP(B898,MAESTRA!I:K,3,0)</f>
        <v>  </v>
      </c>
      <c r="E898" s="1" t="s">
        <v>476</v>
      </c>
      <c r="F898" s="45"/>
      <c r="G898" s="2"/>
      <c r="H898" s="2">
        <f t="shared" si="1"/>
        <v>0</v>
      </c>
      <c r="I898" s="2">
        <f t="shared" si="2"/>
        <v>0</v>
      </c>
      <c r="J898" s="47" t="str">
        <f t="shared" si="3"/>
        <v/>
      </c>
      <c r="K898" s="2">
        <f t="shared" si="4"/>
        <v>0</v>
      </c>
      <c r="L898" s="1"/>
    </row>
    <row r="899">
      <c r="A899" s="56"/>
      <c r="B899" s="1" t="s">
        <v>476</v>
      </c>
      <c r="C899" s="1" t="str">
        <f>VLOOKUP(B899,MAESTRA!I:K,2,0)</f>
        <v/>
      </c>
      <c r="D899" s="1" t="str">
        <f>VLOOKUP(B899,MAESTRA!I:K,3,0)</f>
        <v>  </v>
      </c>
      <c r="E899" s="1" t="s">
        <v>476</v>
      </c>
      <c r="F899" s="45"/>
      <c r="G899" s="2"/>
      <c r="H899" s="2">
        <f t="shared" si="1"/>
        <v>0</v>
      </c>
      <c r="I899" s="2">
        <f t="shared" si="2"/>
        <v>0</v>
      </c>
      <c r="J899" s="47" t="str">
        <f t="shared" si="3"/>
        <v/>
      </c>
      <c r="K899" s="2">
        <f t="shared" si="4"/>
        <v>0</v>
      </c>
      <c r="L899" s="1"/>
    </row>
    <row r="900">
      <c r="A900" s="56"/>
      <c r="B900" s="1" t="s">
        <v>476</v>
      </c>
      <c r="C900" s="1" t="str">
        <f>VLOOKUP(B900,MAESTRA!I:K,2,0)</f>
        <v/>
      </c>
      <c r="D900" s="1" t="str">
        <f>VLOOKUP(B900,MAESTRA!I:K,3,0)</f>
        <v>  </v>
      </c>
      <c r="E900" s="1" t="s">
        <v>476</v>
      </c>
      <c r="F900" s="45"/>
      <c r="G900" s="2"/>
      <c r="H900" s="2">
        <f t="shared" si="1"/>
        <v>0</v>
      </c>
      <c r="I900" s="2">
        <f t="shared" si="2"/>
        <v>0</v>
      </c>
      <c r="J900" s="47" t="str">
        <f t="shared" si="3"/>
        <v/>
      </c>
      <c r="K900" s="2">
        <f t="shared" si="4"/>
        <v>0</v>
      </c>
      <c r="L900" s="1"/>
    </row>
    <row r="901">
      <c r="A901" s="56"/>
      <c r="B901" s="1" t="s">
        <v>476</v>
      </c>
      <c r="C901" s="1" t="str">
        <f>VLOOKUP(B901,MAESTRA!I:K,2,0)</f>
        <v/>
      </c>
      <c r="D901" s="1" t="str">
        <f>VLOOKUP(B901,MAESTRA!I:K,3,0)</f>
        <v>  </v>
      </c>
      <c r="E901" s="1" t="s">
        <v>476</v>
      </c>
      <c r="F901" s="45"/>
      <c r="G901" s="2"/>
      <c r="H901" s="2">
        <f t="shared" si="1"/>
        <v>0</v>
      </c>
      <c r="I901" s="2">
        <f t="shared" si="2"/>
        <v>0</v>
      </c>
      <c r="J901" s="47" t="str">
        <f t="shared" si="3"/>
        <v/>
      </c>
      <c r="K901" s="2">
        <f t="shared" si="4"/>
        <v>0</v>
      </c>
      <c r="L901" s="1"/>
    </row>
    <row r="902">
      <c r="A902" s="56"/>
      <c r="B902" s="1" t="s">
        <v>476</v>
      </c>
      <c r="C902" s="1" t="str">
        <f>VLOOKUP(B902,MAESTRA!I:K,2,0)</f>
        <v/>
      </c>
      <c r="D902" s="1" t="str">
        <f>VLOOKUP(B902,MAESTRA!I:K,3,0)</f>
        <v>  </v>
      </c>
      <c r="E902" s="1" t="s">
        <v>476</v>
      </c>
      <c r="F902" s="45"/>
      <c r="G902" s="2"/>
      <c r="H902" s="2">
        <f t="shared" si="1"/>
        <v>0</v>
      </c>
      <c r="I902" s="2">
        <f t="shared" si="2"/>
        <v>0</v>
      </c>
      <c r="J902" s="47" t="str">
        <f t="shared" si="3"/>
        <v/>
      </c>
      <c r="K902" s="2">
        <f t="shared" si="4"/>
        <v>0</v>
      </c>
      <c r="L902" s="1"/>
    </row>
    <row r="903">
      <c r="A903" s="56"/>
      <c r="B903" s="1" t="s">
        <v>476</v>
      </c>
      <c r="C903" s="1" t="str">
        <f>VLOOKUP(B903,MAESTRA!I:K,2,0)</f>
        <v/>
      </c>
      <c r="D903" s="1" t="str">
        <f>VLOOKUP(B903,MAESTRA!I:K,3,0)</f>
        <v>  </v>
      </c>
      <c r="E903" s="1" t="s">
        <v>476</v>
      </c>
      <c r="F903" s="45"/>
      <c r="G903" s="2"/>
      <c r="H903" s="2">
        <f t="shared" si="1"/>
        <v>0</v>
      </c>
      <c r="I903" s="2">
        <f t="shared" si="2"/>
        <v>0</v>
      </c>
      <c r="J903" s="47" t="str">
        <f t="shared" si="3"/>
        <v/>
      </c>
      <c r="K903" s="2">
        <f t="shared" si="4"/>
        <v>0</v>
      </c>
      <c r="L903" s="1"/>
    </row>
    <row r="904">
      <c r="A904" s="56"/>
      <c r="B904" s="1" t="s">
        <v>476</v>
      </c>
      <c r="C904" s="1" t="str">
        <f>VLOOKUP(B904,MAESTRA!I:K,2,0)</f>
        <v/>
      </c>
      <c r="D904" s="1" t="str">
        <f>VLOOKUP(B904,MAESTRA!I:K,3,0)</f>
        <v>  </v>
      </c>
      <c r="E904" s="1" t="s">
        <v>476</v>
      </c>
      <c r="F904" s="45"/>
      <c r="G904" s="2"/>
      <c r="H904" s="2">
        <f t="shared" si="1"/>
        <v>0</v>
      </c>
      <c r="I904" s="2">
        <f t="shared" si="2"/>
        <v>0</v>
      </c>
      <c r="J904" s="47" t="str">
        <f t="shared" si="3"/>
        <v/>
      </c>
      <c r="K904" s="2">
        <f t="shared" si="4"/>
        <v>0</v>
      </c>
      <c r="L904" s="1"/>
    </row>
    <row r="905">
      <c r="A905" s="56"/>
      <c r="B905" s="1" t="s">
        <v>476</v>
      </c>
      <c r="C905" s="1" t="str">
        <f>VLOOKUP(B905,MAESTRA!I:K,2,0)</f>
        <v/>
      </c>
      <c r="D905" s="1" t="str">
        <f>VLOOKUP(B905,MAESTRA!I:K,3,0)</f>
        <v>  </v>
      </c>
      <c r="E905" s="1" t="s">
        <v>476</v>
      </c>
      <c r="F905" s="45"/>
      <c r="G905" s="2"/>
      <c r="H905" s="2">
        <f t="shared" si="1"/>
        <v>0</v>
      </c>
      <c r="I905" s="2">
        <f t="shared" si="2"/>
        <v>0</v>
      </c>
      <c r="J905" s="47" t="str">
        <f t="shared" si="3"/>
        <v/>
      </c>
      <c r="K905" s="2">
        <f t="shared" si="4"/>
        <v>0</v>
      </c>
      <c r="L905" s="1"/>
    </row>
    <row r="906">
      <c r="A906" s="56"/>
      <c r="B906" s="1" t="s">
        <v>476</v>
      </c>
      <c r="C906" s="1" t="str">
        <f>VLOOKUP(B906,MAESTRA!I:K,2,0)</f>
        <v/>
      </c>
      <c r="D906" s="1" t="str">
        <f>VLOOKUP(B906,MAESTRA!I:K,3,0)</f>
        <v>  </v>
      </c>
      <c r="E906" s="1" t="s">
        <v>476</v>
      </c>
      <c r="F906" s="45"/>
      <c r="G906" s="2"/>
      <c r="H906" s="2">
        <f t="shared" si="1"/>
        <v>0</v>
      </c>
      <c r="I906" s="2">
        <f t="shared" si="2"/>
        <v>0</v>
      </c>
      <c r="J906" s="47" t="str">
        <f t="shared" si="3"/>
        <v/>
      </c>
      <c r="K906" s="2">
        <f t="shared" si="4"/>
        <v>0</v>
      </c>
      <c r="L906" s="1"/>
    </row>
    <row r="907">
      <c r="A907" s="56"/>
      <c r="B907" s="1" t="s">
        <v>476</v>
      </c>
      <c r="C907" s="1" t="str">
        <f>VLOOKUP(B907,MAESTRA!I:K,2,0)</f>
        <v/>
      </c>
      <c r="D907" s="1" t="str">
        <f>VLOOKUP(B907,MAESTRA!I:K,3,0)</f>
        <v>  </v>
      </c>
      <c r="E907" s="1" t="s">
        <v>476</v>
      </c>
      <c r="F907" s="45"/>
      <c r="G907" s="2"/>
      <c r="H907" s="2">
        <f t="shared" si="1"/>
        <v>0</v>
      </c>
      <c r="I907" s="2">
        <f t="shared" si="2"/>
        <v>0</v>
      </c>
      <c r="J907" s="47" t="str">
        <f t="shared" si="3"/>
        <v/>
      </c>
      <c r="K907" s="2">
        <f t="shared" si="4"/>
        <v>0</v>
      </c>
      <c r="L907" s="1"/>
    </row>
    <row r="908">
      <c r="A908" s="56"/>
      <c r="B908" s="1" t="s">
        <v>476</v>
      </c>
      <c r="C908" s="1" t="str">
        <f>VLOOKUP(B908,MAESTRA!I:K,2,0)</f>
        <v/>
      </c>
      <c r="D908" s="1" t="str">
        <f>VLOOKUP(B908,MAESTRA!I:K,3,0)</f>
        <v>  </v>
      </c>
      <c r="E908" s="1" t="s">
        <v>476</v>
      </c>
      <c r="F908" s="45"/>
      <c r="G908" s="2"/>
      <c r="H908" s="2">
        <f t="shared" si="1"/>
        <v>0</v>
      </c>
      <c r="I908" s="2">
        <f t="shared" si="2"/>
        <v>0</v>
      </c>
      <c r="J908" s="47" t="str">
        <f t="shared" si="3"/>
        <v/>
      </c>
      <c r="K908" s="2">
        <f t="shared" si="4"/>
        <v>0</v>
      </c>
      <c r="L908" s="1"/>
    </row>
    <row r="909">
      <c r="A909" s="56"/>
      <c r="B909" s="1" t="s">
        <v>476</v>
      </c>
      <c r="C909" s="1" t="str">
        <f>VLOOKUP(B909,MAESTRA!I:K,2,0)</f>
        <v/>
      </c>
      <c r="D909" s="1" t="str">
        <f>VLOOKUP(B909,MAESTRA!I:K,3,0)</f>
        <v>  </v>
      </c>
      <c r="E909" s="1" t="s">
        <v>476</v>
      </c>
      <c r="F909" s="45"/>
      <c r="G909" s="2"/>
      <c r="H909" s="2">
        <f t="shared" si="1"/>
        <v>0</v>
      </c>
      <c r="I909" s="2">
        <f t="shared" si="2"/>
        <v>0</v>
      </c>
      <c r="J909" s="47" t="str">
        <f t="shared" si="3"/>
        <v/>
      </c>
      <c r="K909" s="2">
        <f t="shared" si="4"/>
        <v>0</v>
      </c>
      <c r="L909" s="1"/>
    </row>
    <row r="910">
      <c r="A910" s="56"/>
      <c r="B910" s="1" t="s">
        <v>476</v>
      </c>
      <c r="C910" s="1" t="str">
        <f>VLOOKUP(B910,MAESTRA!I:K,2,0)</f>
        <v/>
      </c>
      <c r="D910" s="1" t="str">
        <f>VLOOKUP(B910,MAESTRA!I:K,3,0)</f>
        <v>  </v>
      </c>
      <c r="E910" s="1" t="s">
        <v>476</v>
      </c>
      <c r="F910" s="45"/>
      <c r="G910" s="2"/>
      <c r="H910" s="2">
        <f t="shared" si="1"/>
        <v>0</v>
      </c>
      <c r="I910" s="2">
        <f t="shared" si="2"/>
        <v>0</v>
      </c>
      <c r="J910" s="47" t="str">
        <f t="shared" si="3"/>
        <v/>
      </c>
      <c r="K910" s="2">
        <f t="shared" si="4"/>
        <v>0</v>
      </c>
      <c r="L910" s="1"/>
    </row>
    <row r="911">
      <c r="A911" s="56"/>
      <c r="B911" s="1" t="s">
        <v>476</v>
      </c>
      <c r="C911" s="1" t="str">
        <f>VLOOKUP(B911,MAESTRA!I:K,2,0)</f>
        <v/>
      </c>
      <c r="D911" s="1" t="str">
        <f>VLOOKUP(B911,MAESTRA!I:K,3,0)</f>
        <v>  </v>
      </c>
      <c r="E911" s="1" t="s">
        <v>476</v>
      </c>
      <c r="F911" s="45"/>
      <c r="G911" s="2"/>
      <c r="H911" s="2">
        <f t="shared" si="1"/>
        <v>0</v>
      </c>
      <c r="I911" s="2">
        <f t="shared" si="2"/>
        <v>0</v>
      </c>
      <c r="J911" s="47" t="str">
        <f t="shared" si="3"/>
        <v/>
      </c>
      <c r="K911" s="2">
        <f t="shared" si="4"/>
        <v>0</v>
      </c>
      <c r="L911" s="1"/>
    </row>
    <row r="912">
      <c r="A912" s="56"/>
      <c r="B912" s="1" t="s">
        <v>476</v>
      </c>
      <c r="C912" s="1" t="str">
        <f>VLOOKUP(B912,MAESTRA!I:K,2,0)</f>
        <v/>
      </c>
      <c r="D912" s="1" t="str">
        <f>VLOOKUP(B912,MAESTRA!I:K,3,0)</f>
        <v>  </v>
      </c>
      <c r="E912" s="1" t="s">
        <v>476</v>
      </c>
      <c r="F912" s="45"/>
      <c r="G912" s="2"/>
      <c r="H912" s="2">
        <f t="shared" si="1"/>
        <v>0</v>
      </c>
      <c r="I912" s="2">
        <f t="shared" si="2"/>
        <v>0</v>
      </c>
      <c r="J912" s="47" t="str">
        <f t="shared" si="3"/>
        <v/>
      </c>
      <c r="K912" s="2">
        <f t="shared" si="4"/>
        <v>0</v>
      </c>
      <c r="L912" s="1"/>
    </row>
    <row r="913">
      <c r="A913" s="56"/>
      <c r="B913" s="1" t="s">
        <v>476</v>
      </c>
      <c r="C913" s="1" t="str">
        <f>VLOOKUP(B913,MAESTRA!I:K,2,0)</f>
        <v/>
      </c>
      <c r="D913" s="1" t="str">
        <f>VLOOKUP(B913,MAESTRA!I:K,3,0)</f>
        <v>  </v>
      </c>
      <c r="E913" s="1" t="s">
        <v>476</v>
      </c>
      <c r="F913" s="45"/>
      <c r="G913" s="2"/>
      <c r="H913" s="2">
        <f t="shared" si="1"/>
        <v>0</v>
      </c>
      <c r="I913" s="2">
        <f t="shared" si="2"/>
        <v>0</v>
      </c>
      <c r="J913" s="47" t="str">
        <f t="shared" si="3"/>
        <v/>
      </c>
      <c r="K913" s="2">
        <f t="shared" si="4"/>
        <v>0</v>
      </c>
      <c r="L913" s="1"/>
    </row>
    <row r="914">
      <c r="A914" s="56"/>
      <c r="B914" s="1" t="s">
        <v>476</v>
      </c>
      <c r="C914" s="1" t="str">
        <f>VLOOKUP(B914,MAESTRA!I:K,2,0)</f>
        <v/>
      </c>
      <c r="D914" s="1" t="str">
        <f>VLOOKUP(B914,MAESTRA!I:K,3,0)</f>
        <v>  </v>
      </c>
      <c r="E914" s="1" t="s">
        <v>476</v>
      </c>
      <c r="F914" s="45"/>
      <c r="G914" s="2"/>
      <c r="H914" s="2">
        <f t="shared" si="1"/>
        <v>0</v>
      </c>
      <c r="I914" s="2">
        <f t="shared" si="2"/>
        <v>0</v>
      </c>
      <c r="J914" s="47" t="str">
        <f t="shared" si="3"/>
        <v/>
      </c>
      <c r="K914" s="2">
        <f t="shared" si="4"/>
        <v>0</v>
      </c>
      <c r="L914" s="1"/>
    </row>
    <row r="915">
      <c r="A915" s="56"/>
      <c r="B915" s="1" t="s">
        <v>476</v>
      </c>
      <c r="C915" s="1" t="str">
        <f>VLOOKUP(B915,MAESTRA!I:K,2,0)</f>
        <v/>
      </c>
      <c r="D915" s="1" t="str">
        <f>VLOOKUP(B915,MAESTRA!I:K,3,0)</f>
        <v>  </v>
      </c>
      <c r="E915" s="1" t="s">
        <v>476</v>
      </c>
      <c r="F915" s="45"/>
      <c r="G915" s="2"/>
      <c r="H915" s="2">
        <f t="shared" si="1"/>
        <v>0</v>
      </c>
      <c r="I915" s="2">
        <f t="shared" si="2"/>
        <v>0</v>
      </c>
      <c r="J915" s="47" t="str">
        <f t="shared" si="3"/>
        <v/>
      </c>
      <c r="K915" s="2">
        <f t="shared" si="4"/>
        <v>0</v>
      </c>
      <c r="L915" s="1"/>
    </row>
    <row r="916">
      <c r="A916" s="56"/>
      <c r="B916" s="1" t="s">
        <v>476</v>
      </c>
      <c r="C916" s="1" t="str">
        <f>VLOOKUP(B916,MAESTRA!I:K,2,0)</f>
        <v/>
      </c>
      <c r="D916" s="1" t="str">
        <f>VLOOKUP(B916,MAESTRA!I:K,3,0)</f>
        <v>  </v>
      </c>
      <c r="E916" s="1" t="s">
        <v>476</v>
      </c>
      <c r="F916" s="45"/>
      <c r="G916" s="2"/>
      <c r="H916" s="2">
        <f t="shared" si="1"/>
        <v>0</v>
      </c>
      <c r="I916" s="2">
        <f t="shared" si="2"/>
        <v>0</v>
      </c>
      <c r="J916" s="47" t="str">
        <f t="shared" si="3"/>
        <v/>
      </c>
      <c r="K916" s="2">
        <f t="shared" si="4"/>
        <v>0</v>
      </c>
      <c r="L916" s="1"/>
    </row>
    <row r="917">
      <c r="A917" s="56"/>
      <c r="B917" s="1" t="s">
        <v>476</v>
      </c>
      <c r="C917" s="1" t="str">
        <f>VLOOKUP(B917,MAESTRA!I:K,2,0)</f>
        <v/>
      </c>
      <c r="D917" s="1" t="str">
        <f>VLOOKUP(B917,MAESTRA!I:K,3,0)</f>
        <v>  </v>
      </c>
      <c r="E917" s="1" t="s">
        <v>476</v>
      </c>
      <c r="F917" s="45"/>
      <c r="G917" s="2"/>
      <c r="H917" s="2">
        <f t="shared" si="1"/>
        <v>0</v>
      </c>
      <c r="I917" s="2">
        <f t="shared" si="2"/>
        <v>0</v>
      </c>
      <c r="J917" s="47" t="str">
        <f t="shared" si="3"/>
        <v/>
      </c>
      <c r="K917" s="2">
        <f t="shared" si="4"/>
        <v>0</v>
      </c>
      <c r="L917" s="1"/>
    </row>
    <row r="918">
      <c r="A918" s="56"/>
      <c r="B918" s="1" t="s">
        <v>476</v>
      </c>
      <c r="C918" s="1" t="str">
        <f>VLOOKUP(B918,MAESTRA!I:K,2,0)</f>
        <v/>
      </c>
      <c r="D918" s="1" t="str">
        <f>VLOOKUP(B918,MAESTRA!I:K,3,0)</f>
        <v>  </v>
      </c>
      <c r="E918" s="1" t="s">
        <v>476</v>
      </c>
      <c r="F918" s="45"/>
      <c r="G918" s="2"/>
      <c r="H918" s="2">
        <f t="shared" si="1"/>
        <v>0</v>
      </c>
      <c r="I918" s="2">
        <f t="shared" si="2"/>
        <v>0</v>
      </c>
      <c r="J918" s="47" t="str">
        <f t="shared" si="3"/>
        <v/>
      </c>
      <c r="K918" s="2">
        <f t="shared" si="4"/>
        <v>0</v>
      </c>
      <c r="L918" s="1"/>
    </row>
    <row r="919">
      <c r="A919" s="56"/>
      <c r="B919" s="1" t="s">
        <v>476</v>
      </c>
      <c r="C919" s="1" t="str">
        <f>VLOOKUP(B919,MAESTRA!I:K,2,0)</f>
        <v/>
      </c>
      <c r="D919" s="1" t="str">
        <f>VLOOKUP(B919,MAESTRA!I:K,3,0)</f>
        <v>  </v>
      </c>
      <c r="E919" s="1" t="s">
        <v>476</v>
      </c>
      <c r="F919" s="45"/>
      <c r="G919" s="2"/>
      <c r="H919" s="2">
        <f t="shared" si="1"/>
        <v>0</v>
      </c>
      <c r="I919" s="2">
        <f t="shared" si="2"/>
        <v>0</v>
      </c>
      <c r="J919" s="47" t="str">
        <f t="shared" si="3"/>
        <v/>
      </c>
      <c r="K919" s="2">
        <f t="shared" si="4"/>
        <v>0</v>
      </c>
      <c r="L919" s="1"/>
    </row>
    <row r="920">
      <c r="A920" s="56"/>
      <c r="B920" s="1" t="s">
        <v>476</v>
      </c>
      <c r="C920" s="1" t="str">
        <f>VLOOKUP(B920,MAESTRA!I:K,2,0)</f>
        <v/>
      </c>
      <c r="D920" s="1" t="str">
        <f>VLOOKUP(B920,MAESTRA!I:K,3,0)</f>
        <v>  </v>
      </c>
      <c r="E920" s="1" t="s">
        <v>476</v>
      </c>
      <c r="F920" s="45"/>
      <c r="G920" s="2"/>
      <c r="H920" s="2">
        <f t="shared" si="1"/>
        <v>0</v>
      </c>
      <c r="I920" s="2">
        <f t="shared" si="2"/>
        <v>0</v>
      </c>
      <c r="J920" s="47" t="str">
        <f t="shared" si="3"/>
        <v/>
      </c>
      <c r="K920" s="2">
        <f t="shared" si="4"/>
        <v>0</v>
      </c>
      <c r="L920" s="1"/>
    </row>
    <row r="921">
      <c r="A921" s="56"/>
      <c r="B921" s="1" t="s">
        <v>476</v>
      </c>
      <c r="C921" s="1" t="str">
        <f>VLOOKUP(B921,MAESTRA!I:K,2,0)</f>
        <v/>
      </c>
      <c r="D921" s="1" t="str">
        <f>VLOOKUP(B921,MAESTRA!I:K,3,0)</f>
        <v>  </v>
      </c>
      <c r="E921" s="1" t="s">
        <v>476</v>
      </c>
      <c r="F921" s="45"/>
      <c r="G921" s="2"/>
      <c r="H921" s="2">
        <f t="shared" si="1"/>
        <v>0</v>
      </c>
      <c r="I921" s="2">
        <f t="shared" si="2"/>
        <v>0</v>
      </c>
      <c r="J921" s="47" t="str">
        <f t="shared" si="3"/>
        <v/>
      </c>
      <c r="K921" s="2">
        <f t="shared" si="4"/>
        <v>0</v>
      </c>
      <c r="L921" s="1"/>
    </row>
    <row r="922">
      <c r="A922" s="56"/>
      <c r="B922" s="1" t="s">
        <v>476</v>
      </c>
      <c r="C922" s="1" t="str">
        <f>VLOOKUP(B922,MAESTRA!I:K,2,0)</f>
        <v/>
      </c>
      <c r="D922" s="1" t="str">
        <f>VLOOKUP(B922,MAESTRA!I:K,3,0)</f>
        <v>  </v>
      </c>
      <c r="E922" s="1" t="s">
        <v>476</v>
      </c>
      <c r="F922" s="45"/>
      <c r="G922" s="2"/>
      <c r="H922" s="2">
        <f t="shared" si="1"/>
        <v>0</v>
      </c>
      <c r="I922" s="2">
        <f t="shared" si="2"/>
        <v>0</v>
      </c>
      <c r="J922" s="47" t="str">
        <f t="shared" si="3"/>
        <v/>
      </c>
      <c r="K922" s="2">
        <f t="shared" si="4"/>
        <v>0</v>
      </c>
      <c r="L922" s="1"/>
    </row>
    <row r="923">
      <c r="A923" s="56"/>
      <c r="B923" s="1" t="s">
        <v>476</v>
      </c>
      <c r="C923" s="1" t="str">
        <f>VLOOKUP(B923,MAESTRA!I:K,2,0)</f>
        <v/>
      </c>
      <c r="D923" s="1" t="str">
        <f>VLOOKUP(B923,MAESTRA!I:K,3,0)</f>
        <v>  </v>
      </c>
      <c r="E923" s="1" t="s">
        <v>476</v>
      </c>
      <c r="F923" s="45"/>
      <c r="G923" s="2"/>
      <c r="H923" s="2">
        <f t="shared" si="1"/>
        <v>0</v>
      </c>
      <c r="I923" s="2">
        <f t="shared" si="2"/>
        <v>0</v>
      </c>
      <c r="J923" s="47" t="str">
        <f t="shared" si="3"/>
        <v/>
      </c>
      <c r="K923" s="2">
        <f t="shared" si="4"/>
        <v>0</v>
      </c>
      <c r="L923" s="1"/>
    </row>
    <row r="924">
      <c r="A924" s="56"/>
      <c r="B924" s="1" t="s">
        <v>476</v>
      </c>
      <c r="C924" s="1" t="str">
        <f>VLOOKUP(B924,MAESTRA!I:K,2,0)</f>
        <v/>
      </c>
      <c r="D924" s="1" t="str">
        <f>VLOOKUP(B924,MAESTRA!I:K,3,0)</f>
        <v>  </v>
      </c>
      <c r="E924" s="1" t="s">
        <v>476</v>
      </c>
      <c r="F924" s="45"/>
      <c r="G924" s="2"/>
      <c r="H924" s="2">
        <f t="shared" si="1"/>
        <v>0</v>
      </c>
      <c r="I924" s="2">
        <f t="shared" si="2"/>
        <v>0</v>
      </c>
      <c r="J924" s="47" t="str">
        <f t="shared" si="3"/>
        <v/>
      </c>
      <c r="K924" s="2">
        <f t="shared" si="4"/>
        <v>0</v>
      </c>
      <c r="L924" s="1"/>
    </row>
    <row r="925">
      <c r="A925" s="56"/>
      <c r="B925" s="1" t="s">
        <v>476</v>
      </c>
      <c r="C925" s="1" t="str">
        <f>VLOOKUP(B925,MAESTRA!I:K,2,0)</f>
        <v/>
      </c>
      <c r="D925" s="1" t="str">
        <f>VLOOKUP(B925,MAESTRA!I:K,3,0)</f>
        <v>  </v>
      </c>
      <c r="E925" s="1" t="s">
        <v>476</v>
      </c>
      <c r="F925" s="45"/>
      <c r="G925" s="2"/>
      <c r="H925" s="2">
        <f t="shared" si="1"/>
        <v>0</v>
      </c>
      <c r="I925" s="2">
        <f t="shared" si="2"/>
        <v>0</v>
      </c>
      <c r="J925" s="47" t="str">
        <f t="shared" si="3"/>
        <v/>
      </c>
      <c r="K925" s="2">
        <f t="shared" si="4"/>
        <v>0</v>
      </c>
      <c r="L925" s="1"/>
    </row>
    <row r="926">
      <c r="A926" s="56"/>
      <c r="B926" s="1" t="s">
        <v>476</v>
      </c>
      <c r="C926" s="1" t="str">
        <f>VLOOKUP(B926,MAESTRA!I:K,2,0)</f>
        <v/>
      </c>
      <c r="D926" s="1" t="str">
        <f>VLOOKUP(B926,MAESTRA!I:K,3,0)</f>
        <v>  </v>
      </c>
      <c r="E926" s="1" t="s">
        <v>476</v>
      </c>
      <c r="F926" s="45"/>
      <c r="G926" s="2"/>
      <c r="H926" s="2">
        <f t="shared" si="1"/>
        <v>0</v>
      </c>
      <c r="I926" s="2">
        <f t="shared" si="2"/>
        <v>0</v>
      </c>
      <c r="J926" s="47" t="str">
        <f t="shared" si="3"/>
        <v/>
      </c>
      <c r="K926" s="2">
        <f t="shared" si="4"/>
        <v>0</v>
      </c>
      <c r="L926" s="1"/>
    </row>
    <row r="927">
      <c r="A927" s="56"/>
      <c r="B927" s="1" t="s">
        <v>476</v>
      </c>
      <c r="C927" s="1" t="str">
        <f>VLOOKUP(B927,MAESTRA!I:K,2,0)</f>
        <v/>
      </c>
      <c r="D927" s="1" t="str">
        <f>VLOOKUP(B927,MAESTRA!I:K,3,0)</f>
        <v>  </v>
      </c>
      <c r="E927" s="1" t="s">
        <v>476</v>
      </c>
      <c r="F927" s="45"/>
      <c r="G927" s="2"/>
      <c r="H927" s="2">
        <f t="shared" si="1"/>
        <v>0</v>
      </c>
      <c r="I927" s="2">
        <f t="shared" si="2"/>
        <v>0</v>
      </c>
      <c r="J927" s="47" t="str">
        <f t="shared" si="3"/>
        <v/>
      </c>
      <c r="K927" s="2">
        <f t="shared" si="4"/>
        <v>0</v>
      </c>
      <c r="L927" s="1"/>
    </row>
    <row r="928">
      <c r="A928" s="56"/>
      <c r="B928" s="1" t="s">
        <v>476</v>
      </c>
      <c r="C928" s="1" t="str">
        <f>VLOOKUP(B928,MAESTRA!I:K,2,0)</f>
        <v/>
      </c>
      <c r="D928" s="1" t="str">
        <f>VLOOKUP(B928,MAESTRA!I:K,3,0)</f>
        <v>  </v>
      </c>
      <c r="E928" s="1" t="s">
        <v>476</v>
      </c>
      <c r="F928" s="45"/>
      <c r="G928" s="2"/>
      <c r="H928" s="2">
        <f t="shared" si="1"/>
        <v>0</v>
      </c>
      <c r="I928" s="2">
        <f t="shared" si="2"/>
        <v>0</v>
      </c>
      <c r="J928" s="47" t="str">
        <f t="shared" si="3"/>
        <v/>
      </c>
      <c r="K928" s="2">
        <f t="shared" si="4"/>
        <v>0</v>
      </c>
      <c r="L928" s="1"/>
    </row>
    <row r="929">
      <c r="A929" s="56"/>
      <c r="B929" s="1" t="s">
        <v>476</v>
      </c>
      <c r="C929" s="1" t="str">
        <f>VLOOKUP(B929,MAESTRA!I:K,2,0)</f>
        <v/>
      </c>
      <c r="D929" s="1" t="str">
        <f>VLOOKUP(B929,MAESTRA!I:K,3,0)</f>
        <v>  </v>
      </c>
      <c r="E929" s="1" t="s">
        <v>476</v>
      </c>
      <c r="F929" s="45"/>
      <c r="G929" s="2"/>
      <c r="H929" s="2">
        <f t="shared" si="1"/>
        <v>0</v>
      </c>
      <c r="I929" s="2">
        <f t="shared" si="2"/>
        <v>0</v>
      </c>
      <c r="J929" s="47" t="str">
        <f t="shared" si="3"/>
        <v/>
      </c>
      <c r="K929" s="2">
        <f t="shared" si="4"/>
        <v>0</v>
      </c>
      <c r="L929" s="1"/>
    </row>
    <row r="930">
      <c r="A930" s="56"/>
      <c r="B930" s="1" t="s">
        <v>476</v>
      </c>
      <c r="C930" s="1" t="str">
        <f>VLOOKUP(B930,MAESTRA!I:K,2,0)</f>
        <v/>
      </c>
      <c r="D930" s="1" t="str">
        <f>VLOOKUP(B930,MAESTRA!I:K,3,0)</f>
        <v>  </v>
      </c>
      <c r="E930" s="1" t="s">
        <v>476</v>
      </c>
      <c r="F930" s="45"/>
      <c r="G930" s="2"/>
      <c r="H930" s="2">
        <f t="shared" si="1"/>
        <v>0</v>
      </c>
      <c r="I930" s="2">
        <f t="shared" si="2"/>
        <v>0</v>
      </c>
      <c r="J930" s="47" t="str">
        <f t="shared" si="3"/>
        <v/>
      </c>
      <c r="K930" s="2">
        <f t="shared" si="4"/>
        <v>0</v>
      </c>
      <c r="L930" s="1"/>
    </row>
    <row r="931">
      <c r="A931" s="56"/>
      <c r="B931" s="1" t="s">
        <v>476</v>
      </c>
      <c r="C931" s="1" t="str">
        <f>VLOOKUP(B931,MAESTRA!I:K,2,0)</f>
        <v/>
      </c>
      <c r="D931" s="1" t="str">
        <f>VLOOKUP(B931,MAESTRA!I:K,3,0)</f>
        <v>  </v>
      </c>
      <c r="E931" s="1" t="s">
        <v>476</v>
      </c>
      <c r="F931" s="45"/>
      <c r="G931" s="2"/>
      <c r="H931" s="2">
        <f t="shared" si="1"/>
        <v>0</v>
      </c>
      <c r="I931" s="2">
        <f t="shared" si="2"/>
        <v>0</v>
      </c>
      <c r="J931" s="47" t="str">
        <f t="shared" si="3"/>
        <v/>
      </c>
      <c r="K931" s="2">
        <f t="shared" si="4"/>
        <v>0</v>
      </c>
      <c r="L931" s="1"/>
    </row>
    <row r="932">
      <c r="A932" s="56"/>
      <c r="B932" s="1" t="s">
        <v>476</v>
      </c>
      <c r="C932" s="1" t="str">
        <f>VLOOKUP(B932,MAESTRA!I:K,2,0)</f>
        <v/>
      </c>
      <c r="D932" s="1" t="str">
        <f>VLOOKUP(B932,MAESTRA!I:K,3,0)</f>
        <v>  </v>
      </c>
      <c r="E932" s="1" t="s">
        <v>476</v>
      </c>
      <c r="F932" s="45"/>
      <c r="G932" s="2"/>
      <c r="H932" s="2">
        <f t="shared" si="1"/>
        <v>0</v>
      </c>
      <c r="I932" s="2">
        <f t="shared" si="2"/>
        <v>0</v>
      </c>
      <c r="J932" s="47" t="str">
        <f t="shared" si="3"/>
        <v/>
      </c>
      <c r="K932" s="2">
        <f t="shared" si="4"/>
        <v>0</v>
      </c>
      <c r="L932" s="1"/>
    </row>
    <row r="933">
      <c r="A933" s="56"/>
      <c r="B933" s="1" t="s">
        <v>476</v>
      </c>
      <c r="C933" s="1" t="str">
        <f>VLOOKUP(B933,MAESTRA!I:K,2,0)</f>
        <v/>
      </c>
      <c r="D933" s="1" t="str">
        <f>VLOOKUP(B933,MAESTRA!I:K,3,0)</f>
        <v>  </v>
      </c>
      <c r="E933" s="1" t="s">
        <v>476</v>
      </c>
      <c r="F933" s="45"/>
      <c r="G933" s="2"/>
      <c r="H933" s="2">
        <f t="shared" si="1"/>
        <v>0</v>
      </c>
      <c r="I933" s="2">
        <f t="shared" si="2"/>
        <v>0</v>
      </c>
      <c r="J933" s="47" t="str">
        <f t="shared" si="3"/>
        <v/>
      </c>
      <c r="K933" s="2">
        <f t="shared" si="4"/>
        <v>0</v>
      </c>
      <c r="L933" s="1"/>
    </row>
    <row r="934">
      <c r="A934" s="56"/>
      <c r="B934" s="1" t="s">
        <v>476</v>
      </c>
      <c r="C934" s="1" t="str">
        <f>VLOOKUP(B934,MAESTRA!I:K,2,0)</f>
        <v/>
      </c>
      <c r="D934" s="1" t="str">
        <f>VLOOKUP(B934,MAESTRA!I:K,3,0)</f>
        <v>  </v>
      </c>
      <c r="E934" s="1" t="s">
        <v>476</v>
      </c>
      <c r="F934" s="45"/>
      <c r="G934" s="2"/>
      <c r="H934" s="2">
        <f t="shared" si="1"/>
        <v>0</v>
      </c>
      <c r="I934" s="2">
        <f t="shared" si="2"/>
        <v>0</v>
      </c>
      <c r="J934" s="47" t="str">
        <f t="shared" si="3"/>
        <v/>
      </c>
      <c r="K934" s="2">
        <f t="shared" si="4"/>
        <v>0</v>
      </c>
      <c r="L934" s="1"/>
    </row>
    <row r="935">
      <c r="A935" s="56"/>
      <c r="B935" s="1" t="s">
        <v>476</v>
      </c>
      <c r="C935" s="1" t="str">
        <f>VLOOKUP(B935,MAESTRA!I:K,2,0)</f>
        <v/>
      </c>
      <c r="D935" s="1" t="str">
        <f>VLOOKUP(B935,MAESTRA!I:K,3,0)</f>
        <v>  </v>
      </c>
      <c r="E935" s="1" t="s">
        <v>476</v>
      </c>
      <c r="F935" s="45"/>
      <c r="G935" s="2"/>
      <c r="H935" s="2">
        <f t="shared" si="1"/>
        <v>0</v>
      </c>
      <c r="I935" s="2">
        <f t="shared" si="2"/>
        <v>0</v>
      </c>
      <c r="J935" s="47" t="str">
        <f t="shared" si="3"/>
        <v/>
      </c>
      <c r="K935" s="2">
        <f t="shared" si="4"/>
        <v>0</v>
      </c>
      <c r="L935" s="1"/>
    </row>
    <row r="936">
      <c r="A936" s="56"/>
      <c r="B936" s="1" t="s">
        <v>476</v>
      </c>
      <c r="C936" s="1" t="str">
        <f>VLOOKUP(B936,MAESTRA!I:K,2,0)</f>
        <v/>
      </c>
      <c r="D936" s="1" t="str">
        <f>VLOOKUP(B936,MAESTRA!I:K,3,0)</f>
        <v>  </v>
      </c>
      <c r="E936" s="1" t="s">
        <v>476</v>
      </c>
      <c r="F936" s="45"/>
      <c r="G936" s="2"/>
      <c r="H936" s="2">
        <f t="shared" si="1"/>
        <v>0</v>
      </c>
      <c r="I936" s="2">
        <f t="shared" si="2"/>
        <v>0</v>
      </c>
      <c r="J936" s="47" t="str">
        <f t="shared" si="3"/>
        <v/>
      </c>
      <c r="K936" s="2">
        <f t="shared" si="4"/>
        <v>0</v>
      </c>
      <c r="L936" s="1"/>
    </row>
    <row r="937">
      <c r="A937" s="56"/>
      <c r="B937" s="1" t="s">
        <v>476</v>
      </c>
      <c r="C937" s="1" t="str">
        <f>VLOOKUP(B937,MAESTRA!I:K,2,0)</f>
        <v/>
      </c>
      <c r="D937" s="1" t="str">
        <f>VLOOKUP(B937,MAESTRA!I:K,3,0)</f>
        <v>  </v>
      </c>
      <c r="E937" s="1" t="s">
        <v>476</v>
      </c>
      <c r="F937" s="45"/>
      <c r="G937" s="2"/>
      <c r="H937" s="2">
        <f t="shared" si="1"/>
        <v>0</v>
      </c>
      <c r="I937" s="2">
        <f t="shared" si="2"/>
        <v>0</v>
      </c>
      <c r="J937" s="47" t="str">
        <f t="shared" si="3"/>
        <v/>
      </c>
      <c r="K937" s="2">
        <f t="shared" si="4"/>
        <v>0</v>
      </c>
      <c r="L937" s="1"/>
    </row>
    <row r="938">
      <c r="A938" s="56"/>
      <c r="B938" s="1" t="s">
        <v>476</v>
      </c>
      <c r="C938" s="1" t="str">
        <f>VLOOKUP(B938,MAESTRA!I:K,2,0)</f>
        <v/>
      </c>
      <c r="D938" s="1" t="str">
        <f>VLOOKUP(B938,MAESTRA!I:K,3,0)</f>
        <v>  </v>
      </c>
      <c r="E938" s="1" t="s">
        <v>476</v>
      </c>
      <c r="F938" s="45"/>
      <c r="G938" s="2"/>
      <c r="H938" s="2">
        <f t="shared" si="1"/>
        <v>0</v>
      </c>
      <c r="I938" s="2">
        <f t="shared" si="2"/>
        <v>0</v>
      </c>
      <c r="J938" s="47" t="str">
        <f t="shared" si="3"/>
        <v/>
      </c>
      <c r="K938" s="2">
        <f t="shared" si="4"/>
        <v>0</v>
      </c>
      <c r="L938" s="1"/>
    </row>
    <row r="939">
      <c r="A939" s="56"/>
      <c r="B939" s="1" t="s">
        <v>476</v>
      </c>
      <c r="C939" s="1" t="str">
        <f>VLOOKUP(B939,MAESTRA!I:K,2,0)</f>
        <v/>
      </c>
      <c r="D939" s="1" t="str">
        <f>VLOOKUP(B939,MAESTRA!I:K,3,0)</f>
        <v>  </v>
      </c>
      <c r="E939" s="1" t="s">
        <v>476</v>
      </c>
      <c r="F939" s="45"/>
      <c r="G939" s="2"/>
      <c r="H939" s="2">
        <f t="shared" si="1"/>
        <v>0</v>
      </c>
      <c r="I939" s="2">
        <f t="shared" si="2"/>
        <v>0</v>
      </c>
      <c r="J939" s="47" t="str">
        <f t="shared" si="3"/>
        <v/>
      </c>
      <c r="K939" s="2">
        <f t="shared" si="4"/>
        <v>0</v>
      </c>
      <c r="L939" s="1"/>
    </row>
    <row r="940">
      <c r="A940" s="56"/>
      <c r="B940" s="1" t="s">
        <v>476</v>
      </c>
      <c r="C940" s="1" t="str">
        <f>VLOOKUP(B940,MAESTRA!I:K,2,0)</f>
        <v/>
      </c>
      <c r="D940" s="1" t="str">
        <f>VLOOKUP(B940,MAESTRA!I:K,3,0)</f>
        <v>  </v>
      </c>
      <c r="E940" s="1" t="s">
        <v>476</v>
      </c>
      <c r="F940" s="45"/>
      <c r="G940" s="2"/>
      <c r="H940" s="2">
        <f t="shared" si="1"/>
        <v>0</v>
      </c>
      <c r="I940" s="2">
        <f t="shared" si="2"/>
        <v>0</v>
      </c>
      <c r="J940" s="47" t="str">
        <f t="shared" si="3"/>
        <v/>
      </c>
      <c r="K940" s="2">
        <f t="shared" si="4"/>
        <v>0</v>
      </c>
      <c r="L940" s="1"/>
    </row>
    <row r="941">
      <c r="A941" s="56"/>
      <c r="B941" s="1" t="s">
        <v>476</v>
      </c>
      <c r="C941" s="1" t="str">
        <f>VLOOKUP(B941,MAESTRA!I:K,2,0)</f>
        <v/>
      </c>
      <c r="D941" s="1" t="str">
        <f>VLOOKUP(B941,MAESTRA!I:K,3,0)</f>
        <v>  </v>
      </c>
      <c r="E941" s="1" t="s">
        <v>476</v>
      </c>
      <c r="F941" s="45"/>
      <c r="G941" s="2"/>
      <c r="H941" s="2">
        <f t="shared" si="1"/>
        <v>0</v>
      </c>
      <c r="I941" s="2">
        <f t="shared" si="2"/>
        <v>0</v>
      </c>
      <c r="J941" s="47" t="str">
        <f t="shared" si="3"/>
        <v/>
      </c>
      <c r="K941" s="2">
        <f t="shared" si="4"/>
        <v>0</v>
      </c>
      <c r="L941" s="1"/>
    </row>
    <row r="942">
      <c r="A942" s="56"/>
      <c r="B942" s="1" t="s">
        <v>476</v>
      </c>
      <c r="C942" s="1" t="str">
        <f>VLOOKUP(B942,MAESTRA!I:K,2,0)</f>
        <v/>
      </c>
      <c r="D942" s="1" t="str">
        <f>VLOOKUP(B942,MAESTRA!I:K,3,0)</f>
        <v>  </v>
      </c>
      <c r="E942" s="1" t="s">
        <v>476</v>
      </c>
      <c r="F942" s="45"/>
      <c r="G942" s="2"/>
      <c r="H942" s="2">
        <f t="shared" si="1"/>
        <v>0</v>
      </c>
      <c r="I942" s="2">
        <f t="shared" si="2"/>
        <v>0</v>
      </c>
      <c r="J942" s="47" t="str">
        <f t="shared" si="3"/>
        <v/>
      </c>
      <c r="K942" s="2">
        <f t="shared" si="4"/>
        <v>0</v>
      </c>
      <c r="L942" s="1"/>
    </row>
    <row r="943">
      <c r="A943" s="56"/>
      <c r="B943" s="1" t="s">
        <v>476</v>
      </c>
      <c r="C943" s="1" t="str">
        <f>VLOOKUP(B943,MAESTRA!I:K,2,0)</f>
        <v/>
      </c>
      <c r="D943" s="1" t="str">
        <f>VLOOKUP(B943,MAESTRA!I:K,3,0)</f>
        <v>  </v>
      </c>
      <c r="E943" s="1" t="s">
        <v>476</v>
      </c>
      <c r="F943" s="45"/>
      <c r="G943" s="2"/>
      <c r="H943" s="2">
        <f t="shared" si="1"/>
        <v>0</v>
      </c>
      <c r="I943" s="2">
        <f t="shared" si="2"/>
        <v>0</v>
      </c>
      <c r="J943" s="47" t="str">
        <f t="shared" si="3"/>
        <v/>
      </c>
      <c r="K943" s="2">
        <f t="shared" si="4"/>
        <v>0</v>
      </c>
      <c r="L943" s="1"/>
    </row>
    <row r="944">
      <c r="A944" s="56"/>
      <c r="B944" s="1" t="s">
        <v>476</v>
      </c>
      <c r="C944" s="1" t="str">
        <f>VLOOKUP(B944,MAESTRA!I:K,2,0)</f>
        <v/>
      </c>
      <c r="D944" s="1" t="str">
        <f>VLOOKUP(B944,MAESTRA!I:K,3,0)</f>
        <v>  </v>
      </c>
      <c r="E944" s="1" t="s">
        <v>476</v>
      </c>
      <c r="F944" s="45"/>
      <c r="G944" s="2"/>
      <c r="H944" s="2">
        <f t="shared" si="1"/>
        <v>0</v>
      </c>
      <c r="I944" s="2">
        <f t="shared" si="2"/>
        <v>0</v>
      </c>
      <c r="J944" s="47" t="str">
        <f t="shared" si="3"/>
        <v/>
      </c>
      <c r="K944" s="2">
        <f t="shared" si="4"/>
        <v>0</v>
      </c>
      <c r="L944" s="1"/>
    </row>
    <row r="945">
      <c r="A945" s="56"/>
      <c r="B945" s="1" t="s">
        <v>476</v>
      </c>
      <c r="C945" s="1" t="str">
        <f>VLOOKUP(B945,MAESTRA!I:K,2,0)</f>
        <v/>
      </c>
      <c r="D945" s="1" t="str">
        <f>VLOOKUP(B945,MAESTRA!I:K,3,0)</f>
        <v>  </v>
      </c>
      <c r="E945" s="1" t="s">
        <v>476</v>
      </c>
      <c r="F945" s="45"/>
      <c r="G945" s="2"/>
      <c r="H945" s="2">
        <f t="shared" si="1"/>
        <v>0</v>
      </c>
      <c r="I945" s="2">
        <f t="shared" si="2"/>
        <v>0</v>
      </c>
      <c r="J945" s="47" t="str">
        <f t="shared" si="3"/>
        <v/>
      </c>
      <c r="K945" s="2">
        <f t="shared" si="4"/>
        <v>0</v>
      </c>
      <c r="L945" s="1"/>
    </row>
    <row r="946">
      <c r="A946" s="56"/>
      <c r="B946" s="1" t="s">
        <v>476</v>
      </c>
      <c r="C946" s="1" t="str">
        <f>VLOOKUP(B946,MAESTRA!I:K,2,0)</f>
        <v/>
      </c>
      <c r="D946" s="1" t="str">
        <f>VLOOKUP(B946,MAESTRA!I:K,3,0)</f>
        <v>  </v>
      </c>
      <c r="E946" s="1" t="s">
        <v>476</v>
      </c>
      <c r="F946" s="45"/>
      <c r="G946" s="2"/>
      <c r="H946" s="2">
        <f t="shared" si="1"/>
        <v>0</v>
      </c>
      <c r="I946" s="2">
        <f t="shared" si="2"/>
        <v>0</v>
      </c>
      <c r="J946" s="47" t="str">
        <f t="shared" si="3"/>
        <v/>
      </c>
      <c r="K946" s="2">
        <f t="shared" si="4"/>
        <v>0</v>
      </c>
      <c r="L946" s="1"/>
    </row>
    <row r="947">
      <c r="A947" s="56"/>
      <c r="B947" s="1" t="s">
        <v>476</v>
      </c>
      <c r="C947" s="1" t="str">
        <f>VLOOKUP(B947,MAESTRA!I:K,2,0)</f>
        <v/>
      </c>
      <c r="D947" s="1" t="str">
        <f>VLOOKUP(B947,MAESTRA!I:K,3,0)</f>
        <v>  </v>
      </c>
      <c r="E947" s="1" t="s">
        <v>476</v>
      </c>
      <c r="F947" s="45"/>
      <c r="G947" s="2"/>
      <c r="H947" s="2">
        <f t="shared" si="1"/>
        <v>0</v>
      </c>
      <c r="I947" s="2">
        <f t="shared" si="2"/>
        <v>0</v>
      </c>
      <c r="J947" s="47" t="str">
        <f t="shared" si="3"/>
        <v/>
      </c>
      <c r="K947" s="2">
        <f t="shared" si="4"/>
        <v>0</v>
      </c>
      <c r="L947" s="1"/>
    </row>
    <row r="948">
      <c r="A948" s="56"/>
      <c r="B948" s="1" t="s">
        <v>476</v>
      </c>
      <c r="C948" s="1" t="str">
        <f>VLOOKUP(B948,MAESTRA!I:K,2,0)</f>
        <v/>
      </c>
      <c r="D948" s="1" t="str">
        <f>VLOOKUP(B948,MAESTRA!I:K,3,0)</f>
        <v>  </v>
      </c>
      <c r="E948" s="1" t="s">
        <v>476</v>
      </c>
      <c r="F948" s="45"/>
      <c r="G948" s="2"/>
      <c r="H948" s="2">
        <f t="shared" si="1"/>
        <v>0</v>
      </c>
      <c r="I948" s="2">
        <f t="shared" si="2"/>
        <v>0</v>
      </c>
      <c r="J948" s="47" t="str">
        <f t="shared" si="3"/>
        <v/>
      </c>
      <c r="K948" s="2">
        <f t="shared" si="4"/>
        <v>0</v>
      </c>
      <c r="L948" s="1"/>
    </row>
    <row r="949">
      <c r="A949" s="56"/>
      <c r="B949" s="1" t="s">
        <v>476</v>
      </c>
      <c r="C949" s="1" t="str">
        <f>VLOOKUP(B949,MAESTRA!I:K,2,0)</f>
        <v/>
      </c>
      <c r="D949" s="1" t="str">
        <f>VLOOKUP(B949,MAESTRA!I:K,3,0)</f>
        <v>  </v>
      </c>
      <c r="E949" s="1" t="s">
        <v>476</v>
      </c>
      <c r="F949" s="45"/>
      <c r="G949" s="2"/>
      <c r="H949" s="2">
        <f t="shared" si="1"/>
        <v>0</v>
      </c>
      <c r="I949" s="2">
        <f t="shared" si="2"/>
        <v>0</v>
      </c>
      <c r="J949" s="47" t="str">
        <f t="shared" si="3"/>
        <v/>
      </c>
      <c r="K949" s="2">
        <f t="shared" si="4"/>
        <v>0</v>
      </c>
      <c r="L949" s="1"/>
    </row>
    <row r="950">
      <c r="A950" s="56"/>
      <c r="B950" s="1" t="s">
        <v>476</v>
      </c>
      <c r="C950" s="1" t="str">
        <f>VLOOKUP(B950,MAESTRA!I:K,2,0)</f>
        <v/>
      </c>
      <c r="D950" s="1" t="str">
        <f>VLOOKUP(B950,MAESTRA!I:K,3,0)</f>
        <v>  </v>
      </c>
      <c r="E950" s="1" t="s">
        <v>476</v>
      </c>
      <c r="F950" s="45"/>
      <c r="G950" s="2"/>
      <c r="H950" s="2">
        <f t="shared" si="1"/>
        <v>0</v>
      </c>
      <c r="I950" s="2">
        <f t="shared" si="2"/>
        <v>0</v>
      </c>
      <c r="J950" s="47" t="str">
        <f t="shared" si="3"/>
        <v/>
      </c>
      <c r="K950" s="2">
        <f t="shared" si="4"/>
        <v>0</v>
      </c>
      <c r="L950" s="1"/>
    </row>
    <row r="951">
      <c r="A951" s="56"/>
      <c r="B951" s="1" t="s">
        <v>476</v>
      </c>
      <c r="C951" s="1" t="str">
        <f>VLOOKUP(B951,MAESTRA!I:K,2,0)</f>
        <v/>
      </c>
      <c r="D951" s="1" t="str">
        <f>VLOOKUP(B951,MAESTRA!I:K,3,0)</f>
        <v>  </v>
      </c>
      <c r="E951" s="1" t="s">
        <v>476</v>
      </c>
      <c r="F951" s="45"/>
      <c r="G951" s="2"/>
      <c r="H951" s="2">
        <f t="shared" si="1"/>
        <v>0</v>
      </c>
      <c r="I951" s="2">
        <f t="shared" si="2"/>
        <v>0</v>
      </c>
      <c r="J951" s="47" t="str">
        <f t="shared" si="3"/>
        <v/>
      </c>
      <c r="K951" s="2">
        <f t="shared" si="4"/>
        <v>0</v>
      </c>
      <c r="L951" s="1"/>
    </row>
    <row r="952">
      <c r="A952" s="56"/>
      <c r="B952" s="1" t="s">
        <v>476</v>
      </c>
      <c r="C952" s="1" t="str">
        <f>VLOOKUP(B952,MAESTRA!I:K,2,0)</f>
        <v/>
      </c>
      <c r="D952" s="1" t="str">
        <f>VLOOKUP(B952,MAESTRA!I:K,3,0)</f>
        <v>  </v>
      </c>
      <c r="E952" s="1" t="s">
        <v>476</v>
      </c>
      <c r="F952" s="45"/>
      <c r="G952" s="2"/>
      <c r="H952" s="2">
        <f t="shared" si="1"/>
        <v>0</v>
      </c>
      <c r="I952" s="2">
        <f t="shared" si="2"/>
        <v>0</v>
      </c>
      <c r="J952" s="47" t="str">
        <f t="shared" si="3"/>
        <v/>
      </c>
      <c r="K952" s="2">
        <f t="shared" si="4"/>
        <v>0</v>
      </c>
      <c r="L952" s="1"/>
    </row>
    <row r="953">
      <c r="A953" s="56"/>
      <c r="B953" s="1" t="s">
        <v>476</v>
      </c>
      <c r="C953" s="1" t="str">
        <f>VLOOKUP(B953,MAESTRA!I:K,2,0)</f>
        <v/>
      </c>
      <c r="D953" s="1" t="str">
        <f>VLOOKUP(B953,MAESTRA!I:K,3,0)</f>
        <v>  </v>
      </c>
      <c r="E953" s="1" t="s">
        <v>476</v>
      </c>
      <c r="F953" s="45"/>
      <c r="G953" s="2"/>
      <c r="H953" s="2">
        <f t="shared" si="1"/>
        <v>0</v>
      </c>
      <c r="I953" s="2">
        <f t="shared" si="2"/>
        <v>0</v>
      </c>
      <c r="J953" s="47" t="str">
        <f t="shared" si="3"/>
        <v/>
      </c>
      <c r="K953" s="2">
        <f t="shared" si="4"/>
        <v>0</v>
      </c>
      <c r="L953" s="1"/>
    </row>
    <row r="954">
      <c r="A954" s="56"/>
      <c r="B954" s="1" t="s">
        <v>476</v>
      </c>
      <c r="C954" s="1" t="str">
        <f>VLOOKUP(B954,MAESTRA!I:K,2,0)</f>
        <v/>
      </c>
      <c r="D954" s="1" t="str">
        <f>VLOOKUP(B954,MAESTRA!I:K,3,0)</f>
        <v>  </v>
      </c>
      <c r="E954" s="1" t="s">
        <v>476</v>
      </c>
      <c r="F954" s="45"/>
      <c r="G954" s="2"/>
      <c r="H954" s="2">
        <f t="shared" si="1"/>
        <v>0</v>
      </c>
      <c r="I954" s="2">
        <f t="shared" si="2"/>
        <v>0</v>
      </c>
      <c r="J954" s="47" t="str">
        <f t="shared" si="3"/>
        <v/>
      </c>
      <c r="K954" s="2">
        <f t="shared" si="4"/>
        <v>0</v>
      </c>
      <c r="L954" s="1"/>
    </row>
    <row r="955">
      <c r="A955" s="56"/>
      <c r="B955" s="1" t="s">
        <v>476</v>
      </c>
      <c r="C955" s="1" t="str">
        <f>VLOOKUP(B955,MAESTRA!I:K,2,0)</f>
        <v/>
      </c>
      <c r="D955" s="1" t="str">
        <f>VLOOKUP(B955,MAESTRA!I:K,3,0)</f>
        <v>  </v>
      </c>
      <c r="E955" s="1" t="s">
        <v>476</v>
      </c>
      <c r="F955" s="45"/>
      <c r="G955" s="2"/>
      <c r="H955" s="2">
        <f t="shared" si="1"/>
        <v>0</v>
      </c>
      <c r="I955" s="2">
        <f t="shared" si="2"/>
        <v>0</v>
      </c>
      <c r="J955" s="47" t="str">
        <f t="shared" si="3"/>
        <v/>
      </c>
      <c r="K955" s="2">
        <f t="shared" si="4"/>
        <v>0</v>
      </c>
      <c r="L955" s="1"/>
    </row>
    <row r="956">
      <c r="A956" s="56"/>
      <c r="B956" s="1" t="s">
        <v>476</v>
      </c>
      <c r="C956" s="1" t="str">
        <f>VLOOKUP(B956,MAESTRA!I:K,2,0)</f>
        <v/>
      </c>
      <c r="D956" s="1" t="str">
        <f>VLOOKUP(B956,MAESTRA!I:K,3,0)</f>
        <v>  </v>
      </c>
      <c r="E956" s="1" t="s">
        <v>476</v>
      </c>
      <c r="F956" s="45"/>
      <c r="G956" s="2"/>
      <c r="H956" s="2">
        <f t="shared" si="1"/>
        <v>0</v>
      </c>
      <c r="I956" s="2">
        <f t="shared" si="2"/>
        <v>0</v>
      </c>
      <c r="J956" s="47" t="str">
        <f t="shared" si="3"/>
        <v/>
      </c>
      <c r="K956" s="2">
        <f t="shared" si="4"/>
        <v>0</v>
      </c>
      <c r="L956" s="1"/>
    </row>
    <row r="957">
      <c r="A957" s="56"/>
      <c r="B957" s="1" t="s">
        <v>476</v>
      </c>
      <c r="C957" s="1" t="str">
        <f>VLOOKUP(B957,MAESTRA!I:K,2,0)</f>
        <v/>
      </c>
      <c r="D957" s="1" t="str">
        <f>VLOOKUP(B957,MAESTRA!I:K,3,0)</f>
        <v>  </v>
      </c>
      <c r="E957" s="1" t="s">
        <v>476</v>
      </c>
      <c r="F957" s="45"/>
      <c r="G957" s="2"/>
      <c r="H957" s="2">
        <f t="shared" si="1"/>
        <v>0</v>
      </c>
      <c r="I957" s="2">
        <f t="shared" si="2"/>
        <v>0</v>
      </c>
      <c r="J957" s="47" t="str">
        <f t="shared" si="3"/>
        <v/>
      </c>
      <c r="K957" s="2">
        <f t="shared" si="4"/>
        <v>0</v>
      </c>
      <c r="L957" s="1"/>
    </row>
    <row r="958">
      <c r="A958" s="56"/>
      <c r="B958" s="1" t="s">
        <v>476</v>
      </c>
      <c r="C958" s="1" t="str">
        <f>VLOOKUP(B958,MAESTRA!I:K,2,0)</f>
        <v/>
      </c>
      <c r="D958" s="1" t="str">
        <f>VLOOKUP(B958,MAESTRA!I:K,3,0)</f>
        <v>  </v>
      </c>
      <c r="E958" s="1" t="s">
        <v>476</v>
      </c>
      <c r="F958" s="45"/>
      <c r="G958" s="2"/>
      <c r="H958" s="2">
        <f t="shared" si="1"/>
        <v>0</v>
      </c>
      <c r="I958" s="2">
        <f t="shared" si="2"/>
        <v>0</v>
      </c>
      <c r="J958" s="47" t="str">
        <f t="shared" si="3"/>
        <v/>
      </c>
      <c r="K958" s="2">
        <f t="shared" si="4"/>
        <v>0</v>
      </c>
      <c r="L958" s="1"/>
    </row>
    <row r="959">
      <c r="A959" s="56"/>
      <c r="B959" s="1" t="s">
        <v>476</v>
      </c>
      <c r="C959" s="1" t="str">
        <f>VLOOKUP(B959,MAESTRA!I:K,2,0)</f>
        <v/>
      </c>
      <c r="D959" s="1" t="str">
        <f>VLOOKUP(B959,MAESTRA!I:K,3,0)</f>
        <v>  </v>
      </c>
      <c r="E959" s="1" t="s">
        <v>476</v>
      </c>
      <c r="F959" s="45"/>
      <c r="G959" s="2"/>
      <c r="H959" s="2">
        <f t="shared" si="1"/>
        <v>0</v>
      </c>
      <c r="I959" s="2">
        <f t="shared" si="2"/>
        <v>0</v>
      </c>
      <c r="J959" s="47" t="str">
        <f t="shared" si="3"/>
        <v/>
      </c>
      <c r="K959" s="2">
        <f t="shared" si="4"/>
        <v>0</v>
      </c>
      <c r="L959" s="1"/>
    </row>
    <row r="960">
      <c r="A960" s="56"/>
      <c r="B960" s="1" t="s">
        <v>476</v>
      </c>
      <c r="C960" s="1" t="str">
        <f>VLOOKUP(B960,MAESTRA!I:K,2,0)</f>
        <v/>
      </c>
      <c r="D960" s="1" t="str">
        <f>VLOOKUP(B960,MAESTRA!I:K,3,0)</f>
        <v>  </v>
      </c>
      <c r="E960" s="1" t="s">
        <v>476</v>
      </c>
      <c r="F960" s="45"/>
      <c r="G960" s="2"/>
      <c r="H960" s="2">
        <f t="shared" si="1"/>
        <v>0</v>
      </c>
      <c r="I960" s="2">
        <f t="shared" si="2"/>
        <v>0</v>
      </c>
      <c r="J960" s="47" t="str">
        <f t="shared" si="3"/>
        <v/>
      </c>
      <c r="K960" s="2">
        <f t="shared" si="4"/>
        <v>0</v>
      </c>
      <c r="L960" s="1"/>
    </row>
    <row r="961">
      <c r="A961" s="56"/>
      <c r="B961" s="1" t="s">
        <v>476</v>
      </c>
      <c r="C961" s="1" t="str">
        <f>VLOOKUP(B961,MAESTRA!I:K,2,0)</f>
        <v/>
      </c>
      <c r="D961" s="1" t="str">
        <f>VLOOKUP(B961,MAESTRA!I:K,3,0)</f>
        <v>  </v>
      </c>
      <c r="E961" s="1" t="s">
        <v>476</v>
      </c>
      <c r="F961" s="45"/>
      <c r="G961" s="2"/>
      <c r="H961" s="2">
        <f t="shared" si="1"/>
        <v>0</v>
      </c>
      <c r="I961" s="2">
        <f t="shared" si="2"/>
        <v>0</v>
      </c>
      <c r="J961" s="47" t="str">
        <f t="shared" si="3"/>
        <v/>
      </c>
      <c r="K961" s="2">
        <f t="shared" si="4"/>
        <v>0</v>
      </c>
      <c r="L961" s="1"/>
    </row>
    <row r="962">
      <c r="A962" s="56"/>
      <c r="B962" s="1" t="s">
        <v>476</v>
      </c>
      <c r="C962" s="1" t="str">
        <f>VLOOKUP(B962,MAESTRA!I:K,2,0)</f>
        <v/>
      </c>
      <c r="D962" s="1" t="str">
        <f>VLOOKUP(B962,MAESTRA!I:K,3,0)</f>
        <v>  </v>
      </c>
      <c r="E962" s="1" t="s">
        <v>476</v>
      </c>
      <c r="F962" s="45"/>
      <c r="G962" s="2"/>
      <c r="H962" s="2">
        <f t="shared" si="1"/>
        <v>0</v>
      </c>
      <c r="I962" s="2">
        <f t="shared" si="2"/>
        <v>0</v>
      </c>
      <c r="J962" s="47" t="str">
        <f t="shared" si="3"/>
        <v/>
      </c>
      <c r="K962" s="2">
        <f t="shared" si="4"/>
        <v>0</v>
      </c>
      <c r="L962" s="1"/>
    </row>
    <row r="963">
      <c r="A963" s="56"/>
      <c r="B963" s="1" t="s">
        <v>476</v>
      </c>
      <c r="C963" s="1" t="str">
        <f>VLOOKUP(B963,MAESTRA!I:K,2,0)</f>
        <v/>
      </c>
      <c r="D963" s="1" t="str">
        <f>VLOOKUP(B963,MAESTRA!I:K,3,0)</f>
        <v>  </v>
      </c>
      <c r="E963" s="1" t="s">
        <v>476</v>
      </c>
      <c r="F963" s="45"/>
      <c r="G963" s="2"/>
      <c r="H963" s="2">
        <f t="shared" si="1"/>
        <v>0</v>
      </c>
      <c r="I963" s="2">
        <f t="shared" si="2"/>
        <v>0</v>
      </c>
      <c r="J963" s="47" t="str">
        <f t="shared" si="3"/>
        <v/>
      </c>
      <c r="K963" s="2">
        <f t="shared" si="4"/>
        <v>0</v>
      </c>
      <c r="L963" s="1"/>
    </row>
    <row r="964">
      <c r="A964" s="56"/>
      <c r="B964" s="1" t="s">
        <v>476</v>
      </c>
      <c r="C964" s="1" t="str">
        <f>VLOOKUP(B964,MAESTRA!I:K,2,0)</f>
        <v/>
      </c>
      <c r="D964" s="1" t="str">
        <f>VLOOKUP(B964,MAESTRA!I:K,3,0)</f>
        <v>  </v>
      </c>
      <c r="E964" s="1" t="s">
        <v>476</v>
      </c>
      <c r="F964" s="45"/>
      <c r="G964" s="2"/>
      <c r="H964" s="2">
        <f t="shared" si="1"/>
        <v>0</v>
      </c>
      <c r="I964" s="2">
        <f t="shared" si="2"/>
        <v>0</v>
      </c>
      <c r="J964" s="47" t="str">
        <f t="shared" si="3"/>
        <v/>
      </c>
      <c r="K964" s="2">
        <f t="shared" si="4"/>
        <v>0</v>
      </c>
      <c r="L964" s="1"/>
    </row>
    <row r="965">
      <c r="A965" s="56"/>
      <c r="B965" s="1" t="s">
        <v>476</v>
      </c>
      <c r="C965" s="1" t="str">
        <f>VLOOKUP(B965,MAESTRA!I:K,2,0)</f>
        <v/>
      </c>
      <c r="D965" s="1" t="str">
        <f>VLOOKUP(B965,MAESTRA!I:K,3,0)</f>
        <v>  </v>
      </c>
      <c r="E965" s="1" t="s">
        <v>476</v>
      </c>
      <c r="F965" s="45"/>
      <c r="G965" s="2"/>
      <c r="H965" s="2">
        <f t="shared" si="1"/>
        <v>0</v>
      </c>
      <c r="I965" s="2">
        <f t="shared" si="2"/>
        <v>0</v>
      </c>
      <c r="J965" s="47" t="str">
        <f t="shared" si="3"/>
        <v/>
      </c>
      <c r="K965" s="2">
        <f t="shared" si="4"/>
        <v>0</v>
      </c>
      <c r="L965" s="1"/>
    </row>
    <row r="966">
      <c r="A966" s="56"/>
      <c r="B966" s="1" t="s">
        <v>476</v>
      </c>
      <c r="C966" s="1" t="str">
        <f>VLOOKUP(B966,MAESTRA!I:K,2,0)</f>
        <v/>
      </c>
      <c r="D966" s="1" t="str">
        <f>VLOOKUP(B966,MAESTRA!I:K,3,0)</f>
        <v>  </v>
      </c>
      <c r="E966" s="1" t="s">
        <v>476</v>
      </c>
      <c r="F966" s="45"/>
      <c r="G966" s="2"/>
      <c r="H966" s="2">
        <f t="shared" si="1"/>
        <v>0</v>
      </c>
      <c r="I966" s="2">
        <f t="shared" si="2"/>
        <v>0</v>
      </c>
      <c r="J966" s="47" t="str">
        <f t="shared" si="3"/>
        <v/>
      </c>
      <c r="K966" s="2">
        <f t="shared" si="4"/>
        <v>0</v>
      </c>
      <c r="L966" s="1"/>
    </row>
    <row r="967">
      <c r="A967" s="56"/>
      <c r="B967" s="1" t="s">
        <v>476</v>
      </c>
      <c r="C967" s="1" t="str">
        <f>VLOOKUP(B967,MAESTRA!I:K,2,0)</f>
        <v/>
      </c>
      <c r="D967" s="1" t="str">
        <f>VLOOKUP(B967,MAESTRA!I:K,3,0)</f>
        <v>  </v>
      </c>
      <c r="E967" s="1" t="s">
        <v>476</v>
      </c>
      <c r="F967" s="45"/>
      <c r="G967" s="2"/>
      <c r="H967" s="2">
        <f t="shared" si="1"/>
        <v>0</v>
      </c>
      <c r="I967" s="2">
        <f t="shared" si="2"/>
        <v>0</v>
      </c>
      <c r="J967" s="47" t="str">
        <f t="shared" si="3"/>
        <v/>
      </c>
      <c r="K967" s="2">
        <f t="shared" si="4"/>
        <v>0</v>
      </c>
      <c r="L967" s="1"/>
    </row>
    <row r="968">
      <c r="A968" s="56"/>
      <c r="B968" s="1" t="s">
        <v>476</v>
      </c>
      <c r="C968" s="1" t="str">
        <f>VLOOKUP(B968,MAESTRA!I:K,2,0)</f>
        <v/>
      </c>
      <c r="D968" s="1" t="str">
        <f>VLOOKUP(B968,MAESTRA!I:K,3,0)</f>
        <v>  </v>
      </c>
      <c r="E968" s="1" t="s">
        <v>476</v>
      </c>
      <c r="F968" s="45"/>
      <c r="G968" s="2"/>
      <c r="H968" s="2">
        <f t="shared" si="1"/>
        <v>0</v>
      </c>
      <c r="I968" s="2">
        <f t="shared" si="2"/>
        <v>0</v>
      </c>
      <c r="J968" s="47" t="str">
        <f t="shared" si="3"/>
        <v/>
      </c>
      <c r="K968" s="2">
        <f t="shared" si="4"/>
        <v>0</v>
      </c>
      <c r="L968" s="1"/>
    </row>
    <row r="969">
      <c r="A969" s="56"/>
      <c r="B969" s="1" t="s">
        <v>476</v>
      </c>
      <c r="C969" s="1" t="str">
        <f>VLOOKUP(B969,MAESTRA!I:K,2,0)</f>
        <v/>
      </c>
      <c r="D969" s="1" t="str">
        <f>VLOOKUP(B969,MAESTRA!I:K,3,0)</f>
        <v>  </v>
      </c>
      <c r="E969" s="1" t="s">
        <v>476</v>
      </c>
      <c r="F969" s="45"/>
      <c r="G969" s="2"/>
      <c r="H969" s="2">
        <f t="shared" si="1"/>
        <v>0</v>
      </c>
      <c r="I969" s="2">
        <f t="shared" si="2"/>
        <v>0</v>
      </c>
      <c r="J969" s="47" t="str">
        <f t="shared" si="3"/>
        <v/>
      </c>
      <c r="K969" s="2">
        <f t="shared" si="4"/>
        <v>0</v>
      </c>
      <c r="L969" s="1"/>
    </row>
    <row r="970">
      <c r="A970" s="56"/>
      <c r="B970" s="1" t="s">
        <v>476</v>
      </c>
      <c r="C970" s="1" t="str">
        <f>VLOOKUP(B970,MAESTRA!I:K,2,0)</f>
        <v/>
      </c>
      <c r="D970" s="1" t="str">
        <f>VLOOKUP(B970,MAESTRA!I:K,3,0)</f>
        <v>  </v>
      </c>
      <c r="E970" s="1" t="s">
        <v>476</v>
      </c>
      <c r="F970" s="45"/>
      <c r="G970" s="2"/>
      <c r="H970" s="2">
        <f t="shared" si="1"/>
        <v>0</v>
      </c>
      <c r="I970" s="2">
        <f t="shared" si="2"/>
        <v>0</v>
      </c>
      <c r="J970" s="47" t="str">
        <f t="shared" si="3"/>
        <v/>
      </c>
      <c r="K970" s="2">
        <f t="shared" si="4"/>
        <v>0</v>
      </c>
      <c r="L970" s="1"/>
    </row>
    <row r="971">
      <c r="A971" s="56"/>
      <c r="B971" s="1" t="s">
        <v>476</v>
      </c>
      <c r="C971" s="1" t="str">
        <f>VLOOKUP(B971,MAESTRA!I:K,2,0)</f>
        <v/>
      </c>
      <c r="D971" s="1" t="str">
        <f>VLOOKUP(B971,MAESTRA!I:K,3,0)</f>
        <v>  </v>
      </c>
      <c r="E971" s="1" t="s">
        <v>476</v>
      </c>
      <c r="F971" s="45"/>
      <c r="G971" s="2"/>
      <c r="H971" s="2">
        <f t="shared" si="1"/>
        <v>0</v>
      </c>
      <c r="I971" s="2">
        <f t="shared" si="2"/>
        <v>0</v>
      </c>
      <c r="J971" s="47" t="str">
        <f t="shared" si="3"/>
        <v/>
      </c>
      <c r="K971" s="2">
        <f t="shared" si="4"/>
        <v>0</v>
      </c>
      <c r="L971" s="1"/>
    </row>
    <row r="972">
      <c r="A972" s="56"/>
      <c r="B972" s="1" t="s">
        <v>476</v>
      </c>
      <c r="C972" s="1" t="str">
        <f>VLOOKUP(B972,MAESTRA!I:K,2,0)</f>
        <v/>
      </c>
      <c r="D972" s="1" t="str">
        <f>VLOOKUP(B972,MAESTRA!I:K,3,0)</f>
        <v>  </v>
      </c>
      <c r="E972" s="1" t="s">
        <v>476</v>
      </c>
      <c r="F972" s="45"/>
      <c r="G972" s="2"/>
      <c r="H972" s="2">
        <f t="shared" si="1"/>
        <v>0</v>
      </c>
      <c r="I972" s="2">
        <f t="shared" si="2"/>
        <v>0</v>
      </c>
      <c r="J972" s="47" t="str">
        <f t="shared" si="3"/>
        <v/>
      </c>
      <c r="K972" s="2">
        <f t="shared" si="4"/>
        <v>0</v>
      </c>
      <c r="L972" s="1"/>
    </row>
    <row r="973">
      <c r="A973" s="56"/>
      <c r="B973" s="1" t="s">
        <v>476</v>
      </c>
      <c r="C973" s="1" t="str">
        <f>VLOOKUP(B973,MAESTRA!I:K,2,0)</f>
        <v/>
      </c>
      <c r="D973" s="1" t="str">
        <f>VLOOKUP(B973,MAESTRA!I:K,3,0)</f>
        <v>  </v>
      </c>
      <c r="E973" s="1" t="s">
        <v>476</v>
      </c>
      <c r="F973" s="45"/>
      <c r="G973" s="2"/>
      <c r="H973" s="2">
        <f t="shared" si="1"/>
        <v>0</v>
      </c>
      <c r="I973" s="2">
        <f t="shared" si="2"/>
        <v>0</v>
      </c>
      <c r="J973" s="47" t="str">
        <f t="shared" si="3"/>
        <v/>
      </c>
      <c r="K973" s="2">
        <f t="shared" si="4"/>
        <v>0</v>
      </c>
      <c r="L973" s="1"/>
    </row>
    <row r="974">
      <c r="A974" s="56"/>
      <c r="B974" s="1" t="s">
        <v>476</v>
      </c>
      <c r="C974" s="1" t="str">
        <f>VLOOKUP(B974,MAESTRA!I:K,2,0)</f>
        <v/>
      </c>
      <c r="D974" s="1" t="str">
        <f>VLOOKUP(B974,MAESTRA!I:K,3,0)</f>
        <v>  </v>
      </c>
      <c r="E974" s="1" t="s">
        <v>476</v>
      </c>
      <c r="F974" s="45"/>
      <c r="G974" s="2"/>
      <c r="H974" s="2">
        <f t="shared" si="1"/>
        <v>0</v>
      </c>
      <c r="I974" s="2">
        <f t="shared" si="2"/>
        <v>0</v>
      </c>
      <c r="J974" s="47" t="str">
        <f t="shared" si="3"/>
        <v/>
      </c>
      <c r="K974" s="2">
        <f t="shared" si="4"/>
        <v>0</v>
      </c>
      <c r="L974" s="1"/>
    </row>
    <row r="975">
      <c r="A975" s="56"/>
      <c r="B975" s="1" t="s">
        <v>476</v>
      </c>
      <c r="C975" s="1" t="str">
        <f>VLOOKUP(B975,MAESTRA!I:K,2,0)</f>
        <v/>
      </c>
      <c r="D975" s="1" t="str">
        <f>VLOOKUP(B975,MAESTRA!I:K,3,0)</f>
        <v>  </v>
      </c>
      <c r="E975" s="1" t="s">
        <v>476</v>
      </c>
      <c r="F975" s="45"/>
      <c r="G975" s="2"/>
      <c r="H975" s="2">
        <f t="shared" si="1"/>
        <v>0</v>
      </c>
      <c r="I975" s="2">
        <f t="shared" si="2"/>
        <v>0</v>
      </c>
      <c r="J975" s="47" t="str">
        <f t="shared" si="3"/>
        <v/>
      </c>
      <c r="K975" s="2">
        <f t="shared" si="4"/>
        <v>0</v>
      </c>
      <c r="L975" s="1"/>
    </row>
    <row r="976">
      <c r="A976" s="56"/>
      <c r="B976" s="1" t="s">
        <v>476</v>
      </c>
      <c r="C976" s="1" t="str">
        <f>VLOOKUP(B976,MAESTRA!I:K,2,0)</f>
        <v/>
      </c>
      <c r="D976" s="1" t="str">
        <f>VLOOKUP(B976,MAESTRA!I:K,3,0)</f>
        <v>  </v>
      </c>
      <c r="E976" s="1" t="s">
        <v>476</v>
      </c>
      <c r="F976" s="45"/>
      <c r="G976" s="2"/>
      <c r="H976" s="2">
        <f t="shared" si="1"/>
        <v>0</v>
      </c>
      <c r="I976" s="2">
        <f t="shared" si="2"/>
        <v>0</v>
      </c>
      <c r="J976" s="47" t="str">
        <f t="shared" si="3"/>
        <v/>
      </c>
      <c r="K976" s="2">
        <f t="shared" si="4"/>
        <v>0</v>
      </c>
      <c r="L976" s="1"/>
    </row>
    <row r="977">
      <c r="A977" s="56"/>
      <c r="B977" s="1" t="s">
        <v>476</v>
      </c>
      <c r="C977" s="1" t="str">
        <f>VLOOKUP(B977,MAESTRA!I:K,2,0)</f>
        <v/>
      </c>
      <c r="D977" s="1" t="str">
        <f>VLOOKUP(B977,MAESTRA!I:K,3,0)</f>
        <v>  </v>
      </c>
      <c r="E977" s="1" t="s">
        <v>476</v>
      </c>
      <c r="F977" s="45"/>
      <c r="G977" s="2"/>
      <c r="H977" s="2">
        <f t="shared" si="1"/>
        <v>0</v>
      </c>
      <c r="I977" s="2">
        <f t="shared" si="2"/>
        <v>0</v>
      </c>
      <c r="J977" s="47" t="str">
        <f t="shared" si="3"/>
        <v/>
      </c>
      <c r="K977" s="2">
        <f t="shared" si="4"/>
        <v>0</v>
      </c>
      <c r="L977" s="1"/>
    </row>
    <row r="978">
      <c r="A978" s="56"/>
      <c r="B978" s="1" t="s">
        <v>476</v>
      </c>
      <c r="C978" s="1" t="str">
        <f>VLOOKUP(B978,MAESTRA!I:K,2,0)</f>
        <v/>
      </c>
      <c r="D978" s="1" t="str">
        <f>VLOOKUP(B978,MAESTRA!I:K,3,0)</f>
        <v>  </v>
      </c>
      <c r="E978" s="1" t="s">
        <v>476</v>
      </c>
      <c r="F978" s="45"/>
      <c r="G978" s="2"/>
      <c r="H978" s="2">
        <f t="shared" si="1"/>
        <v>0</v>
      </c>
      <c r="I978" s="2">
        <f t="shared" si="2"/>
        <v>0</v>
      </c>
      <c r="J978" s="47" t="str">
        <f t="shared" si="3"/>
        <v/>
      </c>
      <c r="K978" s="2">
        <f t="shared" si="4"/>
        <v>0</v>
      </c>
      <c r="L978" s="1"/>
    </row>
    <row r="979">
      <c r="A979" s="56"/>
      <c r="B979" s="1" t="s">
        <v>476</v>
      </c>
      <c r="C979" s="1" t="str">
        <f>VLOOKUP(B979,MAESTRA!I:K,2,0)</f>
        <v/>
      </c>
      <c r="D979" s="1" t="str">
        <f>VLOOKUP(B979,MAESTRA!I:K,3,0)</f>
        <v>  </v>
      </c>
      <c r="E979" s="1" t="s">
        <v>476</v>
      </c>
      <c r="F979" s="45"/>
      <c r="G979" s="2"/>
      <c r="H979" s="2">
        <f t="shared" si="1"/>
        <v>0</v>
      </c>
      <c r="I979" s="2">
        <f t="shared" si="2"/>
        <v>0</v>
      </c>
      <c r="J979" s="47" t="str">
        <f t="shared" si="3"/>
        <v/>
      </c>
      <c r="K979" s="2">
        <f t="shared" si="4"/>
        <v>0</v>
      </c>
      <c r="L979" s="1"/>
    </row>
    <row r="980">
      <c r="A980" s="56"/>
      <c r="B980" s="1" t="s">
        <v>476</v>
      </c>
      <c r="C980" s="1" t="str">
        <f>VLOOKUP(B980,MAESTRA!I:K,2,0)</f>
        <v/>
      </c>
      <c r="D980" s="1" t="str">
        <f>VLOOKUP(B980,MAESTRA!I:K,3,0)</f>
        <v>  </v>
      </c>
      <c r="E980" s="1" t="s">
        <v>476</v>
      </c>
      <c r="F980" s="45"/>
      <c r="G980" s="2"/>
      <c r="H980" s="2">
        <f t="shared" si="1"/>
        <v>0</v>
      </c>
      <c r="I980" s="2">
        <f t="shared" si="2"/>
        <v>0</v>
      </c>
      <c r="J980" s="47" t="str">
        <f t="shared" si="3"/>
        <v/>
      </c>
      <c r="K980" s="2">
        <f t="shared" si="4"/>
        <v>0</v>
      </c>
      <c r="L980" s="1"/>
    </row>
    <row r="981">
      <c r="A981" s="56"/>
      <c r="B981" s="1" t="s">
        <v>476</v>
      </c>
      <c r="C981" s="1" t="str">
        <f>VLOOKUP(B981,MAESTRA!I:K,2,0)</f>
        <v/>
      </c>
      <c r="D981" s="1" t="str">
        <f>VLOOKUP(B981,MAESTRA!I:K,3,0)</f>
        <v>  </v>
      </c>
      <c r="E981" s="1" t="s">
        <v>476</v>
      </c>
      <c r="F981" s="45"/>
      <c r="G981" s="2"/>
      <c r="H981" s="2">
        <f t="shared" si="1"/>
        <v>0</v>
      </c>
      <c r="I981" s="2">
        <f t="shared" si="2"/>
        <v>0</v>
      </c>
      <c r="J981" s="47" t="str">
        <f t="shared" si="3"/>
        <v/>
      </c>
      <c r="K981" s="2">
        <f t="shared" si="4"/>
        <v>0</v>
      </c>
      <c r="L981" s="1"/>
    </row>
    <row r="982">
      <c r="A982" s="56"/>
      <c r="B982" s="1" t="s">
        <v>476</v>
      </c>
      <c r="C982" s="1" t="str">
        <f>VLOOKUP(B982,MAESTRA!I:K,2,0)</f>
        <v/>
      </c>
      <c r="D982" s="1" t="str">
        <f>VLOOKUP(B982,MAESTRA!I:K,3,0)</f>
        <v>  </v>
      </c>
      <c r="E982" s="1" t="s">
        <v>476</v>
      </c>
      <c r="F982" s="45"/>
      <c r="G982" s="2"/>
      <c r="H982" s="2">
        <f t="shared" si="1"/>
        <v>0</v>
      </c>
      <c r="I982" s="2">
        <f t="shared" si="2"/>
        <v>0</v>
      </c>
      <c r="J982" s="47" t="str">
        <f t="shared" si="3"/>
        <v/>
      </c>
      <c r="K982" s="2">
        <f t="shared" si="4"/>
        <v>0</v>
      </c>
      <c r="L982" s="1"/>
    </row>
    <row r="983">
      <c r="A983" s="56"/>
      <c r="B983" s="1" t="s">
        <v>476</v>
      </c>
      <c r="C983" s="1" t="str">
        <f>VLOOKUP(B983,MAESTRA!I:K,2,0)</f>
        <v/>
      </c>
      <c r="D983" s="1" t="str">
        <f>VLOOKUP(B983,MAESTRA!I:K,3,0)</f>
        <v>  </v>
      </c>
      <c r="E983" s="1" t="s">
        <v>476</v>
      </c>
      <c r="F983" s="45"/>
      <c r="G983" s="2"/>
      <c r="H983" s="2">
        <f t="shared" si="1"/>
        <v>0</v>
      </c>
      <c r="I983" s="2">
        <f t="shared" si="2"/>
        <v>0</v>
      </c>
      <c r="J983" s="47" t="str">
        <f t="shared" si="3"/>
        <v/>
      </c>
      <c r="K983" s="2">
        <f t="shared" si="4"/>
        <v>0</v>
      </c>
      <c r="L983" s="1"/>
    </row>
    <row r="984">
      <c r="A984" s="56"/>
      <c r="B984" s="1" t="s">
        <v>476</v>
      </c>
      <c r="C984" s="1" t="str">
        <f>VLOOKUP(B984,MAESTRA!I:K,2,0)</f>
        <v/>
      </c>
      <c r="D984" s="1" t="str">
        <f>VLOOKUP(B984,MAESTRA!I:K,3,0)</f>
        <v>  </v>
      </c>
      <c r="E984" s="1" t="s">
        <v>476</v>
      </c>
      <c r="F984" s="45"/>
      <c r="G984" s="2"/>
      <c r="H984" s="2">
        <f t="shared" si="1"/>
        <v>0</v>
      </c>
      <c r="I984" s="2">
        <f t="shared" si="2"/>
        <v>0</v>
      </c>
      <c r="J984" s="47" t="str">
        <f t="shared" si="3"/>
        <v/>
      </c>
      <c r="K984" s="2">
        <f t="shared" si="4"/>
        <v>0</v>
      </c>
      <c r="L984" s="1"/>
    </row>
    <row r="985">
      <c r="A985" s="56"/>
      <c r="B985" s="1" t="s">
        <v>476</v>
      </c>
      <c r="C985" s="1" t="str">
        <f>VLOOKUP(B985,MAESTRA!I:K,2,0)</f>
        <v/>
      </c>
      <c r="D985" s="1" t="str">
        <f>VLOOKUP(B985,MAESTRA!I:K,3,0)</f>
        <v>  </v>
      </c>
      <c r="E985" s="1" t="s">
        <v>476</v>
      </c>
      <c r="F985" s="45"/>
      <c r="G985" s="2"/>
      <c r="H985" s="2">
        <f t="shared" si="1"/>
        <v>0</v>
      </c>
      <c r="I985" s="2">
        <f t="shared" si="2"/>
        <v>0</v>
      </c>
      <c r="J985" s="47" t="str">
        <f t="shared" si="3"/>
        <v/>
      </c>
      <c r="K985" s="2">
        <f t="shared" si="4"/>
        <v>0</v>
      </c>
      <c r="L985" s="1"/>
    </row>
    <row r="986">
      <c r="A986" s="56"/>
      <c r="B986" s="1" t="s">
        <v>476</v>
      </c>
      <c r="C986" s="1" t="str">
        <f>VLOOKUP(B986,MAESTRA!I:K,2,0)</f>
        <v/>
      </c>
      <c r="D986" s="1" t="str">
        <f>VLOOKUP(B986,MAESTRA!I:K,3,0)</f>
        <v>  </v>
      </c>
      <c r="E986" s="1" t="s">
        <v>476</v>
      </c>
      <c r="F986" s="45"/>
      <c r="G986" s="2"/>
      <c r="H986" s="2">
        <f t="shared" si="1"/>
        <v>0</v>
      </c>
      <c r="I986" s="2">
        <f t="shared" si="2"/>
        <v>0</v>
      </c>
      <c r="J986" s="47" t="str">
        <f t="shared" si="3"/>
        <v/>
      </c>
      <c r="K986" s="2">
        <f t="shared" si="4"/>
        <v>0</v>
      </c>
      <c r="L986" s="1"/>
    </row>
    <row r="987">
      <c r="A987" s="56"/>
      <c r="B987" s="1" t="s">
        <v>476</v>
      </c>
      <c r="C987" s="1" t="str">
        <f>VLOOKUP(B987,MAESTRA!I:K,2,0)</f>
        <v/>
      </c>
      <c r="D987" s="1" t="str">
        <f>VLOOKUP(B987,MAESTRA!I:K,3,0)</f>
        <v>  </v>
      </c>
      <c r="E987" s="1" t="s">
        <v>476</v>
      </c>
      <c r="F987" s="45"/>
      <c r="G987" s="2"/>
      <c r="H987" s="2">
        <f t="shared" si="1"/>
        <v>0</v>
      </c>
      <c r="I987" s="2">
        <f t="shared" si="2"/>
        <v>0</v>
      </c>
      <c r="J987" s="47" t="str">
        <f t="shared" si="3"/>
        <v/>
      </c>
      <c r="K987" s="2">
        <f t="shared" si="4"/>
        <v>0</v>
      </c>
      <c r="L987" s="1"/>
    </row>
    <row r="988">
      <c r="A988" s="56"/>
      <c r="B988" s="1" t="s">
        <v>476</v>
      </c>
      <c r="C988" s="1" t="str">
        <f>VLOOKUP(B988,MAESTRA!I:K,2,0)</f>
        <v/>
      </c>
      <c r="D988" s="1" t="str">
        <f>VLOOKUP(B988,MAESTRA!I:K,3,0)</f>
        <v>  </v>
      </c>
      <c r="E988" s="1" t="s">
        <v>476</v>
      </c>
      <c r="F988" s="45"/>
      <c r="G988" s="2"/>
      <c r="H988" s="2">
        <f t="shared" si="1"/>
        <v>0</v>
      </c>
      <c r="I988" s="2">
        <f t="shared" si="2"/>
        <v>0</v>
      </c>
      <c r="J988" s="47" t="str">
        <f t="shared" si="3"/>
        <v/>
      </c>
      <c r="K988" s="2">
        <f t="shared" si="4"/>
        <v>0</v>
      </c>
      <c r="L988" s="1"/>
    </row>
    <row r="989">
      <c r="A989" s="56"/>
      <c r="B989" s="1" t="s">
        <v>476</v>
      </c>
      <c r="C989" s="1" t="str">
        <f>VLOOKUP(B989,MAESTRA!I:K,2,0)</f>
        <v/>
      </c>
      <c r="D989" s="1" t="str">
        <f>VLOOKUP(B989,MAESTRA!I:K,3,0)</f>
        <v>  </v>
      </c>
      <c r="E989" s="1" t="s">
        <v>476</v>
      </c>
      <c r="F989" s="45"/>
      <c r="G989" s="2"/>
      <c r="H989" s="2">
        <f t="shared" si="1"/>
        <v>0</v>
      </c>
      <c r="I989" s="2">
        <f t="shared" si="2"/>
        <v>0</v>
      </c>
      <c r="J989" s="47" t="str">
        <f t="shared" si="3"/>
        <v/>
      </c>
      <c r="K989" s="2">
        <f t="shared" si="4"/>
        <v>0</v>
      </c>
      <c r="L989" s="1"/>
    </row>
    <row r="990">
      <c r="A990" s="56"/>
      <c r="B990" s="1" t="s">
        <v>476</v>
      </c>
      <c r="C990" s="1" t="str">
        <f>VLOOKUP(B990,MAESTRA!I:K,2,0)</f>
        <v/>
      </c>
      <c r="D990" s="1" t="str">
        <f>VLOOKUP(B990,MAESTRA!I:K,3,0)</f>
        <v>  </v>
      </c>
      <c r="E990" s="1" t="s">
        <v>476</v>
      </c>
      <c r="F990" s="45"/>
      <c r="G990" s="2"/>
      <c r="H990" s="2">
        <f t="shared" si="1"/>
        <v>0</v>
      </c>
      <c r="I990" s="2">
        <f t="shared" si="2"/>
        <v>0</v>
      </c>
      <c r="J990" s="47" t="str">
        <f t="shared" si="3"/>
        <v/>
      </c>
      <c r="K990" s="2">
        <f t="shared" si="4"/>
        <v>0</v>
      </c>
      <c r="L990" s="1"/>
    </row>
    <row r="991">
      <c r="A991" s="56"/>
      <c r="B991" s="1" t="s">
        <v>476</v>
      </c>
      <c r="C991" s="1" t="str">
        <f>VLOOKUP(B991,MAESTRA!I:K,2,0)</f>
        <v/>
      </c>
      <c r="D991" s="1" t="str">
        <f>VLOOKUP(B991,MAESTRA!I:K,3,0)</f>
        <v>  </v>
      </c>
      <c r="E991" s="1" t="s">
        <v>476</v>
      </c>
      <c r="F991" s="45"/>
      <c r="G991" s="2"/>
      <c r="H991" s="2">
        <f t="shared" si="1"/>
        <v>0</v>
      </c>
      <c r="I991" s="2">
        <f t="shared" si="2"/>
        <v>0</v>
      </c>
      <c r="J991" s="47" t="str">
        <f t="shared" si="3"/>
        <v/>
      </c>
      <c r="K991" s="2">
        <f t="shared" si="4"/>
        <v>0</v>
      </c>
      <c r="L991" s="1"/>
    </row>
    <row r="992">
      <c r="A992" s="56"/>
      <c r="B992" s="1" t="s">
        <v>476</v>
      </c>
      <c r="C992" s="1" t="str">
        <f>VLOOKUP(B992,MAESTRA!I:K,2,0)</f>
        <v/>
      </c>
      <c r="D992" s="1" t="str">
        <f>VLOOKUP(B992,MAESTRA!I:K,3,0)</f>
        <v>  </v>
      </c>
      <c r="E992" s="1" t="s">
        <v>476</v>
      </c>
      <c r="F992" s="45"/>
      <c r="G992" s="2"/>
      <c r="H992" s="2">
        <f t="shared" si="1"/>
        <v>0</v>
      </c>
      <c r="I992" s="2">
        <f t="shared" si="2"/>
        <v>0</v>
      </c>
      <c r="J992" s="47" t="str">
        <f t="shared" si="3"/>
        <v/>
      </c>
      <c r="K992" s="2">
        <f t="shared" si="4"/>
        <v>0</v>
      </c>
      <c r="L992" s="1"/>
    </row>
    <row r="993">
      <c r="A993" s="56"/>
      <c r="B993" s="1" t="s">
        <v>476</v>
      </c>
      <c r="C993" s="1" t="str">
        <f>VLOOKUP(B993,MAESTRA!I:K,2,0)</f>
        <v/>
      </c>
      <c r="D993" s="1" t="str">
        <f>VLOOKUP(B993,MAESTRA!I:K,3,0)</f>
        <v>  </v>
      </c>
      <c r="E993" s="1" t="s">
        <v>476</v>
      </c>
      <c r="F993" s="45"/>
      <c r="G993" s="2"/>
      <c r="H993" s="2">
        <f t="shared" si="1"/>
        <v>0</v>
      </c>
      <c r="I993" s="2">
        <f t="shared" si="2"/>
        <v>0</v>
      </c>
      <c r="J993" s="47" t="str">
        <f t="shared" si="3"/>
        <v/>
      </c>
      <c r="K993" s="2">
        <f t="shared" si="4"/>
        <v>0</v>
      </c>
      <c r="L993" s="1"/>
    </row>
    <row r="994">
      <c r="A994" s="56"/>
      <c r="B994" s="1" t="s">
        <v>476</v>
      </c>
      <c r="C994" s="1" t="str">
        <f>VLOOKUP(B994,MAESTRA!I:K,2,0)</f>
        <v/>
      </c>
      <c r="D994" s="1" t="str">
        <f>VLOOKUP(B994,MAESTRA!I:K,3,0)</f>
        <v>  </v>
      </c>
      <c r="E994" s="1" t="s">
        <v>476</v>
      </c>
      <c r="F994" s="45"/>
      <c r="G994" s="2"/>
      <c r="H994" s="2">
        <f t="shared" si="1"/>
        <v>0</v>
      </c>
      <c r="I994" s="2">
        <f t="shared" si="2"/>
        <v>0</v>
      </c>
      <c r="J994" s="47" t="str">
        <f t="shared" si="3"/>
        <v/>
      </c>
      <c r="K994" s="2">
        <f t="shared" si="4"/>
        <v>0</v>
      </c>
      <c r="L994" s="1"/>
    </row>
    <row r="995">
      <c r="A995" s="56"/>
      <c r="B995" s="1" t="s">
        <v>476</v>
      </c>
      <c r="C995" s="1" t="str">
        <f>VLOOKUP(B995,MAESTRA!I:K,2,0)</f>
        <v/>
      </c>
      <c r="D995" s="1" t="str">
        <f>VLOOKUP(B995,MAESTRA!I:K,3,0)</f>
        <v>  </v>
      </c>
      <c r="E995" s="1" t="s">
        <v>476</v>
      </c>
      <c r="F995" s="45"/>
      <c r="G995" s="2"/>
      <c r="H995" s="2">
        <f t="shared" si="1"/>
        <v>0</v>
      </c>
      <c r="I995" s="2">
        <f t="shared" si="2"/>
        <v>0</v>
      </c>
      <c r="J995" s="47" t="str">
        <f t="shared" si="3"/>
        <v/>
      </c>
      <c r="K995" s="2">
        <f t="shared" si="4"/>
        <v>0</v>
      </c>
      <c r="L995" s="1"/>
    </row>
    <row r="996">
      <c r="A996" s="56"/>
      <c r="B996" s="1" t="s">
        <v>476</v>
      </c>
      <c r="C996" s="1" t="str">
        <f>VLOOKUP(B996,MAESTRA!I:K,2,0)</f>
        <v/>
      </c>
      <c r="D996" s="1" t="str">
        <f>VLOOKUP(B996,MAESTRA!I:K,3,0)</f>
        <v>  </v>
      </c>
      <c r="E996" s="1" t="s">
        <v>476</v>
      </c>
      <c r="F996" s="45"/>
      <c r="G996" s="2"/>
      <c r="H996" s="2">
        <f t="shared" si="1"/>
        <v>0</v>
      </c>
      <c r="I996" s="2">
        <f t="shared" si="2"/>
        <v>0</v>
      </c>
      <c r="J996" s="47" t="str">
        <f t="shared" si="3"/>
        <v/>
      </c>
      <c r="K996" s="2">
        <f t="shared" si="4"/>
        <v>0</v>
      </c>
      <c r="L996" s="1"/>
    </row>
    <row r="997">
      <c r="A997" s="56"/>
      <c r="B997" s="1" t="s">
        <v>476</v>
      </c>
      <c r="C997" s="1" t="str">
        <f>VLOOKUP(B997,MAESTRA!I:K,2,0)</f>
        <v/>
      </c>
      <c r="D997" s="1" t="str">
        <f>VLOOKUP(B997,MAESTRA!I:K,3,0)</f>
        <v>  </v>
      </c>
      <c r="E997" s="1" t="s">
        <v>476</v>
      </c>
      <c r="F997" s="45"/>
      <c r="G997" s="2"/>
      <c r="H997" s="2">
        <f t="shared" si="1"/>
        <v>0</v>
      </c>
      <c r="I997" s="2">
        <f t="shared" si="2"/>
        <v>0</v>
      </c>
      <c r="J997" s="47" t="str">
        <f t="shared" si="3"/>
        <v/>
      </c>
      <c r="K997" s="2">
        <f t="shared" si="4"/>
        <v>0</v>
      </c>
      <c r="L997" s="1"/>
    </row>
    <row r="998">
      <c r="A998" s="56"/>
      <c r="B998" s="1" t="s">
        <v>476</v>
      </c>
      <c r="C998" s="1" t="str">
        <f>VLOOKUP(B998,MAESTRA!I:K,2,0)</f>
        <v/>
      </c>
      <c r="D998" s="1" t="str">
        <f>VLOOKUP(B998,MAESTRA!I:K,3,0)</f>
        <v>  </v>
      </c>
      <c r="E998" s="1" t="s">
        <v>476</v>
      </c>
      <c r="F998" s="45"/>
      <c r="G998" s="2"/>
      <c r="H998" s="2">
        <f t="shared" si="1"/>
        <v>0</v>
      </c>
      <c r="I998" s="2">
        <f t="shared" si="2"/>
        <v>0</v>
      </c>
      <c r="J998" s="47" t="str">
        <f t="shared" si="3"/>
        <v/>
      </c>
      <c r="K998" s="2">
        <f t="shared" si="4"/>
        <v>0</v>
      </c>
      <c r="L998" s="1"/>
    </row>
    <row r="999">
      <c r="A999" s="56"/>
      <c r="B999" s="1" t="s">
        <v>476</v>
      </c>
      <c r="C999" s="1" t="str">
        <f>VLOOKUP(B999,MAESTRA!I:K,2,0)</f>
        <v/>
      </c>
      <c r="D999" s="1" t="str">
        <f>VLOOKUP(B999,MAESTRA!I:K,3,0)</f>
        <v>  </v>
      </c>
      <c r="E999" s="1" t="s">
        <v>476</v>
      </c>
      <c r="F999" s="45"/>
      <c r="G999" s="2"/>
      <c r="H999" s="2">
        <f t="shared" si="1"/>
        <v>0</v>
      </c>
      <c r="I999" s="2">
        <f t="shared" si="2"/>
        <v>0</v>
      </c>
      <c r="J999" s="47" t="str">
        <f t="shared" si="3"/>
        <v/>
      </c>
      <c r="K999" s="2">
        <f t="shared" si="4"/>
        <v>0</v>
      </c>
      <c r="L999" s="1"/>
    </row>
    <row r="1000">
      <c r="A1000" s="56"/>
      <c r="B1000" s="1" t="s">
        <v>476</v>
      </c>
      <c r="C1000" s="1" t="str">
        <f>VLOOKUP(B1000,MAESTRA!I:K,2,0)</f>
        <v/>
      </c>
      <c r="D1000" s="1" t="str">
        <f>VLOOKUP(B1000,MAESTRA!I:K,3,0)</f>
        <v>  </v>
      </c>
      <c r="E1000" s="1" t="s">
        <v>476</v>
      </c>
      <c r="F1000" s="45"/>
      <c r="G1000" s="2"/>
      <c r="H1000" s="2">
        <f t="shared" si="1"/>
        <v>0</v>
      </c>
      <c r="I1000" s="2">
        <f t="shared" si="2"/>
        <v>0</v>
      </c>
      <c r="J1000" s="47" t="str">
        <f t="shared" si="3"/>
        <v/>
      </c>
      <c r="K1000" s="2">
        <f t="shared" si="4"/>
        <v>0</v>
      </c>
      <c r="L1000" s="1"/>
    </row>
    <row r="1001">
      <c r="A1001" s="56"/>
      <c r="B1001" s="1" t="s">
        <v>476</v>
      </c>
      <c r="C1001" s="1" t="str">
        <f>VLOOKUP(B1001,MAESTRA!I:K,2,0)</f>
        <v/>
      </c>
      <c r="D1001" s="1" t="str">
        <f>VLOOKUP(B1001,MAESTRA!I:K,3,0)</f>
        <v>  </v>
      </c>
      <c r="E1001" s="1" t="s">
        <v>476</v>
      </c>
      <c r="F1001" s="45"/>
      <c r="G1001" s="2"/>
      <c r="H1001" s="2">
        <f t="shared" si="1"/>
        <v>0</v>
      </c>
      <c r="I1001" s="2">
        <f t="shared" si="2"/>
        <v>0</v>
      </c>
      <c r="J1001" s="47" t="str">
        <f t="shared" si="3"/>
        <v/>
      </c>
      <c r="K1001" s="2">
        <f t="shared" si="4"/>
        <v>0</v>
      </c>
      <c r="L1001" s="1"/>
    </row>
    <row r="1002">
      <c r="A1002" s="56"/>
      <c r="B1002" s="1" t="s">
        <v>476</v>
      </c>
      <c r="C1002" s="1" t="str">
        <f>VLOOKUP(B1002,MAESTRA!I:K,2,0)</f>
        <v/>
      </c>
      <c r="D1002" s="1" t="str">
        <f>VLOOKUP(B1002,MAESTRA!I:K,3,0)</f>
        <v>  </v>
      </c>
      <c r="E1002" s="1" t="s">
        <v>476</v>
      </c>
      <c r="F1002" s="45"/>
      <c r="G1002" s="2"/>
      <c r="H1002" s="2">
        <f t="shared" si="1"/>
        <v>0</v>
      </c>
      <c r="I1002" s="2">
        <f t="shared" si="2"/>
        <v>0</v>
      </c>
      <c r="J1002" s="47" t="str">
        <f t="shared" si="3"/>
        <v/>
      </c>
      <c r="K1002" s="2">
        <f t="shared" si="4"/>
        <v>0</v>
      </c>
      <c r="L1002" s="1"/>
    </row>
    <row r="1003">
      <c r="A1003" s="56"/>
      <c r="B1003" s="1" t="s">
        <v>476</v>
      </c>
      <c r="C1003" s="1" t="str">
        <f>VLOOKUP(B1003,MAESTRA!I:K,2,0)</f>
        <v/>
      </c>
      <c r="D1003" s="1" t="str">
        <f>VLOOKUP(B1003,MAESTRA!I:K,3,0)</f>
        <v>  </v>
      </c>
      <c r="E1003" s="1" t="s">
        <v>476</v>
      </c>
      <c r="F1003" s="45"/>
      <c r="G1003" s="2"/>
      <c r="H1003" s="2">
        <f t="shared" si="1"/>
        <v>0</v>
      </c>
      <c r="I1003" s="2">
        <f t="shared" si="2"/>
        <v>0</v>
      </c>
      <c r="J1003" s="47" t="str">
        <f t="shared" si="3"/>
        <v/>
      </c>
      <c r="K1003" s="2">
        <f t="shared" si="4"/>
        <v>0</v>
      </c>
      <c r="L1003" s="1"/>
    </row>
    <row r="1004">
      <c r="A1004" s="56"/>
      <c r="B1004" s="1" t="s">
        <v>476</v>
      </c>
      <c r="C1004" s="1" t="str">
        <f>VLOOKUP(B1004,MAESTRA!I:K,2,0)</f>
        <v/>
      </c>
      <c r="D1004" s="1" t="str">
        <f>VLOOKUP(B1004,MAESTRA!I:K,3,0)</f>
        <v>  </v>
      </c>
      <c r="E1004" s="1" t="s">
        <v>476</v>
      </c>
      <c r="F1004" s="45"/>
      <c r="G1004" s="2"/>
      <c r="H1004" s="2">
        <f t="shared" si="1"/>
        <v>0</v>
      </c>
      <c r="I1004" s="2">
        <f t="shared" si="2"/>
        <v>0</v>
      </c>
      <c r="J1004" s="47" t="str">
        <f t="shared" si="3"/>
        <v/>
      </c>
      <c r="K1004" s="2">
        <f t="shared" si="4"/>
        <v>0</v>
      </c>
      <c r="L1004" s="1"/>
    </row>
    <row r="1005">
      <c r="A1005" s="56"/>
      <c r="B1005" s="1" t="s">
        <v>476</v>
      </c>
      <c r="C1005" s="1" t="str">
        <f>VLOOKUP(B1005,MAESTRA!I:K,2,0)</f>
        <v/>
      </c>
      <c r="D1005" s="1" t="str">
        <f>VLOOKUP(B1005,MAESTRA!I:K,3,0)</f>
        <v>  </v>
      </c>
      <c r="E1005" s="1" t="s">
        <v>476</v>
      </c>
      <c r="F1005" s="45"/>
      <c r="G1005" s="2"/>
      <c r="H1005" s="2">
        <f t="shared" si="1"/>
        <v>0</v>
      </c>
      <c r="I1005" s="2">
        <f t="shared" si="2"/>
        <v>0</v>
      </c>
      <c r="J1005" s="47" t="str">
        <f t="shared" si="3"/>
        <v/>
      </c>
      <c r="K1005" s="2">
        <f t="shared" si="4"/>
        <v>0</v>
      </c>
      <c r="L1005" s="1"/>
    </row>
    <row r="1006">
      <c r="A1006" s="56"/>
      <c r="B1006" s="1" t="s">
        <v>476</v>
      </c>
      <c r="C1006" s="1" t="str">
        <f>VLOOKUP(B1006,MAESTRA!I:K,2,0)</f>
        <v/>
      </c>
      <c r="D1006" s="1" t="str">
        <f>VLOOKUP(B1006,MAESTRA!I:K,3,0)</f>
        <v>  </v>
      </c>
      <c r="E1006" s="1" t="s">
        <v>476</v>
      </c>
      <c r="F1006" s="45"/>
      <c r="G1006" s="2"/>
      <c r="H1006" s="2">
        <f t="shared" si="1"/>
        <v>0</v>
      </c>
      <c r="I1006" s="2">
        <f t="shared" si="2"/>
        <v>0</v>
      </c>
      <c r="J1006" s="47" t="str">
        <f t="shared" si="3"/>
        <v/>
      </c>
      <c r="K1006" s="2">
        <f t="shared" si="4"/>
        <v>0</v>
      </c>
      <c r="L1006" s="1"/>
    </row>
    <row r="1007">
      <c r="A1007" s="56"/>
      <c r="B1007" s="1" t="s">
        <v>476</v>
      </c>
      <c r="C1007" s="1" t="str">
        <f>VLOOKUP(B1007,MAESTRA!I:K,2,0)</f>
        <v/>
      </c>
      <c r="D1007" s="1" t="str">
        <f>VLOOKUP(B1007,MAESTRA!I:K,3,0)</f>
        <v>  </v>
      </c>
      <c r="E1007" s="1" t="s">
        <v>476</v>
      </c>
      <c r="F1007" s="45"/>
      <c r="G1007" s="2"/>
      <c r="H1007" s="2">
        <f t="shared" si="1"/>
        <v>0</v>
      </c>
      <c r="I1007" s="2">
        <f t="shared" si="2"/>
        <v>0</v>
      </c>
      <c r="J1007" s="47" t="str">
        <f t="shared" si="3"/>
        <v/>
      </c>
      <c r="K1007" s="2">
        <f t="shared" si="4"/>
        <v>0</v>
      </c>
      <c r="L1007" s="1"/>
    </row>
    <row r="1008">
      <c r="A1008" s="56"/>
      <c r="B1008" s="1" t="s">
        <v>476</v>
      </c>
      <c r="C1008" s="1" t="str">
        <f>VLOOKUP(B1008,MAESTRA!I:K,2,0)</f>
        <v/>
      </c>
      <c r="D1008" s="1" t="str">
        <f>VLOOKUP(B1008,MAESTRA!I:K,3,0)</f>
        <v>  </v>
      </c>
      <c r="E1008" s="1" t="s">
        <v>476</v>
      </c>
      <c r="F1008" s="45"/>
      <c r="G1008" s="2"/>
      <c r="H1008" s="2">
        <f t="shared" si="1"/>
        <v>0</v>
      </c>
      <c r="I1008" s="2">
        <f t="shared" si="2"/>
        <v>0</v>
      </c>
      <c r="J1008" s="47" t="str">
        <f t="shared" si="3"/>
        <v/>
      </c>
      <c r="K1008" s="2">
        <f t="shared" si="4"/>
        <v>0</v>
      </c>
      <c r="L1008" s="1"/>
    </row>
    <row r="1009">
      <c r="A1009" s="56"/>
      <c r="B1009" s="1" t="s">
        <v>476</v>
      </c>
      <c r="C1009" s="1" t="str">
        <f>VLOOKUP(B1009,MAESTRA!I:K,2,0)</f>
        <v/>
      </c>
      <c r="D1009" s="1" t="str">
        <f>VLOOKUP(B1009,MAESTRA!I:K,3,0)</f>
        <v>  </v>
      </c>
      <c r="E1009" s="1" t="s">
        <v>476</v>
      </c>
      <c r="F1009" s="45"/>
      <c r="G1009" s="2"/>
      <c r="H1009" s="2">
        <f t="shared" si="1"/>
        <v>0</v>
      </c>
      <c r="I1009" s="2">
        <f t="shared" si="2"/>
        <v>0</v>
      </c>
      <c r="J1009" s="47" t="str">
        <f t="shared" si="3"/>
        <v/>
      </c>
      <c r="K1009" s="2">
        <f t="shared" si="4"/>
        <v>0</v>
      </c>
      <c r="L1009" s="1"/>
    </row>
    <row r="1010">
      <c r="A1010" s="56"/>
      <c r="B1010" s="1" t="s">
        <v>476</v>
      </c>
      <c r="C1010" s="1" t="str">
        <f>VLOOKUP(B1010,MAESTRA!I:K,2,0)</f>
        <v/>
      </c>
      <c r="D1010" s="1" t="str">
        <f>VLOOKUP(B1010,MAESTRA!I:K,3,0)</f>
        <v>  </v>
      </c>
      <c r="E1010" s="1" t="s">
        <v>476</v>
      </c>
      <c r="F1010" s="45"/>
      <c r="G1010" s="2"/>
      <c r="H1010" s="2">
        <f t="shared" si="1"/>
        <v>0</v>
      </c>
      <c r="I1010" s="2">
        <f t="shared" si="2"/>
        <v>0</v>
      </c>
      <c r="J1010" s="47" t="str">
        <f t="shared" si="3"/>
        <v/>
      </c>
      <c r="K1010" s="2">
        <f t="shared" si="4"/>
        <v>0</v>
      </c>
      <c r="L1010" s="1"/>
    </row>
    <row r="1011">
      <c r="A1011" s="56"/>
      <c r="B1011" s="1" t="s">
        <v>476</v>
      </c>
      <c r="C1011" s="1" t="str">
        <f>VLOOKUP(B1011,MAESTRA!I:K,2,0)</f>
        <v/>
      </c>
      <c r="D1011" s="1" t="str">
        <f>VLOOKUP(B1011,MAESTRA!I:K,3,0)</f>
        <v>  </v>
      </c>
      <c r="E1011" s="1" t="s">
        <v>476</v>
      </c>
      <c r="F1011" s="45"/>
      <c r="G1011" s="2"/>
      <c r="H1011" s="2">
        <f t="shared" si="1"/>
        <v>0</v>
      </c>
      <c r="I1011" s="2">
        <f t="shared" si="2"/>
        <v>0</v>
      </c>
      <c r="J1011" s="47" t="str">
        <f t="shared" si="3"/>
        <v/>
      </c>
      <c r="K1011" s="2">
        <f t="shared" si="4"/>
        <v>0</v>
      </c>
      <c r="L1011" s="1"/>
    </row>
    <row r="1012">
      <c r="A1012" s="56"/>
      <c r="B1012" s="1" t="s">
        <v>476</v>
      </c>
      <c r="C1012" s="1" t="str">
        <f>VLOOKUP(B1012,MAESTRA!I:K,2,0)</f>
        <v/>
      </c>
      <c r="D1012" s="1" t="str">
        <f>VLOOKUP(B1012,MAESTRA!I:K,3,0)</f>
        <v>  </v>
      </c>
      <c r="E1012" s="1" t="s">
        <v>476</v>
      </c>
      <c r="F1012" s="45"/>
      <c r="G1012" s="2"/>
      <c r="H1012" s="2">
        <f t="shared" si="1"/>
        <v>0</v>
      </c>
      <c r="I1012" s="2">
        <f t="shared" si="2"/>
        <v>0</v>
      </c>
      <c r="J1012" s="47" t="str">
        <f t="shared" si="3"/>
        <v/>
      </c>
      <c r="K1012" s="2">
        <f t="shared" si="4"/>
        <v>0</v>
      </c>
      <c r="L1012" s="1"/>
    </row>
    <row r="1013">
      <c r="A1013" s="56"/>
      <c r="B1013" s="1" t="s">
        <v>476</v>
      </c>
      <c r="C1013" s="1" t="str">
        <f>VLOOKUP(B1013,MAESTRA!I:K,2,0)</f>
        <v/>
      </c>
      <c r="D1013" s="1" t="str">
        <f>VLOOKUP(B1013,MAESTRA!I:K,3,0)</f>
        <v>  </v>
      </c>
      <c r="E1013" s="1" t="s">
        <v>476</v>
      </c>
      <c r="F1013" s="45"/>
      <c r="G1013" s="2"/>
      <c r="H1013" s="2">
        <f t="shared" si="1"/>
        <v>0</v>
      </c>
      <c r="I1013" s="2">
        <f t="shared" si="2"/>
        <v>0</v>
      </c>
      <c r="J1013" s="47" t="str">
        <f t="shared" si="3"/>
        <v/>
      </c>
      <c r="K1013" s="2">
        <f t="shared" si="4"/>
        <v>0</v>
      </c>
      <c r="L1013" s="1"/>
    </row>
    <row r="1014">
      <c r="A1014" s="56"/>
      <c r="B1014" s="1" t="s">
        <v>476</v>
      </c>
      <c r="C1014" s="1" t="str">
        <f>VLOOKUP(B1014,MAESTRA!I:K,2,0)</f>
        <v/>
      </c>
      <c r="D1014" s="1" t="str">
        <f>VLOOKUP(B1014,MAESTRA!I:K,3,0)</f>
        <v>  </v>
      </c>
      <c r="E1014" s="1" t="s">
        <v>476</v>
      </c>
      <c r="F1014" s="45"/>
      <c r="G1014" s="2"/>
      <c r="H1014" s="2">
        <f t="shared" si="1"/>
        <v>0</v>
      </c>
      <c r="I1014" s="2">
        <f t="shared" si="2"/>
        <v>0</v>
      </c>
      <c r="J1014" s="47" t="str">
        <f t="shared" si="3"/>
        <v/>
      </c>
      <c r="K1014" s="2">
        <f t="shared" si="4"/>
        <v>0</v>
      </c>
      <c r="L1014" s="1"/>
    </row>
  </sheetData>
  <conditionalFormatting sqref="A4:A1014">
    <cfRule type="notContainsBlanks" dxfId="5" priority="1">
      <formula>LEN(TRIM(A4))&gt;0</formula>
    </cfRule>
  </conditionalFormatting>
  <dataValidations>
    <dataValidation type="custom" allowBlank="1" showDropDown="1" showErrorMessage="1" sqref="A4:A1014">
      <formula1>OR(NOT(ISERROR(DATEVALUE(A4))), AND(ISNUMBER(A4), LEFT(CELL("format", A4))="D"))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s>
  <sheetData>
    <row r="1">
      <c r="A1" s="41" t="s">
        <v>1046</v>
      </c>
      <c r="B1" s="44" t="s">
        <v>440</v>
      </c>
      <c r="C1" s="1"/>
      <c r="D1" s="1"/>
      <c r="E1" s="1"/>
      <c r="F1" s="1"/>
      <c r="G1" s="1"/>
      <c r="H1" s="1"/>
      <c r="I1" s="1"/>
      <c r="J1" s="1"/>
      <c r="K1" s="1"/>
      <c r="L1" s="1"/>
      <c r="M1" s="1"/>
      <c r="N1" s="1"/>
      <c r="O1" s="1"/>
      <c r="P1" s="1"/>
      <c r="Q1" s="1"/>
      <c r="R1" s="1"/>
      <c r="S1" s="1"/>
      <c r="T1" s="1"/>
      <c r="U1" s="1"/>
      <c r="V1" s="1"/>
      <c r="W1" s="1"/>
      <c r="X1" s="1"/>
      <c r="Y1" s="1"/>
      <c r="Z1" s="1"/>
    </row>
    <row r="2">
      <c r="A2" s="41" t="s">
        <v>1047</v>
      </c>
      <c r="B2" s="29" t="str">
        <f>VLOOKUP(B1,COMPRAS!B:I,3,0)</f>
        <v>JEANS DAMA 4 BOTONES TALLA 10</v>
      </c>
      <c r="C2" s="1"/>
      <c r="D2" s="1"/>
      <c r="E2" s="1"/>
      <c r="F2" s="1"/>
      <c r="G2" s="1"/>
      <c r="H2" s="1"/>
      <c r="I2" s="1"/>
      <c r="J2" s="1"/>
      <c r="K2" s="1"/>
      <c r="L2" s="1"/>
      <c r="M2" s="1"/>
      <c r="N2" s="1"/>
      <c r="O2" s="1"/>
      <c r="P2" s="1"/>
      <c r="Q2" s="1"/>
      <c r="R2" s="1"/>
      <c r="S2" s="1"/>
      <c r="T2" s="1"/>
      <c r="U2" s="1"/>
      <c r="V2" s="1"/>
      <c r="W2" s="1"/>
      <c r="X2" s="1"/>
      <c r="Y2" s="1"/>
      <c r="Z2" s="1"/>
    </row>
    <row r="3">
      <c r="A3" s="41" t="s">
        <v>1048</v>
      </c>
      <c r="B3" s="31">
        <f>VLOOKUP(B1,COMPRAS!B:I,7,0)</f>
        <v>64000</v>
      </c>
      <c r="C3" s="1"/>
      <c r="D3" s="1"/>
      <c r="E3" s="1"/>
      <c r="F3" s="1"/>
      <c r="G3" s="1"/>
      <c r="H3" s="1"/>
      <c r="I3" s="1"/>
      <c r="J3" s="1"/>
      <c r="K3" s="1"/>
      <c r="L3" s="1"/>
      <c r="M3" s="1"/>
      <c r="N3" s="1"/>
      <c r="O3" s="1"/>
      <c r="P3" s="1"/>
      <c r="Q3" s="1"/>
      <c r="R3" s="1"/>
      <c r="S3" s="1"/>
      <c r="T3" s="1"/>
      <c r="U3" s="1"/>
      <c r="V3" s="1"/>
      <c r="W3" s="1"/>
      <c r="X3" s="1"/>
      <c r="Y3" s="1"/>
      <c r="Z3" s="1"/>
    </row>
    <row r="4">
      <c r="A4" s="41" t="s">
        <v>1049</v>
      </c>
      <c r="B4" s="29" t="str">
        <f>VLOOKUP(B1,COMPRAS!B:I,2,0)</f>
        <v>*1143*</v>
      </c>
      <c r="C4" s="1"/>
      <c r="D4" s="1"/>
      <c r="E4" s="4"/>
      <c r="F4" s="1"/>
      <c r="G4" s="1"/>
      <c r="H4" s="1"/>
      <c r="I4" s="1"/>
      <c r="J4" s="1"/>
      <c r="K4" s="1"/>
      <c r="L4" s="1"/>
      <c r="M4" s="1"/>
      <c r="N4" s="1"/>
      <c r="O4" s="1"/>
      <c r="P4" s="1"/>
      <c r="Q4" s="1"/>
      <c r="R4" s="1"/>
      <c r="S4" s="1"/>
      <c r="T4" s="1"/>
      <c r="U4" s="1"/>
      <c r="V4" s="1"/>
      <c r="W4" s="1"/>
      <c r="X4" s="1"/>
      <c r="Y4" s="1"/>
      <c r="Z4" s="1"/>
    </row>
    <row r="5">
      <c r="A5" s="41" t="s">
        <v>1050</v>
      </c>
      <c r="B5" s="29">
        <v>2.0</v>
      </c>
      <c r="C5" s="1"/>
      <c r="D5" s="1"/>
      <c r="E5" s="4"/>
      <c r="F5" s="1"/>
      <c r="G5" s="1"/>
      <c r="H5" s="1"/>
      <c r="I5" s="1"/>
      <c r="J5" s="1"/>
      <c r="K5" s="1"/>
      <c r="L5" s="1"/>
      <c r="M5" s="1"/>
      <c r="N5" s="1"/>
      <c r="O5" s="1"/>
      <c r="P5" s="1"/>
      <c r="Q5" s="1"/>
      <c r="R5" s="1"/>
      <c r="S5" s="1"/>
      <c r="T5" s="1"/>
      <c r="U5" s="1"/>
      <c r="V5" s="1"/>
      <c r="W5" s="1"/>
      <c r="X5" s="1"/>
      <c r="Y5" s="1"/>
      <c r="Z5" s="1"/>
    </row>
    <row r="6">
      <c r="A6" s="1"/>
      <c r="B6" s="1"/>
      <c r="C6" s="1"/>
      <c r="D6" s="1"/>
      <c r="E6" s="4"/>
      <c r="F6" s="1"/>
      <c r="G6" s="1"/>
      <c r="H6" s="1"/>
      <c r="I6" s="1"/>
      <c r="J6" s="1"/>
      <c r="K6" s="1"/>
      <c r="L6" s="1"/>
      <c r="M6" s="1"/>
      <c r="N6" s="1"/>
      <c r="O6" s="1"/>
      <c r="P6" s="1"/>
      <c r="Q6" s="1"/>
      <c r="R6" s="1"/>
      <c r="S6" s="1"/>
      <c r="T6" s="1"/>
      <c r="U6" s="1"/>
      <c r="V6" s="1"/>
      <c r="W6" s="1"/>
      <c r="X6" s="1"/>
      <c r="Y6" s="1"/>
      <c r="Z6" s="1"/>
    </row>
    <row r="7">
      <c r="A7" s="1"/>
      <c r="B7" s="1"/>
      <c r="C7" s="1"/>
      <c r="D7" s="1"/>
      <c r="E7" s="4"/>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0"/>
    <col customWidth="1" min="2" max="2" width="18.88"/>
    <col customWidth="1" min="3" max="3" width="20.88"/>
    <col customWidth="1" min="4" max="4" width="15.88"/>
    <col customWidth="1" min="7" max="7" width="6.5"/>
    <col customWidth="1" min="9" max="10" width="11.13"/>
    <col customWidth="1" min="11" max="11" width="58.25"/>
    <col customWidth="1" min="12" max="12" width="13.38"/>
  </cols>
  <sheetData>
    <row r="1">
      <c r="A1" s="30"/>
      <c r="B1" s="29"/>
      <c r="C1" s="4"/>
      <c r="D1" s="29"/>
      <c r="E1" s="29"/>
      <c r="F1" s="29"/>
      <c r="G1" s="57"/>
      <c r="H1" s="44"/>
      <c r="I1" s="44"/>
      <c r="J1" s="44"/>
      <c r="K1" s="44"/>
      <c r="L1" s="44"/>
    </row>
    <row r="2">
      <c r="A2" s="48"/>
      <c r="B2" s="48"/>
      <c r="C2" s="48"/>
      <c r="D2" s="48"/>
      <c r="E2" s="48"/>
      <c r="F2" s="48"/>
      <c r="G2" s="48"/>
      <c r="H2" s="48"/>
      <c r="I2" s="49"/>
      <c r="J2" s="49"/>
      <c r="K2" s="49"/>
      <c r="L2" s="49"/>
    </row>
    <row r="3" ht="31.5" customHeight="1">
      <c r="A3" s="58" t="s">
        <v>1051</v>
      </c>
      <c r="B3" s="59" t="s">
        <v>1052</v>
      </c>
      <c r="C3" s="58" t="s">
        <v>1053</v>
      </c>
      <c r="D3" s="58" t="s">
        <v>1054</v>
      </c>
      <c r="E3" s="58" t="s">
        <v>1055</v>
      </c>
      <c r="F3" s="58" t="s">
        <v>1056</v>
      </c>
      <c r="G3" s="58" t="s">
        <v>1057</v>
      </c>
      <c r="H3" s="58" t="s">
        <v>433</v>
      </c>
      <c r="I3" s="49" t="s">
        <v>430</v>
      </c>
      <c r="J3" s="49" t="s">
        <v>431</v>
      </c>
      <c r="K3" s="49" t="s">
        <v>432</v>
      </c>
      <c r="L3" s="49"/>
    </row>
    <row r="4">
      <c r="A4" s="55">
        <v>46186.0</v>
      </c>
      <c r="B4" s="4" t="s">
        <v>1058</v>
      </c>
      <c r="C4" s="4" t="s">
        <v>1059</v>
      </c>
      <c r="D4" s="4" t="s">
        <v>1060</v>
      </c>
      <c r="E4" s="1" t="s">
        <v>1061</v>
      </c>
      <c r="F4" s="4" t="s">
        <v>1062</v>
      </c>
      <c r="G4" s="60">
        <v>10.0</v>
      </c>
      <c r="H4" s="1" t="s">
        <v>441</v>
      </c>
      <c r="I4" s="1" t="str">
        <f>IFERROR(CONCATENATE(VLOOKUP(C4,PARAM!D:E,2,0),VLOOKUP(D4,PARAM!J:K,2,0),VLOOKUP(E4,PARAM!G:H,2,0),VLOOKUP(G4,PARAM!P:Q,2,0)),"")</f>
        <v>1143</v>
      </c>
      <c r="J4" s="1" t="str">
        <f>IFERROR(CONCATENATE("*",VLOOKUP(C4,PARAM!D:E,2,0),VLOOKUP(D4,PARAM!J:K,2,0),VLOOKUP(E4,PARAM!G:H,2,0),VLOOKUP(G4,PARAM!P:Q,2,0),"*"),"")</f>
        <v>*1143*</v>
      </c>
      <c r="K4" s="1" t="str">
        <f t="shared" ref="K4:K1014" si="1">CONCATENATE(C4," ",D4," ",E4,IF(G4="-","",CONCATENATE(" TALLA ",G4)))</f>
        <v>JEANS DAMA 4 BOTONES TALLA 10</v>
      </c>
      <c r="L4" s="1"/>
    </row>
    <row r="5">
      <c r="A5" s="55">
        <v>46186.0</v>
      </c>
      <c r="B5" s="4" t="s">
        <v>1058</v>
      </c>
      <c r="C5" s="4" t="s">
        <v>1059</v>
      </c>
      <c r="D5" s="4" t="s">
        <v>1060</v>
      </c>
      <c r="E5" s="1" t="s">
        <v>1061</v>
      </c>
      <c r="F5" s="4" t="s">
        <v>1062</v>
      </c>
      <c r="G5" s="60">
        <v>8.0</v>
      </c>
      <c r="H5" s="1" t="s">
        <v>441</v>
      </c>
      <c r="I5" s="1" t="str">
        <f>IFERROR(CONCATENATE(VLOOKUP(C5,PARAM!D:E,2,0),VLOOKUP(D5,PARAM!J:K,2,0),VLOOKUP(E5,PARAM!G:H,2,0),VLOOKUP(G5,PARAM!P:Q,2,0)),"")</f>
        <v>1142</v>
      </c>
      <c r="J5" s="1" t="str">
        <f>IFERROR(CONCATENATE("*",VLOOKUP(C5,PARAM!D:E,2,0),VLOOKUP(D5,PARAM!J:K,2,0),VLOOKUP(E5,PARAM!G:H,2,0),VLOOKUP(G5,PARAM!P:Q,2,0),"*"),"")</f>
        <v>*1142*</v>
      </c>
      <c r="K5" s="1" t="str">
        <f t="shared" si="1"/>
        <v>JEANS DAMA 4 BOTONES TALLA 8</v>
      </c>
      <c r="L5" s="1"/>
    </row>
    <row r="6">
      <c r="A6" s="55">
        <v>46186.0</v>
      </c>
      <c r="B6" s="4" t="s">
        <v>1058</v>
      </c>
      <c r="C6" s="4" t="s">
        <v>1059</v>
      </c>
      <c r="D6" s="4" t="s">
        <v>1060</v>
      </c>
      <c r="E6" s="4" t="s">
        <v>1063</v>
      </c>
      <c r="F6" s="4" t="s">
        <v>1062</v>
      </c>
      <c r="G6" s="60">
        <v>8.0</v>
      </c>
      <c r="H6" s="1" t="s">
        <v>441</v>
      </c>
      <c r="I6" s="1" t="str">
        <f>IFERROR(CONCATENATE(VLOOKUP(C6,PARAM!D:E,2,0),VLOOKUP(D6,PARAM!J:K,2,0),VLOOKUP(E6,PARAM!G:H,2,0),VLOOKUP(G6,PARAM!P:Q,2,0)),"")</f>
        <v>1152</v>
      </c>
      <c r="J6" s="1" t="str">
        <f>IFERROR(CONCATENATE("*",VLOOKUP(C6,PARAM!D:E,2,0),VLOOKUP(D6,PARAM!J:K,2,0),VLOOKUP(E6,PARAM!G:H,2,0),VLOOKUP(G6,PARAM!P:Q,2,0),"*"),"")</f>
        <v>*1152*</v>
      </c>
      <c r="K6" s="1" t="str">
        <f t="shared" si="1"/>
        <v>JEANS DAMA 4 BOTONES SIN BOLSILLO TALLA 8</v>
      </c>
      <c r="L6" s="1"/>
    </row>
    <row r="7">
      <c r="A7" s="55">
        <v>46186.0</v>
      </c>
      <c r="B7" s="4" t="s">
        <v>1058</v>
      </c>
      <c r="C7" s="4" t="s">
        <v>1059</v>
      </c>
      <c r="D7" s="4" t="s">
        <v>1060</v>
      </c>
      <c r="E7" s="1" t="s">
        <v>1061</v>
      </c>
      <c r="F7" s="4" t="s">
        <v>1062</v>
      </c>
      <c r="G7" s="60">
        <v>16.0</v>
      </c>
      <c r="H7" s="1" t="s">
        <v>441</v>
      </c>
      <c r="I7" s="1" t="str">
        <f>IFERROR(CONCATENATE(VLOOKUP(C7,PARAM!D:E,2,0),VLOOKUP(D7,PARAM!J:K,2,0),VLOOKUP(E7,PARAM!G:H,2,0),VLOOKUP(G7,PARAM!P:Q,2,0)),"")</f>
        <v>1146</v>
      </c>
      <c r="J7" s="1" t="str">
        <f>IFERROR(CONCATENATE("*",VLOOKUP(C7,PARAM!D:E,2,0),VLOOKUP(D7,PARAM!J:K,2,0),VLOOKUP(E7,PARAM!G:H,2,0),VLOOKUP(G7,PARAM!P:Q,2,0),"*"),"")</f>
        <v>*1146*</v>
      </c>
      <c r="K7" s="1" t="str">
        <f t="shared" si="1"/>
        <v>JEANS DAMA 4 BOTONES TALLA 16</v>
      </c>
      <c r="L7" s="1"/>
    </row>
    <row r="8">
      <c r="A8" s="55">
        <v>46186.0</v>
      </c>
      <c r="B8" s="4" t="s">
        <v>1058</v>
      </c>
      <c r="C8" s="4" t="s">
        <v>1059</v>
      </c>
      <c r="D8" s="4" t="s">
        <v>1060</v>
      </c>
      <c r="E8" s="4" t="s">
        <v>1063</v>
      </c>
      <c r="F8" s="4" t="s">
        <v>1062</v>
      </c>
      <c r="G8" s="60">
        <v>16.0</v>
      </c>
      <c r="H8" s="1" t="s">
        <v>441</v>
      </c>
      <c r="I8" s="1" t="str">
        <f>IFERROR(CONCATENATE(VLOOKUP(C8,PARAM!D:E,2,0),VLOOKUP(D8,PARAM!J:K,2,0),VLOOKUP(E8,PARAM!G:H,2,0),VLOOKUP(G8,PARAM!P:Q,2,0)),"")</f>
        <v>1156</v>
      </c>
      <c r="J8" s="1" t="str">
        <f>IFERROR(CONCATENATE("*",VLOOKUP(C8,PARAM!D:E,2,0),VLOOKUP(D8,PARAM!J:K,2,0),VLOOKUP(E8,PARAM!G:H,2,0),VLOOKUP(G8,PARAM!P:Q,2,0),"*"),"")</f>
        <v>*1156*</v>
      </c>
      <c r="K8" s="1" t="str">
        <f t="shared" si="1"/>
        <v>JEANS DAMA 4 BOTONES SIN BOLSILLO TALLA 16</v>
      </c>
      <c r="L8" s="1"/>
    </row>
    <row r="9">
      <c r="A9" s="55">
        <v>46186.0</v>
      </c>
      <c r="B9" s="4" t="s">
        <v>1058</v>
      </c>
      <c r="C9" s="4" t="s">
        <v>1059</v>
      </c>
      <c r="D9" s="4" t="s">
        <v>1060</v>
      </c>
      <c r="E9" s="1" t="s">
        <v>1064</v>
      </c>
      <c r="F9" s="4" t="s">
        <v>1062</v>
      </c>
      <c r="G9" s="60">
        <v>12.0</v>
      </c>
      <c r="H9" s="1" t="s">
        <v>441</v>
      </c>
      <c r="I9" s="1" t="str">
        <f>IFERROR(CONCATENATE(VLOOKUP(C9,PARAM!D:E,2,0),VLOOKUP(D9,PARAM!J:K,2,0),VLOOKUP(E9,PARAM!G:H,2,0),VLOOKUP(G9,PARAM!P:Q,2,0)),"")</f>
        <v>1114</v>
      </c>
      <c r="J9" s="1" t="str">
        <f>IFERROR(CONCATENATE("*",VLOOKUP(C9,PARAM!D:E,2,0),VLOOKUP(D9,PARAM!J:K,2,0),VLOOKUP(E9,PARAM!G:H,2,0),VLOOKUP(G9,PARAM!P:Q,2,0),"*"),"")</f>
        <v>*1114*</v>
      </c>
      <c r="K9" s="1" t="str">
        <f t="shared" si="1"/>
        <v>JEANS DAMA 1 BOTON TALLA 12</v>
      </c>
      <c r="L9" s="1"/>
    </row>
    <row r="10">
      <c r="A10" s="55">
        <v>46186.0</v>
      </c>
      <c r="B10" s="4" t="s">
        <v>1058</v>
      </c>
      <c r="C10" s="4" t="s">
        <v>1059</v>
      </c>
      <c r="D10" s="4" t="s">
        <v>1060</v>
      </c>
      <c r="E10" s="1" t="s">
        <v>1061</v>
      </c>
      <c r="F10" s="4" t="s">
        <v>1062</v>
      </c>
      <c r="G10" s="60">
        <v>14.0</v>
      </c>
      <c r="H10" s="1" t="s">
        <v>441</v>
      </c>
      <c r="I10" s="1" t="str">
        <f>IFERROR(CONCATENATE(VLOOKUP(C10,PARAM!D:E,2,0),VLOOKUP(D10,PARAM!J:K,2,0),VLOOKUP(E10,PARAM!G:H,2,0),VLOOKUP(G10,PARAM!P:Q,2,0)),"")</f>
        <v>1145</v>
      </c>
      <c r="J10" s="1" t="str">
        <f>IFERROR(CONCATENATE("*",VLOOKUP(C10,PARAM!D:E,2,0),VLOOKUP(D10,PARAM!J:K,2,0),VLOOKUP(E10,PARAM!G:H,2,0),VLOOKUP(G10,PARAM!P:Q,2,0),"*"),"")</f>
        <v>*1145*</v>
      </c>
      <c r="K10" s="1" t="str">
        <f t="shared" si="1"/>
        <v>JEANS DAMA 4 BOTONES TALLA 14</v>
      </c>
      <c r="L10" s="1"/>
    </row>
    <row r="11">
      <c r="A11" s="55">
        <v>46186.0</v>
      </c>
      <c r="B11" s="4" t="s">
        <v>1058</v>
      </c>
      <c r="C11" s="4" t="s">
        <v>1059</v>
      </c>
      <c r="D11" s="4" t="s">
        <v>1060</v>
      </c>
      <c r="E11" s="4" t="s">
        <v>1065</v>
      </c>
      <c r="F11" s="4" t="s">
        <v>1066</v>
      </c>
      <c r="G11" s="60">
        <v>14.0</v>
      </c>
      <c r="H11" s="1" t="s">
        <v>441</v>
      </c>
      <c r="I11" s="1" t="str">
        <f>IFERROR(CONCATENATE(VLOOKUP(C11,PARAM!D:E,2,0),VLOOKUP(D11,PARAM!J:K,2,0),VLOOKUP(E11,PARAM!G:H,2,0),VLOOKUP(G11,PARAM!P:Q,2,0)),"")</f>
        <v>1125</v>
      </c>
      <c r="J11" s="1" t="str">
        <f>IFERROR(CONCATENATE("*",VLOOKUP(C11,PARAM!D:E,2,0),VLOOKUP(D11,PARAM!J:K,2,0),VLOOKUP(E11,PARAM!G:H,2,0),VLOOKUP(G11,PARAM!P:Q,2,0),"*"),"")</f>
        <v>*1125*</v>
      </c>
      <c r="K11" s="1" t="str">
        <f t="shared" si="1"/>
        <v>JEANS DAMA 1 BOTON BOTA RECTA TALLA 14</v>
      </c>
      <c r="L11" s="1"/>
    </row>
    <row r="12">
      <c r="A12" s="55">
        <v>46186.0</v>
      </c>
      <c r="B12" s="4" t="s">
        <v>1058</v>
      </c>
      <c r="C12" s="4" t="s">
        <v>1059</v>
      </c>
      <c r="D12" s="4" t="s">
        <v>1060</v>
      </c>
      <c r="E12" s="4" t="s">
        <v>1065</v>
      </c>
      <c r="F12" s="4" t="s">
        <v>1066</v>
      </c>
      <c r="G12" s="60">
        <v>10.0</v>
      </c>
      <c r="H12" s="1" t="s">
        <v>441</v>
      </c>
      <c r="I12" s="1" t="str">
        <f>IFERROR(CONCATENATE(VLOOKUP(C12,PARAM!D:E,2,0),VLOOKUP(D12,PARAM!J:K,2,0),VLOOKUP(E12,PARAM!G:H,2,0),VLOOKUP(G12,PARAM!P:Q,2,0)),"")</f>
        <v>1123</v>
      </c>
      <c r="J12" s="1" t="str">
        <f>IFERROR(CONCATENATE("*",VLOOKUP(C12,PARAM!D:E,2,0),VLOOKUP(D12,PARAM!J:K,2,0),VLOOKUP(E12,PARAM!G:H,2,0),VLOOKUP(G12,PARAM!P:Q,2,0),"*"),"")</f>
        <v>*1123*</v>
      </c>
      <c r="K12" s="1" t="str">
        <f t="shared" si="1"/>
        <v>JEANS DAMA 1 BOTON BOTA RECTA TALLA 10</v>
      </c>
      <c r="L12" s="1"/>
    </row>
    <row r="13">
      <c r="A13" s="55">
        <v>46186.0</v>
      </c>
      <c r="B13" s="4" t="s">
        <v>1058</v>
      </c>
      <c r="C13" s="4" t="s">
        <v>1059</v>
      </c>
      <c r="D13" s="4" t="s">
        <v>1060</v>
      </c>
      <c r="E13" s="4" t="s">
        <v>1065</v>
      </c>
      <c r="F13" s="4" t="s">
        <v>1066</v>
      </c>
      <c r="G13" s="60">
        <v>8.0</v>
      </c>
      <c r="H13" s="1" t="s">
        <v>441</v>
      </c>
      <c r="I13" s="1" t="str">
        <f>IFERROR(CONCATENATE(VLOOKUP(C13,PARAM!D:E,2,0),VLOOKUP(D13,PARAM!J:K,2,0),VLOOKUP(E13,PARAM!G:H,2,0),VLOOKUP(G13,PARAM!P:Q,2,0)),"")</f>
        <v>1122</v>
      </c>
      <c r="J13" s="1" t="str">
        <f>IFERROR(CONCATENATE("*",VLOOKUP(C13,PARAM!D:E,2,0),VLOOKUP(D13,PARAM!J:K,2,0),VLOOKUP(E13,PARAM!G:H,2,0),VLOOKUP(G13,PARAM!P:Q,2,0),"*"),"")</f>
        <v>*1122*</v>
      </c>
      <c r="K13" s="1" t="str">
        <f t="shared" si="1"/>
        <v>JEANS DAMA 1 BOTON BOTA RECTA TALLA 8</v>
      </c>
      <c r="L13" s="1"/>
    </row>
    <row r="14">
      <c r="A14" s="55">
        <v>46186.0</v>
      </c>
      <c r="B14" s="4" t="s">
        <v>1058</v>
      </c>
      <c r="C14" s="4" t="s">
        <v>1059</v>
      </c>
      <c r="D14" s="4" t="s">
        <v>1060</v>
      </c>
      <c r="E14" s="4" t="s">
        <v>1065</v>
      </c>
      <c r="F14" s="4" t="s">
        <v>1066</v>
      </c>
      <c r="G14" s="60">
        <v>14.0</v>
      </c>
      <c r="H14" s="1" t="s">
        <v>441</v>
      </c>
      <c r="I14" s="1" t="str">
        <f>IFERROR(CONCATENATE(VLOOKUP(C14,PARAM!D:E,2,0),VLOOKUP(D14,PARAM!J:K,2,0),VLOOKUP(E14,PARAM!G:H,2,0),VLOOKUP(G14,PARAM!P:Q,2,0)),"")</f>
        <v>1125</v>
      </c>
      <c r="J14" s="1" t="str">
        <f>IFERROR(CONCATENATE("*",VLOOKUP(C14,PARAM!D:E,2,0),VLOOKUP(D14,PARAM!J:K,2,0),VLOOKUP(E14,PARAM!G:H,2,0),VLOOKUP(G14,PARAM!P:Q,2,0),"*"),"")</f>
        <v>*1125*</v>
      </c>
      <c r="K14" s="1" t="str">
        <f t="shared" si="1"/>
        <v>JEANS DAMA 1 BOTON BOTA RECTA TALLA 14</v>
      </c>
      <c r="L14" s="1"/>
    </row>
    <row r="15">
      <c r="A15" s="55">
        <v>46186.0</v>
      </c>
      <c r="B15" s="4" t="s">
        <v>1058</v>
      </c>
      <c r="C15" s="4" t="s">
        <v>1059</v>
      </c>
      <c r="D15" s="4" t="s">
        <v>1060</v>
      </c>
      <c r="E15" s="4" t="s">
        <v>1063</v>
      </c>
      <c r="F15" s="4" t="s">
        <v>1066</v>
      </c>
      <c r="G15" s="60">
        <v>14.0</v>
      </c>
      <c r="H15" s="1" t="s">
        <v>441</v>
      </c>
      <c r="I15" s="1" t="str">
        <f>IFERROR(CONCATENATE(VLOOKUP(C15,PARAM!D:E,2,0),VLOOKUP(D15,PARAM!J:K,2,0),VLOOKUP(E15,PARAM!G:H,2,0),VLOOKUP(G15,PARAM!P:Q,2,0)),"")</f>
        <v>1155</v>
      </c>
      <c r="J15" s="1" t="str">
        <f>IFERROR(CONCATENATE("*",VLOOKUP(C15,PARAM!D:E,2,0),VLOOKUP(D15,PARAM!J:K,2,0),VLOOKUP(E15,PARAM!G:H,2,0),VLOOKUP(G15,PARAM!P:Q,2,0),"*"),"")</f>
        <v>*1155*</v>
      </c>
      <c r="K15" s="1" t="str">
        <f t="shared" si="1"/>
        <v>JEANS DAMA 4 BOTONES SIN BOLSILLO TALLA 14</v>
      </c>
      <c r="L15" s="1"/>
    </row>
    <row r="16">
      <c r="A16" s="55">
        <v>46186.0</v>
      </c>
      <c r="B16" s="4" t="s">
        <v>1058</v>
      </c>
      <c r="C16" s="4" t="s">
        <v>1059</v>
      </c>
      <c r="D16" s="4" t="s">
        <v>1060</v>
      </c>
      <c r="E16" s="1" t="s">
        <v>1061</v>
      </c>
      <c r="F16" s="4" t="s">
        <v>1066</v>
      </c>
      <c r="G16" s="60">
        <v>14.0</v>
      </c>
      <c r="H16" s="1" t="s">
        <v>441</v>
      </c>
      <c r="I16" s="1" t="str">
        <f>IFERROR(CONCATENATE(VLOOKUP(C16,PARAM!D:E,2,0),VLOOKUP(D16,PARAM!J:K,2,0),VLOOKUP(E16,PARAM!G:H,2,0),VLOOKUP(G16,PARAM!P:Q,2,0)),"")</f>
        <v>1145</v>
      </c>
      <c r="J16" s="1" t="str">
        <f>IFERROR(CONCATENATE("*",VLOOKUP(C16,PARAM!D:E,2,0),VLOOKUP(D16,PARAM!J:K,2,0),VLOOKUP(E16,PARAM!G:H,2,0),VLOOKUP(G16,PARAM!P:Q,2,0),"*"),"")</f>
        <v>*1145*</v>
      </c>
      <c r="K16" s="1" t="str">
        <f t="shared" si="1"/>
        <v>JEANS DAMA 4 BOTONES TALLA 14</v>
      </c>
      <c r="L16" s="1"/>
    </row>
    <row r="17">
      <c r="A17" s="55">
        <v>46186.0</v>
      </c>
      <c r="B17" s="4" t="s">
        <v>1058</v>
      </c>
      <c r="C17" s="4" t="s">
        <v>1059</v>
      </c>
      <c r="D17" s="4" t="s">
        <v>1060</v>
      </c>
      <c r="E17" s="4" t="s">
        <v>1063</v>
      </c>
      <c r="F17" s="4" t="s">
        <v>1067</v>
      </c>
      <c r="G17" s="60">
        <v>6.0</v>
      </c>
      <c r="H17" s="1" t="s">
        <v>441</v>
      </c>
      <c r="I17" s="1" t="str">
        <f>IFERROR(CONCATENATE(VLOOKUP(C17,PARAM!D:E,2,0),VLOOKUP(D17,PARAM!J:K,2,0),VLOOKUP(E17,PARAM!G:H,2,0),VLOOKUP(G17,PARAM!P:Q,2,0)),"")</f>
        <v>1151</v>
      </c>
      <c r="J17" s="1" t="str">
        <f>IFERROR(CONCATENATE("*",VLOOKUP(C17,PARAM!D:E,2,0),VLOOKUP(D17,PARAM!J:K,2,0),VLOOKUP(E17,PARAM!G:H,2,0),VLOOKUP(G17,PARAM!P:Q,2,0),"*"),"")</f>
        <v>*1151*</v>
      </c>
      <c r="K17" s="1" t="str">
        <f t="shared" si="1"/>
        <v>JEANS DAMA 4 BOTONES SIN BOLSILLO TALLA 6</v>
      </c>
      <c r="L17" s="1"/>
    </row>
    <row r="18">
      <c r="A18" s="55">
        <v>46186.0</v>
      </c>
      <c r="B18" s="4" t="s">
        <v>1058</v>
      </c>
      <c r="C18" s="4" t="s">
        <v>1059</v>
      </c>
      <c r="D18" s="4" t="s">
        <v>1060</v>
      </c>
      <c r="E18" s="1" t="s">
        <v>1064</v>
      </c>
      <c r="F18" s="4" t="s">
        <v>1067</v>
      </c>
      <c r="G18" s="60">
        <v>10.0</v>
      </c>
      <c r="H18" s="1" t="s">
        <v>441</v>
      </c>
      <c r="I18" s="1" t="str">
        <f>IFERROR(CONCATENATE(VLOOKUP(C18,PARAM!D:E,2,0),VLOOKUP(D18,PARAM!J:K,2,0),VLOOKUP(E18,PARAM!G:H,2,0),VLOOKUP(G18,PARAM!P:Q,2,0)),"")</f>
        <v>1113</v>
      </c>
      <c r="J18" s="1" t="str">
        <f>IFERROR(CONCATENATE("*",VLOOKUP(C18,PARAM!D:E,2,0),VLOOKUP(D18,PARAM!J:K,2,0),VLOOKUP(E18,PARAM!G:H,2,0),VLOOKUP(G18,PARAM!P:Q,2,0),"*"),"")</f>
        <v>*1113*</v>
      </c>
      <c r="K18" s="1" t="str">
        <f t="shared" si="1"/>
        <v>JEANS DAMA 1 BOTON TALLA 10</v>
      </c>
      <c r="L18" s="1"/>
    </row>
    <row r="19">
      <c r="A19" s="55">
        <v>46186.0</v>
      </c>
      <c r="B19" s="4" t="s">
        <v>1058</v>
      </c>
      <c r="C19" s="4" t="s">
        <v>1059</v>
      </c>
      <c r="D19" s="4" t="s">
        <v>1060</v>
      </c>
      <c r="E19" s="1" t="s">
        <v>1064</v>
      </c>
      <c r="F19" s="4" t="s">
        <v>1067</v>
      </c>
      <c r="G19" s="60">
        <v>14.0</v>
      </c>
      <c r="H19" s="1" t="s">
        <v>441</v>
      </c>
      <c r="I19" s="1" t="str">
        <f>IFERROR(CONCATENATE(VLOOKUP(C19,PARAM!D:E,2,0),VLOOKUP(D19,PARAM!J:K,2,0),VLOOKUP(E19,PARAM!G:H,2,0),VLOOKUP(G19,PARAM!P:Q,2,0)),"")</f>
        <v>1115</v>
      </c>
      <c r="J19" s="1" t="str">
        <f>IFERROR(CONCATENATE("*",VLOOKUP(C19,PARAM!D:E,2,0),VLOOKUP(D19,PARAM!J:K,2,0),VLOOKUP(E19,PARAM!G:H,2,0),VLOOKUP(G19,PARAM!P:Q,2,0),"*"),"")</f>
        <v>*1115*</v>
      </c>
      <c r="K19" s="1" t="str">
        <f t="shared" si="1"/>
        <v>JEANS DAMA 1 BOTON TALLA 14</v>
      </c>
      <c r="L19" s="1"/>
    </row>
    <row r="20">
      <c r="A20" s="55">
        <v>46186.0</v>
      </c>
      <c r="B20" s="4" t="s">
        <v>1058</v>
      </c>
      <c r="C20" s="4" t="s">
        <v>1059</v>
      </c>
      <c r="D20" s="4" t="s">
        <v>1060</v>
      </c>
      <c r="E20" s="1" t="s">
        <v>1064</v>
      </c>
      <c r="F20" s="4" t="s">
        <v>1067</v>
      </c>
      <c r="G20" s="60">
        <v>6.0</v>
      </c>
      <c r="H20" s="1" t="s">
        <v>441</v>
      </c>
      <c r="I20" s="1" t="str">
        <f>IFERROR(CONCATENATE(VLOOKUP(C20,PARAM!D:E,2,0),VLOOKUP(D20,PARAM!J:K,2,0),VLOOKUP(E20,PARAM!G:H,2,0),VLOOKUP(G20,PARAM!P:Q,2,0)),"")</f>
        <v>1111</v>
      </c>
      <c r="J20" s="1" t="str">
        <f>IFERROR(CONCATENATE("*",VLOOKUP(C20,PARAM!D:E,2,0),VLOOKUP(D20,PARAM!J:K,2,0),VLOOKUP(E20,PARAM!G:H,2,0),VLOOKUP(G20,PARAM!P:Q,2,0),"*"),"")</f>
        <v>*1111*</v>
      </c>
      <c r="K20" s="1" t="str">
        <f t="shared" si="1"/>
        <v>JEANS DAMA 1 BOTON TALLA 6</v>
      </c>
      <c r="L20" s="1"/>
    </row>
    <row r="21">
      <c r="A21" s="55">
        <v>46186.0</v>
      </c>
      <c r="B21" s="4" t="s">
        <v>1058</v>
      </c>
      <c r="C21" s="4" t="s">
        <v>1059</v>
      </c>
      <c r="D21" s="4" t="s">
        <v>1060</v>
      </c>
      <c r="E21" s="4" t="s">
        <v>1063</v>
      </c>
      <c r="F21" s="4" t="s">
        <v>1067</v>
      </c>
      <c r="G21" s="60">
        <v>8.0</v>
      </c>
      <c r="H21" s="1" t="s">
        <v>441</v>
      </c>
      <c r="I21" s="1" t="str">
        <f>IFERROR(CONCATENATE(VLOOKUP(C21,PARAM!D:E,2,0),VLOOKUP(D21,PARAM!J:K,2,0),VLOOKUP(E21,PARAM!G:H,2,0),VLOOKUP(G21,PARAM!P:Q,2,0)),"")</f>
        <v>1152</v>
      </c>
      <c r="J21" s="1" t="str">
        <f>IFERROR(CONCATENATE("*",VLOOKUP(C21,PARAM!D:E,2,0),VLOOKUP(D21,PARAM!J:K,2,0),VLOOKUP(E21,PARAM!G:H,2,0),VLOOKUP(G21,PARAM!P:Q,2,0),"*"),"")</f>
        <v>*1152*</v>
      </c>
      <c r="K21" s="1" t="str">
        <f t="shared" si="1"/>
        <v>JEANS DAMA 4 BOTONES SIN BOLSILLO TALLA 8</v>
      </c>
      <c r="L21" s="1"/>
    </row>
    <row r="22">
      <c r="A22" s="55">
        <v>46186.0</v>
      </c>
      <c r="B22" s="4" t="s">
        <v>1058</v>
      </c>
      <c r="C22" s="4" t="s">
        <v>421</v>
      </c>
      <c r="D22" s="4" t="s">
        <v>1060</v>
      </c>
      <c r="E22" s="4" t="s">
        <v>1068</v>
      </c>
      <c r="F22" s="4" t="s">
        <v>1069</v>
      </c>
      <c r="G22" s="60" t="s">
        <v>1070</v>
      </c>
      <c r="H22" s="1" t="s">
        <v>457</v>
      </c>
      <c r="I22" s="1" t="str">
        <f>IFERROR(CONCATENATE(VLOOKUP(C22,PARAM!D:E,2,0),VLOOKUP(D22,PARAM!J:K,2,0),VLOOKUP(E22,PARAM!G:H,2,0),VLOOKUP(G22,PARAM!P:Q,2,0)),"")</f>
        <v>614531</v>
      </c>
      <c r="J22" s="1" t="str">
        <f>IFERROR(CONCATENATE("*",VLOOKUP(C22,PARAM!D:E,2,0),VLOOKUP(D22,PARAM!J:K,2,0),VLOOKUP(E22,PARAM!G:H,2,0),VLOOKUP(G22,PARAM!P:Q,2,0),"*"),"")</f>
        <v>*614531*</v>
      </c>
      <c r="K22" s="1" t="str">
        <f t="shared" si="1"/>
        <v>BLUSAS DAMA BASICA ALGODON TALLA VA</v>
      </c>
      <c r="L22" s="1"/>
    </row>
    <row r="23">
      <c r="A23" s="55">
        <v>46186.0</v>
      </c>
      <c r="B23" s="4" t="s">
        <v>1071</v>
      </c>
      <c r="C23" s="4" t="s">
        <v>1072</v>
      </c>
      <c r="D23" s="4" t="s">
        <v>1060</v>
      </c>
      <c r="E23" s="4" t="s">
        <v>1073</v>
      </c>
      <c r="F23" s="4" t="s">
        <v>1069</v>
      </c>
      <c r="G23" s="60" t="s">
        <v>1074</v>
      </c>
      <c r="H23" s="1" t="s">
        <v>457</v>
      </c>
      <c r="I23" s="1" t="str">
        <f>IFERROR(CONCATENATE(VLOOKUP(C23,PARAM!D:E,2,0),VLOOKUP(D23,PARAM!J:K,2,0),VLOOKUP(E23,PARAM!G:H,2,0),VLOOKUP(G23,PARAM!P:Q,2,0)),"")</f>
        <v>4311626</v>
      </c>
      <c r="J23" s="1" t="str">
        <f>IFERROR(CONCATENATE("*",VLOOKUP(C23,PARAM!D:E,2,0),VLOOKUP(D23,PARAM!J:K,2,0),VLOOKUP(E23,PARAM!G:H,2,0),VLOOKUP(G23,PARAM!P:Q,2,0),"*"),"")</f>
        <v>*4311626*</v>
      </c>
      <c r="K23" s="1" t="str">
        <f t="shared" si="1"/>
        <v>BICICLETERO DAMA ALGODON TALLA M-L</v>
      </c>
      <c r="L23" s="1"/>
    </row>
    <row r="24">
      <c r="A24" s="55">
        <v>46186.0</v>
      </c>
      <c r="B24" s="4" t="s">
        <v>1071</v>
      </c>
      <c r="C24" s="4" t="s">
        <v>1072</v>
      </c>
      <c r="D24" s="4" t="s">
        <v>1060</v>
      </c>
      <c r="E24" s="4" t="s">
        <v>1073</v>
      </c>
      <c r="F24" s="4" t="s">
        <v>1069</v>
      </c>
      <c r="G24" s="60" t="s">
        <v>1075</v>
      </c>
      <c r="H24" s="1" t="s">
        <v>457</v>
      </c>
      <c r="I24" s="1" t="str">
        <f>IFERROR(CONCATENATE(VLOOKUP(C24,PARAM!D:E,2,0),VLOOKUP(D24,PARAM!J:K,2,0),VLOOKUP(E24,PARAM!G:H,2,0),VLOOKUP(G24,PARAM!P:Q,2,0)),"")</f>
        <v>4311618</v>
      </c>
      <c r="J24" s="1" t="str">
        <f>IFERROR(CONCATENATE("*",VLOOKUP(C24,PARAM!D:E,2,0),VLOOKUP(D24,PARAM!J:K,2,0),VLOOKUP(E24,PARAM!G:H,2,0),VLOOKUP(G24,PARAM!P:Q,2,0),"*"),"")</f>
        <v>*4311618*</v>
      </c>
      <c r="K24" s="1" t="str">
        <f t="shared" si="1"/>
        <v>BICICLETERO DAMA ALGODON TALLA 16-S</v>
      </c>
      <c r="L24" s="1"/>
    </row>
    <row r="25">
      <c r="A25" s="55">
        <v>46186.0</v>
      </c>
      <c r="B25" s="4" t="s">
        <v>1071</v>
      </c>
      <c r="C25" s="4" t="s">
        <v>1072</v>
      </c>
      <c r="D25" s="4" t="s">
        <v>1060</v>
      </c>
      <c r="E25" s="4" t="s">
        <v>1073</v>
      </c>
      <c r="F25" s="4" t="s">
        <v>1069</v>
      </c>
      <c r="G25" s="60">
        <v>14.0</v>
      </c>
      <c r="H25" s="1" t="s">
        <v>457</v>
      </c>
      <c r="I25" s="1" t="str">
        <f>IFERROR(CONCATENATE(VLOOKUP(C25,PARAM!D:E,2,0),VLOOKUP(D25,PARAM!J:K,2,0),VLOOKUP(E25,PARAM!G:H,2,0),VLOOKUP(G25,PARAM!P:Q,2,0)),"")</f>
        <v>431165</v>
      </c>
      <c r="J25" s="1" t="str">
        <f>IFERROR(CONCATENATE("*",VLOOKUP(C25,PARAM!D:E,2,0),VLOOKUP(D25,PARAM!J:K,2,0),VLOOKUP(E25,PARAM!G:H,2,0),VLOOKUP(G25,PARAM!P:Q,2,0),"*"),"")</f>
        <v>*431165*</v>
      </c>
      <c r="K25" s="1" t="str">
        <f t="shared" si="1"/>
        <v>BICICLETERO DAMA ALGODON TALLA 14</v>
      </c>
      <c r="L25" s="1"/>
    </row>
    <row r="26">
      <c r="A26" s="55">
        <v>46186.0</v>
      </c>
      <c r="B26" s="4" t="s">
        <v>1071</v>
      </c>
      <c r="C26" s="4" t="s">
        <v>1076</v>
      </c>
      <c r="D26" s="4" t="s">
        <v>1060</v>
      </c>
      <c r="E26" s="4" t="s">
        <v>1073</v>
      </c>
      <c r="F26" s="4" t="s">
        <v>1069</v>
      </c>
      <c r="G26" s="60" t="s">
        <v>1077</v>
      </c>
      <c r="H26" s="1" t="s">
        <v>457</v>
      </c>
      <c r="I26" s="1" t="str">
        <f>IFERROR(CONCATENATE(VLOOKUP(C26,PARAM!D:E,2,0),VLOOKUP(D26,PARAM!J:K,2,0),VLOOKUP(E26,PARAM!G:H,2,0),VLOOKUP(G26,PARAM!P:Q,2,0)),"")</f>
        <v>4411632</v>
      </c>
      <c r="J26" s="1" t="str">
        <f>IFERROR(CONCATENATE("*",VLOOKUP(C26,PARAM!D:E,2,0),VLOOKUP(D26,PARAM!J:K,2,0),VLOOKUP(E26,PARAM!G:H,2,0),VLOOKUP(G26,PARAM!P:Q,2,0),"*"),"")</f>
        <v>*4411632*</v>
      </c>
      <c r="K26" s="1" t="str">
        <f t="shared" si="1"/>
        <v>LEGGINS DAMA ALGODON TALLA XL</v>
      </c>
      <c r="L26" s="1"/>
    </row>
    <row r="27">
      <c r="A27" s="55">
        <v>46186.0</v>
      </c>
      <c r="B27" s="4" t="s">
        <v>1078</v>
      </c>
      <c r="C27" s="4" t="s">
        <v>1079</v>
      </c>
      <c r="D27" s="4" t="s">
        <v>1080</v>
      </c>
      <c r="E27" s="4" t="s">
        <v>1081</v>
      </c>
      <c r="F27" s="4" t="s">
        <v>1082</v>
      </c>
      <c r="G27" s="60">
        <v>36.0</v>
      </c>
      <c r="H27" s="1" t="s">
        <v>463</v>
      </c>
      <c r="I27" s="1" t="str">
        <f>IFERROR(CONCATENATE(VLOOKUP(C27,PARAM!D:E,2,0),VLOOKUP(D27,PARAM!J:K,2,0),VLOOKUP(E27,PARAM!G:H,2,0),VLOOKUP(G27,PARAM!P:Q,2,0)),"")</f>
        <v>526616</v>
      </c>
      <c r="J27" s="1" t="str">
        <f>IFERROR(CONCATENATE("*",VLOOKUP(C27,PARAM!D:E,2,0),VLOOKUP(D27,PARAM!J:K,2,0),VLOOKUP(E27,PARAM!G:H,2,0),VLOOKUP(G27,PARAM!P:Q,2,0),"*"),"")</f>
        <v>*526616*</v>
      </c>
      <c r="K27" s="1" t="str">
        <f t="shared" si="1"/>
        <v>BERMUDAS CABALLERO CAMUFLADO TALLA 36</v>
      </c>
      <c r="L27" s="1"/>
    </row>
    <row r="28">
      <c r="A28" s="55">
        <v>46186.0</v>
      </c>
      <c r="B28" s="4" t="s">
        <v>1078</v>
      </c>
      <c r="C28" s="4" t="s">
        <v>1079</v>
      </c>
      <c r="D28" s="4" t="s">
        <v>1080</v>
      </c>
      <c r="E28" s="4" t="s">
        <v>1081</v>
      </c>
      <c r="F28" s="4" t="s">
        <v>1083</v>
      </c>
      <c r="G28" s="60">
        <v>28.0</v>
      </c>
      <c r="H28" s="1" t="s">
        <v>463</v>
      </c>
      <c r="I28" s="1" t="str">
        <f>IFERROR(CONCATENATE(VLOOKUP(C28,PARAM!D:E,2,0),VLOOKUP(D28,PARAM!J:K,2,0),VLOOKUP(E28,PARAM!G:H,2,0),VLOOKUP(G28,PARAM!P:Q,2,0)),"")</f>
        <v>526612</v>
      </c>
      <c r="J28" s="1" t="str">
        <f>IFERROR(CONCATENATE("*",VLOOKUP(C28,PARAM!D:E,2,0),VLOOKUP(D28,PARAM!J:K,2,0),VLOOKUP(E28,PARAM!G:H,2,0),VLOOKUP(G28,PARAM!P:Q,2,0),"*"),"")</f>
        <v>*526612*</v>
      </c>
      <c r="K28" s="1" t="str">
        <f t="shared" si="1"/>
        <v>BERMUDAS CABALLERO CAMUFLADO TALLA 28</v>
      </c>
      <c r="L28" s="1"/>
    </row>
    <row r="29">
      <c r="A29" s="55">
        <v>46186.0</v>
      </c>
      <c r="B29" s="4" t="s">
        <v>1078</v>
      </c>
      <c r="C29" s="4" t="s">
        <v>1079</v>
      </c>
      <c r="D29" s="4" t="s">
        <v>1080</v>
      </c>
      <c r="E29" s="4" t="s">
        <v>1081</v>
      </c>
      <c r="F29" s="4" t="s">
        <v>1084</v>
      </c>
      <c r="G29" s="60">
        <v>30.0</v>
      </c>
      <c r="H29" s="1" t="s">
        <v>463</v>
      </c>
      <c r="I29" s="1" t="str">
        <f>IFERROR(CONCATENATE(VLOOKUP(C29,PARAM!D:E,2,0),VLOOKUP(D29,PARAM!J:K,2,0),VLOOKUP(E29,PARAM!G:H,2,0),VLOOKUP(G29,PARAM!P:Q,2,0)),"")</f>
        <v>526613</v>
      </c>
      <c r="J29" s="1" t="str">
        <f>IFERROR(CONCATENATE("*",VLOOKUP(C29,PARAM!D:E,2,0),VLOOKUP(D29,PARAM!J:K,2,0),VLOOKUP(E29,PARAM!G:H,2,0),VLOOKUP(G29,PARAM!P:Q,2,0),"*"),"")</f>
        <v>*526613*</v>
      </c>
      <c r="K29" s="1" t="str">
        <f t="shared" si="1"/>
        <v>BERMUDAS CABALLERO CAMUFLADO TALLA 30</v>
      </c>
      <c r="L29" s="1"/>
    </row>
    <row r="30">
      <c r="A30" s="55">
        <v>46186.0</v>
      </c>
      <c r="B30" s="4" t="s">
        <v>1078</v>
      </c>
      <c r="C30" s="4" t="s">
        <v>1079</v>
      </c>
      <c r="D30" s="4" t="s">
        <v>1080</v>
      </c>
      <c r="E30" s="4" t="s">
        <v>1081</v>
      </c>
      <c r="F30" s="4" t="s">
        <v>1085</v>
      </c>
      <c r="G30" s="60">
        <v>32.0</v>
      </c>
      <c r="H30" s="1" t="s">
        <v>463</v>
      </c>
      <c r="I30" s="1" t="str">
        <f>IFERROR(CONCATENATE(VLOOKUP(C30,PARAM!D:E,2,0),VLOOKUP(D30,PARAM!J:K,2,0),VLOOKUP(E30,PARAM!G:H,2,0),VLOOKUP(G30,PARAM!P:Q,2,0)),"")</f>
        <v>526614</v>
      </c>
      <c r="J30" s="1" t="str">
        <f>IFERROR(CONCATENATE("*",VLOOKUP(C30,PARAM!D:E,2,0),VLOOKUP(D30,PARAM!J:K,2,0),VLOOKUP(E30,PARAM!G:H,2,0),VLOOKUP(G30,PARAM!P:Q,2,0),"*"),"")</f>
        <v>*526614*</v>
      </c>
      <c r="K30" s="1" t="str">
        <f t="shared" si="1"/>
        <v>BERMUDAS CABALLERO CAMUFLADO TALLA 32</v>
      </c>
      <c r="L30" s="1"/>
    </row>
    <row r="31">
      <c r="A31" s="55">
        <v>46186.0</v>
      </c>
      <c r="B31" s="4" t="s">
        <v>1078</v>
      </c>
      <c r="C31" s="4" t="s">
        <v>1079</v>
      </c>
      <c r="D31" s="4" t="s">
        <v>1080</v>
      </c>
      <c r="E31" s="4" t="s">
        <v>1081</v>
      </c>
      <c r="F31" s="4" t="s">
        <v>1066</v>
      </c>
      <c r="G31" s="60">
        <v>34.0</v>
      </c>
      <c r="H31" s="1" t="s">
        <v>463</v>
      </c>
      <c r="I31" s="1" t="str">
        <f>IFERROR(CONCATENATE(VLOOKUP(C31,PARAM!D:E,2,0),VLOOKUP(D31,PARAM!J:K,2,0),VLOOKUP(E31,PARAM!G:H,2,0),VLOOKUP(G31,PARAM!P:Q,2,0)),"")</f>
        <v>526615</v>
      </c>
      <c r="J31" s="1" t="str">
        <f>IFERROR(CONCATENATE("*",VLOOKUP(C31,PARAM!D:E,2,0),VLOOKUP(D31,PARAM!J:K,2,0),VLOOKUP(E31,PARAM!G:H,2,0),VLOOKUP(G31,PARAM!P:Q,2,0),"*"),"")</f>
        <v>*526615*</v>
      </c>
      <c r="K31" s="1" t="str">
        <f t="shared" si="1"/>
        <v>BERMUDAS CABALLERO CAMUFLADO TALLA 34</v>
      </c>
      <c r="L31" s="1"/>
    </row>
    <row r="32">
      <c r="A32" s="55">
        <v>46186.0</v>
      </c>
      <c r="B32" s="4" t="s">
        <v>1078</v>
      </c>
      <c r="C32" s="4" t="s">
        <v>1079</v>
      </c>
      <c r="D32" s="4" t="s">
        <v>1080</v>
      </c>
      <c r="E32" s="4" t="s">
        <v>1086</v>
      </c>
      <c r="F32" s="4" t="s">
        <v>1066</v>
      </c>
      <c r="G32" s="60">
        <v>34.0</v>
      </c>
      <c r="H32" s="1" t="s">
        <v>463</v>
      </c>
      <c r="I32" s="1" t="str">
        <f>IFERROR(CONCATENATE(VLOOKUP(C32,PARAM!D:E,2,0),VLOOKUP(D32,PARAM!J:K,2,0),VLOOKUP(E32,PARAM!G:H,2,0),VLOOKUP(G32,PARAM!P:Q,2,0)),"")</f>
        <v>527515</v>
      </c>
      <c r="J32" s="1" t="str">
        <f>IFERROR(CONCATENATE("*",VLOOKUP(C32,PARAM!D:E,2,0),VLOOKUP(D32,PARAM!J:K,2,0),VLOOKUP(E32,PARAM!G:H,2,0),VLOOKUP(G32,PARAM!P:Q,2,0),"*"),"")</f>
        <v>*527515*</v>
      </c>
      <c r="K32" s="1" t="str">
        <f t="shared" si="1"/>
        <v>BERMUDAS CABALLERO CLASICA DRILL TALLA 34</v>
      </c>
      <c r="L32" s="1"/>
    </row>
    <row r="33">
      <c r="A33" s="55">
        <v>46186.0</v>
      </c>
      <c r="B33" s="4" t="s">
        <v>1078</v>
      </c>
      <c r="C33" s="4" t="s">
        <v>1079</v>
      </c>
      <c r="D33" s="4" t="s">
        <v>1080</v>
      </c>
      <c r="E33" s="4" t="s">
        <v>1086</v>
      </c>
      <c r="F33" s="4" t="s">
        <v>1083</v>
      </c>
      <c r="G33" s="60">
        <v>28.0</v>
      </c>
      <c r="H33" s="1" t="s">
        <v>463</v>
      </c>
      <c r="I33" s="1" t="str">
        <f>IFERROR(CONCATENATE(VLOOKUP(C33,PARAM!D:E,2,0),VLOOKUP(D33,PARAM!J:K,2,0),VLOOKUP(E33,PARAM!G:H,2,0),VLOOKUP(G33,PARAM!P:Q,2,0)),"")</f>
        <v>527512</v>
      </c>
      <c r="J33" s="1" t="str">
        <f>IFERROR(CONCATENATE("*",VLOOKUP(C33,PARAM!D:E,2,0),VLOOKUP(D33,PARAM!J:K,2,0),VLOOKUP(E33,PARAM!G:H,2,0),VLOOKUP(G33,PARAM!P:Q,2,0),"*"),"")</f>
        <v>*527512*</v>
      </c>
      <c r="K33" s="1" t="str">
        <f t="shared" si="1"/>
        <v>BERMUDAS CABALLERO CLASICA DRILL TALLA 28</v>
      </c>
      <c r="L33" s="1"/>
    </row>
    <row r="34">
      <c r="A34" s="55">
        <v>46186.0</v>
      </c>
      <c r="B34" s="4" t="s">
        <v>1078</v>
      </c>
      <c r="C34" s="4" t="s">
        <v>1079</v>
      </c>
      <c r="D34" s="4" t="s">
        <v>1080</v>
      </c>
      <c r="E34" s="4" t="s">
        <v>1086</v>
      </c>
      <c r="F34" s="4" t="s">
        <v>1087</v>
      </c>
      <c r="G34" s="60">
        <v>32.0</v>
      </c>
      <c r="H34" s="1" t="s">
        <v>463</v>
      </c>
      <c r="I34" s="1" t="str">
        <f>IFERROR(CONCATENATE(VLOOKUP(C34,PARAM!D:E,2,0),VLOOKUP(D34,PARAM!J:K,2,0),VLOOKUP(E34,PARAM!G:H,2,0),VLOOKUP(G34,PARAM!P:Q,2,0)),"")</f>
        <v>527514</v>
      </c>
      <c r="J34" s="1" t="str">
        <f>IFERROR(CONCATENATE("*",VLOOKUP(C34,PARAM!D:E,2,0),VLOOKUP(D34,PARAM!J:K,2,0),VLOOKUP(E34,PARAM!G:H,2,0),VLOOKUP(G34,PARAM!P:Q,2,0),"*"),"")</f>
        <v>*527514*</v>
      </c>
      <c r="K34" s="1" t="str">
        <f t="shared" si="1"/>
        <v>BERMUDAS CABALLERO CLASICA DRILL TALLA 32</v>
      </c>
      <c r="L34" s="1"/>
    </row>
    <row r="35">
      <c r="A35" s="55">
        <v>46186.0</v>
      </c>
      <c r="B35" s="4" t="s">
        <v>1078</v>
      </c>
      <c r="C35" s="4" t="s">
        <v>1079</v>
      </c>
      <c r="D35" s="4" t="s">
        <v>1080</v>
      </c>
      <c r="E35" s="4" t="s">
        <v>1086</v>
      </c>
      <c r="F35" s="4" t="s">
        <v>1088</v>
      </c>
      <c r="G35" s="60">
        <v>30.0</v>
      </c>
      <c r="H35" s="1" t="s">
        <v>463</v>
      </c>
      <c r="I35" s="1" t="str">
        <f>IFERROR(CONCATENATE(VLOOKUP(C35,PARAM!D:E,2,0),VLOOKUP(D35,PARAM!J:K,2,0),VLOOKUP(E35,PARAM!G:H,2,0),VLOOKUP(G35,PARAM!P:Q,2,0)),"")</f>
        <v>527513</v>
      </c>
      <c r="J35" s="1" t="str">
        <f>IFERROR(CONCATENATE("*",VLOOKUP(C35,PARAM!D:E,2,0),VLOOKUP(D35,PARAM!J:K,2,0),VLOOKUP(E35,PARAM!G:H,2,0),VLOOKUP(G35,PARAM!P:Q,2,0),"*"),"")</f>
        <v>*527513*</v>
      </c>
      <c r="K35" s="1" t="str">
        <f t="shared" si="1"/>
        <v>BERMUDAS CABALLERO CLASICA DRILL TALLA 30</v>
      </c>
      <c r="L35" s="1"/>
    </row>
    <row r="36">
      <c r="A36" s="55">
        <v>46186.0</v>
      </c>
      <c r="B36" s="4" t="s">
        <v>1058</v>
      </c>
      <c r="C36" s="4" t="s">
        <v>1089</v>
      </c>
      <c r="D36" s="4" t="s">
        <v>1060</v>
      </c>
      <c r="E36" s="1" t="s">
        <v>1090</v>
      </c>
      <c r="F36" s="4" t="s">
        <v>1069</v>
      </c>
      <c r="G36" s="60" t="s">
        <v>1070</v>
      </c>
      <c r="H36" s="1" t="s">
        <v>463</v>
      </c>
      <c r="I36" s="1" t="str">
        <f>IFERROR(CONCATENATE(VLOOKUP(C36,PARAM!D:E,2,0),VLOOKUP(D36,PARAM!J:K,2,0),VLOOKUP(E36,PARAM!G:H,2,0),VLOOKUP(G36,PARAM!P:Q,2,0)),"")</f>
        <v>4125131</v>
      </c>
      <c r="J36" s="1" t="str">
        <f>IFERROR(CONCATENATE("*",VLOOKUP(C36,PARAM!D:E,2,0),VLOOKUP(D36,PARAM!J:K,2,0),VLOOKUP(E36,PARAM!G:H,2,0),VLOOKUP(G36,PARAM!P:Q,2,0),"*"),"")</f>
        <v>*4125131*</v>
      </c>
      <c r="K36" s="1" t="str">
        <f t="shared" si="1"/>
        <v>SHORTS DAMA SHORT ARO TALLA VA</v>
      </c>
      <c r="L36" s="1"/>
    </row>
    <row r="37">
      <c r="A37" s="55">
        <v>46186.0</v>
      </c>
      <c r="B37" s="4" t="s">
        <v>1058</v>
      </c>
      <c r="C37" s="4" t="s">
        <v>1089</v>
      </c>
      <c r="D37" s="4" t="s">
        <v>1060</v>
      </c>
      <c r="E37" s="1" t="s">
        <v>1091</v>
      </c>
      <c r="F37" s="4" t="s">
        <v>1069</v>
      </c>
      <c r="G37" s="60" t="s">
        <v>1070</v>
      </c>
      <c r="H37" s="1" t="s">
        <v>463</v>
      </c>
      <c r="I37" s="1" t="str">
        <f>IFERROR(CONCATENATE(VLOOKUP(C37,PARAM!D:E,2,0),VLOOKUP(D37,PARAM!J:K,2,0),VLOOKUP(E37,PARAM!G:H,2,0),VLOOKUP(G37,PARAM!P:Q,2,0)),"")</f>
        <v>417431</v>
      </c>
      <c r="J37" s="1" t="str">
        <f>IFERROR(CONCATENATE("*",VLOOKUP(C37,PARAM!D:E,2,0),VLOOKUP(D37,PARAM!J:K,2,0),VLOOKUP(E37,PARAM!G:H,2,0),VLOOKUP(G37,PARAM!P:Q,2,0),"*"),"")</f>
        <v>*417431*</v>
      </c>
      <c r="K37" s="1" t="str">
        <f t="shared" si="1"/>
        <v>SHORTS DAMA CINTURON ANCHO TALLA VA</v>
      </c>
      <c r="L37" s="1"/>
    </row>
    <row r="38">
      <c r="A38" s="55">
        <v>46186.0</v>
      </c>
      <c r="B38" s="4" t="s">
        <v>1058</v>
      </c>
      <c r="C38" s="4" t="s">
        <v>1079</v>
      </c>
      <c r="D38" s="4" t="s">
        <v>1060</v>
      </c>
      <c r="E38" s="4" t="s">
        <v>1092</v>
      </c>
      <c r="F38" s="4" t="s">
        <v>1069</v>
      </c>
      <c r="G38" s="60" t="s">
        <v>1070</v>
      </c>
      <c r="H38" s="1" t="s">
        <v>463</v>
      </c>
      <c r="I38" s="1" t="str">
        <f>IFERROR(CONCATENATE(VLOOKUP(C38,PARAM!D:E,2,0),VLOOKUP(D38,PARAM!J:K,2,0),VLOOKUP(E38,PARAM!G:H,2,0),VLOOKUP(G38,PARAM!P:Q,2,0)),"")</f>
        <v>5112131</v>
      </c>
      <c r="J38" s="1" t="str">
        <f>IFERROR(CONCATENATE("*",VLOOKUP(C38,PARAM!D:E,2,0),VLOOKUP(D38,PARAM!J:K,2,0),VLOOKUP(E38,PARAM!G:H,2,0),VLOOKUP(G38,PARAM!P:Q,2,0),"*"),"")</f>
        <v>*5112131*</v>
      </c>
      <c r="K38" s="1" t="str">
        <f t="shared" si="1"/>
        <v>BERMUDAS DAMA DRILL TALLA VA</v>
      </c>
      <c r="L38" s="1"/>
    </row>
    <row r="39">
      <c r="A39" s="55">
        <v>46186.0</v>
      </c>
      <c r="B39" s="4" t="s">
        <v>1093</v>
      </c>
      <c r="C39" s="4" t="s">
        <v>1094</v>
      </c>
      <c r="D39" s="4" t="s">
        <v>1060</v>
      </c>
      <c r="E39" s="1" t="s">
        <v>1095</v>
      </c>
      <c r="F39" s="4" t="s">
        <v>1069</v>
      </c>
      <c r="G39" s="60" t="s">
        <v>503</v>
      </c>
      <c r="H39" s="1" t="s">
        <v>476</v>
      </c>
      <c r="I39" s="1" t="str">
        <f>IFERROR(CONCATENATE(VLOOKUP(C39,PARAM!D:E,2,0),VLOOKUP(D39,PARAM!J:K,2,0),VLOOKUP(E39,PARAM!G:H,2,0),VLOOKUP(G39,PARAM!P:Q,2,0)),"")</f>
        <v>1212110</v>
      </c>
      <c r="J39" s="1" t="str">
        <f>IFERROR(CONCATENATE("*",VLOOKUP(C39,PARAM!D:E,2,0),VLOOKUP(D39,PARAM!J:K,2,0),VLOOKUP(E39,PARAM!G:H,2,0),VLOOKUP(G39,PARAM!P:Q,2,0),"*"),"")</f>
        <v>*1212110*</v>
      </c>
      <c r="K39" s="1" t="str">
        <f t="shared" si="1"/>
        <v>PERFUMES DAMA PINK MINI</v>
      </c>
      <c r="L39" s="1"/>
    </row>
    <row r="40">
      <c r="A40" s="55">
        <v>46186.0</v>
      </c>
      <c r="B40" s="4" t="s">
        <v>1096</v>
      </c>
      <c r="C40" s="4" t="s">
        <v>1097</v>
      </c>
      <c r="D40" s="4" t="s">
        <v>1060</v>
      </c>
      <c r="E40" s="4" t="s">
        <v>1098</v>
      </c>
      <c r="F40" s="4" t="s">
        <v>1069</v>
      </c>
      <c r="G40" s="60" t="s">
        <v>503</v>
      </c>
      <c r="H40" s="1" t="s">
        <v>476</v>
      </c>
      <c r="I40" s="1" t="str">
        <f>IFERROR(CONCATENATE(VLOOKUP(C40,PARAM!D:E,2,0),VLOOKUP(D40,PARAM!J:K,2,0),VLOOKUP(E40,PARAM!G:H,2,0),VLOOKUP(G40,PARAM!P:Q,2,0)),"")</f>
        <v>4711600</v>
      </c>
      <c r="J40" s="1" t="str">
        <f>IFERROR(CONCATENATE("*",VLOOKUP(C40,PARAM!D:E,2,0),VLOOKUP(D40,PARAM!J:K,2,0),VLOOKUP(E40,PARAM!G:H,2,0),VLOOKUP(G40,PARAM!P:Q,2,0),"*"),"")</f>
        <v>*4711600*</v>
      </c>
      <c r="K40" s="1" t="str">
        <f t="shared" si="1"/>
        <v>BRILLO DAMA LABIAL</v>
      </c>
      <c r="L40" s="1"/>
    </row>
    <row r="41">
      <c r="A41" s="55">
        <v>46186.0</v>
      </c>
      <c r="B41" s="4" t="s">
        <v>1093</v>
      </c>
      <c r="C41" s="4" t="s">
        <v>1099</v>
      </c>
      <c r="D41" s="4" t="s">
        <v>1060</v>
      </c>
      <c r="E41" s="4" t="s">
        <v>503</v>
      </c>
      <c r="F41" s="4" t="s">
        <v>1069</v>
      </c>
      <c r="G41" s="60" t="s">
        <v>503</v>
      </c>
      <c r="H41" s="1" t="s">
        <v>476</v>
      </c>
      <c r="I41" s="1" t="str">
        <f>IFERROR(CONCATENATE(VLOOKUP(C41,PARAM!D:E,2,0),VLOOKUP(D41,PARAM!J:K,2,0),VLOOKUP(E41,PARAM!G:H,2,0),VLOOKUP(G41,PARAM!P:Q,2,0)),"")</f>
        <v>46100</v>
      </c>
      <c r="J41" s="1" t="str">
        <f>IFERROR(CONCATENATE("*",VLOOKUP(C41,PARAM!D:E,2,0),VLOOKUP(D41,PARAM!J:K,2,0),VLOOKUP(E41,PARAM!G:H,2,0),VLOOKUP(G41,PARAM!P:Q,2,0),"*"),"")</f>
        <v>*46100*</v>
      </c>
      <c r="K41" s="1" t="str">
        <f t="shared" si="1"/>
        <v>SPLASH DAMA -</v>
      </c>
      <c r="L41" s="1"/>
    </row>
    <row r="42">
      <c r="A42" s="55">
        <v>46186.0</v>
      </c>
      <c r="B42" s="4" t="s">
        <v>1093</v>
      </c>
      <c r="C42" s="4" t="s">
        <v>1099</v>
      </c>
      <c r="D42" s="4" t="s">
        <v>1080</v>
      </c>
      <c r="E42" s="4" t="s">
        <v>503</v>
      </c>
      <c r="F42" s="4" t="s">
        <v>1069</v>
      </c>
      <c r="G42" s="60" t="s">
        <v>503</v>
      </c>
      <c r="H42" s="1" t="s">
        <v>476</v>
      </c>
      <c r="I42" s="1" t="str">
        <f>IFERROR(CONCATENATE(VLOOKUP(C42,PARAM!D:E,2,0),VLOOKUP(D42,PARAM!J:K,2,0),VLOOKUP(E42,PARAM!G:H,2,0),VLOOKUP(G42,PARAM!P:Q,2,0)),"")</f>
        <v>46200</v>
      </c>
      <c r="J42" s="1" t="str">
        <f>IFERROR(CONCATENATE("*",VLOOKUP(C42,PARAM!D:E,2,0),VLOOKUP(D42,PARAM!J:K,2,0),VLOOKUP(E42,PARAM!G:H,2,0),VLOOKUP(G42,PARAM!P:Q,2,0),"*"),"")</f>
        <v>*46200*</v>
      </c>
      <c r="K42" s="1" t="str">
        <f t="shared" si="1"/>
        <v>SPLASH CABALLERO -</v>
      </c>
      <c r="L42" s="1"/>
    </row>
    <row r="43">
      <c r="A43" s="55">
        <v>46186.0</v>
      </c>
      <c r="B43" s="4" t="s">
        <v>427</v>
      </c>
      <c r="C43" s="4" t="s">
        <v>1100</v>
      </c>
      <c r="D43" s="4" t="s">
        <v>1101</v>
      </c>
      <c r="E43" s="4" t="s">
        <v>1102</v>
      </c>
      <c r="F43" s="4" t="s">
        <v>1069</v>
      </c>
      <c r="G43" s="60" t="s">
        <v>1103</v>
      </c>
      <c r="H43" s="1" t="s">
        <v>481</v>
      </c>
      <c r="I43" s="1" t="str">
        <f>IFERROR(CONCATENATE(VLOOKUP(C43,PARAM!D:E,2,0),VLOOKUP(D43,PARAM!J:K,2,0),VLOOKUP(E43,PARAM!G:H,2,0),VLOOKUP(G43,PARAM!P:Q,2,0)),"")</f>
        <v>1438630</v>
      </c>
      <c r="J43" s="1" t="str">
        <f>IFERROR(CONCATENATE("*",VLOOKUP(C43,PARAM!D:E,2,0),VLOOKUP(D43,PARAM!J:K,2,0),VLOOKUP(E43,PARAM!G:H,2,0),VLOOKUP(G43,PARAM!P:Q,2,0),"*"),"")</f>
        <v>*1438630*</v>
      </c>
      <c r="K43" s="1" t="str">
        <f t="shared" si="1"/>
        <v>GORRAS UNISEX COLOMBIA TALLA UN</v>
      </c>
      <c r="L43" s="1"/>
    </row>
    <row r="44">
      <c r="A44" s="55">
        <v>46186.0</v>
      </c>
      <c r="B44" s="4" t="s">
        <v>427</v>
      </c>
      <c r="C44" s="4" t="s">
        <v>1100</v>
      </c>
      <c r="D44" s="4" t="s">
        <v>1101</v>
      </c>
      <c r="E44" s="4" t="s">
        <v>1069</v>
      </c>
      <c r="F44" s="4" t="s">
        <v>1069</v>
      </c>
      <c r="G44" s="60" t="s">
        <v>1103</v>
      </c>
      <c r="H44" s="1" t="s">
        <v>481</v>
      </c>
      <c r="I44" s="1" t="str">
        <f>IFERROR(CONCATENATE(VLOOKUP(C44,PARAM!D:E,2,0),VLOOKUP(D44,PARAM!J:K,2,0),VLOOKUP(E44,PARAM!G:H,2,0),VLOOKUP(G44,PARAM!P:Q,2,0)),"")</f>
        <v>14327530</v>
      </c>
      <c r="J44" s="1" t="str">
        <f>IFERROR(CONCATENATE("*",VLOOKUP(C44,PARAM!D:E,2,0),VLOOKUP(D44,PARAM!J:K,2,0),VLOOKUP(E44,PARAM!G:H,2,0),VLOOKUP(G44,PARAM!P:Q,2,0),"*"),"")</f>
        <v>*14327530*</v>
      </c>
      <c r="K44" s="1" t="str">
        <f t="shared" si="1"/>
        <v>GORRAS UNISEX VARIOS TALLA UN</v>
      </c>
      <c r="L44" s="1"/>
    </row>
    <row r="45">
      <c r="A45" s="55">
        <v>46186.0</v>
      </c>
      <c r="B45" s="4" t="s">
        <v>427</v>
      </c>
      <c r="C45" s="4" t="s">
        <v>1104</v>
      </c>
      <c r="D45" s="4" t="s">
        <v>1101</v>
      </c>
      <c r="E45" s="1" t="s">
        <v>1105</v>
      </c>
      <c r="F45" s="4" t="s">
        <v>1069</v>
      </c>
      <c r="G45" s="60" t="s">
        <v>503</v>
      </c>
      <c r="H45" s="1" t="s">
        <v>484</v>
      </c>
      <c r="I45" s="1" t="str">
        <f>IFERROR(CONCATENATE(VLOOKUP(C45,PARAM!D:E,2,0),VLOOKUP(D45,PARAM!J:K,2,0),VLOOKUP(E45,PARAM!G:H,2,0),VLOOKUP(G45,PARAM!P:Q,2,0)),"")</f>
        <v>1532540</v>
      </c>
      <c r="J45" s="1" t="str">
        <f>IFERROR(CONCATENATE("*",VLOOKUP(C45,PARAM!D:E,2,0),VLOOKUP(D45,PARAM!J:K,2,0),VLOOKUP(E45,PARAM!G:H,2,0),VLOOKUP(G45,PARAM!P:Q,2,0),"*"),"")</f>
        <v>*1532540*</v>
      </c>
      <c r="K45" s="1" t="str">
        <f t="shared" si="1"/>
        <v>MALETAS UNISEX SPRAY GROUND</v>
      </c>
      <c r="L45" s="1"/>
    </row>
    <row r="46">
      <c r="A46" s="55">
        <v>46186.0</v>
      </c>
      <c r="B46" s="4" t="s">
        <v>427</v>
      </c>
      <c r="C46" s="4" t="s">
        <v>1106</v>
      </c>
      <c r="D46" s="4" t="s">
        <v>1060</v>
      </c>
      <c r="E46" s="4" t="s">
        <v>1107</v>
      </c>
      <c r="F46" s="4" t="s">
        <v>1069</v>
      </c>
      <c r="G46" s="60" t="s">
        <v>503</v>
      </c>
      <c r="H46" s="1" t="s">
        <v>484</v>
      </c>
      <c r="I46" s="1" t="str">
        <f>IFERROR(CONCATENATE(VLOOKUP(C46,PARAM!D:E,2,0),VLOOKUP(D46,PARAM!J:K,2,0),VLOOKUP(E46,PARAM!G:H,2,0),VLOOKUP(G46,PARAM!P:Q,2,0)),"")</f>
        <v>161480</v>
      </c>
      <c r="J46" s="1" t="str">
        <f>IFERROR(CONCATENATE("*",VLOOKUP(C46,PARAM!D:E,2,0),VLOOKUP(D46,PARAM!J:K,2,0),VLOOKUP(E46,PARAM!G:H,2,0),VLOOKUP(G46,PARAM!P:Q,2,0),"*"),"")</f>
        <v>*161480*</v>
      </c>
      <c r="K46" s="1" t="str">
        <f t="shared" si="1"/>
        <v>LLAVEROS DAMA BOMBA</v>
      </c>
      <c r="L46" s="1"/>
    </row>
    <row r="47">
      <c r="A47" s="55">
        <v>46186.0</v>
      </c>
      <c r="B47" s="4" t="s">
        <v>427</v>
      </c>
      <c r="C47" s="4" t="s">
        <v>1106</v>
      </c>
      <c r="D47" s="4" t="s">
        <v>1060</v>
      </c>
      <c r="E47" s="1" t="s">
        <v>1108</v>
      </c>
      <c r="F47" s="4" t="s">
        <v>1069</v>
      </c>
      <c r="G47" s="60" t="s">
        <v>503</v>
      </c>
      <c r="H47" s="1" t="s">
        <v>484</v>
      </c>
      <c r="I47" s="1" t="str">
        <f>IFERROR(CONCATENATE(VLOOKUP(C47,PARAM!D:E,2,0),VLOOKUP(D47,PARAM!J:K,2,0),VLOOKUP(E47,PARAM!G:H,2,0),VLOOKUP(G47,PARAM!P:Q,2,0)),"")</f>
        <v>161720</v>
      </c>
      <c r="J47" s="1" t="str">
        <f>IFERROR(CONCATENATE("*",VLOOKUP(C47,PARAM!D:E,2,0),VLOOKUP(D47,PARAM!J:K,2,0),VLOOKUP(E47,PARAM!G:H,2,0),VLOOKUP(G47,PARAM!P:Q,2,0),"*"),"")</f>
        <v>*161720*</v>
      </c>
      <c r="K47" s="1" t="str">
        <f t="shared" si="1"/>
        <v>LLAVEROS DAMA CEREZAS BRILLANTE</v>
      </c>
      <c r="L47" s="1"/>
    </row>
    <row r="48">
      <c r="A48" s="55">
        <v>46186.0</v>
      </c>
      <c r="B48" s="4" t="s">
        <v>427</v>
      </c>
      <c r="C48" s="4" t="s">
        <v>418</v>
      </c>
      <c r="D48" s="4" t="s">
        <v>1060</v>
      </c>
      <c r="E48" s="4" t="s">
        <v>1109</v>
      </c>
      <c r="F48" s="4" t="s">
        <v>1066</v>
      </c>
      <c r="G48" s="60" t="s">
        <v>503</v>
      </c>
      <c r="H48" s="1" t="s">
        <v>484</v>
      </c>
      <c r="I48" s="1" t="str">
        <f>IFERROR(CONCATENATE(VLOOKUP(C48,PARAM!D:E,2,0),VLOOKUP(D48,PARAM!J:K,2,0),VLOOKUP(E48,PARAM!G:H,2,0),VLOOKUP(G48,PARAM!P:Q,2,0)),"")</f>
        <v>171460</v>
      </c>
      <c r="J48" s="1" t="str">
        <f>IFERROR(CONCATENATE("*",VLOOKUP(C48,PARAM!D:E,2,0),VLOOKUP(D48,PARAM!J:K,2,0),VLOOKUP(E48,PARAM!G:H,2,0),VLOOKUP(G48,PARAM!P:Q,2,0),"*"),"")</f>
        <v>*171460*</v>
      </c>
      <c r="K48" s="1" t="str">
        <f t="shared" si="1"/>
        <v>BOLSOS DAMA BAUL</v>
      </c>
      <c r="L48" s="1"/>
    </row>
    <row r="49">
      <c r="A49" s="55">
        <v>46186.0</v>
      </c>
      <c r="B49" s="4" t="s">
        <v>427</v>
      </c>
      <c r="C49" s="4" t="s">
        <v>1110</v>
      </c>
      <c r="D49" s="4" t="s">
        <v>1060</v>
      </c>
      <c r="E49" s="4" t="s">
        <v>503</v>
      </c>
      <c r="F49" s="4" t="s">
        <v>1069</v>
      </c>
      <c r="G49" s="60" t="s">
        <v>1103</v>
      </c>
      <c r="H49" s="1" t="s">
        <v>484</v>
      </c>
      <c r="I49" s="1" t="str">
        <f>IFERROR(CONCATENATE(VLOOKUP(C49,PARAM!D:E,2,0),VLOOKUP(D49,PARAM!J:K,2,0),VLOOKUP(E49,PARAM!G:H,2,0),VLOOKUP(G49,PARAM!P:Q,2,0)),"")</f>
        <v>221030</v>
      </c>
      <c r="J49" s="1" t="str">
        <f>IFERROR(CONCATENATE("*",VLOOKUP(C49,PARAM!D:E,2,0),VLOOKUP(D49,PARAM!J:K,2,0),VLOOKUP(E49,PARAM!G:H,2,0),VLOOKUP(G49,PARAM!P:Q,2,0),"*"),"")</f>
        <v>*221030*</v>
      </c>
      <c r="K49" s="1" t="str">
        <f t="shared" si="1"/>
        <v>CORREAS DAMA - TALLA UN</v>
      </c>
      <c r="L49" s="1"/>
    </row>
    <row r="50">
      <c r="A50" s="55">
        <v>46186.0</v>
      </c>
      <c r="B50" s="4" t="s">
        <v>427</v>
      </c>
      <c r="C50" s="4" t="s">
        <v>418</v>
      </c>
      <c r="D50" s="4" t="s">
        <v>1060</v>
      </c>
      <c r="E50" s="1" t="s">
        <v>1111</v>
      </c>
      <c r="F50" s="4" t="s">
        <v>1069</v>
      </c>
      <c r="G50" s="60" t="s">
        <v>503</v>
      </c>
      <c r="H50" s="1" t="s">
        <v>484</v>
      </c>
      <c r="I50" s="1" t="str">
        <f>IFERROR(CONCATENATE(VLOOKUP(C50,PARAM!D:E,2,0),VLOOKUP(D50,PARAM!J:K,2,0),VLOOKUP(E50,PARAM!G:H,2,0),VLOOKUP(G50,PARAM!P:Q,2,0)),"")</f>
        <v>171570</v>
      </c>
      <c r="J50" s="1" t="str">
        <f>IFERROR(CONCATENATE("*",VLOOKUP(C50,PARAM!D:E,2,0),VLOOKUP(D50,PARAM!J:K,2,0),VLOOKUP(E50,PARAM!G:H,2,0),VLOOKUP(G50,PARAM!P:Q,2,0),"*"),"")</f>
        <v>*171570*</v>
      </c>
      <c r="K50" s="1" t="str">
        <f t="shared" si="1"/>
        <v>BOLSOS DAMA CADENA DORADA</v>
      </c>
      <c r="L50" s="1"/>
    </row>
    <row r="51">
      <c r="A51" s="55">
        <v>46186.0</v>
      </c>
      <c r="B51" s="4" t="s">
        <v>427</v>
      </c>
      <c r="C51" s="4" t="s">
        <v>1112</v>
      </c>
      <c r="D51" s="4" t="s">
        <v>1101</v>
      </c>
      <c r="E51" s="4" t="s">
        <v>806</v>
      </c>
      <c r="F51" s="4" t="s">
        <v>1069</v>
      </c>
      <c r="G51" s="60" t="s">
        <v>503</v>
      </c>
      <c r="H51" s="1" t="s">
        <v>484</v>
      </c>
      <c r="I51" s="1" t="str">
        <f>IFERROR(CONCATENATE(VLOOKUP(C51,PARAM!D:E,2,0),VLOOKUP(D51,PARAM!J:K,2,0),VLOOKUP(E51,PARAM!G:H,2,0),VLOOKUP(G51,PARAM!P:Q,2,0)),"")</f>
        <v>183130</v>
      </c>
      <c r="J51" s="1" t="str">
        <f>IFERROR(CONCATENATE("*",VLOOKUP(C51,PARAM!D:E,2,0),VLOOKUP(D51,PARAM!J:K,2,0),VLOOKUP(E51,PARAM!G:H,2,0),VLOOKUP(G51,PARAM!P:Q,2,0),"*"),"")</f>
        <v>*183130*</v>
      </c>
      <c r="K51" s="1" t="str">
        <f t="shared" si="1"/>
        <v>CARRIEL UNISEX ADIDAS</v>
      </c>
      <c r="L51" s="1"/>
    </row>
    <row r="52">
      <c r="A52" s="55">
        <v>46186.0</v>
      </c>
      <c r="B52" s="4" t="s">
        <v>427</v>
      </c>
      <c r="C52" s="4" t="s">
        <v>1113</v>
      </c>
      <c r="D52" s="4" t="s">
        <v>1080</v>
      </c>
      <c r="E52" s="1" t="s">
        <v>1114</v>
      </c>
      <c r="F52" s="4" t="s">
        <v>1069</v>
      </c>
      <c r="G52" s="60" t="s">
        <v>503</v>
      </c>
      <c r="H52" s="1" t="s">
        <v>484</v>
      </c>
      <c r="I52" s="1" t="str">
        <f>IFERROR(CONCATENATE(VLOOKUP(C52,PARAM!D:E,2,0),VLOOKUP(D52,PARAM!J:K,2,0),VLOOKUP(E52,PARAM!G:H,2,0),VLOOKUP(G52,PARAM!P:Q,2,0)),"")</f>
        <v>1921180</v>
      </c>
      <c r="J52" s="1" t="str">
        <f>IFERROR(CONCATENATE("*",VLOOKUP(C52,PARAM!D:E,2,0),VLOOKUP(D52,PARAM!J:K,2,0),VLOOKUP(E52,PARAM!G:H,2,0),VLOOKUP(G52,PARAM!P:Q,2,0),"*"),"")</f>
        <v>*1921180*</v>
      </c>
      <c r="K52" s="1" t="str">
        <f t="shared" si="1"/>
        <v>PECHERAS CABALLERO DIFERENTES MARCAS</v>
      </c>
      <c r="L52" s="1"/>
    </row>
    <row r="53">
      <c r="A53" s="55">
        <v>46186.0</v>
      </c>
      <c r="B53" s="4" t="s">
        <v>427</v>
      </c>
      <c r="C53" s="4" t="s">
        <v>1115</v>
      </c>
      <c r="D53" s="4" t="s">
        <v>1060</v>
      </c>
      <c r="E53" s="4" t="s">
        <v>1097</v>
      </c>
      <c r="F53" s="4" t="s">
        <v>1069</v>
      </c>
      <c r="G53" s="60" t="s">
        <v>503</v>
      </c>
      <c r="H53" s="1" t="s">
        <v>484</v>
      </c>
      <c r="I53" s="1" t="str">
        <f>IFERROR(CONCATENATE(VLOOKUP(C53,PARAM!D:E,2,0),VLOOKUP(D53,PARAM!J:K,2,0),VLOOKUP(E53,PARAM!G:H,2,0),VLOOKUP(G53,PARAM!P:Q,2,0)),"")</f>
        <v>201540</v>
      </c>
      <c r="J53" s="1" t="str">
        <f>IFERROR(CONCATENATE("*",VLOOKUP(C53,PARAM!D:E,2,0),VLOOKUP(D53,PARAM!J:K,2,0),VLOOKUP(E53,PARAM!G:H,2,0),VLOOKUP(G53,PARAM!P:Q,2,0),"*"),"")</f>
        <v>*201540*</v>
      </c>
      <c r="K53" s="1" t="str">
        <f t="shared" si="1"/>
        <v>CANGUROS DAMA BRILLO</v>
      </c>
      <c r="L53" s="1"/>
    </row>
    <row r="54">
      <c r="A54" s="55">
        <v>46186.0</v>
      </c>
      <c r="B54" s="4" t="s">
        <v>427</v>
      </c>
      <c r="C54" s="4" t="s">
        <v>1115</v>
      </c>
      <c r="D54" s="4" t="s">
        <v>1101</v>
      </c>
      <c r="E54" s="4" t="s">
        <v>806</v>
      </c>
      <c r="F54" s="4" t="s">
        <v>1069</v>
      </c>
      <c r="G54" s="60" t="s">
        <v>503</v>
      </c>
      <c r="H54" s="1" t="s">
        <v>484</v>
      </c>
      <c r="I54" s="1" t="str">
        <f>IFERROR(CONCATENATE(VLOOKUP(C54,PARAM!D:E,2,0),VLOOKUP(D54,PARAM!J:K,2,0),VLOOKUP(E54,PARAM!G:H,2,0),VLOOKUP(G54,PARAM!P:Q,2,0)),"")</f>
        <v>203130</v>
      </c>
      <c r="J54" s="1" t="str">
        <f>IFERROR(CONCATENATE("*",VLOOKUP(C54,PARAM!D:E,2,0),VLOOKUP(D54,PARAM!J:K,2,0),VLOOKUP(E54,PARAM!G:H,2,0),VLOOKUP(G54,PARAM!P:Q,2,0),"*"),"")</f>
        <v>*203130*</v>
      </c>
      <c r="K54" s="1" t="str">
        <f t="shared" si="1"/>
        <v>CANGUROS UNISEX ADIDAS</v>
      </c>
      <c r="L54" s="1"/>
    </row>
    <row r="55">
      <c r="A55" s="55">
        <v>46186.0</v>
      </c>
      <c r="B55" s="4" t="s">
        <v>427</v>
      </c>
      <c r="C55" s="4" t="s">
        <v>1115</v>
      </c>
      <c r="D55" s="4" t="s">
        <v>1060</v>
      </c>
      <c r="E55" s="4" t="s">
        <v>503</v>
      </c>
      <c r="F55" s="4" t="s">
        <v>1069</v>
      </c>
      <c r="G55" s="60" t="s">
        <v>503</v>
      </c>
      <c r="H55" s="1" t="s">
        <v>484</v>
      </c>
      <c r="I55" s="1" t="str">
        <f>IFERROR(CONCATENATE(VLOOKUP(C55,PARAM!D:E,2,0),VLOOKUP(D55,PARAM!J:K,2,0),VLOOKUP(E55,PARAM!G:H,2,0),VLOOKUP(G55,PARAM!P:Q,2,0)),"")</f>
        <v>20100</v>
      </c>
      <c r="J55" s="1" t="str">
        <f>IFERROR(CONCATENATE("*",VLOOKUP(C55,PARAM!D:E,2,0),VLOOKUP(D55,PARAM!J:K,2,0),VLOOKUP(E55,PARAM!G:H,2,0),VLOOKUP(G55,PARAM!P:Q,2,0),"*"),"")</f>
        <v>*20100*</v>
      </c>
      <c r="K55" s="1" t="str">
        <f t="shared" si="1"/>
        <v>CANGUROS DAMA -</v>
      </c>
      <c r="L55" s="1"/>
    </row>
    <row r="56">
      <c r="A56" s="55">
        <v>46186.0</v>
      </c>
      <c r="B56" s="4" t="s">
        <v>427</v>
      </c>
      <c r="C56" s="4" t="s">
        <v>1115</v>
      </c>
      <c r="D56" s="4" t="s">
        <v>1060</v>
      </c>
      <c r="E56" s="4" t="s">
        <v>503</v>
      </c>
      <c r="F56" s="4" t="s">
        <v>1116</v>
      </c>
      <c r="G56" s="60" t="s">
        <v>503</v>
      </c>
      <c r="H56" s="1" t="s">
        <v>484</v>
      </c>
      <c r="I56" s="1" t="str">
        <f>IFERROR(CONCATENATE(VLOOKUP(C56,PARAM!D:E,2,0),VLOOKUP(D56,PARAM!J:K,2,0),VLOOKUP(E56,PARAM!G:H,2,0),VLOOKUP(G56,PARAM!P:Q,2,0)),"")</f>
        <v>20100</v>
      </c>
      <c r="J56" s="1" t="str">
        <f>IFERROR(CONCATENATE("*",VLOOKUP(C56,PARAM!D:E,2,0),VLOOKUP(D56,PARAM!J:K,2,0),VLOOKUP(E56,PARAM!G:H,2,0),VLOOKUP(G56,PARAM!P:Q,2,0),"*"),"")</f>
        <v>*20100*</v>
      </c>
      <c r="K56" s="1" t="str">
        <f t="shared" si="1"/>
        <v>CANGUROS DAMA -</v>
      </c>
      <c r="L56" s="1"/>
    </row>
    <row r="57">
      <c r="A57" s="55">
        <v>46186.0</v>
      </c>
      <c r="B57" s="4" t="s">
        <v>427</v>
      </c>
      <c r="C57" s="4" t="s">
        <v>1112</v>
      </c>
      <c r="D57" s="4" t="s">
        <v>1101</v>
      </c>
      <c r="E57" s="4" t="s">
        <v>1117</v>
      </c>
      <c r="F57" s="4" t="s">
        <v>1069</v>
      </c>
      <c r="G57" s="60" t="s">
        <v>503</v>
      </c>
      <c r="H57" s="1" t="s">
        <v>484</v>
      </c>
      <c r="I57" s="1" t="str">
        <f>IFERROR(CONCATENATE(VLOOKUP(C57,PARAM!D:E,2,0),VLOOKUP(D57,PARAM!J:K,2,0),VLOOKUP(E57,PARAM!G:H,2,0),VLOOKUP(G57,PARAM!P:Q,2,0)),"")</f>
        <v>1831320</v>
      </c>
      <c r="J57" s="1" t="str">
        <f>IFERROR(CONCATENATE("*",VLOOKUP(C57,PARAM!D:E,2,0),VLOOKUP(D57,PARAM!J:K,2,0),VLOOKUP(E57,PARAM!G:H,2,0),VLOOKUP(G57,PARAM!P:Q,2,0),"*"),"")</f>
        <v>*1831320*</v>
      </c>
      <c r="K57" s="1" t="str">
        <f t="shared" si="1"/>
        <v>CARRIEL UNISEX FASHION</v>
      </c>
      <c r="L57" s="1"/>
    </row>
    <row r="58">
      <c r="A58" s="55">
        <v>46186.0</v>
      </c>
      <c r="B58" s="4" t="s">
        <v>427</v>
      </c>
      <c r="C58" s="4" t="s">
        <v>418</v>
      </c>
      <c r="D58" s="4" t="s">
        <v>1060</v>
      </c>
      <c r="E58" s="4" t="s">
        <v>1118</v>
      </c>
      <c r="F58" s="4" t="s">
        <v>1069</v>
      </c>
      <c r="G58" s="60" t="s">
        <v>503</v>
      </c>
      <c r="H58" s="1" t="s">
        <v>484</v>
      </c>
      <c r="I58" s="1" t="str">
        <f>IFERROR(CONCATENATE(VLOOKUP(C58,PARAM!D:E,2,0),VLOOKUP(D58,PARAM!J:K,2,0),VLOOKUP(E58,PARAM!G:H,2,0),VLOOKUP(G58,PARAM!P:Q,2,0)),"")</f>
        <v>1712150</v>
      </c>
      <c r="J58" s="1" t="str">
        <f>IFERROR(CONCATENATE("*",VLOOKUP(C58,PARAM!D:E,2,0),VLOOKUP(D58,PARAM!J:K,2,0),VLOOKUP(E58,PARAM!G:H,2,0),VLOOKUP(G58,PARAM!P:Q,2,0),"*"),"")</f>
        <v>*1712150*</v>
      </c>
      <c r="K58" s="1" t="str">
        <f t="shared" si="1"/>
        <v>BOLSOS DAMA PLAYERO TOUS</v>
      </c>
      <c r="L58" s="1"/>
    </row>
    <row r="59">
      <c r="A59" s="55">
        <v>46186.0</v>
      </c>
      <c r="B59" s="4" t="s">
        <v>427</v>
      </c>
      <c r="C59" s="4" t="s">
        <v>418</v>
      </c>
      <c r="D59" s="4" t="s">
        <v>1060</v>
      </c>
      <c r="E59" s="4" t="s">
        <v>1119</v>
      </c>
      <c r="F59" s="4" t="s">
        <v>1062</v>
      </c>
      <c r="G59" s="60" t="s">
        <v>503</v>
      </c>
      <c r="H59" s="1" t="s">
        <v>484</v>
      </c>
      <c r="I59" s="1" t="str">
        <f>IFERROR(CONCATENATE(VLOOKUP(C59,PARAM!D:E,2,0),VLOOKUP(D59,PARAM!J:K,2,0),VLOOKUP(E59,PARAM!G:H,2,0),VLOOKUP(G59,PARAM!P:Q,2,0)),"")</f>
        <v>1712710</v>
      </c>
      <c r="J59" s="1" t="str">
        <f>IFERROR(CONCATENATE("*",VLOOKUP(C59,PARAM!D:E,2,0),VLOOKUP(D59,PARAM!J:K,2,0),VLOOKUP(E59,PARAM!G:H,2,0),VLOOKUP(G59,PARAM!P:Q,2,0),"*"),"")</f>
        <v>*1712710*</v>
      </c>
      <c r="K59" s="1" t="str">
        <f t="shared" si="1"/>
        <v>BOLSOS DAMA TULA</v>
      </c>
      <c r="L59" s="1"/>
    </row>
    <row r="60">
      <c r="A60" s="55">
        <v>46186.0</v>
      </c>
      <c r="B60" s="4" t="s">
        <v>427</v>
      </c>
      <c r="C60" s="4" t="s">
        <v>418</v>
      </c>
      <c r="D60" s="4" t="s">
        <v>1060</v>
      </c>
      <c r="E60" s="1" t="s">
        <v>1120</v>
      </c>
      <c r="F60" s="4" t="s">
        <v>1069</v>
      </c>
      <c r="G60" s="60" t="s">
        <v>503</v>
      </c>
      <c r="H60" s="1" t="s">
        <v>484</v>
      </c>
      <c r="I60" s="1" t="str">
        <f>IFERROR(CONCATENATE(VLOOKUP(C60,PARAM!D:E,2,0),VLOOKUP(D60,PARAM!J:K,2,0),VLOOKUP(E60,PARAM!G:H,2,0),VLOOKUP(G60,PARAM!P:Q,2,0)),"")</f>
        <v>1711820</v>
      </c>
      <c r="J60" s="1" t="str">
        <f>IFERROR(CONCATENATE("*",VLOOKUP(C60,PARAM!D:E,2,0),VLOOKUP(D60,PARAM!J:K,2,0),VLOOKUP(E60,PARAM!G:H,2,0),VLOOKUP(G60,PARAM!P:Q,2,0),"*"),"")</f>
        <v>*1711820*</v>
      </c>
      <c r="K60" s="1" t="str">
        <f t="shared" si="1"/>
        <v>BOLSOS DAMA MANOS LIBRES</v>
      </c>
      <c r="L60" s="1"/>
    </row>
    <row r="61">
      <c r="A61" s="55">
        <v>46186.0</v>
      </c>
      <c r="B61" s="4" t="s">
        <v>427</v>
      </c>
      <c r="C61" s="4" t="s">
        <v>1112</v>
      </c>
      <c r="D61" s="4" t="s">
        <v>1101</v>
      </c>
      <c r="E61" s="4" t="s">
        <v>1121</v>
      </c>
      <c r="F61" s="4" t="s">
        <v>1069</v>
      </c>
      <c r="G61" s="60" t="s">
        <v>503</v>
      </c>
      <c r="H61" s="1" t="s">
        <v>484</v>
      </c>
      <c r="I61" s="1" t="str">
        <f>IFERROR(CONCATENATE(VLOOKUP(C61,PARAM!D:E,2,0),VLOOKUP(D61,PARAM!J:K,2,0),VLOOKUP(E61,PARAM!G:H,2,0),VLOOKUP(G61,PARAM!P:Q,2,0)),"")</f>
        <v>1832740</v>
      </c>
      <c r="J61" s="1" t="str">
        <f>IFERROR(CONCATENATE("*",VLOOKUP(C61,PARAM!D:E,2,0),VLOOKUP(D61,PARAM!J:K,2,0),VLOOKUP(E61,PARAM!G:H,2,0),VLOOKUP(G61,PARAM!P:Q,2,0),"*"),"")</f>
        <v>*1832740*</v>
      </c>
      <c r="K61" s="1" t="str">
        <f t="shared" si="1"/>
        <v>CARRIEL UNISEX VALANT</v>
      </c>
      <c r="L61" s="1"/>
    </row>
    <row r="62">
      <c r="A62" s="55">
        <v>46186.0</v>
      </c>
      <c r="B62" s="4" t="s">
        <v>427</v>
      </c>
      <c r="C62" s="4" t="s">
        <v>418</v>
      </c>
      <c r="D62" s="4" t="s">
        <v>1060</v>
      </c>
      <c r="E62" s="4" t="s">
        <v>1111</v>
      </c>
      <c r="F62" s="4" t="s">
        <v>1082</v>
      </c>
      <c r="G62" s="60" t="s">
        <v>503</v>
      </c>
      <c r="H62" s="1" t="s">
        <v>484</v>
      </c>
      <c r="I62" s="1" t="str">
        <f>IFERROR(CONCATENATE(VLOOKUP(C62,PARAM!D:E,2,0),VLOOKUP(D62,PARAM!J:K,2,0),VLOOKUP(E62,PARAM!G:H,2,0),VLOOKUP(G62,PARAM!P:Q,2,0)),"")</f>
        <v>171570</v>
      </c>
      <c r="J62" s="1" t="str">
        <f>IFERROR(CONCATENATE("*",VLOOKUP(C62,PARAM!D:E,2,0),VLOOKUP(D62,PARAM!J:K,2,0),VLOOKUP(E62,PARAM!G:H,2,0),VLOOKUP(G62,PARAM!P:Q,2,0),"*"),"")</f>
        <v>*171570*</v>
      </c>
      <c r="K62" s="1" t="str">
        <f t="shared" si="1"/>
        <v>BOLSOS DAMA CADENA DORADA</v>
      </c>
      <c r="L62" s="1"/>
    </row>
    <row r="63">
      <c r="A63" s="55">
        <v>46186.0</v>
      </c>
      <c r="B63" s="4" t="s">
        <v>427</v>
      </c>
      <c r="C63" s="4" t="s">
        <v>418</v>
      </c>
      <c r="D63" s="4" t="s">
        <v>1060</v>
      </c>
      <c r="E63" s="4" t="s">
        <v>503</v>
      </c>
      <c r="F63" s="4" t="s">
        <v>1066</v>
      </c>
      <c r="G63" s="60" t="s">
        <v>503</v>
      </c>
      <c r="H63" s="1" t="s">
        <v>484</v>
      </c>
      <c r="I63" s="1" t="str">
        <f>IFERROR(CONCATENATE(VLOOKUP(C63,PARAM!D:E,2,0),VLOOKUP(D63,PARAM!J:K,2,0),VLOOKUP(E63,PARAM!G:H,2,0),VLOOKUP(G63,PARAM!P:Q,2,0)),"")</f>
        <v>17100</v>
      </c>
      <c r="J63" s="1" t="str">
        <f>IFERROR(CONCATENATE("*",VLOOKUP(C63,PARAM!D:E,2,0),VLOOKUP(D63,PARAM!J:K,2,0),VLOOKUP(E63,PARAM!G:H,2,0),VLOOKUP(G63,PARAM!P:Q,2,0),"*"),"")</f>
        <v>*17100*</v>
      </c>
      <c r="K63" s="1" t="str">
        <f t="shared" si="1"/>
        <v>BOLSOS DAMA -</v>
      </c>
      <c r="L63" s="1"/>
    </row>
    <row r="64">
      <c r="A64" s="55">
        <v>46186.0</v>
      </c>
      <c r="B64" s="4" t="s">
        <v>427</v>
      </c>
      <c r="C64" s="4" t="s">
        <v>418</v>
      </c>
      <c r="D64" s="4" t="s">
        <v>1060</v>
      </c>
      <c r="E64" s="4" t="s">
        <v>503</v>
      </c>
      <c r="F64" s="4" t="s">
        <v>1122</v>
      </c>
      <c r="G64" s="60" t="s">
        <v>503</v>
      </c>
      <c r="H64" s="1" t="s">
        <v>484</v>
      </c>
      <c r="I64" s="1" t="str">
        <f>IFERROR(CONCATENATE(VLOOKUP(C64,PARAM!D:E,2,0),VLOOKUP(D64,PARAM!J:K,2,0),VLOOKUP(E64,PARAM!G:H,2,0),VLOOKUP(G64,PARAM!P:Q,2,0)),"")</f>
        <v>17100</v>
      </c>
      <c r="J64" s="1" t="str">
        <f>IFERROR(CONCATENATE("*",VLOOKUP(C64,PARAM!D:E,2,0),VLOOKUP(D64,PARAM!J:K,2,0),VLOOKUP(E64,PARAM!G:H,2,0),VLOOKUP(G64,PARAM!P:Q,2,0),"*"),"")</f>
        <v>*17100*</v>
      </c>
      <c r="K64" s="1" t="str">
        <f t="shared" si="1"/>
        <v>BOLSOS DAMA -</v>
      </c>
      <c r="L64" s="1"/>
    </row>
    <row r="65">
      <c r="A65" s="55">
        <v>46186.0</v>
      </c>
      <c r="B65" s="4" t="s">
        <v>427</v>
      </c>
      <c r="C65" s="4" t="s">
        <v>418</v>
      </c>
      <c r="D65" s="4" t="s">
        <v>1060</v>
      </c>
      <c r="E65" s="1" t="s">
        <v>1123</v>
      </c>
      <c r="F65" s="4" t="s">
        <v>1082</v>
      </c>
      <c r="G65" s="60" t="s">
        <v>503</v>
      </c>
      <c r="H65" s="1" t="s">
        <v>484</v>
      </c>
      <c r="I65" s="1" t="str">
        <f>IFERROR(CONCATENATE(VLOOKUP(C65,PARAM!D:E,2,0),VLOOKUP(D65,PARAM!J:K,2,0),VLOOKUP(E65,PARAM!G:H,2,0),VLOOKUP(G65,PARAM!P:Q,2,0)),"")</f>
        <v>171730</v>
      </c>
      <c r="J65" s="1" t="str">
        <f>IFERROR(CONCATENATE("*",VLOOKUP(C65,PARAM!D:E,2,0),VLOOKUP(D65,PARAM!J:K,2,0),VLOOKUP(E65,PARAM!G:H,2,0),VLOOKUP(G65,PARAM!P:Q,2,0),"*"),"")</f>
        <v>*171730*</v>
      </c>
      <c r="K65" s="1" t="str">
        <f t="shared" si="1"/>
        <v>BOLSOS DAMA CHAPA DORADA</v>
      </c>
      <c r="L65" s="1"/>
    </row>
    <row r="66">
      <c r="A66" s="55">
        <v>46186.0</v>
      </c>
      <c r="B66" s="4" t="s">
        <v>427</v>
      </c>
      <c r="C66" s="4" t="s">
        <v>1124</v>
      </c>
      <c r="D66" s="4" t="s">
        <v>1101</v>
      </c>
      <c r="E66" s="4" t="s">
        <v>1102</v>
      </c>
      <c r="F66" s="4" t="s">
        <v>1069</v>
      </c>
      <c r="G66" s="60" t="s">
        <v>503</v>
      </c>
      <c r="H66" s="1" t="s">
        <v>503</v>
      </c>
      <c r="I66" s="1" t="str">
        <f>IFERROR(CONCATENATE(VLOOKUP(C66,PARAM!D:E,2,0),VLOOKUP(D66,PARAM!J:K,2,0),VLOOKUP(E66,PARAM!G:H,2,0),VLOOKUP(G66,PARAM!P:Q,2,0)),"")</f>
        <v>213860</v>
      </c>
      <c r="J66" s="1" t="str">
        <f>IFERROR(CONCATENATE("*",VLOOKUP(C66,PARAM!D:E,2,0),VLOOKUP(D66,PARAM!J:K,2,0),VLOOKUP(E66,PARAM!G:H,2,0),VLOOKUP(G66,PARAM!P:Q,2,0),"*"),"")</f>
        <v>*213860*</v>
      </c>
      <c r="K66" s="1" t="str">
        <f t="shared" si="1"/>
        <v>CAJAS REGALO UNISEX COLOMBIA</v>
      </c>
      <c r="L66" s="1"/>
    </row>
    <row r="67">
      <c r="A67" s="55">
        <v>46186.0</v>
      </c>
      <c r="B67" s="4" t="s">
        <v>427</v>
      </c>
      <c r="C67" s="4" t="s">
        <v>1125</v>
      </c>
      <c r="D67" s="4" t="s">
        <v>1101</v>
      </c>
      <c r="E67" s="4" t="s">
        <v>503</v>
      </c>
      <c r="F67" s="4" t="s">
        <v>1066</v>
      </c>
      <c r="G67" s="60" t="s">
        <v>503</v>
      </c>
      <c r="H67" s="1" t="s">
        <v>503</v>
      </c>
      <c r="I67" s="1" t="str">
        <f>IFERROR(CONCATENATE(VLOOKUP(C67,PARAM!D:E,2,0),VLOOKUP(D67,PARAM!J:K,2,0),VLOOKUP(E67,PARAM!G:H,2,0),VLOOKUP(G67,PARAM!P:Q,2,0)),"")</f>
        <v>48300</v>
      </c>
      <c r="J67" s="1" t="str">
        <f>IFERROR(CONCATENATE("*",VLOOKUP(C67,PARAM!D:E,2,0),VLOOKUP(D67,PARAM!J:K,2,0),VLOOKUP(E67,PARAM!G:H,2,0),VLOOKUP(G67,PARAM!P:Q,2,0),"*"),"")</f>
        <v>*48300*</v>
      </c>
      <c r="K67" s="1" t="str">
        <f t="shared" si="1"/>
        <v>BOLSAS JOYERIA UNISEX -</v>
      </c>
      <c r="L67" s="1"/>
    </row>
    <row r="68">
      <c r="A68" s="55">
        <v>46186.0</v>
      </c>
      <c r="B68" s="4" t="s">
        <v>427</v>
      </c>
      <c r="C68" s="1" t="s">
        <v>1126</v>
      </c>
      <c r="D68" s="4" t="s">
        <v>1101</v>
      </c>
      <c r="E68" s="4" t="s">
        <v>503</v>
      </c>
      <c r="F68" s="4" t="s">
        <v>1069</v>
      </c>
      <c r="G68" s="60" t="s">
        <v>503</v>
      </c>
      <c r="H68" s="1" t="s">
        <v>503</v>
      </c>
      <c r="I68" s="1" t="str">
        <f>IFERROR(CONCATENATE(VLOOKUP(C68,PARAM!D:E,2,0),VLOOKUP(D68,PARAM!J:K,2,0),VLOOKUP(E68,PARAM!G:H,2,0),VLOOKUP(G68,PARAM!P:Q,2,0)),"")</f>
        <v>49300</v>
      </c>
      <c r="J68" s="1" t="str">
        <f>IFERROR(CONCATENATE("*",VLOOKUP(C68,PARAM!D:E,2,0),VLOOKUP(D68,PARAM!J:K,2,0),VLOOKUP(E68,PARAM!G:H,2,0),VLOOKUP(G68,PARAM!P:Q,2,0),"*"),"")</f>
        <v>*49300*</v>
      </c>
      <c r="K68" s="1" t="str">
        <f t="shared" si="1"/>
        <v>CAJAS JOYERIA UNISEX -</v>
      </c>
      <c r="L68" s="1"/>
    </row>
    <row r="69">
      <c r="A69" s="55">
        <v>46186.0</v>
      </c>
      <c r="B69" s="4" t="s">
        <v>427</v>
      </c>
      <c r="C69" s="4" t="s">
        <v>1110</v>
      </c>
      <c r="D69" s="4" t="s">
        <v>1080</v>
      </c>
      <c r="E69" s="1" t="s">
        <v>1127</v>
      </c>
      <c r="F69" s="4" t="s">
        <v>1069</v>
      </c>
      <c r="G69" s="60" t="s">
        <v>503</v>
      </c>
      <c r="H69" s="1" t="s">
        <v>484</v>
      </c>
      <c r="I69" s="1" t="str">
        <f>IFERROR(CONCATENATE(VLOOKUP(C69,PARAM!D:E,2,0),VLOOKUP(D69,PARAM!J:K,2,0),VLOOKUP(E69,PARAM!G:H,2,0),VLOOKUP(G69,PARAM!P:Q,2,0)),"")</f>
        <v>2221910</v>
      </c>
      <c r="J69" s="1" t="str">
        <f>IFERROR(CONCATENATE("*",VLOOKUP(C69,PARAM!D:E,2,0),VLOOKUP(D69,PARAM!J:K,2,0),VLOOKUP(E69,PARAM!G:H,2,0),VLOOKUP(G69,PARAM!P:Q,2,0),"*"),"")</f>
        <v>*2221910*</v>
      </c>
      <c r="K69" s="1" t="str">
        <f t="shared" si="1"/>
        <v>CORREAS CABALLERO MONT BLANC</v>
      </c>
      <c r="L69" s="1"/>
    </row>
    <row r="70">
      <c r="A70" s="55">
        <v>46186.0</v>
      </c>
      <c r="B70" s="4" t="s">
        <v>427</v>
      </c>
      <c r="C70" s="4" t="s">
        <v>1128</v>
      </c>
      <c r="D70" s="4" t="s">
        <v>1080</v>
      </c>
      <c r="E70" s="4" t="s">
        <v>1129</v>
      </c>
      <c r="F70" s="4" t="s">
        <v>1069</v>
      </c>
      <c r="G70" s="60" t="s">
        <v>503</v>
      </c>
      <c r="H70" s="1" t="s">
        <v>484</v>
      </c>
      <c r="I70" s="1" t="str">
        <f>IFERROR(CONCATENATE(VLOOKUP(C70,PARAM!D:E,2,0),VLOOKUP(D70,PARAM!J:K,2,0),VLOOKUP(E70,PARAM!G:H,2,0),VLOOKUP(G70,PARAM!P:Q,2,0)),"")</f>
        <v>502620</v>
      </c>
      <c r="J70" s="1" t="str">
        <f>IFERROR(CONCATENATE("*",VLOOKUP(C70,PARAM!D:E,2,0),VLOOKUP(D70,PARAM!J:K,2,0),VLOOKUP(E70,PARAM!G:H,2,0),VLOOKUP(G70,PARAM!P:Q,2,0),"*"),"")</f>
        <v>*502620*</v>
      </c>
      <c r="K70" s="1" t="str">
        <f t="shared" si="1"/>
        <v>CINTURON+BILLETERA CABALLERO CAJA VERSACE</v>
      </c>
      <c r="L70" s="1"/>
    </row>
    <row r="71">
      <c r="A71" s="55">
        <v>46186.0</v>
      </c>
      <c r="B71" s="4" t="s">
        <v>427</v>
      </c>
      <c r="C71" s="4" t="s">
        <v>1128</v>
      </c>
      <c r="D71" s="4" t="s">
        <v>1080</v>
      </c>
      <c r="E71" s="1" t="s">
        <v>1130</v>
      </c>
      <c r="F71" s="4" t="s">
        <v>1069</v>
      </c>
      <c r="G71" s="60" t="s">
        <v>503</v>
      </c>
      <c r="H71" s="1" t="s">
        <v>484</v>
      </c>
      <c r="I71" s="1" t="str">
        <f>IFERROR(CONCATENATE(VLOOKUP(C71,PARAM!D:E,2,0),VLOOKUP(D71,PARAM!J:K,2,0),VLOOKUP(E71,PARAM!G:H,2,0),VLOOKUP(G71,PARAM!P:Q,2,0)),"")</f>
        <v>502600</v>
      </c>
      <c r="J71" s="1" t="str">
        <f>IFERROR(CONCATENATE("*",VLOOKUP(C71,PARAM!D:E,2,0),VLOOKUP(D71,PARAM!J:K,2,0),VLOOKUP(E71,PARAM!G:H,2,0),VLOOKUP(G71,PARAM!P:Q,2,0),"*"),"")</f>
        <v>*502600*</v>
      </c>
      <c r="K71" s="1" t="str">
        <f t="shared" si="1"/>
        <v>CINTURON+BILLETERA CABALLERO CAJA GUCCI</v>
      </c>
      <c r="L71" s="1"/>
    </row>
    <row r="72">
      <c r="A72" s="55">
        <v>46186.0</v>
      </c>
      <c r="B72" s="4" t="s">
        <v>427</v>
      </c>
      <c r="C72" s="4" t="s">
        <v>1128</v>
      </c>
      <c r="D72" s="4" t="s">
        <v>1080</v>
      </c>
      <c r="E72" s="1" t="s">
        <v>1131</v>
      </c>
      <c r="F72" s="4" t="s">
        <v>1069</v>
      </c>
      <c r="G72" s="60" t="s">
        <v>503</v>
      </c>
      <c r="H72" s="1" t="s">
        <v>484</v>
      </c>
      <c r="I72" s="1" t="str">
        <f>IFERROR(CONCATENATE(VLOOKUP(C72,PARAM!D:E,2,0),VLOOKUP(D72,PARAM!J:K,2,0),VLOOKUP(E72,PARAM!G:H,2,0),VLOOKUP(G72,PARAM!P:Q,2,0)),"")</f>
        <v>502610</v>
      </c>
      <c r="J72" s="1" t="str">
        <f>IFERROR(CONCATENATE("*",VLOOKUP(C72,PARAM!D:E,2,0),VLOOKUP(D72,PARAM!J:K,2,0),VLOOKUP(E72,PARAM!G:H,2,0),VLOOKUP(G72,PARAM!P:Q,2,0),"*"),"")</f>
        <v>*502610*</v>
      </c>
      <c r="K72" s="1" t="str">
        <f t="shared" si="1"/>
        <v>CINTURON+BILLETERA CABALLERO CAJA HERMES</v>
      </c>
      <c r="L72" s="1"/>
    </row>
    <row r="73">
      <c r="A73" s="55">
        <v>46186.0</v>
      </c>
      <c r="B73" s="4" t="s">
        <v>427</v>
      </c>
      <c r="C73" s="4" t="s">
        <v>1132</v>
      </c>
      <c r="D73" s="4" t="s">
        <v>1080</v>
      </c>
      <c r="E73" s="1" t="s">
        <v>1127</v>
      </c>
      <c r="F73" s="4" t="s">
        <v>1069</v>
      </c>
      <c r="G73" s="60" t="s">
        <v>503</v>
      </c>
      <c r="H73" s="1" t="s">
        <v>484</v>
      </c>
      <c r="I73" s="1" t="str">
        <f>IFERROR(CONCATENATE(VLOOKUP(C73,PARAM!D:E,2,0),VLOOKUP(D73,PARAM!J:K,2,0),VLOOKUP(E73,PARAM!G:H,2,0),VLOOKUP(G73,PARAM!P:Q,2,0)),"")</f>
        <v>2321910</v>
      </c>
      <c r="J73" s="1" t="str">
        <f>IFERROR(CONCATENATE("*",VLOOKUP(C73,PARAM!D:E,2,0),VLOOKUP(D73,PARAM!J:K,2,0),VLOOKUP(E73,PARAM!G:H,2,0),VLOOKUP(G73,PARAM!P:Q,2,0),"*"),"")</f>
        <v>*2321910*</v>
      </c>
      <c r="K73" s="1" t="str">
        <f t="shared" si="1"/>
        <v>BILLETERAS CABALLERO MONT BLANC</v>
      </c>
      <c r="L73" s="1"/>
    </row>
    <row r="74">
      <c r="A74" s="55">
        <v>46186.0</v>
      </c>
      <c r="B74" s="4" t="s">
        <v>427</v>
      </c>
      <c r="C74" s="4" t="s">
        <v>1110</v>
      </c>
      <c r="D74" s="4" t="s">
        <v>1080</v>
      </c>
      <c r="E74" s="4" t="s">
        <v>1133</v>
      </c>
      <c r="F74" s="4" t="s">
        <v>1069</v>
      </c>
      <c r="G74" s="60" t="s">
        <v>503</v>
      </c>
      <c r="H74" s="1" t="s">
        <v>484</v>
      </c>
      <c r="I74" s="1" t="str">
        <f>IFERROR(CONCATENATE(VLOOKUP(C74,PARAM!D:E,2,0),VLOOKUP(D74,PARAM!J:K,2,0),VLOOKUP(E74,PARAM!G:H,2,0),VLOOKUP(G74,PARAM!P:Q,2,0)),"")</f>
        <v>222630</v>
      </c>
      <c r="J74" s="1" t="str">
        <f>IFERROR(CONCATENATE("*",VLOOKUP(C74,PARAM!D:E,2,0),VLOOKUP(D74,PARAM!J:K,2,0),VLOOKUP(E74,PARAM!G:H,2,0),VLOOKUP(G74,PARAM!P:Q,2,0),"*"),"")</f>
        <v>*222630*</v>
      </c>
      <c r="K74" s="1" t="str">
        <f t="shared" si="1"/>
        <v>CORREAS CABALLERO CALVIN KLEIN</v>
      </c>
      <c r="L74" s="1"/>
    </row>
    <row r="75">
      <c r="A75" s="55">
        <v>46186.0</v>
      </c>
      <c r="B75" s="4" t="s">
        <v>427</v>
      </c>
      <c r="C75" s="4" t="s">
        <v>1132</v>
      </c>
      <c r="D75" s="4" t="s">
        <v>1080</v>
      </c>
      <c r="E75" s="4" t="s">
        <v>1133</v>
      </c>
      <c r="F75" s="4" t="s">
        <v>1069</v>
      </c>
      <c r="G75" s="60" t="s">
        <v>503</v>
      </c>
      <c r="H75" s="1" t="s">
        <v>484</v>
      </c>
      <c r="I75" s="1" t="str">
        <f>IFERROR(CONCATENATE(VLOOKUP(C75,PARAM!D:E,2,0),VLOOKUP(D75,PARAM!J:K,2,0),VLOOKUP(E75,PARAM!G:H,2,0),VLOOKUP(G75,PARAM!P:Q,2,0)),"")</f>
        <v>232630</v>
      </c>
      <c r="J75" s="1" t="str">
        <f>IFERROR(CONCATENATE("*",VLOOKUP(C75,PARAM!D:E,2,0),VLOOKUP(D75,PARAM!J:K,2,0),VLOOKUP(E75,PARAM!G:H,2,0),VLOOKUP(G75,PARAM!P:Q,2,0),"*"),"")</f>
        <v>*232630*</v>
      </c>
      <c r="K75" s="1" t="str">
        <f t="shared" si="1"/>
        <v>BILLETERAS CABALLERO CALVIN KLEIN</v>
      </c>
      <c r="L75" s="1"/>
    </row>
    <row r="76">
      <c r="A76" s="55">
        <v>46186.0</v>
      </c>
      <c r="B76" s="4" t="s">
        <v>427</v>
      </c>
      <c r="C76" s="4" t="s">
        <v>1110</v>
      </c>
      <c r="D76" s="4" t="s">
        <v>1080</v>
      </c>
      <c r="E76" s="1" t="s">
        <v>1134</v>
      </c>
      <c r="F76" s="4" t="s">
        <v>1069</v>
      </c>
      <c r="G76" s="60" t="s">
        <v>503</v>
      </c>
      <c r="H76" s="1" t="s">
        <v>484</v>
      </c>
      <c r="I76" s="1" t="str">
        <f>IFERROR(CONCATENATE(VLOOKUP(C76,PARAM!D:E,2,0),VLOOKUP(D76,PARAM!J:K,2,0),VLOOKUP(E76,PARAM!G:H,2,0),VLOOKUP(G76,PARAM!P:Q,2,0)),"")</f>
        <v>2221780</v>
      </c>
      <c r="J76" s="1" t="str">
        <f>IFERROR(CONCATENATE("*",VLOOKUP(C76,PARAM!D:E,2,0),VLOOKUP(D76,PARAM!J:K,2,0),VLOOKUP(E76,PARAM!G:H,2,0),VLOOKUP(G76,PARAM!P:Q,2,0),"*"),"")</f>
        <v>*2221780*</v>
      </c>
      <c r="K76" s="1" t="str">
        <f t="shared" si="1"/>
        <v>CORREAS CABALLERO LOUIS VUITTON</v>
      </c>
      <c r="L76" s="1"/>
    </row>
    <row r="77">
      <c r="A77" s="55">
        <v>46186.0</v>
      </c>
      <c r="B77" s="4" t="s">
        <v>427</v>
      </c>
      <c r="C77" s="4" t="s">
        <v>1132</v>
      </c>
      <c r="D77" s="4" t="s">
        <v>1080</v>
      </c>
      <c r="E77" s="1" t="s">
        <v>1134</v>
      </c>
      <c r="F77" s="4" t="s">
        <v>1069</v>
      </c>
      <c r="G77" s="60" t="s">
        <v>503</v>
      </c>
      <c r="H77" s="1" t="s">
        <v>484</v>
      </c>
      <c r="I77" s="1" t="str">
        <f>IFERROR(CONCATENATE(VLOOKUP(C77,PARAM!D:E,2,0),VLOOKUP(D77,PARAM!J:K,2,0),VLOOKUP(E77,PARAM!G:H,2,0),VLOOKUP(G77,PARAM!P:Q,2,0)),"")</f>
        <v>2321780</v>
      </c>
      <c r="J77" s="1" t="str">
        <f>IFERROR(CONCATENATE("*",VLOOKUP(C77,PARAM!D:E,2,0),VLOOKUP(D77,PARAM!J:K,2,0),VLOOKUP(E77,PARAM!G:H,2,0),VLOOKUP(G77,PARAM!P:Q,2,0),"*"),"")</f>
        <v>*2321780*</v>
      </c>
      <c r="K77" s="1" t="str">
        <f t="shared" si="1"/>
        <v>BILLETERAS CABALLERO LOUIS VUITTON</v>
      </c>
      <c r="L77" s="1"/>
    </row>
    <row r="78">
      <c r="A78" s="55">
        <v>46186.0</v>
      </c>
      <c r="B78" s="4" t="s">
        <v>427</v>
      </c>
      <c r="C78" s="4" t="s">
        <v>1110</v>
      </c>
      <c r="D78" s="4" t="s">
        <v>1080</v>
      </c>
      <c r="E78" s="4" t="s">
        <v>1135</v>
      </c>
      <c r="F78" s="4" t="s">
        <v>1069</v>
      </c>
      <c r="G78" s="60" t="s">
        <v>503</v>
      </c>
      <c r="H78" s="1" t="s">
        <v>484</v>
      </c>
      <c r="I78" s="1" t="str">
        <f>IFERROR(CONCATENATE(VLOOKUP(C78,PARAM!D:E,2,0),VLOOKUP(D78,PARAM!J:K,2,0),VLOOKUP(E78,PARAM!G:H,2,0),VLOOKUP(G78,PARAM!P:Q,2,0)),"")</f>
        <v>2221330</v>
      </c>
      <c r="J78" s="1" t="str">
        <f>IFERROR(CONCATENATE("*",VLOOKUP(C78,PARAM!D:E,2,0),VLOOKUP(D78,PARAM!J:K,2,0),VLOOKUP(E78,PARAM!G:H,2,0),VLOOKUP(G78,PARAM!P:Q,2,0),"*"),"")</f>
        <v>*2221330*</v>
      </c>
      <c r="K78" s="1" t="str">
        <f t="shared" si="1"/>
        <v>CORREAS CABALLERO FERREGAMO</v>
      </c>
      <c r="L78" s="1"/>
    </row>
    <row r="79">
      <c r="A79" s="55">
        <v>46186.0</v>
      </c>
      <c r="B79" s="4" t="s">
        <v>1058</v>
      </c>
      <c r="C79" s="4" t="s">
        <v>1136</v>
      </c>
      <c r="D79" s="4" t="s">
        <v>1060</v>
      </c>
      <c r="E79" s="1" t="s">
        <v>1137</v>
      </c>
      <c r="F79" s="4" t="s">
        <v>1069</v>
      </c>
      <c r="G79" s="60" t="s">
        <v>1103</v>
      </c>
      <c r="H79" s="1" t="s">
        <v>517</v>
      </c>
      <c r="I79" s="1" t="str">
        <f>IFERROR(CONCATENATE(VLOOKUP(C79,PARAM!D:E,2,0),VLOOKUP(D79,PARAM!J:K,2,0),VLOOKUP(E79,PARAM!G:H,2,0),VLOOKUP(G79,PARAM!P:Q,2,0)),"")</f>
        <v>8118130</v>
      </c>
      <c r="J79" s="1" t="str">
        <f>IFERROR(CONCATENATE("*",VLOOKUP(C79,PARAM!D:E,2,0),VLOOKUP(D79,PARAM!J:K,2,0),VLOOKUP(E79,PARAM!G:H,2,0),VLOOKUP(G79,PARAM!P:Q,2,0),"*"),"")</f>
        <v>*8118130*</v>
      </c>
      <c r="K79" s="1" t="str">
        <f t="shared" si="1"/>
        <v>VESTIDOS DAMA MANGA LARGA TALLA UN</v>
      </c>
      <c r="L79" s="1"/>
    </row>
    <row r="80">
      <c r="A80" s="55">
        <v>46186.0</v>
      </c>
      <c r="B80" s="4" t="s">
        <v>1058</v>
      </c>
      <c r="C80" s="4" t="s">
        <v>1136</v>
      </c>
      <c r="D80" s="4" t="s">
        <v>1060</v>
      </c>
      <c r="E80" s="1" t="s">
        <v>1138</v>
      </c>
      <c r="F80" s="4" t="s">
        <v>1069</v>
      </c>
      <c r="G80" s="60" t="s">
        <v>1103</v>
      </c>
      <c r="H80" s="1" t="s">
        <v>517</v>
      </c>
      <c r="I80" s="1" t="str">
        <f>IFERROR(CONCATENATE(VLOOKUP(C80,PARAM!D:E,2,0),VLOOKUP(D80,PARAM!J:K,2,0),VLOOKUP(E80,PARAM!G:H,2,0),VLOOKUP(G80,PARAM!P:Q,2,0)),"")</f>
        <v>8111230</v>
      </c>
      <c r="J80" s="1" t="str">
        <f>IFERROR(CONCATENATE("*",VLOOKUP(C80,PARAM!D:E,2,0),VLOOKUP(D80,PARAM!J:K,2,0),VLOOKUP(E80,PARAM!G:H,2,0),VLOOKUP(G80,PARAM!P:Q,2,0),"*"),"")</f>
        <v>*8111230*</v>
      </c>
      <c r="K80" s="1" t="str">
        <f t="shared" si="1"/>
        <v>VESTIDOS DAMA DE TIRAS TALLA UN</v>
      </c>
      <c r="L80" s="1"/>
    </row>
    <row r="81">
      <c r="A81" s="55">
        <v>46186.0</v>
      </c>
      <c r="B81" s="4" t="s">
        <v>1058</v>
      </c>
      <c r="C81" s="4" t="s">
        <v>421</v>
      </c>
      <c r="D81" s="4" t="s">
        <v>1060</v>
      </c>
      <c r="E81" s="4" t="s">
        <v>1139</v>
      </c>
      <c r="F81" s="4" t="s">
        <v>1069</v>
      </c>
      <c r="G81" s="60" t="s">
        <v>1103</v>
      </c>
      <c r="H81" s="1" t="s">
        <v>517</v>
      </c>
      <c r="I81" s="1" t="str">
        <f>IFERROR(CONCATENATE(VLOOKUP(C81,PARAM!D:E,2,0),VLOOKUP(D81,PARAM!J:K,2,0),VLOOKUP(E81,PARAM!G:H,2,0),VLOOKUP(G81,PARAM!P:Q,2,0)),"")</f>
        <v>613430</v>
      </c>
      <c r="J81" s="1" t="str">
        <f>IFERROR(CONCATENATE("*",VLOOKUP(C81,PARAM!D:E,2,0),VLOOKUP(D81,PARAM!J:K,2,0),VLOOKUP(E81,PARAM!G:H,2,0),VLOOKUP(G81,PARAM!P:Q,2,0),"*"),"")</f>
        <v>*613430*</v>
      </c>
      <c r="K81" s="1" t="str">
        <f t="shared" si="1"/>
        <v>BLUSAS DAMA ASIMETRICA 1 HOMBRO TALLA UN</v>
      </c>
      <c r="L81" s="1"/>
    </row>
    <row r="82">
      <c r="A82" s="55">
        <v>46186.0</v>
      </c>
      <c r="B82" s="4" t="s">
        <v>1058</v>
      </c>
      <c r="C82" s="4" t="s">
        <v>1140</v>
      </c>
      <c r="D82" s="4" t="s">
        <v>1060</v>
      </c>
      <c r="E82" s="1" t="s">
        <v>1141</v>
      </c>
      <c r="F82" s="4" t="s">
        <v>1069</v>
      </c>
      <c r="G82" s="60" t="s">
        <v>1103</v>
      </c>
      <c r="H82" s="1" t="s">
        <v>517</v>
      </c>
      <c r="I82" s="1" t="str">
        <f>IFERROR(CONCATENATE(VLOOKUP(C82,PARAM!D:E,2,0),VLOOKUP(D82,PARAM!J:K,2,0),VLOOKUP(E82,PARAM!G:H,2,0),VLOOKUP(G82,PARAM!P:Q,2,0)),"")</f>
        <v>51126330</v>
      </c>
      <c r="J82" s="1" t="str">
        <f>IFERROR(CONCATENATE("*",VLOOKUP(C82,PARAM!D:E,2,0),VLOOKUP(D82,PARAM!J:K,2,0),VLOOKUP(E82,PARAM!G:H,2,0),VLOOKUP(G82,PARAM!P:Q,2,0),"*"),"")</f>
        <v>*51126330*</v>
      </c>
      <c r="K82" s="1" t="str">
        <f t="shared" si="1"/>
        <v>STRAPLE DAMA TIRA CUELLO TALLA UN</v>
      </c>
      <c r="L82" s="1"/>
    </row>
    <row r="83">
      <c r="A83" s="55">
        <v>46186.0</v>
      </c>
      <c r="B83" s="4" t="s">
        <v>1058</v>
      </c>
      <c r="C83" s="4" t="s">
        <v>1142</v>
      </c>
      <c r="D83" s="4" t="s">
        <v>1060</v>
      </c>
      <c r="E83" s="4" t="s">
        <v>1143</v>
      </c>
      <c r="F83" s="4" t="s">
        <v>1069</v>
      </c>
      <c r="G83" s="60" t="s">
        <v>1103</v>
      </c>
      <c r="H83" s="1" t="s">
        <v>522</v>
      </c>
      <c r="I83" s="1" t="str">
        <f>IFERROR(CONCATENATE(VLOOKUP(C83,PARAM!D:E,2,0),VLOOKUP(D83,PARAM!J:K,2,0),VLOOKUP(E83,PARAM!G:H,2,0),VLOOKUP(G83,PARAM!P:Q,2,0)),"")</f>
        <v>715030</v>
      </c>
      <c r="J83" s="1" t="str">
        <f>IFERROR(CONCATENATE("*",VLOOKUP(C83,PARAM!D:E,2,0),VLOOKUP(D83,PARAM!J:K,2,0),VLOOKUP(E83,PARAM!G:H,2,0),VLOOKUP(G83,PARAM!P:Q,2,0),"*"),"")</f>
        <v>*715030*</v>
      </c>
      <c r="K83" s="1" t="str">
        <f t="shared" si="1"/>
        <v>TEJIDOS DAMA BOTONES TALLA UN</v>
      </c>
      <c r="L83" s="1"/>
    </row>
    <row r="84">
      <c r="A84" s="55">
        <v>46186.0</v>
      </c>
      <c r="B84" s="4" t="s">
        <v>1058</v>
      </c>
      <c r="C84" s="4" t="s">
        <v>1142</v>
      </c>
      <c r="D84" s="4" t="s">
        <v>1060</v>
      </c>
      <c r="E84" s="4" t="s">
        <v>1144</v>
      </c>
      <c r="F84" s="4" t="s">
        <v>1069</v>
      </c>
      <c r="G84" s="60" t="s">
        <v>1103</v>
      </c>
      <c r="H84" s="1" t="s">
        <v>522</v>
      </c>
      <c r="I84" s="1" t="str">
        <f>IFERROR(CONCATENATE(VLOOKUP(C84,PARAM!D:E,2,0),VLOOKUP(D84,PARAM!J:K,2,0),VLOOKUP(E84,PARAM!G:H,2,0),VLOOKUP(G84,PARAM!P:Q,2,0)),"")</f>
        <v>7110830</v>
      </c>
      <c r="J84" s="1" t="str">
        <f>IFERROR(CONCATENATE("*",VLOOKUP(C84,PARAM!D:E,2,0),VLOOKUP(D84,PARAM!J:K,2,0),VLOOKUP(E84,PARAM!G:H,2,0),VLOOKUP(G84,PARAM!P:Q,2,0),"*"),"")</f>
        <v>*7110830*</v>
      </c>
      <c r="K84" s="1" t="str">
        <f t="shared" si="1"/>
        <v>TEJIDOS DAMA CUELLO REDONDO TALLA UN</v>
      </c>
      <c r="L84" s="1"/>
    </row>
    <row r="85">
      <c r="A85" s="55">
        <v>46186.0</v>
      </c>
      <c r="B85" s="4" t="s">
        <v>1058</v>
      </c>
      <c r="C85" s="4" t="s">
        <v>1145</v>
      </c>
      <c r="D85" s="4" t="s">
        <v>1060</v>
      </c>
      <c r="E85" s="4" t="s">
        <v>503</v>
      </c>
      <c r="F85" s="4" t="s">
        <v>1069</v>
      </c>
      <c r="G85" s="60" t="s">
        <v>1103</v>
      </c>
      <c r="H85" s="1" t="s">
        <v>522</v>
      </c>
      <c r="I85" s="1" t="str">
        <f>IFERROR(CONCATENATE(VLOOKUP(C85,PARAM!D:E,2,0),VLOOKUP(D85,PARAM!J:K,2,0),VLOOKUP(E85,PARAM!G:H,2,0),VLOOKUP(G85,PARAM!P:Q,2,0)),"")</f>
        <v>521030</v>
      </c>
      <c r="J85" s="1" t="str">
        <f>IFERROR(CONCATENATE("*",VLOOKUP(C85,PARAM!D:E,2,0),VLOOKUP(D85,PARAM!J:K,2,0),VLOOKUP(E85,PARAM!G:H,2,0),VLOOKUP(G85,PARAM!P:Q,2,0),"*"),"")</f>
        <v>*521030*</v>
      </c>
      <c r="K85" s="1" t="str">
        <f t="shared" si="1"/>
        <v>BATAS TEJIDO DAMA - TALLA UN</v>
      </c>
      <c r="L85" s="1"/>
    </row>
    <row r="86">
      <c r="A86" s="55">
        <v>46186.0</v>
      </c>
      <c r="B86" s="4" t="s">
        <v>427</v>
      </c>
      <c r="C86" s="4" t="s">
        <v>426</v>
      </c>
      <c r="D86" s="4" t="s">
        <v>1060</v>
      </c>
      <c r="E86" s="1" t="s">
        <v>1146</v>
      </c>
      <c r="F86" s="4" t="s">
        <v>1069</v>
      </c>
      <c r="G86" s="60" t="s">
        <v>1070</v>
      </c>
      <c r="H86" s="1" t="s">
        <v>526</v>
      </c>
      <c r="I86" s="1" t="str">
        <f>IFERROR(CONCATENATE(VLOOKUP(C86,PARAM!D:E,2,0),VLOOKUP(D86,PARAM!J:K,2,0),VLOOKUP(E86,PARAM!G:H,2,0),VLOOKUP(G86,PARAM!P:Q,2,0)),"")</f>
        <v>2414931</v>
      </c>
      <c r="J86" s="1" t="str">
        <f>IFERROR(CONCATENATE("*",VLOOKUP(C86,PARAM!D:E,2,0),VLOOKUP(D86,PARAM!J:K,2,0),VLOOKUP(E86,PARAM!G:H,2,0),VLOOKUP(G86,PARAM!P:Q,2,0),"*"),"")</f>
        <v>*2414931*</v>
      </c>
      <c r="K86" s="1" t="str">
        <f t="shared" si="1"/>
        <v>MEDIAS DAMA BORDADA VALANT TALLA VA</v>
      </c>
      <c r="L86" s="1"/>
    </row>
    <row r="87">
      <c r="A87" s="55">
        <v>46186.0</v>
      </c>
      <c r="B87" s="4" t="s">
        <v>427</v>
      </c>
      <c r="C87" s="4" t="s">
        <v>426</v>
      </c>
      <c r="D87" s="4" t="s">
        <v>1060</v>
      </c>
      <c r="E87" s="1" t="s">
        <v>1147</v>
      </c>
      <c r="F87" s="4" t="s">
        <v>1069</v>
      </c>
      <c r="G87" s="60" t="s">
        <v>1070</v>
      </c>
      <c r="H87" s="1" t="s">
        <v>526</v>
      </c>
      <c r="I87" s="1" t="str">
        <f>IFERROR(CONCATENATE(VLOOKUP(C87,PARAM!D:E,2,0),VLOOKUP(D87,PARAM!J:K,2,0),VLOOKUP(E87,PARAM!G:H,2,0),VLOOKUP(G87,PARAM!P:Q,2,0)),"")</f>
        <v>24125531</v>
      </c>
      <c r="J87" s="1" t="str">
        <f>IFERROR(CONCATENATE("*",VLOOKUP(C87,PARAM!D:E,2,0),VLOOKUP(D87,PARAM!J:K,2,0),VLOOKUP(E87,PARAM!G:H,2,0),VLOOKUP(G87,PARAM!P:Q,2,0),"*"),"")</f>
        <v>*24125531*</v>
      </c>
      <c r="K87" s="1" t="str">
        <f t="shared" si="1"/>
        <v>MEDIAS DAMA TALONERA HOLALA TALLA VA</v>
      </c>
      <c r="L87" s="1"/>
    </row>
    <row r="88">
      <c r="A88" s="55">
        <v>46186.0</v>
      </c>
      <c r="B88" s="4" t="s">
        <v>427</v>
      </c>
      <c r="C88" s="4" t="s">
        <v>426</v>
      </c>
      <c r="D88" s="4" t="s">
        <v>1060</v>
      </c>
      <c r="E88" s="1" t="s">
        <v>1148</v>
      </c>
      <c r="F88" s="4" t="s">
        <v>1069</v>
      </c>
      <c r="G88" s="60" t="s">
        <v>1070</v>
      </c>
      <c r="H88" s="1" t="s">
        <v>526</v>
      </c>
      <c r="I88" s="1" t="str">
        <f>IFERROR(CONCATENATE(VLOOKUP(C88,PARAM!D:E,2,0),VLOOKUP(D88,PARAM!J:K,2,0),VLOOKUP(E88,PARAM!G:H,2,0),VLOOKUP(G88,PARAM!P:Q,2,0)),"")</f>
        <v>24125631</v>
      </c>
      <c r="J88" s="1" t="str">
        <f>IFERROR(CONCATENATE("*",VLOOKUP(C88,PARAM!D:E,2,0),VLOOKUP(D88,PARAM!J:K,2,0),VLOOKUP(E88,PARAM!G:H,2,0),VLOOKUP(G88,PARAM!P:Q,2,0),"*"),"")</f>
        <v>*24125631*</v>
      </c>
      <c r="K88" s="1" t="str">
        <f t="shared" si="1"/>
        <v>MEDIAS DAMA TALONERA TOBILLERA TALLA VA</v>
      </c>
      <c r="L88" s="1"/>
    </row>
    <row r="89">
      <c r="A89" s="55">
        <v>46186.0</v>
      </c>
      <c r="B89" s="4" t="s">
        <v>427</v>
      </c>
      <c r="C89" s="4" t="s">
        <v>426</v>
      </c>
      <c r="D89" s="4" t="s">
        <v>1060</v>
      </c>
      <c r="E89" s="1" t="s">
        <v>1149</v>
      </c>
      <c r="F89" s="4" t="s">
        <v>1069</v>
      </c>
      <c r="G89" s="60" t="s">
        <v>1070</v>
      </c>
      <c r="H89" s="1" t="s">
        <v>526</v>
      </c>
      <c r="I89" s="1" t="str">
        <f>IFERROR(CONCATENATE(VLOOKUP(C89,PARAM!D:E,2,0),VLOOKUP(D89,PARAM!J:K,2,0),VLOOKUP(E89,PARAM!G:H,2,0),VLOOKUP(G89,PARAM!P:Q,2,0)),"")</f>
        <v>24113431</v>
      </c>
      <c r="J89" s="1" t="str">
        <f>IFERROR(CONCATENATE("*",VLOOKUP(C89,PARAM!D:E,2,0),VLOOKUP(D89,PARAM!J:K,2,0),VLOOKUP(E89,PARAM!G:H,2,0),VLOOKUP(G89,PARAM!P:Q,2,0),"*"),"")</f>
        <v>*24113431*</v>
      </c>
      <c r="K89" s="1" t="str">
        <f t="shared" si="1"/>
        <v>MEDIAS DAMA FINA HOLALA TALLA VA</v>
      </c>
      <c r="L89" s="1"/>
    </row>
    <row r="90">
      <c r="A90" s="55">
        <v>46186.0</v>
      </c>
      <c r="B90" s="4" t="s">
        <v>427</v>
      </c>
      <c r="C90" s="4" t="s">
        <v>426</v>
      </c>
      <c r="D90" s="4" t="s">
        <v>1060</v>
      </c>
      <c r="E90" s="1" t="s">
        <v>1150</v>
      </c>
      <c r="F90" s="4" t="s">
        <v>1069</v>
      </c>
      <c r="G90" s="60" t="s">
        <v>1070</v>
      </c>
      <c r="H90" s="1" t="s">
        <v>526</v>
      </c>
      <c r="I90" s="1" t="str">
        <f>IFERROR(CONCATENATE(VLOOKUP(C90,PARAM!D:E,2,0),VLOOKUP(D90,PARAM!J:K,2,0),VLOOKUP(E90,PARAM!G:H,2,0),VLOOKUP(G90,PARAM!P:Q,2,0)),"")</f>
        <v>24118331</v>
      </c>
      <c r="J90" s="1" t="str">
        <f>IFERROR(CONCATENATE("*",VLOOKUP(C90,PARAM!D:E,2,0),VLOOKUP(D90,PARAM!J:K,2,0),VLOOKUP(E90,PARAM!G:H,2,0),VLOOKUP(G90,PARAM!P:Q,2,0),"*"),"")</f>
        <v>*24118331*</v>
      </c>
      <c r="K90" s="1" t="str">
        <f t="shared" si="1"/>
        <v>MEDIAS DAMA MARCADA HOLALA TALLA VA</v>
      </c>
      <c r="L90" s="1"/>
    </row>
    <row r="91">
      <c r="A91" s="55">
        <v>46186.0</v>
      </c>
      <c r="B91" s="4" t="s">
        <v>427</v>
      </c>
      <c r="C91" s="4" t="s">
        <v>426</v>
      </c>
      <c r="D91" s="4" t="s">
        <v>1080</v>
      </c>
      <c r="E91" s="1" t="s">
        <v>1151</v>
      </c>
      <c r="F91" s="4" t="s">
        <v>1066</v>
      </c>
      <c r="G91" s="60" t="s">
        <v>1070</v>
      </c>
      <c r="H91" s="1" t="s">
        <v>526</v>
      </c>
      <c r="I91" s="1" t="str">
        <f>IFERROR(CONCATENATE(VLOOKUP(C91,PARAM!D:E,2,0),VLOOKUP(D91,PARAM!J:K,2,0),VLOOKUP(E91,PARAM!G:H,2,0),VLOOKUP(G91,PARAM!P:Q,2,0)),"")</f>
        <v>242331</v>
      </c>
      <c r="J91" s="1" t="str">
        <f>IFERROR(CONCATENATE("*",VLOOKUP(C91,PARAM!D:E,2,0),VLOOKUP(D91,PARAM!J:K,2,0),VLOOKUP(E91,PARAM!G:H,2,0),VLOOKUP(G91,PARAM!P:Q,2,0),"*"),"")</f>
        <v>*242331*</v>
      </c>
      <c r="K91" s="1" t="str">
        <f t="shared" si="1"/>
        <v>MEDIAS CABALLERO 3/4 VALANT TALLA VA</v>
      </c>
      <c r="L91" s="1"/>
    </row>
    <row r="92">
      <c r="A92" s="55">
        <v>46186.0</v>
      </c>
      <c r="B92" s="4" t="s">
        <v>427</v>
      </c>
      <c r="C92" s="4" t="s">
        <v>426</v>
      </c>
      <c r="D92" s="4" t="s">
        <v>1080</v>
      </c>
      <c r="E92" s="1" t="s">
        <v>1152</v>
      </c>
      <c r="F92" s="4" t="s">
        <v>1069</v>
      </c>
      <c r="G92" s="60" t="s">
        <v>1070</v>
      </c>
      <c r="H92" s="1" t="s">
        <v>526</v>
      </c>
      <c r="I92" s="1" t="str">
        <f>IFERROR(CONCATENATE(VLOOKUP(C92,PARAM!D:E,2,0),VLOOKUP(D92,PARAM!J:K,2,0),VLOOKUP(E92,PARAM!G:H,2,0),VLOOKUP(G92,PARAM!P:Q,2,0)),"")</f>
        <v>24216531</v>
      </c>
      <c r="J92" s="1" t="str">
        <f>IFERROR(CONCATENATE("*",VLOOKUP(C92,PARAM!D:E,2,0),VLOOKUP(D92,PARAM!J:K,2,0),VLOOKUP(E92,PARAM!G:H,2,0),VLOOKUP(G92,PARAM!P:Q,2,0),"*"),"")</f>
        <v>*24216531*</v>
      </c>
      <c r="K92" s="1" t="str">
        <f t="shared" si="1"/>
        <v>MEDIAS CABALLERO LARGA HOLALA TALLA VA</v>
      </c>
      <c r="L92" s="1"/>
    </row>
    <row r="93">
      <c r="A93" s="55">
        <v>46186.0</v>
      </c>
      <c r="B93" s="4" t="s">
        <v>427</v>
      </c>
      <c r="C93" s="4" t="s">
        <v>426</v>
      </c>
      <c r="D93" s="4" t="s">
        <v>1080</v>
      </c>
      <c r="E93" s="1" t="s">
        <v>1153</v>
      </c>
      <c r="F93" s="4" t="s">
        <v>1069</v>
      </c>
      <c r="G93" s="60" t="s">
        <v>503</v>
      </c>
      <c r="H93" s="1" t="s">
        <v>526</v>
      </c>
      <c r="I93" s="1" t="str">
        <f>IFERROR(CONCATENATE(VLOOKUP(C93,PARAM!D:E,2,0),VLOOKUP(D93,PARAM!J:K,2,0),VLOOKUP(E93,PARAM!G:H,2,0),VLOOKUP(G93,PARAM!P:Q,2,0)),"")</f>
        <v>2422640</v>
      </c>
      <c r="J93" s="1" t="str">
        <f>IFERROR(CONCATENATE("*",VLOOKUP(C93,PARAM!D:E,2,0),VLOOKUP(D93,PARAM!J:K,2,0),VLOOKUP(E93,PARAM!G:H,2,0),VLOOKUP(G93,PARAM!P:Q,2,0),"*"),"")</f>
        <v>*2422640*</v>
      </c>
      <c r="K93" s="1" t="str">
        <f t="shared" si="1"/>
        <v>MEDIAS CABALLERO TOBILLERA COTLINE</v>
      </c>
      <c r="L93" s="1"/>
    </row>
    <row r="94">
      <c r="A94" s="55">
        <v>46186.0</v>
      </c>
      <c r="B94" s="4" t="s">
        <v>427</v>
      </c>
      <c r="C94" s="4" t="s">
        <v>426</v>
      </c>
      <c r="D94" s="4" t="s">
        <v>1080</v>
      </c>
      <c r="E94" s="1" t="s">
        <v>1154</v>
      </c>
      <c r="F94" s="4" t="s">
        <v>1069</v>
      </c>
      <c r="G94" s="60" t="s">
        <v>503</v>
      </c>
      <c r="H94" s="1" t="s">
        <v>526</v>
      </c>
      <c r="I94" s="1" t="str">
        <f>IFERROR(CONCATENATE(VLOOKUP(C94,PARAM!D:E,2,0),VLOOKUP(D94,PARAM!J:K,2,0),VLOOKUP(E94,PARAM!G:H,2,0),VLOOKUP(G94,PARAM!P:Q,2,0)),"")</f>
        <v>242760</v>
      </c>
      <c r="J94" s="1" t="str">
        <f>IFERROR(CONCATENATE("*",VLOOKUP(C94,PARAM!D:E,2,0),VLOOKUP(D94,PARAM!J:K,2,0),VLOOKUP(E94,PARAM!G:H,2,0),VLOOKUP(G94,PARAM!P:Q,2,0),"*"),"")</f>
        <v>*242760*</v>
      </c>
      <c r="K94" s="1" t="str">
        <f t="shared" si="1"/>
        <v>MEDIAS CABALLERO CLASICA FINA</v>
      </c>
      <c r="L94" s="1"/>
    </row>
    <row r="95">
      <c r="A95" s="55">
        <v>46186.0</v>
      </c>
      <c r="B95" s="4" t="s">
        <v>427</v>
      </c>
      <c r="C95" s="4" t="s">
        <v>426</v>
      </c>
      <c r="D95" s="4" t="s">
        <v>1080</v>
      </c>
      <c r="E95" s="4" t="s">
        <v>1155</v>
      </c>
      <c r="F95" s="4" t="s">
        <v>1069</v>
      </c>
      <c r="G95" s="60" t="s">
        <v>503</v>
      </c>
      <c r="H95" s="1" t="s">
        <v>526</v>
      </c>
      <c r="I95" s="1" t="str">
        <f>IFERROR(CONCATENATE(VLOOKUP(C95,PARAM!D:E,2,0),VLOOKUP(D95,PARAM!J:K,2,0),VLOOKUP(E95,PARAM!G:H,2,0),VLOOKUP(G95,PARAM!P:Q,2,0)),"")</f>
        <v>242770</v>
      </c>
      <c r="J95" s="1" t="str">
        <f>IFERROR(CONCATENATE("*",VLOOKUP(C95,PARAM!D:E,2,0),VLOOKUP(D95,PARAM!J:K,2,0),VLOOKUP(E95,PARAM!G:H,2,0),VLOOKUP(G95,PARAM!P:Q,2,0),"*"),"")</f>
        <v>*242770*</v>
      </c>
      <c r="K95" s="1" t="str">
        <f t="shared" si="1"/>
        <v>MEDIAS CABALLERO CLASICAS</v>
      </c>
      <c r="L95" s="1"/>
    </row>
    <row r="96">
      <c r="A96" s="55">
        <v>46186.0</v>
      </c>
      <c r="B96" s="4" t="s">
        <v>427</v>
      </c>
      <c r="C96" s="4" t="s">
        <v>426</v>
      </c>
      <c r="D96" s="4" t="s">
        <v>1080</v>
      </c>
      <c r="E96" s="1" t="s">
        <v>1156</v>
      </c>
      <c r="F96" s="4" t="s">
        <v>1069</v>
      </c>
      <c r="G96" s="60" t="s">
        <v>503</v>
      </c>
      <c r="H96" s="1" t="s">
        <v>526</v>
      </c>
      <c r="I96" s="1" t="str">
        <f>IFERROR(CONCATENATE(VLOOKUP(C96,PARAM!D:E,2,0),VLOOKUP(D96,PARAM!J:K,2,0),VLOOKUP(E96,PARAM!G:H,2,0),VLOOKUP(G96,PARAM!P:Q,2,0)),"")</f>
        <v>2422650</v>
      </c>
      <c r="J96" s="1" t="str">
        <f>IFERROR(CONCATENATE("*",VLOOKUP(C96,PARAM!D:E,2,0),VLOOKUP(D96,PARAM!J:K,2,0),VLOOKUP(E96,PARAM!G:H,2,0),VLOOKUP(G96,PARAM!P:Q,2,0),"*"),"")</f>
        <v>*2422650*</v>
      </c>
      <c r="K96" s="1" t="str">
        <f t="shared" si="1"/>
        <v>MEDIAS CABALLERO TOBILLERA GRUESA</v>
      </c>
      <c r="L96" s="1"/>
    </row>
    <row r="97">
      <c r="A97" s="55">
        <v>46186.0</v>
      </c>
      <c r="B97" s="4" t="s">
        <v>427</v>
      </c>
      <c r="C97" s="4" t="s">
        <v>426</v>
      </c>
      <c r="D97" s="4" t="s">
        <v>1080</v>
      </c>
      <c r="E97" s="4" t="s">
        <v>1157</v>
      </c>
      <c r="F97" s="4" t="s">
        <v>1069</v>
      </c>
      <c r="G97" s="60" t="s">
        <v>503</v>
      </c>
      <c r="H97" s="1" t="s">
        <v>526</v>
      </c>
      <c r="I97" s="1" t="str">
        <f>IFERROR(CONCATENATE(VLOOKUP(C97,PARAM!D:E,2,0),VLOOKUP(D97,PARAM!J:K,2,0),VLOOKUP(E97,PARAM!G:H,2,0),VLOOKUP(G97,PARAM!P:Q,2,0)),"")</f>
        <v>2422590</v>
      </c>
      <c r="J97" s="1" t="str">
        <f>IFERROR(CONCATENATE("*",VLOOKUP(C97,PARAM!D:E,2,0),VLOOKUP(D97,PARAM!J:K,2,0),VLOOKUP(E97,PARAM!G:H,2,0),VLOOKUP(G97,PARAM!P:Q,2,0),"*"),"")</f>
        <v>*2422590*</v>
      </c>
      <c r="K97" s="1" t="str">
        <f t="shared" si="1"/>
        <v>MEDIAS CABALLERO TERCO NYLON</v>
      </c>
      <c r="L97" s="1"/>
    </row>
    <row r="98">
      <c r="A98" s="55">
        <v>46186.0</v>
      </c>
      <c r="B98" s="4" t="s">
        <v>1058</v>
      </c>
      <c r="C98" s="4" t="s">
        <v>1158</v>
      </c>
      <c r="D98" s="4" t="s">
        <v>1060</v>
      </c>
      <c r="E98" s="4" t="s">
        <v>1159</v>
      </c>
      <c r="F98" s="4" t="s">
        <v>1069</v>
      </c>
      <c r="G98" s="60" t="s">
        <v>1077</v>
      </c>
      <c r="H98" s="1" t="s">
        <v>539</v>
      </c>
      <c r="I98" s="1" t="str">
        <f>IFERROR(CONCATENATE(VLOOKUP(C98,PARAM!D:E,2,0),VLOOKUP(D98,PARAM!J:K,2,0),VLOOKUP(E98,PARAM!G:H,2,0),VLOOKUP(G98,PARAM!P:Q,2,0)),"")</f>
        <v>2118432</v>
      </c>
      <c r="J98" s="1" t="str">
        <f>IFERROR(CONCATENATE("*",VLOOKUP(C98,PARAM!D:E,2,0),VLOOKUP(D98,PARAM!J:K,2,0),VLOOKUP(E98,PARAM!G:H,2,0),VLOOKUP(G98,PARAM!P:Q,2,0),"*"),"")</f>
        <v>*2118432*</v>
      </c>
      <c r="K98" s="1" t="str">
        <f t="shared" si="1"/>
        <v>PANTALONES DAMA MARIPOSA TALLA XL</v>
      </c>
      <c r="L98" s="1"/>
    </row>
    <row r="99">
      <c r="A99" s="55">
        <v>46186.0</v>
      </c>
      <c r="B99" s="4" t="s">
        <v>1058</v>
      </c>
      <c r="C99" s="4" t="s">
        <v>1158</v>
      </c>
      <c r="D99" s="4" t="s">
        <v>1060</v>
      </c>
      <c r="E99" s="4" t="s">
        <v>1159</v>
      </c>
      <c r="F99" s="4" t="s">
        <v>1069</v>
      </c>
      <c r="G99" s="60" t="s">
        <v>1103</v>
      </c>
      <c r="H99" s="1" t="s">
        <v>539</v>
      </c>
      <c r="I99" s="1" t="str">
        <f>IFERROR(CONCATENATE(VLOOKUP(C99,PARAM!D:E,2,0),VLOOKUP(D99,PARAM!J:K,2,0),VLOOKUP(E99,PARAM!G:H,2,0),VLOOKUP(G99,PARAM!P:Q,2,0)),"")</f>
        <v>2118430</v>
      </c>
      <c r="J99" s="1" t="str">
        <f>IFERROR(CONCATENATE("*",VLOOKUP(C99,PARAM!D:E,2,0),VLOOKUP(D99,PARAM!J:K,2,0),VLOOKUP(E99,PARAM!G:H,2,0),VLOOKUP(G99,PARAM!P:Q,2,0),"*"),"")</f>
        <v>*2118430*</v>
      </c>
      <c r="K99" s="1" t="str">
        <f t="shared" si="1"/>
        <v>PANTALONES DAMA MARIPOSA TALLA UN</v>
      </c>
      <c r="L99" s="1"/>
    </row>
    <row r="100">
      <c r="A100" s="55">
        <v>46186.0</v>
      </c>
      <c r="B100" s="4" t="s">
        <v>1058</v>
      </c>
      <c r="C100" s="4" t="s">
        <v>1158</v>
      </c>
      <c r="D100" s="4" t="s">
        <v>1060</v>
      </c>
      <c r="E100" s="4" t="s">
        <v>1160</v>
      </c>
      <c r="F100" s="4" t="s">
        <v>1069</v>
      </c>
      <c r="G100" s="60" t="s">
        <v>1077</v>
      </c>
      <c r="H100" s="1" t="s">
        <v>539</v>
      </c>
      <c r="I100" s="1" t="str">
        <f>IFERROR(CONCATENATE(VLOOKUP(C100,PARAM!D:E,2,0),VLOOKUP(D100,PARAM!J:K,2,0),VLOOKUP(E100,PARAM!G:H,2,0),VLOOKUP(G100,PARAM!P:Q,2,0)),"")</f>
        <v>2124032</v>
      </c>
      <c r="J100" s="1" t="str">
        <f>IFERROR(CONCATENATE("*",VLOOKUP(C100,PARAM!D:E,2,0),VLOOKUP(D100,PARAM!J:K,2,0),VLOOKUP(E100,PARAM!G:H,2,0),VLOOKUP(G100,PARAM!P:Q,2,0),"*"),"")</f>
        <v>*2124032*</v>
      </c>
      <c r="K100" s="1" t="str">
        <f t="shared" si="1"/>
        <v>PANTALONES DAMA ROMA TALLA XL</v>
      </c>
      <c r="L100" s="1"/>
    </row>
    <row r="101">
      <c r="A101" s="55">
        <v>46186.0</v>
      </c>
      <c r="B101" s="4" t="s">
        <v>1058</v>
      </c>
      <c r="C101" s="4" t="s">
        <v>1158</v>
      </c>
      <c r="D101" s="4" t="s">
        <v>1060</v>
      </c>
      <c r="E101" s="4" t="s">
        <v>1160</v>
      </c>
      <c r="F101" s="4" t="s">
        <v>1069</v>
      </c>
      <c r="G101" s="60" t="s">
        <v>1103</v>
      </c>
      <c r="H101" s="1" t="s">
        <v>539</v>
      </c>
      <c r="I101" s="1" t="str">
        <f>IFERROR(CONCATENATE(VLOOKUP(C101,PARAM!D:E,2,0),VLOOKUP(D101,PARAM!J:K,2,0),VLOOKUP(E101,PARAM!G:H,2,0),VLOOKUP(G101,PARAM!P:Q,2,0)),"")</f>
        <v>2124030</v>
      </c>
      <c r="J101" s="1" t="str">
        <f>IFERROR(CONCATENATE("*",VLOOKUP(C101,PARAM!D:E,2,0),VLOOKUP(D101,PARAM!J:K,2,0),VLOOKUP(E101,PARAM!G:H,2,0),VLOOKUP(G101,PARAM!P:Q,2,0),"*"),"")</f>
        <v>*2124030*</v>
      </c>
      <c r="K101" s="1" t="str">
        <f t="shared" si="1"/>
        <v>PANTALONES DAMA ROMA TALLA UN</v>
      </c>
      <c r="L101" s="1"/>
    </row>
    <row r="102">
      <c r="A102" s="55">
        <v>46186.0</v>
      </c>
      <c r="B102" s="4" t="s">
        <v>1058</v>
      </c>
      <c r="C102" s="4" t="s">
        <v>1158</v>
      </c>
      <c r="D102" s="4" t="s">
        <v>1060</v>
      </c>
      <c r="E102" s="4" t="s">
        <v>1161</v>
      </c>
      <c r="F102" s="4" t="s">
        <v>1069</v>
      </c>
      <c r="G102" s="60" t="s">
        <v>1103</v>
      </c>
      <c r="H102" s="1" t="s">
        <v>539</v>
      </c>
      <c r="I102" s="1" t="str">
        <f>IFERROR(CONCATENATE(VLOOKUP(C102,PARAM!D:E,2,0),VLOOKUP(D102,PARAM!J:K,2,0),VLOOKUP(E102,PARAM!G:H,2,0),VLOOKUP(G102,PARAM!P:Q,2,0)),"")</f>
        <v>2113730</v>
      </c>
      <c r="J102" s="1" t="str">
        <f>IFERROR(CONCATENATE("*",VLOOKUP(C102,PARAM!D:E,2,0),VLOOKUP(D102,PARAM!J:K,2,0),VLOOKUP(E102,PARAM!G:H,2,0),VLOOKUP(G102,PARAM!P:Q,2,0),"*"),"")</f>
        <v>*2113730*</v>
      </c>
      <c r="K102" s="1" t="str">
        <f t="shared" si="1"/>
        <v>PANTALONES DAMA GAMUSA TALLA UN</v>
      </c>
      <c r="L102" s="1"/>
    </row>
    <row r="103">
      <c r="A103" s="55">
        <v>46186.0</v>
      </c>
      <c r="B103" s="4" t="s">
        <v>1058</v>
      </c>
      <c r="C103" s="4" t="s">
        <v>1158</v>
      </c>
      <c r="D103" s="4" t="s">
        <v>1060</v>
      </c>
      <c r="E103" s="4" t="s">
        <v>1161</v>
      </c>
      <c r="F103" s="4" t="s">
        <v>1069</v>
      </c>
      <c r="G103" s="60" t="s">
        <v>1077</v>
      </c>
      <c r="H103" s="1" t="s">
        <v>539</v>
      </c>
      <c r="I103" s="1" t="str">
        <f>IFERROR(CONCATENATE(VLOOKUP(C103,PARAM!D:E,2,0),VLOOKUP(D103,PARAM!J:K,2,0),VLOOKUP(E103,PARAM!G:H,2,0),VLOOKUP(G103,PARAM!P:Q,2,0)),"")</f>
        <v>2113732</v>
      </c>
      <c r="J103" s="1" t="str">
        <f>IFERROR(CONCATENATE("*",VLOOKUP(C103,PARAM!D:E,2,0),VLOOKUP(D103,PARAM!J:K,2,0),VLOOKUP(E103,PARAM!G:H,2,0),VLOOKUP(G103,PARAM!P:Q,2,0),"*"),"")</f>
        <v>*2113732*</v>
      </c>
      <c r="K103" s="1" t="str">
        <f t="shared" si="1"/>
        <v>PANTALONES DAMA GAMUSA TALLA XL</v>
      </c>
      <c r="L103" s="1"/>
    </row>
    <row r="104">
      <c r="A104" s="55">
        <v>46186.0</v>
      </c>
      <c r="B104" s="4" t="s">
        <v>1078</v>
      </c>
      <c r="C104" s="4" t="s">
        <v>1162</v>
      </c>
      <c r="D104" s="4" t="s">
        <v>1080</v>
      </c>
      <c r="E104" s="4" t="s">
        <v>1163</v>
      </c>
      <c r="F104" s="4" t="s">
        <v>1069</v>
      </c>
      <c r="G104" s="60" t="s">
        <v>1077</v>
      </c>
      <c r="H104" s="1" t="s">
        <v>546</v>
      </c>
      <c r="I104" s="1" t="str">
        <f>IFERROR(CONCATENATE(VLOOKUP(C104,PARAM!D:E,2,0),VLOOKUP(D104,PARAM!J:K,2,0),VLOOKUP(E104,PARAM!G:H,2,0),VLOOKUP(G104,PARAM!P:Q,2,0)),"")</f>
        <v>25215332</v>
      </c>
      <c r="J104" s="1" t="str">
        <f>IFERROR(CONCATENATE("*",VLOOKUP(C104,PARAM!D:E,2,0),VLOOKUP(D104,PARAM!J:K,2,0),VLOOKUP(E104,PARAM!G:H,2,0),VLOOKUP(G104,PARAM!P:Q,2,0),"*"),"")</f>
        <v>*25215332*</v>
      </c>
      <c r="K104" s="1" t="str">
        <f t="shared" si="1"/>
        <v>CHAQUETAS CABALLERO JEAN CLASICA TALLA XL</v>
      </c>
      <c r="L104" s="1"/>
    </row>
    <row r="105">
      <c r="A105" s="55">
        <v>46186.0</v>
      </c>
      <c r="B105" s="4" t="s">
        <v>1078</v>
      </c>
      <c r="C105" s="4" t="s">
        <v>1162</v>
      </c>
      <c r="D105" s="4" t="s">
        <v>1080</v>
      </c>
      <c r="E105" s="4" t="s">
        <v>1163</v>
      </c>
      <c r="F105" s="4" t="s">
        <v>1069</v>
      </c>
      <c r="G105" s="60" t="s">
        <v>1164</v>
      </c>
      <c r="H105" s="1" t="s">
        <v>546</v>
      </c>
      <c r="I105" s="1" t="str">
        <f>IFERROR(CONCATENATE(VLOOKUP(C105,PARAM!D:E,2,0),VLOOKUP(D105,PARAM!J:K,2,0),VLOOKUP(E105,PARAM!G:H,2,0),VLOOKUP(G105,PARAM!P:Q,2,0)),"")</f>
        <v>25215325</v>
      </c>
      <c r="J105" s="1" t="str">
        <f>IFERROR(CONCATENATE("*",VLOOKUP(C105,PARAM!D:E,2,0),VLOOKUP(D105,PARAM!J:K,2,0),VLOOKUP(E105,PARAM!G:H,2,0),VLOOKUP(G105,PARAM!P:Q,2,0),"*"),"")</f>
        <v>*25215325*</v>
      </c>
      <c r="K105" s="1" t="str">
        <f t="shared" si="1"/>
        <v>CHAQUETAS CABALLERO JEAN CLASICA TALLA M</v>
      </c>
      <c r="L105" s="1"/>
    </row>
    <row r="106">
      <c r="A106" s="55">
        <v>46186.0</v>
      </c>
      <c r="B106" s="4" t="s">
        <v>1078</v>
      </c>
      <c r="C106" s="4" t="s">
        <v>1162</v>
      </c>
      <c r="D106" s="4" t="s">
        <v>1080</v>
      </c>
      <c r="E106" s="4" t="s">
        <v>1163</v>
      </c>
      <c r="F106" s="4" t="s">
        <v>1069</v>
      </c>
      <c r="G106" s="60" t="s">
        <v>1165</v>
      </c>
      <c r="H106" s="1" t="s">
        <v>546</v>
      </c>
      <c r="I106" s="1" t="str">
        <f>IFERROR(CONCATENATE(VLOOKUP(C106,PARAM!D:E,2,0),VLOOKUP(D106,PARAM!J:K,2,0),VLOOKUP(E106,PARAM!G:H,2,0),VLOOKUP(G106,PARAM!P:Q,2,0)),"")</f>
        <v>25215323</v>
      </c>
      <c r="J106" s="1" t="str">
        <f>IFERROR(CONCATENATE("*",VLOOKUP(C106,PARAM!D:E,2,0),VLOOKUP(D106,PARAM!J:K,2,0),VLOOKUP(E106,PARAM!G:H,2,0),VLOOKUP(G106,PARAM!P:Q,2,0),"*"),"")</f>
        <v>*25215323*</v>
      </c>
      <c r="K106" s="1" t="str">
        <f t="shared" si="1"/>
        <v>CHAQUETAS CABALLERO JEAN CLASICA TALLA L</v>
      </c>
      <c r="L106" s="1"/>
    </row>
    <row r="107">
      <c r="A107" s="55">
        <v>46186.0</v>
      </c>
      <c r="B107" s="4" t="s">
        <v>1078</v>
      </c>
      <c r="C107" s="4" t="s">
        <v>1162</v>
      </c>
      <c r="D107" s="4" t="s">
        <v>1080</v>
      </c>
      <c r="E107" s="4" t="s">
        <v>1166</v>
      </c>
      <c r="F107" s="4" t="s">
        <v>1069</v>
      </c>
      <c r="G107" s="60" t="s">
        <v>1164</v>
      </c>
      <c r="H107" s="1" t="s">
        <v>546</v>
      </c>
      <c r="I107" s="1" t="str">
        <f>IFERROR(CONCATENATE(VLOOKUP(C107,PARAM!D:E,2,0),VLOOKUP(D107,PARAM!J:K,2,0),VLOOKUP(E107,PARAM!G:H,2,0),VLOOKUP(G107,PARAM!P:Q,2,0)),"")</f>
        <v>25215425</v>
      </c>
      <c r="J107" s="1" t="str">
        <f>IFERROR(CONCATENATE("*",VLOOKUP(C107,PARAM!D:E,2,0),VLOOKUP(D107,PARAM!J:K,2,0),VLOOKUP(E107,PARAM!G:H,2,0),VLOOKUP(G107,PARAM!P:Q,2,0),"*"),"")</f>
        <v>*25215425*</v>
      </c>
      <c r="K107" s="1" t="str">
        <f t="shared" si="1"/>
        <v>CHAQUETAS CABALLERO JEAN OVEJERA TALLA M</v>
      </c>
      <c r="L107" s="1"/>
    </row>
    <row r="108">
      <c r="A108" s="55">
        <v>46186.0</v>
      </c>
      <c r="B108" s="4" t="s">
        <v>1078</v>
      </c>
      <c r="C108" s="4" t="s">
        <v>1162</v>
      </c>
      <c r="D108" s="4" t="s">
        <v>1080</v>
      </c>
      <c r="E108" s="4" t="s">
        <v>1166</v>
      </c>
      <c r="F108" s="4" t="s">
        <v>1069</v>
      </c>
      <c r="G108" s="60" t="s">
        <v>1165</v>
      </c>
      <c r="H108" s="1" t="s">
        <v>546</v>
      </c>
      <c r="I108" s="1" t="str">
        <f>IFERROR(CONCATENATE(VLOOKUP(C108,PARAM!D:E,2,0),VLOOKUP(D108,PARAM!J:K,2,0),VLOOKUP(E108,PARAM!G:H,2,0),VLOOKUP(G108,PARAM!P:Q,2,0)),"")</f>
        <v>25215423</v>
      </c>
      <c r="J108" s="1" t="str">
        <f>IFERROR(CONCATENATE("*",VLOOKUP(C108,PARAM!D:E,2,0),VLOOKUP(D108,PARAM!J:K,2,0),VLOOKUP(E108,PARAM!G:H,2,0),VLOOKUP(G108,PARAM!P:Q,2,0),"*"),"")</f>
        <v>*25215423*</v>
      </c>
      <c r="K108" s="1" t="str">
        <f t="shared" si="1"/>
        <v>CHAQUETAS CABALLERO JEAN OVEJERA TALLA L</v>
      </c>
      <c r="L108" s="1"/>
    </row>
    <row r="109">
      <c r="A109" s="55">
        <v>46186.0</v>
      </c>
      <c r="B109" s="4" t="s">
        <v>1078</v>
      </c>
      <c r="C109" s="4" t="s">
        <v>1162</v>
      </c>
      <c r="D109" s="4" t="s">
        <v>1080</v>
      </c>
      <c r="E109" s="4" t="s">
        <v>1166</v>
      </c>
      <c r="F109" s="4" t="s">
        <v>1069</v>
      </c>
      <c r="G109" s="60" t="s">
        <v>1077</v>
      </c>
      <c r="H109" s="1" t="s">
        <v>546</v>
      </c>
      <c r="I109" s="1" t="str">
        <f>IFERROR(CONCATENATE(VLOOKUP(C109,PARAM!D:E,2,0),VLOOKUP(D109,PARAM!J:K,2,0),VLOOKUP(E109,PARAM!G:H,2,0),VLOOKUP(G109,PARAM!P:Q,2,0)),"")</f>
        <v>25215432</v>
      </c>
      <c r="J109" s="1" t="str">
        <f>IFERROR(CONCATENATE("*",VLOOKUP(C109,PARAM!D:E,2,0),VLOOKUP(D109,PARAM!J:K,2,0),VLOOKUP(E109,PARAM!G:H,2,0),VLOOKUP(G109,PARAM!P:Q,2,0),"*"),"")</f>
        <v>*25215432*</v>
      </c>
      <c r="K109" s="1" t="str">
        <f t="shared" si="1"/>
        <v>CHAQUETAS CABALLERO JEAN OVEJERA TALLA XL</v>
      </c>
      <c r="L109" s="1"/>
    </row>
    <row r="110">
      <c r="A110" s="55">
        <v>46186.0</v>
      </c>
      <c r="B110" s="4" t="s">
        <v>1058</v>
      </c>
      <c r="C110" s="4" t="s">
        <v>1162</v>
      </c>
      <c r="D110" s="4" t="s">
        <v>1060</v>
      </c>
      <c r="E110" s="4" t="s">
        <v>1163</v>
      </c>
      <c r="F110" s="4" t="s">
        <v>1069</v>
      </c>
      <c r="G110" s="60" t="s">
        <v>1164</v>
      </c>
      <c r="H110" s="1" t="s">
        <v>546</v>
      </c>
      <c r="I110" s="1" t="str">
        <f>IFERROR(CONCATENATE(VLOOKUP(C110,PARAM!D:E,2,0),VLOOKUP(D110,PARAM!J:K,2,0),VLOOKUP(E110,PARAM!G:H,2,0),VLOOKUP(G110,PARAM!P:Q,2,0)),"")</f>
        <v>25115325</v>
      </c>
      <c r="J110" s="1" t="str">
        <f>IFERROR(CONCATENATE("*",VLOOKUP(C110,PARAM!D:E,2,0),VLOOKUP(D110,PARAM!J:K,2,0),VLOOKUP(E110,PARAM!G:H,2,0),VLOOKUP(G110,PARAM!P:Q,2,0),"*"),"")</f>
        <v>*25115325*</v>
      </c>
      <c r="K110" s="1" t="str">
        <f t="shared" si="1"/>
        <v>CHAQUETAS DAMA JEAN CLASICA TALLA M</v>
      </c>
      <c r="L110" s="1"/>
    </row>
    <row r="111">
      <c r="A111" s="55">
        <v>46186.0</v>
      </c>
      <c r="B111" s="4" t="s">
        <v>1058</v>
      </c>
      <c r="C111" s="4" t="s">
        <v>1162</v>
      </c>
      <c r="D111" s="4" t="s">
        <v>1060</v>
      </c>
      <c r="E111" s="4" t="s">
        <v>1163</v>
      </c>
      <c r="F111" s="4" t="s">
        <v>1069</v>
      </c>
      <c r="G111" s="60" t="s">
        <v>1165</v>
      </c>
      <c r="H111" s="1" t="s">
        <v>546</v>
      </c>
      <c r="I111" s="1" t="str">
        <f>IFERROR(CONCATENATE(VLOOKUP(C111,PARAM!D:E,2,0),VLOOKUP(D111,PARAM!J:K,2,0),VLOOKUP(E111,PARAM!G:H,2,0),VLOOKUP(G111,PARAM!P:Q,2,0)),"")</f>
        <v>25115323</v>
      </c>
      <c r="J111" s="1" t="str">
        <f>IFERROR(CONCATENATE("*",VLOOKUP(C111,PARAM!D:E,2,0),VLOOKUP(D111,PARAM!J:K,2,0),VLOOKUP(E111,PARAM!G:H,2,0),VLOOKUP(G111,PARAM!P:Q,2,0),"*"),"")</f>
        <v>*25115323*</v>
      </c>
      <c r="K111" s="1" t="str">
        <f t="shared" si="1"/>
        <v>CHAQUETAS DAMA JEAN CLASICA TALLA L</v>
      </c>
      <c r="L111" s="1"/>
    </row>
    <row r="112">
      <c r="A112" s="55">
        <v>46186.0</v>
      </c>
      <c r="B112" s="4" t="s">
        <v>1058</v>
      </c>
      <c r="C112" s="4" t="s">
        <v>1162</v>
      </c>
      <c r="D112" s="4" t="s">
        <v>1060</v>
      </c>
      <c r="E112" s="4" t="s">
        <v>1166</v>
      </c>
      <c r="F112" s="4" t="s">
        <v>1069</v>
      </c>
      <c r="G112" s="60" t="s">
        <v>1077</v>
      </c>
      <c r="H112" s="1" t="s">
        <v>546</v>
      </c>
      <c r="I112" s="1" t="str">
        <f>IFERROR(CONCATENATE(VLOOKUP(C112,PARAM!D:E,2,0),VLOOKUP(D112,PARAM!J:K,2,0),VLOOKUP(E112,PARAM!G:H,2,0),VLOOKUP(G112,PARAM!P:Q,2,0)),"")</f>
        <v>25115432</v>
      </c>
      <c r="J112" s="1" t="str">
        <f>IFERROR(CONCATENATE("*",VLOOKUP(C112,PARAM!D:E,2,0),VLOOKUP(D112,PARAM!J:K,2,0),VLOOKUP(E112,PARAM!G:H,2,0),VLOOKUP(G112,PARAM!P:Q,2,0),"*"),"")</f>
        <v>*25115432*</v>
      </c>
      <c r="K112" s="1" t="str">
        <f t="shared" si="1"/>
        <v>CHAQUETAS DAMA JEAN OVEJERA TALLA XL</v>
      </c>
      <c r="L112" s="1"/>
    </row>
    <row r="113">
      <c r="A113" s="55">
        <v>46186.0</v>
      </c>
      <c r="B113" s="4" t="s">
        <v>1058</v>
      </c>
      <c r="C113" s="4" t="s">
        <v>1162</v>
      </c>
      <c r="D113" s="4" t="s">
        <v>1060</v>
      </c>
      <c r="E113" s="4" t="s">
        <v>1166</v>
      </c>
      <c r="F113" s="4" t="s">
        <v>1069</v>
      </c>
      <c r="G113" s="60" t="s">
        <v>1165</v>
      </c>
      <c r="H113" s="1" t="s">
        <v>546</v>
      </c>
      <c r="I113" s="1" t="str">
        <f>IFERROR(CONCATENATE(VLOOKUP(C113,PARAM!D:E,2,0),VLOOKUP(D113,PARAM!J:K,2,0),VLOOKUP(E113,PARAM!G:H,2,0),VLOOKUP(G113,PARAM!P:Q,2,0)),"")</f>
        <v>25115423</v>
      </c>
      <c r="J113" s="1" t="str">
        <f>IFERROR(CONCATENATE("*",VLOOKUP(C113,PARAM!D:E,2,0),VLOOKUP(D113,PARAM!J:K,2,0),VLOOKUP(E113,PARAM!G:H,2,0),VLOOKUP(G113,PARAM!P:Q,2,0),"*"),"")</f>
        <v>*25115423*</v>
      </c>
      <c r="K113" s="1" t="str">
        <f t="shared" si="1"/>
        <v>CHAQUETAS DAMA JEAN OVEJERA TALLA L</v>
      </c>
      <c r="L113" s="1"/>
    </row>
    <row r="114">
      <c r="A114" s="55">
        <v>46186.0</v>
      </c>
      <c r="B114" s="4" t="s">
        <v>1058</v>
      </c>
      <c r="C114" s="4" t="s">
        <v>1162</v>
      </c>
      <c r="D114" s="4" t="s">
        <v>1060</v>
      </c>
      <c r="E114" s="4" t="s">
        <v>1166</v>
      </c>
      <c r="F114" s="4" t="s">
        <v>1069</v>
      </c>
      <c r="G114" s="60" t="s">
        <v>1164</v>
      </c>
      <c r="H114" s="1" t="s">
        <v>546</v>
      </c>
      <c r="I114" s="1" t="str">
        <f>IFERROR(CONCATENATE(VLOOKUP(C114,PARAM!D:E,2,0),VLOOKUP(D114,PARAM!J:K,2,0),VLOOKUP(E114,PARAM!G:H,2,0),VLOOKUP(G114,PARAM!P:Q,2,0)),"")</f>
        <v>25115425</v>
      </c>
      <c r="J114" s="1" t="str">
        <f>IFERROR(CONCATENATE("*",VLOOKUP(C114,PARAM!D:E,2,0),VLOOKUP(D114,PARAM!J:K,2,0),VLOOKUP(E114,PARAM!G:H,2,0),VLOOKUP(G114,PARAM!P:Q,2,0),"*"),"")</f>
        <v>*25115425*</v>
      </c>
      <c r="K114" s="1" t="str">
        <f t="shared" si="1"/>
        <v>CHAQUETAS DAMA JEAN OVEJERA TALLA M</v>
      </c>
      <c r="L114" s="1"/>
    </row>
    <row r="115">
      <c r="A115" s="55">
        <v>46186.0</v>
      </c>
      <c r="B115" s="4" t="s">
        <v>1058</v>
      </c>
      <c r="C115" s="4" t="s">
        <v>1162</v>
      </c>
      <c r="D115" s="4" t="s">
        <v>1060</v>
      </c>
      <c r="E115" s="4" t="s">
        <v>1167</v>
      </c>
      <c r="F115" s="4" t="s">
        <v>1069</v>
      </c>
      <c r="G115" s="60" t="s">
        <v>1168</v>
      </c>
      <c r="H115" s="1" t="s">
        <v>546</v>
      </c>
      <c r="I115" s="1" t="str">
        <f>IFERROR(CONCATENATE(VLOOKUP(C115,PARAM!D:E,2,0),VLOOKUP(D115,PARAM!J:K,2,0),VLOOKUP(E115,PARAM!G:H,2,0),VLOOKUP(G115,PARAM!P:Q,2,0)),"")</f>
        <v>25115527</v>
      </c>
      <c r="J115" s="1" t="str">
        <f>IFERROR(CONCATENATE("*",VLOOKUP(C115,PARAM!D:E,2,0),VLOOKUP(D115,PARAM!J:K,2,0),VLOOKUP(E115,PARAM!G:H,2,0),VLOOKUP(G115,PARAM!P:Q,2,0),"*"),"")</f>
        <v>*25115527*</v>
      </c>
      <c r="K115" s="1" t="str">
        <f t="shared" si="1"/>
        <v>CHAQUETAS DAMA JEAN TORERA OVEJERA TALLA S</v>
      </c>
      <c r="L115" s="1"/>
    </row>
    <row r="116">
      <c r="A116" s="55">
        <v>46186.0</v>
      </c>
      <c r="B116" s="4" t="s">
        <v>1058</v>
      </c>
      <c r="C116" s="4" t="s">
        <v>1162</v>
      </c>
      <c r="D116" s="4" t="s">
        <v>1060</v>
      </c>
      <c r="E116" s="4" t="s">
        <v>1167</v>
      </c>
      <c r="F116" s="4" t="s">
        <v>1069</v>
      </c>
      <c r="G116" s="60" t="s">
        <v>1164</v>
      </c>
      <c r="H116" s="1" t="s">
        <v>546</v>
      </c>
      <c r="I116" s="1" t="str">
        <f>IFERROR(CONCATENATE(VLOOKUP(C116,PARAM!D:E,2,0),VLOOKUP(D116,PARAM!J:K,2,0),VLOOKUP(E116,PARAM!G:H,2,0),VLOOKUP(G116,PARAM!P:Q,2,0)),"")</f>
        <v>25115525</v>
      </c>
      <c r="J116" s="1" t="str">
        <f>IFERROR(CONCATENATE("*",VLOOKUP(C116,PARAM!D:E,2,0),VLOOKUP(D116,PARAM!J:K,2,0),VLOOKUP(E116,PARAM!G:H,2,0),VLOOKUP(G116,PARAM!P:Q,2,0),"*"),"")</f>
        <v>*25115525*</v>
      </c>
      <c r="K116" s="1" t="str">
        <f t="shared" si="1"/>
        <v>CHAQUETAS DAMA JEAN TORERA OVEJERA TALLA M</v>
      </c>
      <c r="L116" s="1"/>
    </row>
    <row r="117">
      <c r="A117" s="55">
        <v>46186.0</v>
      </c>
      <c r="B117" s="4" t="s">
        <v>1058</v>
      </c>
      <c r="C117" s="4" t="s">
        <v>1059</v>
      </c>
      <c r="D117" s="4" t="s">
        <v>1060</v>
      </c>
      <c r="E117" s="4" t="s">
        <v>1169</v>
      </c>
      <c r="F117" s="4" t="s">
        <v>1069</v>
      </c>
      <c r="G117" s="60">
        <v>14.0</v>
      </c>
      <c r="H117" s="1" t="s">
        <v>560</v>
      </c>
      <c r="I117" s="1" t="str">
        <f>IFERROR(CONCATENATE(VLOOKUP(C117,PARAM!D:E,2,0),VLOOKUP(D117,PARAM!J:K,2,0),VLOOKUP(E117,PARAM!G:H,2,0),VLOOKUP(G117,PARAM!P:Q,2,0)),"")</f>
        <v>11395</v>
      </c>
      <c r="J117" s="1" t="str">
        <f>IFERROR(CONCATENATE("*",VLOOKUP(C117,PARAM!D:E,2,0),VLOOKUP(D117,PARAM!J:K,2,0),VLOOKUP(E117,PARAM!G:H,2,0),VLOOKUP(G117,PARAM!P:Q,2,0),"*"),"")</f>
        <v>*11395*</v>
      </c>
      <c r="K117" s="1" t="str">
        <f t="shared" si="1"/>
        <v>JEANS DAMA BAGGI TALLA 14</v>
      </c>
      <c r="L117" s="1"/>
    </row>
    <row r="118">
      <c r="A118" s="55">
        <v>46186.0</v>
      </c>
      <c r="B118" s="4" t="s">
        <v>1058</v>
      </c>
      <c r="C118" s="4" t="s">
        <v>1059</v>
      </c>
      <c r="D118" s="4" t="s">
        <v>1060</v>
      </c>
      <c r="E118" s="4" t="s">
        <v>1169</v>
      </c>
      <c r="F118" s="4" t="s">
        <v>1069</v>
      </c>
      <c r="G118" s="60">
        <v>12.0</v>
      </c>
      <c r="H118" s="1" t="s">
        <v>560</v>
      </c>
      <c r="I118" s="1" t="str">
        <f>IFERROR(CONCATENATE(VLOOKUP(C118,PARAM!D:E,2,0),VLOOKUP(D118,PARAM!J:K,2,0),VLOOKUP(E118,PARAM!G:H,2,0),VLOOKUP(G118,PARAM!P:Q,2,0)),"")</f>
        <v>11394</v>
      </c>
      <c r="J118" s="1" t="str">
        <f>IFERROR(CONCATENATE("*",VLOOKUP(C118,PARAM!D:E,2,0),VLOOKUP(D118,PARAM!J:K,2,0),VLOOKUP(E118,PARAM!G:H,2,0),VLOOKUP(G118,PARAM!P:Q,2,0),"*"),"")</f>
        <v>*11394*</v>
      </c>
      <c r="K118" s="1" t="str">
        <f t="shared" si="1"/>
        <v>JEANS DAMA BAGGI TALLA 12</v>
      </c>
      <c r="L118" s="1"/>
    </row>
    <row r="119">
      <c r="A119" s="55">
        <v>46186.0</v>
      </c>
      <c r="B119" s="4" t="s">
        <v>1058</v>
      </c>
      <c r="C119" s="4" t="s">
        <v>1059</v>
      </c>
      <c r="D119" s="4" t="s">
        <v>1060</v>
      </c>
      <c r="E119" s="4" t="s">
        <v>1169</v>
      </c>
      <c r="F119" s="4" t="s">
        <v>1069</v>
      </c>
      <c r="G119" s="60">
        <v>8.0</v>
      </c>
      <c r="H119" s="1" t="s">
        <v>560</v>
      </c>
      <c r="I119" s="1" t="str">
        <f>IFERROR(CONCATENATE(VLOOKUP(C119,PARAM!D:E,2,0),VLOOKUP(D119,PARAM!J:K,2,0),VLOOKUP(E119,PARAM!G:H,2,0),VLOOKUP(G119,PARAM!P:Q,2,0)),"")</f>
        <v>11392</v>
      </c>
      <c r="J119" s="1" t="str">
        <f>IFERROR(CONCATENATE("*",VLOOKUP(C119,PARAM!D:E,2,0),VLOOKUP(D119,PARAM!J:K,2,0),VLOOKUP(E119,PARAM!G:H,2,0),VLOOKUP(G119,PARAM!P:Q,2,0),"*"),"")</f>
        <v>*11392*</v>
      </c>
      <c r="K119" s="1" t="str">
        <f t="shared" si="1"/>
        <v>JEANS DAMA BAGGI TALLA 8</v>
      </c>
      <c r="L119" s="1"/>
    </row>
    <row r="120">
      <c r="A120" s="55">
        <v>46186.0</v>
      </c>
      <c r="B120" s="4" t="s">
        <v>1058</v>
      </c>
      <c r="C120" s="4" t="s">
        <v>1059</v>
      </c>
      <c r="D120" s="4" t="s">
        <v>1060</v>
      </c>
      <c r="E120" s="4" t="s">
        <v>1169</v>
      </c>
      <c r="F120" s="4" t="s">
        <v>1069</v>
      </c>
      <c r="G120" s="60">
        <v>10.0</v>
      </c>
      <c r="H120" s="1" t="s">
        <v>560</v>
      </c>
      <c r="I120" s="1" t="str">
        <f>IFERROR(CONCATENATE(VLOOKUP(C120,PARAM!D:E,2,0),VLOOKUP(D120,PARAM!J:K,2,0),VLOOKUP(E120,PARAM!G:H,2,0),VLOOKUP(G120,PARAM!P:Q,2,0)),"")</f>
        <v>11393</v>
      </c>
      <c r="J120" s="1" t="str">
        <f>IFERROR(CONCATENATE("*",VLOOKUP(C120,PARAM!D:E,2,0),VLOOKUP(D120,PARAM!J:K,2,0),VLOOKUP(E120,PARAM!G:H,2,0),VLOOKUP(G120,PARAM!P:Q,2,0),"*"),"")</f>
        <v>*11393*</v>
      </c>
      <c r="K120" s="1" t="str">
        <f t="shared" si="1"/>
        <v>JEANS DAMA BAGGI TALLA 10</v>
      </c>
      <c r="L120" s="1"/>
    </row>
    <row r="121">
      <c r="A121" s="55">
        <v>46186.0</v>
      </c>
      <c r="B121" s="4" t="s">
        <v>1058</v>
      </c>
      <c r="C121" s="4" t="s">
        <v>1059</v>
      </c>
      <c r="D121" s="4" t="s">
        <v>1060</v>
      </c>
      <c r="E121" s="4" t="s">
        <v>1170</v>
      </c>
      <c r="F121" s="4" t="s">
        <v>1069</v>
      </c>
      <c r="G121" s="60">
        <v>16.0</v>
      </c>
      <c r="H121" s="1" t="s">
        <v>560</v>
      </c>
      <c r="I121" s="1" t="str">
        <f>IFERROR(CONCATENATE(VLOOKUP(C121,PARAM!D:E,2,0),VLOOKUP(D121,PARAM!J:K,2,0),VLOOKUP(E121,PARAM!G:H,2,0),VLOOKUP(G121,PARAM!P:Q,2,0)),"")</f>
        <v>11406</v>
      </c>
      <c r="J121" s="1" t="str">
        <f>IFERROR(CONCATENATE("*",VLOOKUP(C121,PARAM!D:E,2,0),VLOOKUP(D121,PARAM!J:K,2,0),VLOOKUP(E121,PARAM!G:H,2,0),VLOOKUP(G121,PARAM!P:Q,2,0),"*"),"")</f>
        <v>*11406*</v>
      </c>
      <c r="K121" s="1" t="str">
        <f t="shared" si="1"/>
        <v>JEANS DAMA BAGGI CON BRILLANTES TALLA 16</v>
      </c>
      <c r="L121" s="1"/>
    </row>
    <row r="122">
      <c r="A122" s="55">
        <v>46186.0</v>
      </c>
      <c r="B122" s="4" t="s">
        <v>1058</v>
      </c>
      <c r="C122" s="4" t="s">
        <v>1171</v>
      </c>
      <c r="D122" s="4" t="s">
        <v>1060</v>
      </c>
      <c r="E122" s="1" t="s">
        <v>1172</v>
      </c>
      <c r="F122" s="4" t="s">
        <v>1069</v>
      </c>
      <c r="G122" s="60" t="s">
        <v>1168</v>
      </c>
      <c r="H122" s="1" t="s">
        <v>503</v>
      </c>
      <c r="I122" s="1" t="str">
        <f>IFERROR(CONCATENATE(VLOOKUP(C122,PARAM!D:E,2,0),VLOOKUP(D122,PARAM!J:K,2,0),VLOOKUP(E122,PARAM!G:H,2,0),VLOOKUP(G122,PARAM!P:Q,2,0)),"")</f>
        <v>1119127</v>
      </c>
      <c r="J122" s="1" t="str">
        <f>IFERROR(CONCATENATE("*",VLOOKUP(C122,PARAM!D:E,2,0),VLOOKUP(D122,PARAM!J:K,2,0),VLOOKUP(E122,PARAM!G:H,2,0),VLOOKUP(G122,PARAM!P:Q,2,0),"*"),"")</f>
        <v>*1119127*</v>
      </c>
      <c r="K122" s="1" t="str">
        <f t="shared" si="1"/>
        <v>CAMISETAS DAMA CON BRILLANTES TALLA S</v>
      </c>
      <c r="L122" s="1"/>
    </row>
    <row r="123">
      <c r="A123" s="55">
        <v>46186.0</v>
      </c>
      <c r="B123" s="4" t="s">
        <v>1058</v>
      </c>
      <c r="C123" s="4" t="s">
        <v>1171</v>
      </c>
      <c r="D123" s="4" t="s">
        <v>1060</v>
      </c>
      <c r="E123" s="1" t="s">
        <v>1172</v>
      </c>
      <c r="F123" s="4" t="s">
        <v>1069</v>
      </c>
      <c r="G123" s="60" t="s">
        <v>1164</v>
      </c>
      <c r="H123" s="1" t="s">
        <v>503</v>
      </c>
      <c r="I123" s="1" t="str">
        <f>IFERROR(CONCATENATE(VLOOKUP(C123,PARAM!D:E,2,0),VLOOKUP(D123,PARAM!J:K,2,0),VLOOKUP(E123,PARAM!G:H,2,0),VLOOKUP(G123,PARAM!P:Q,2,0)),"")</f>
        <v>1119125</v>
      </c>
      <c r="J123" s="1" t="str">
        <f>IFERROR(CONCATENATE("*",VLOOKUP(C123,PARAM!D:E,2,0),VLOOKUP(D123,PARAM!J:K,2,0),VLOOKUP(E123,PARAM!G:H,2,0),VLOOKUP(G123,PARAM!P:Q,2,0),"*"),"")</f>
        <v>*1119125*</v>
      </c>
      <c r="K123" s="1" t="str">
        <f t="shared" si="1"/>
        <v>CAMISETAS DAMA CON BRILLANTES TALLA M</v>
      </c>
      <c r="L123" s="1"/>
    </row>
    <row r="124">
      <c r="A124" s="55">
        <v>46186.0</v>
      </c>
      <c r="B124" s="4" t="s">
        <v>1058</v>
      </c>
      <c r="C124" s="4" t="s">
        <v>1171</v>
      </c>
      <c r="D124" s="4" t="s">
        <v>1060</v>
      </c>
      <c r="E124" s="1" t="s">
        <v>1172</v>
      </c>
      <c r="F124" s="4" t="s">
        <v>1069</v>
      </c>
      <c r="G124" s="60" t="s">
        <v>1165</v>
      </c>
      <c r="H124" s="1" t="s">
        <v>503</v>
      </c>
      <c r="I124" s="1" t="str">
        <f>IFERROR(CONCATENATE(VLOOKUP(C124,PARAM!D:E,2,0),VLOOKUP(D124,PARAM!J:K,2,0),VLOOKUP(E124,PARAM!G:H,2,0),VLOOKUP(G124,PARAM!P:Q,2,0)),"")</f>
        <v>1119123</v>
      </c>
      <c r="J124" s="1" t="str">
        <f>IFERROR(CONCATENATE("*",VLOOKUP(C124,PARAM!D:E,2,0),VLOOKUP(D124,PARAM!J:K,2,0),VLOOKUP(E124,PARAM!G:H,2,0),VLOOKUP(G124,PARAM!P:Q,2,0),"*"),"")</f>
        <v>*1119123*</v>
      </c>
      <c r="K124" s="1" t="str">
        <f t="shared" si="1"/>
        <v>CAMISETAS DAMA CON BRILLANTES TALLA L</v>
      </c>
      <c r="L124" s="1"/>
    </row>
    <row r="125">
      <c r="A125" s="55">
        <v>46186.0</v>
      </c>
      <c r="B125" s="4" t="s">
        <v>1058</v>
      </c>
      <c r="C125" s="4" t="s">
        <v>1171</v>
      </c>
      <c r="D125" s="4" t="s">
        <v>1060</v>
      </c>
      <c r="E125" s="1" t="s">
        <v>1172</v>
      </c>
      <c r="F125" s="4" t="s">
        <v>1069</v>
      </c>
      <c r="G125" s="60" t="s">
        <v>1077</v>
      </c>
      <c r="H125" s="1" t="s">
        <v>503</v>
      </c>
      <c r="I125" s="1" t="str">
        <f>IFERROR(CONCATENATE(VLOOKUP(C125,PARAM!D:E,2,0),VLOOKUP(D125,PARAM!J:K,2,0),VLOOKUP(E125,PARAM!G:H,2,0),VLOOKUP(G125,PARAM!P:Q,2,0)),"")</f>
        <v>1119132</v>
      </c>
      <c r="J125" s="1" t="str">
        <f>IFERROR(CONCATENATE("*",VLOOKUP(C125,PARAM!D:E,2,0),VLOOKUP(D125,PARAM!J:K,2,0),VLOOKUP(E125,PARAM!G:H,2,0),VLOOKUP(G125,PARAM!P:Q,2,0),"*"),"")</f>
        <v>*1119132*</v>
      </c>
      <c r="K125" s="1" t="str">
        <f t="shared" si="1"/>
        <v>CAMISETAS DAMA CON BRILLANTES TALLA XL</v>
      </c>
      <c r="L125" s="1"/>
    </row>
    <row r="126">
      <c r="A126" s="55">
        <v>46186.0</v>
      </c>
      <c r="B126" s="4" t="s">
        <v>1078</v>
      </c>
      <c r="C126" s="4" t="s">
        <v>1059</v>
      </c>
      <c r="D126" s="4" t="s">
        <v>1080</v>
      </c>
      <c r="E126" s="4" t="s">
        <v>1169</v>
      </c>
      <c r="F126" s="4" t="s">
        <v>1069</v>
      </c>
      <c r="G126" s="60">
        <v>30.0</v>
      </c>
      <c r="H126" s="1" t="s">
        <v>560</v>
      </c>
      <c r="I126" s="1" t="str">
        <f>IFERROR(CONCATENATE(VLOOKUP(C126,PARAM!D:E,2,0),VLOOKUP(D126,PARAM!J:K,2,0),VLOOKUP(E126,PARAM!G:H,2,0),VLOOKUP(G126,PARAM!P:Q,2,0)),"")</f>
        <v>123913</v>
      </c>
      <c r="J126" s="1" t="str">
        <f>IFERROR(CONCATENATE("*",VLOOKUP(C126,PARAM!D:E,2,0),VLOOKUP(D126,PARAM!J:K,2,0),VLOOKUP(E126,PARAM!G:H,2,0),VLOOKUP(G126,PARAM!P:Q,2,0),"*"),"")</f>
        <v>*123913*</v>
      </c>
      <c r="K126" s="1" t="str">
        <f t="shared" si="1"/>
        <v>JEANS CABALLERO BAGGI TALLA 30</v>
      </c>
      <c r="L126" s="1"/>
    </row>
    <row r="127">
      <c r="A127" s="55">
        <v>46186.0</v>
      </c>
      <c r="B127" s="4" t="s">
        <v>1078</v>
      </c>
      <c r="C127" s="4" t="s">
        <v>1059</v>
      </c>
      <c r="D127" s="4" t="s">
        <v>1080</v>
      </c>
      <c r="E127" s="4" t="s">
        <v>1169</v>
      </c>
      <c r="F127" s="4" t="s">
        <v>1069</v>
      </c>
      <c r="G127" s="60">
        <v>32.0</v>
      </c>
      <c r="H127" s="1" t="s">
        <v>560</v>
      </c>
      <c r="I127" s="1" t="str">
        <f>IFERROR(CONCATENATE(VLOOKUP(C127,PARAM!D:E,2,0),VLOOKUP(D127,PARAM!J:K,2,0),VLOOKUP(E127,PARAM!G:H,2,0),VLOOKUP(G127,PARAM!P:Q,2,0)),"")</f>
        <v>123914</v>
      </c>
      <c r="J127" s="1" t="str">
        <f>IFERROR(CONCATENATE("*",VLOOKUP(C127,PARAM!D:E,2,0),VLOOKUP(D127,PARAM!J:K,2,0),VLOOKUP(E127,PARAM!G:H,2,0),VLOOKUP(G127,PARAM!P:Q,2,0),"*"),"")</f>
        <v>*123914*</v>
      </c>
      <c r="K127" s="1" t="str">
        <f t="shared" si="1"/>
        <v>JEANS CABALLERO BAGGI TALLA 32</v>
      </c>
      <c r="L127" s="1"/>
    </row>
    <row r="128">
      <c r="A128" s="55">
        <v>46186.0</v>
      </c>
      <c r="B128" s="4" t="s">
        <v>1078</v>
      </c>
      <c r="C128" s="4" t="s">
        <v>1059</v>
      </c>
      <c r="D128" s="4" t="s">
        <v>1080</v>
      </c>
      <c r="E128" s="4" t="s">
        <v>1169</v>
      </c>
      <c r="F128" s="4" t="s">
        <v>1069</v>
      </c>
      <c r="G128" s="60">
        <v>34.0</v>
      </c>
      <c r="H128" s="1" t="s">
        <v>560</v>
      </c>
      <c r="I128" s="1" t="str">
        <f>IFERROR(CONCATENATE(VLOOKUP(C128,PARAM!D:E,2,0),VLOOKUP(D128,PARAM!J:K,2,0),VLOOKUP(E128,PARAM!G:H,2,0),VLOOKUP(G128,PARAM!P:Q,2,0)),"")</f>
        <v>123915</v>
      </c>
      <c r="J128" s="1" t="str">
        <f>IFERROR(CONCATENATE("*",VLOOKUP(C128,PARAM!D:E,2,0),VLOOKUP(D128,PARAM!J:K,2,0),VLOOKUP(E128,PARAM!G:H,2,0),VLOOKUP(G128,PARAM!P:Q,2,0),"*"),"")</f>
        <v>*123915*</v>
      </c>
      <c r="K128" s="1" t="str">
        <f t="shared" si="1"/>
        <v>JEANS CABALLERO BAGGI TALLA 34</v>
      </c>
      <c r="L128" s="1"/>
    </row>
    <row r="129">
      <c r="A129" s="55">
        <v>46186.0</v>
      </c>
      <c r="B129" s="4" t="s">
        <v>1078</v>
      </c>
      <c r="C129" s="4" t="s">
        <v>1173</v>
      </c>
      <c r="D129" s="4" t="s">
        <v>1080</v>
      </c>
      <c r="E129" s="4" t="s">
        <v>503</v>
      </c>
      <c r="F129" s="4" t="s">
        <v>1069</v>
      </c>
      <c r="G129" s="60" t="s">
        <v>1165</v>
      </c>
      <c r="H129" s="1" t="s">
        <v>573</v>
      </c>
      <c r="I129" s="1" t="str">
        <f>IFERROR(CONCATENATE(VLOOKUP(C129,PARAM!D:E,2,0),VLOOKUP(D129,PARAM!J:K,2,0),VLOOKUP(E129,PARAM!G:H,2,0),VLOOKUP(G129,PARAM!P:Q,2,0)),"")</f>
        <v>102023</v>
      </c>
      <c r="J129" s="1" t="str">
        <f>IFERROR(CONCATENATE("*",VLOOKUP(C129,PARAM!D:E,2,0),VLOOKUP(D129,PARAM!J:K,2,0),VLOOKUP(E129,PARAM!G:H,2,0),VLOOKUP(G129,PARAM!P:Q,2,0),"*"),"")</f>
        <v>*102023*</v>
      </c>
      <c r="K129" s="1" t="str">
        <f t="shared" si="1"/>
        <v>CAMISAS CABALLERO - TALLA L</v>
      </c>
      <c r="L129" s="1"/>
    </row>
    <row r="130">
      <c r="A130" s="55">
        <v>46186.0</v>
      </c>
      <c r="B130" s="4" t="s">
        <v>1078</v>
      </c>
      <c r="C130" s="4" t="s">
        <v>1173</v>
      </c>
      <c r="D130" s="4" t="s">
        <v>1080</v>
      </c>
      <c r="E130" s="4" t="s">
        <v>1174</v>
      </c>
      <c r="F130" s="4" t="s">
        <v>1069</v>
      </c>
      <c r="G130" s="60" t="s">
        <v>1165</v>
      </c>
      <c r="H130" s="1" t="s">
        <v>573</v>
      </c>
      <c r="I130" s="1" t="str">
        <f>IFERROR(CONCATENATE(VLOOKUP(C130,PARAM!D:E,2,0),VLOOKUP(D130,PARAM!J:K,2,0),VLOOKUP(E130,PARAM!G:H,2,0),VLOOKUP(G130,PARAM!P:Q,2,0)),"")</f>
        <v>10215223</v>
      </c>
      <c r="J130" s="1" t="str">
        <f>IFERROR(CONCATENATE("*",VLOOKUP(C130,PARAM!D:E,2,0),VLOOKUP(D130,PARAM!J:K,2,0),VLOOKUP(E130,PARAM!G:H,2,0),VLOOKUP(G130,PARAM!P:Q,2,0),"*"),"")</f>
        <v>*10215223*</v>
      </c>
      <c r="K130" s="1" t="str">
        <f t="shared" si="1"/>
        <v>CAMISAS CABALLERO JEAN TALLA L</v>
      </c>
      <c r="L130" s="1"/>
    </row>
    <row r="131">
      <c r="A131" s="55">
        <v>46186.0</v>
      </c>
      <c r="B131" s="4" t="s">
        <v>1078</v>
      </c>
      <c r="C131" s="4" t="s">
        <v>1173</v>
      </c>
      <c r="D131" s="4" t="s">
        <v>1080</v>
      </c>
      <c r="E131" s="4" t="s">
        <v>503</v>
      </c>
      <c r="F131" s="4" t="s">
        <v>1069</v>
      </c>
      <c r="G131" s="60" t="s">
        <v>1164</v>
      </c>
      <c r="H131" s="1" t="s">
        <v>573</v>
      </c>
      <c r="I131" s="1" t="str">
        <f>IFERROR(CONCATENATE(VLOOKUP(C131,PARAM!D:E,2,0),VLOOKUP(D131,PARAM!J:K,2,0),VLOOKUP(E131,PARAM!G:H,2,0),VLOOKUP(G131,PARAM!P:Q,2,0)),"")</f>
        <v>102025</v>
      </c>
      <c r="J131" s="1" t="str">
        <f>IFERROR(CONCATENATE("*",VLOOKUP(C131,PARAM!D:E,2,0),VLOOKUP(D131,PARAM!J:K,2,0),VLOOKUP(E131,PARAM!G:H,2,0),VLOOKUP(G131,PARAM!P:Q,2,0),"*"),"")</f>
        <v>*102025*</v>
      </c>
      <c r="K131" s="1" t="str">
        <f t="shared" si="1"/>
        <v>CAMISAS CABALLERO - TALLA M</v>
      </c>
      <c r="L131" s="1"/>
    </row>
    <row r="132">
      <c r="A132" s="55">
        <v>46186.0</v>
      </c>
      <c r="B132" s="4" t="s">
        <v>1078</v>
      </c>
      <c r="C132" s="4" t="s">
        <v>1173</v>
      </c>
      <c r="D132" s="4" t="s">
        <v>1080</v>
      </c>
      <c r="E132" s="4" t="s">
        <v>1174</v>
      </c>
      <c r="F132" s="4" t="s">
        <v>1069</v>
      </c>
      <c r="G132" s="60" t="s">
        <v>1164</v>
      </c>
      <c r="H132" s="1" t="s">
        <v>573</v>
      </c>
      <c r="I132" s="1" t="str">
        <f>IFERROR(CONCATENATE(VLOOKUP(C132,PARAM!D:E,2,0),VLOOKUP(D132,PARAM!J:K,2,0),VLOOKUP(E132,PARAM!G:H,2,0),VLOOKUP(G132,PARAM!P:Q,2,0)),"")</f>
        <v>10215225</v>
      </c>
      <c r="J132" s="1" t="str">
        <f>IFERROR(CONCATENATE("*",VLOOKUP(C132,PARAM!D:E,2,0),VLOOKUP(D132,PARAM!J:K,2,0),VLOOKUP(E132,PARAM!G:H,2,0),VLOOKUP(G132,PARAM!P:Q,2,0),"*"),"")</f>
        <v>*10215225*</v>
      </c>
      <c r="K132" s="1" t="str">
        <f t="shared" si="1"/>
        <v>CAMISAS CABALLERO JEAN TALLA M</v>
      </c>
      <c r="L132" s="1"/>
    </row>
    <row r="133">
      <c r="A133" s="55">
        <v>46186.0</v>
      </c>
      <c r="B133" s="4" t="s">
        <v>1078</v>
      </c>
      <c r="C133" s="4" t="s">
        <v>1173</v>
      </c>
      <c r="D133" s="4" t="s">
        <v>1080</v>
      </c>
      <c r="E133" s="4" t="s">
        <v>503</v>
      </c>
      <c r="F133" s="4" t="s">
        <v>1069</v>
      </c>
      <c r="G133" s="60" t="s">
        <v>1168</v>
      </c>
      <c r="H133" s="1" t="s">
        <v>573</v>
      </c>
      <c r="I133" s="1" t="str">
        <f>IFERROR(CONCATENATE(VLOOKUP(C133,PARAM!D:E,2,0),VLOOKUP(D133,PARAM!J:K,2,0),VLOOKUP(E133,PARAM!G:H,2,0),VLOOKUP(G133,PARAM!P:Q,2,0)),"")</f>
        <v>102027</v>
      </c>
      <c r="J133" s="1" t="str">
        <f>IFERROR(CONCATENATE("*",VLOOKUP(C133,PARAM!D:E,2,0),VLOOKUP(D133,PARAM!J:K,2,0),VLOOKUP(E133,PARAM!G:H,2,0),VLOOKUP(G133,PARAM!P:Q,2,0),"*"),"")</f>
        <v>*102027*</v>
      </c>
      <c r="K133" s="1" t="str">
        <f t="shared" si="1"/>
        <v>CAMISAS CABALLERO - TALLA S</v>
      </c>
      <c r="L133" s="1"/>
    </row>
    <row r="134">
      <c r="A134" s="55">
        <v>46186.0</v>
      </c>
      <c r="B134" s="4" t="s">
        <v>1078</v>
      </c>
      <c r="C134" s="4" t="s">
        <v>1173</v>
      </c>
      <c r="D134" s="4" t="s">
        <v>1080</v>
      </c>
      <c r="E134" s="4" t="s">
        <v>503</v>
      </c>
      <c r="F134" s="4" t="s">
        <v>1069</v>
      </c>
      <c r="G134" s="60" t="s">
        <v>1077</v>
      </c>
      <c r="H134" s="1" t="s">
        <v>573</v>
      </c>
      <c r="I134" s="1" t="str">
        <f>IFERROR(CONCATENATE(VLOOKUP(C134,PARAM!D:E,2,0),VLOOKUP(D134,PARAM!J:K,2,0),VLOOKUP(E134,PARAM!G:H,2,0),VLOOKUP(G134,PARAM!P:Q,2,0)),"")</f>
        <v>102032</v>
      </c>
      <c r="J134" s="1" t="str">
        <f>IFERROR(CONCATENATE("*",VLOOKUP(C134,PARAM!D:E,2,0),VLOOKUP(D134,PARAM!J:K,2,0),VLOOKUP(E134,PARAM!G:H,2,0),VLOOKUP(G134,PARAM!P:Q,2,0),"*"),"")</f>
        <v>*102032*</v>
      </c>
      <c r="K134" s="1" t="str">
        <f t="shared" si="1"/>
        <v>CAMISAS CABALLERO - TALLA XL</v>
      </c>
      <c r="L134" s="1"/>
    </row>
    <row r="135">
      <c r="A135" s="55">
        <v>46186.0</v>
      </c>
      <c r="B135" s="4" t="s">
        <v>1058</v>
      </c>
      <c r="C135" s="4" t="s">
        <v>1175</v>
      </c>
      <c r="D135" s="4" t="s">
        <v>1060</v>
      </c>
      <c r="E135" s="4" t="s">
        <v>1176</v>
      </c>
      <c r="F135" s="4" t="s">
        <v>1069</v>
      </c>
      <c r="G135" s="60" t="s">
        <v>1103</v>
      </c>
      <c r="H135" s="1" t="s">
        <v>580</v>
      </c>
      <c r="I135" s="1" t="str">
        <f>IFERROR(CONCATENATE(VLOOKUP(C135,PARAM!D:E,2,0),VLOOKUP(D135,PARAM!J:K,2,0),VLOOKUP(E135,PARAM!G:H,2,0),VLOOKUP(G135,PARAM!P:Q,2,0)),"")</f>
        <v>3811430</v>
      </c>
      <c r="J135" s="1" t="str">
        <f>IFERROR(CONCATENATE("*",VLOOKUP(C135,PARAM!D:E,2,0),VLOOKUP(D135,PARAM!J:K,2,0),VLOOKUP(E135,PARAM!G:H,2,0),VLOOKUP(G135,PARAM!P:Q,2,0),"*"),"")</f>
        <v>*3811430*</v>
      </c>
      <c r="K135" s="1" t="str">
        <f t="shared" si="1"/>
        <v>BODY DAMA AFELPADO TALLA UN</v>
      </c>
      <c r="L135" s="1"/>
    </row>
    <row r="136">
      <c r="A136" s="55">
        <v>46186.0</v>
      </c>
      <c r="B136" s="4" t="s">
        <v>1058</v>
      </c>
      <c r="C136" s="4" t="s">
        <v>421</v>
      </c>
      <c r="D136" s="4" t="s">
        <v>1060</v>
      </c>
      <c r="E136" s="4" t="s">
        <v>1177</v>
      </c>
      <c r="F136" s="4" t="s">
        <v>1069</v>
      </c>
      <c r="G136" s="60" t="s">
        <v>1103</v>
      </c>
      <c r="H136" s="1" t="s">
        <v>580</v>
      </c>
      <c r="I136" s="1" t="str">
        <f>IFERROR(CONCATENATE(VLOOKUP(C136,PARAM!D:E,2,0),VLOOKUP(D136,PARAM!J:K,2,0),VLOOKUP(E136,PARAM!G:H,2,0),VLOOKUP(G136,PARAM!P:Q,2,0)),"")</f>
        <v>615230</v>
      </c>
      <c r="J136" s="1" t="str">
        <f>IFERROR(CONCATENATE("*",VLOOKUP(C136,PARAM!D:E,2,0),VLOOKUP(D136,PARAM!J:K,2,0),VLOOKUP(E136,PARAM!G:H,2,0),VLOOKUP(G136,PARAM!P:Q,2,0),"*"),"")</f>
        <v>*615230*</v>
      </c>
      <c r="K136" s="1" t="str">
        <f t="shared" si="1"/>
        <v>BLUSAS DAMA BRILLANTE TALLA UN</v>
      </c>
      <c r="L136" s="1"/>
    </row>
    <row r="137">
      <c r="A137" s="55">
        <v>46186.0</v>
      </c>
      <c r="B137" s="4" t="s">
        <v>1058</v>
      </c>
      <c r="C137" s="4" t="s">
        <v>421</v>
      </c>
      <c r="D137" s="4" t="s">
        <v>1060</v>
      </c>
      <c r="E137" s="4" t="s">
        <v>1159</v>
      </c>
      <c r="F137" s="4" t="s">
        <v>1069</v>
      </c>
      <c r="G137" s="60" t="s">
        <v>1103</v>
      </c>
      <c r="H137" s="1" t="s">
        <v>580</v>
      </c>
      <c r="I137" s="1" t="str">
        <f>IFERROR(CONCATENATE(VLOOKUP(C137,PARAM!D:E,2,0),VLOOKUP(D137,PARAM!J:K,2,0),VLOOKUP(E137,PARAM!G:H,2,0),VLOOKUP(G137,PARAM!P:Q,2,0)),"")</f>
        <v>6118430</v>
      </c>
      <c r="J137" s="1" t="str">
        <f>IFERROR(CONCATENATE("*",VLOOKUP(C137,PARAM!D:E,2,0),VLOOKUP(D137,PARAM!J:K,2,0),VLOOKUP(E137,PARAM!G:H,2,0),VLOOKUP(G137,PARAM!P:Q,2,0),"*"),"")</f>
        <v>*6118430*</v>
      </c>
      <c r="K137" s="1" t="str">
        <f t="shared" si="1"/>
        <v>BLUSAS DAMA MARIPOSA TALLA UN</v>
      </c>
      <c r="L137" s="1"/>
    </row>
    <row r="138">
      <c r="A138" s="55">
        <v>46186.0</v>
      </c>
      <c r="B138" s="4" t="s">
        <v>1058</v>
      </c>
      <c r="C138" s="4" t="s">
        <v>421</v>
      </c>
      <c r="D138" s="4" t="s">
        <v>1060</v>
      </c>
      <c r="E138" s="4" t="s">
        <v>1178</v>
      </c>
      <c r="F138" s="4" t="s">
        <v>1069</v>
      </c>
      <c r="G138" s="60" t="s">
        <v>1103</v>
      </c>
      <c r="H138" s="1" t="s">
        <v>580</v>
      </c>
      <c r="I138" s="1" t="str">
        <f>IFERROR(CONCATENATE(VLOOKUP(C138,PARAM!D:E,2,0),VLOOKUP(D138,PARAM!J:K,2,0),VLOOKUP(E138,PARAM!G:H,2,0),VLOOKUP(G138,PARAM!P:Q,2,0)),"")</f>
        <v>612430</v>
      </c>
      <c r="J138" s="1" t="str">
        <f>IFERROR(CONCATENATE("*",VLOOKUP(C138,PARAM!D:E,2,0),VLOOKUP(D138,PARAM!J:K,2,0),VLOOKUP(E138,PARAM!G:H,2,0),VLOOKUP(G138,PARAM!P:Q,2,0),"*"),"")</f>
        <v>*612430*</v>
      </c>
      <c r="K138" s="1" t="str">
        <f t="shared" si="1"/>
        <v>BLUSAS DAMA AMBAR TALLA UN</v>
      </c>
      <c r="L138" s="1"/>
    </row>
    <row r="139">
      <c r="A139" s="55">
        <v>46186.0</v>
      </c>
      <c r="B139" s="4" t="s">
        <v>1058</v>
      </c>
      <c r="C139" s="4" t="s">
        <v>1175</v>
      </c>
      <c r="D139" s="4" t="s">
        <v>1060</v>
      </c>
      <c r="E139" s="1" t="s">
        <v>1179</v>
      </c>
      <c r="F139" s="4" t="s">
        <v>1069</v>
      </c>
      <c r="G139" s="60" t="s">
        <v>1103</v>
      </c>
      <c r="H139" s="1" t="s">
        <v>580</v>
      </c>
      <c r="I139" s="1" t="str">
        <f>IFERROR(CONCATENATE(VLOOKUP(C139,PARAM!D:E,2,0),VLOOKUP(D139,PARAM!J:K,2,0),VLOOKUP(E139,PARAM!G:H,2,0),VLOOKUP(G139,PARAM!P:Q,2,0)),"")</f>
        <v>3814730</v>
      </c>
      <c r="J139" s="1" t="str">
        <f>IFERROR(CONCATENATE("*",VLOOKUP(C139,PARAM!D:E,2,0),VLOOKUP(D139,PARAM!J:K,2,0),VLOOKUP(E139,PARAM!G:H,2,0),VLOOKUP(G139,PARAM!P:Q,2,0),"*"),"")</f>
        <v>*3814730*</v>
      </c>
      <c r="K139" s="1" t="str">
        <f t="shared" si="1"/>
        <v>BODY DAMA BODY COSMO TALLA UN</v>
      </c>
      <c r="L139" s="1"/>
    </row>
    <row r="140">
      <c r="A140" s="55">
        <v>46186.0</v>
      </c>
      <c r="B140" s="4" t="s">
        <v>1058</v>
      </c>
      <c r="C140" s="4" t="s">
        <v>1175</v>
      </c>
      <c r="D140" s="4" t="s">
        <v>1060</v>
      </c>
      <c r="E140" s="1" t="s">
        <v>1180</v>
      </c>
      <c r="F140" s="4" t="s">
        <v>1069</v>
      </c>
      <c r="G140" s="60" t="s">
        <v>1103</v>
      </c>
      <c r="H140" s="1" t="s">
        <v>580</v>
      </c>
      <c r="I140" s="1" t="str">
        <f>IFERROR(CONCATENATE(VLOOKUP(C140,PARAM!D:E,2,0),VLOOKUP(D140,PARAM!J:K,2,0),VLOOKUP(E140,PARAM!G:H,2,0),VLOOKUP(G140,PARAM!P:Q,2,0)),"")</f>
        <v>38119930</v>
      </c>
      <c r="J140" s="1" t="str">
        <f>IFERROR(CONCATENATE("*",VLOOKUP(C140,PARAM!D:E,2,0),VLOOKUP(D140,PARAM!J:K,2,0),VLOOKUP(E140,PARAM!G:H,2,0),VLOOKUP(G140,PARAM!P:Q,2,0),"*"),"")</f>
        <v>*38119930*</v>
      </c>
      <c r="K140" s="1" t="str">
        <f t="shared" si="1"/>
        <v>BODY DAMA OTRA CLASE TALLA UN</v>
      </c>
      <c r="L140" s="1"/>
    </row>
    <row r="141">
      <c r="A141" s="55">
        <v>46186.0</v>
      </c>
      <c r="B141" s="4" t="s">
        <v>1058</v>
      </c>
      <c r="C141" s="4" t="s">
        <v>1171</v>
      </c>
      <c r="D141" s="4" t="s">
        <v>1060</v>
      </c>
      <c r="E141" s="4" t="s">
        <v>1181</v>
      </c>
      <c r="F141" s="4" t="s">
        <v>1069</v>
      </c>
      <c r="G141" s="60" t="s">
        <v>1164</v>
      </c>
      <c r="H141" s="1" t="s">
        <v>587</v>
      </c>
      <c r="I141" s="1" t="str">
        <f>IFERROR(CONCATENATE(VLOOKUP(C141,PARAM!D:E,2,0),VLOOKUP(D141,PARAM!J:K,2,0),VLOOKUP(E141,PARAM!G:H,2,0),VLOOKUP(G141,PARAM!P:Q,2,0)),"")</f>
        <v>11121625</v>
      </c>
      <c r="J141" s="1" t="str">
        <f>IFERROR(CONCATENATE("*",VLOOKUP(C141,PARAM!D:E,2,0),VLOOKUP(D141,PARAM!J:K,2,0),VLOOKUP(E141,PARAM!G:H,2,0),VLOOKUP(G141,PARAM!P:Q,2,0),"*"),"")</f>
        <v>*11121625*</v>
      </c>
      <c r="K141" s="1" t="str">
        <f t="shared" si="1"/>
        <v>CAMISETAS DAMA POLO TALLA M</v>
      </c>
      <c r="L141" s="1"/>
    </row>
    <row r="142">
      <c r="A142" s="55">
        <v>46186.0</v>
      </c>
      <c r="B142" s="4" t="s">
        <v>1058</v>
      </c>
      <c r="C142" s="4" t="s">
        <v>1171</v>
      </c>
      <c r="D142" s="4" t="s">
        <v>1060</v>
      </c>
      <c r="E142" s="4" t="s">
        <v>1181</v>
      </c>
      <c r="F142" s="4" t="s">
        <v>1069</v>
      </c>
      <c r="G142" s="60" t="s">
        <v>1168</v>
      </c>
      <c r="H142" s="1" t="s">
        <v>587</v>
      </c>
      <c r="I142" s="1" t="str">
        <f>IFERROR(CONCATENATE(VLOOKUP(C142,PARAM!D:E,2,0),VLOOKUP(D142,PARAM!J:K,2,0),VLOOKUP(E142,PARAM!G:H,2,0),VLOOKUP(G142,PARAM!P:Q,2,0)),"")</f>
        <v>11121627</v>
      </c>
      <c r="J142" s="1" t="str">
        <f>IFERROR(CONCATENATE("*",VLOOKUP(C142,PARAM!D:E,2,0),VLOOKUP(D142,PARAM!J:K,2,0),VLOOKUP(E142,PARAM!G:H,2,0),VLOOKUP(G142,PARAM!P:Q,2,0),"*"),"")</f>
        <v>*11121627*</v>
      </c>
      <c r="K142" s="1" t="str">
        <f t="shared" si="1"/>
        <v>CAMISETAS DAMA POLO TALLA S</v>
      </c>
      <c r="L142" s="1"/>
    </row>
    <row r="143">
      <c r="A143" s="55">
        <v>46186.0</v>
      </c>
      <c r="B143" s="4" t="s">
        <v>1078</v>
      </c>
      <c r="C143" s="4" t="s">
        <v>1171</v>
      </c>
      <c r="D143" s="4" t="s">
        <v>1080</v>
      </c>
      <c r="E143" s="4" t="s">
        <v>1182</v>
      </c>
      <c r="F143" s="4" t="s">
        <v>1069</v>
      </c>
      <c r="G143" s="60" t="s">
        <v>1077</v>
      </c>
      <c r="H143" s="1" t="s">
        <v>587</v>
      </c>
      <c r="I143" s="1" t="str">
        <f>IFERROR(CONCATENATE(VLOOKUP(C143,PARAM!D:E,2,0),VLOOKUP(D143,PARAM!J:K,2,0),VLOOKUP(E143,PARAM!G:H,2,0),VLOOKUP(G143,PARAM!P:Q,2,0)),"")</f>
        <v>11222032</v>
      </c>
      <c r="J143" s="1" t="str">
        <f>IFERROR(CONCATENATE("*",VLOOKUP(C143,PARAM!D:E,2,0),VLOOKUP(D143,PARAM!J:K,2,0),VLOOKUP(E143,PARAM!G:H,2,0),VLOOKUP(G143,PARAM!P:Q,2,0),"*"),"")</f>
        <v>*11222032*</v>
      </c>
      <c r="K143" s="1" t="str">
        <f t="shared" si="1"/>
        <v>CAMISETAS CABALLERO POLO TIPO GALLETA TALLA XL</v>
      </c>
      <c r="L143" s="1"/>
    </row>
    <row r="144">
      <c r="A144" s="55">
        <v>46186.0</v>
      </c>
      <c r="B144" s="4" t="s">
        <v>1078</v>
      </c>
      <c r="C144" s="4" t="s">
        <v>1171</v>
      </c>
      <c r="D144" s="4" t="s">
        <v>1080</v>
      </c>
      <c r="E144" s="4" t="s">
        <v>1182</v>
      </c>
      <c r="F144" s="4" t="s">
        <v>1069</v>
      </c>
      <c r="G144" s="60" t="s">
        <v>1168</v>
      </c>
      <c r="H144" s="1" t="s">
        <v>587</v>
      </c>
      <c r="I144" s="1" t="str">
        <f>IFERROR(CONCATENATE(VLOOKUP(C144,PARAM!D:E,2,0),VLOOKUP(D144,PARAM!J:K,2,0),VLOOKUP(E144,PARAM!G:H,2,0),VLOOKUP(G144,PARAM!P:Q,2,0)),"")</f>
        <v>11222027</v>
      </c>
      <c r="J144" s="1" t="str">
        <f>IFERROR(CONCATENATE("*",VLOOKUP(C144,PARAM!D:E,2,0),VLOOKUP(D144,PARAM!J:K,2,0),VLOOKUP(E144,PARAM!G:H,2,0),VLOOKUP(G144,PARAM!P:Q,2,0),"*"),"")</f>
        <v>*11222027*</v>
      </c>
      <c r="K144" s="1" t="str">
        <f t="shared" si="1"/>
        <v>CAMISETAS CABALLERO POLO TIPO GALLETA TALLA S</v>
      </c>
      <c r="L144" s="1"/>
    </row>
    <row r="145">
      <c r="A145" s="55">
        <v>46186.0</v>
      </c>
      <c r="B145" s="4" t="s">
        <v>1078</v>
      </c>
      <c r="C145" s="4" t="s">
        <v>1171</v>
      </c>
      <c r="D145" s="4" t="s">
        <v>1080</v>
      </c>
      <c r="E145" s="4" t="s">
        <v>1182</v>
      </c>
      <c r="F145" s="4" t="s">
        <v>1069</v>
      </c>
      <c r="G145" s="60" t="s">
        <v>1164</v>
      </c>
      <c r="H145" s="1" t="s">
        <v>587</v>
      </c>
      <c r="I145" s="1" t="str">
        <f>IFERROR(CONCATENATE(VLOOKUP(C145,PARAM!D:E,2,0),VLOOKUP(D145,PARAM!J:K,2,0),VLOOKUP(E145,PARAM!G:H,2,0),VLOOKUP(G145,PARAM!P:Q,2,0)),"")</f>
        <v>11222025</v>
      </c>
      <c r="J145" s="1" t="str">
        <f>IFERROR(CONCATENATE("*",VLOOKUP(C145,PARAM!D:E,2,0),VLOOKUP(D145,PARAM!J:K,2,0),VLOOKUP(E145,PARAM!G:H,2,0),VLOOKUP(G145,PARAM!P:Q,2,0),"*"),"")</f>
        <v>*11222025*</v>
      </c>
      <c r="K145" s="1" t="str">
        <f t="shared" si="1"/>
        <v>CAMISETAS CABALLERO POLO TIPO GALLETA TALLA M</v>
      </c>
      <c r="L145" s="1"/>
    </row>
    <row r="146">
      <c r="A146" s="55">
        <v>46186.0</v>
      </c>
      <c r="B146" s="4" t="s">
        <v>1078</v>
      </c>
      <c r="C146" s="4" t="s">
        <v>1171</v>
      </c>
      <c r="D146" s="4" t="s">
        <v>1080</v>
      </c>
      <c r="E146" s="4" t="s">
        <v>1182</v>
      </c>
      <c r="F146" s="4" t="s">
        <v>1069</v>
      </c>
      <c r="G146" s="60" t="s">
        <v>1165</v>
      </c>
      <c r="H146" s="1" t="s">
        <v>587</v>
      </c>
      <c r="I146" s="1" t="str">
        <f>IFERROR(CONCATENATE(VLOOKUP(C146,PARAM!D:E,2,0),VLOOKUP(D146,PARAM!J:K,2,0),VLOOKUP(E146,PARAM!G:H,2,0),VLOOKUP(G146,PARAM!P:Q,2,0)),"")</f>
        <v>11222023</v>
      </c>
      <c r="J146" s="1" t="str">
        <f>IFERROR(CONCATENATE("*",VLOOKUP(C146,PARAM!D:E,2,0),VLOOKUP(D146,PARAM!J:K,2,0),VLOOKUP(E146,PARAM!G:H,2,0),VLOOKUP(G146,PARAM!P:Q,2,0),"*"),"")</f>
        <v>*11222023*</v>
      </c>
      <c r="K146" s="1" t="str">
        <f t="shared" si="1"/>
        <v>CAMISETAS CABALLERO POLO TIPO GALLETA TALLA L</v>
      </c>
      <c r="L146" s="1"/>
    </row>
    <row r="147">
      <c r="A147" s="55">
        <v>46186.0</v>
      </c>
      <c r="B147" s="4" t="s">
        <v>1078</v>
      </c>
      <c r="C147" s="4" t="s">
        <v>1171</v>
      </c>
      <c r="D147" s="4" t="s">
        <v>1080</v>
      </c>
      <c r="E147" s="4" t="s">
        <v>1144</v>
      </c>
      <c r="F147" s="4" t="s">
        <v>1069</v>
      </c>
      <c r="G147" s="60" t="s">
        <v>1168</v>
      </c>
      <c r="H147" s="1" t="s">
        <v>587</v>
      </c>
      <c r="I147" s="1" t="str">
        <f>IFERROR(CONCATENATE(VLOOKUP(C147,PARAM!D:E,2,0),VLOOKUP(D147,PARAM!J:K,2,0),VLOOKUP(E147,PARAM!G:H,2,0),VLOOKUP(G147,PARAM!P:Q,2,0)),"")</f>
        <v>11210827</v>
      </c>
      <c r="J147" s="1" t="str">
        <f>IFERROR(CONCATENATE("*",VLOOKUP(C147,PARAM!D:E,2,0),VLOOKUP(D147,PARAM!J:K,2,0),VLOOKUP(E147,PARAM!G:H,2,0),VLOOKUP(G147,PARAM!P:Q,2,0),"*"),"")</f>
        <v>*11210827*</v>
      </c>
      <c r="K147" s="1" t="str">
        <f t="shared" si="1"/>
        <v>CAMISETAS CABALLERO CUELLO REDONDO TALLA S</v>
      </c>
      <c r="L147" s="1"/>
    </row>
    <row r="148">
      <c r="A148" s="55">
        <v>46186.0</v>
      </c>
      <c r="B148" s="4" t="s">
        <v>1078</v>
      </c>
      <c r="C148" s="4" t="s">
        <v>1171</v>
      </c>
      <c r="D148" s="4" t="s">
        <v>1080</v>
      </c>
      <c r="E148" s="4" t="s">
        <v>1144</v>
      </c>
      <c r="F148" s="4" t="s">
        <v>1069</v>
      </c>
      <c r="G148" s="60" t="s">
        <v>1164</v>
      </c>
      <c r="H148" s="1" t="s">
        <v>587</v>
      </c>
      <c r="I148" s="1" t="str">
        <f>IFERROR(CONCATENATE(VLOOKUP(C148,PARAM!D:E,2,0),VLOOKUP(D148,PARAM!J:K,2,0),VLOOKUP(E148,PARAM!G:H,2,0),VLOOKUP(G148,PARAM!P:Q,2,0)),"")</f>
        <v>11210825</v>
      </c>
      <c r="J148" s="1" t="str">
        <f>IFERROR(CONCATENATE("*",VLOOKUP(C148,PARAM!D:E,2,0),VLOOKUP(D148,PARAM!J:K,2,0),VLOOKUP(E148,PARAM!G:H,2,0),VLOOKUP(G148,PARAM!P:Q,2,0),"*"),"")</f>
        <v>*11210825*</v>
      </c>
      <c r="K148" s="1" t="str">
        <f t="shared" si="1"/>
        <v>CAMISETAS CABALLERO CUELLO REDONDO TALLA M</v>
      </c>
      <c r="L148" s="1"/>
    </row>
    <row r="149">
      <c r="A149" s="55">
        <v>46186.0</v>
      </c>
      <c r="B149" s="4" t="s">
        <v>1078</v>
      </c>
      <c r="C149" s="4" t="s">
        <v>1171</v>
      </c>
      <c r="D149" s="4" t="s">
        <v>1080</v>
      </c>
      <c r="E149" s="4" t="s">
        <v>1144</v>
      </c>
      <c r="F149" s="4" t="s">
        <v>1069</v>
      </c>
      <c r="G149" s="60" t="s">
        <v>1165</v>
      </c>
      <c r="H149" s="1" t="s">
        <v>587</v>
      </c>
      <c r="I149" s="1" t="str">
        <f>IFERROR(CONCATENATE(VLOOKUP(C149,PARAM!D:E,2,0),VLOOKUP(D149,PARAM!J:K,2,0),VLOOKUP(E149,PARAM!G:H,2,0),VLOOKUP(G149,PARAM!P:Q,2,0)),"")</f>
        <v>11210823</v>
      </c>
      <c r="J149" s="1" t="str">
        <f>IFERROR(CONCATENATE("*",VLOOKUP(C149,PARAM!D:E,2,0),VLOOKUP(D149,PARAM!J:K,2,0),VLOOKUP(E149,PARAM!G:H,2,0),VLOOKUP(G149,PARAM!P:Q,2,0),"*"),"")</f>
        <v>*11210823*</v>
      </c>
      <c r="K149" s="1" t="str">
        <f t="shared" si="1"/>
        <v>CAMISETAS CABALLERO CUELLO REDONDO TALLA L</v>
      </c>
      <c r="L149" s="1"/>
    </row>
    <row r="150">
      <c r="A150" s="55">
        <v>46186.0</v>
      </c>
      <c r="B150" s="4" t="s">
        <v>1078</v>
      </c>
      <c r="C150" s="4" t="s">
        <v>1171</v>
      </c>
      <c r="D150" s="4" t="s">
        <v>1080</v>
      </c>
      <c r="E150" s="4" t="s">
        <v>1144</v>
      </c>
      <c r="F150" s="4" t="s">
        <v>1069</v>
      </c>
      <c r="G150" s="60" t="s">
        <v>1077</v>
      </c>
      <c r="H150" s="1" t="s">
        <v>587</v>
      </c>
      <c r="I150" s="1" t="str">
        <f>IFERROR(CONCATENATE(VLOOKUP(C150,PARAM!D:E,2,0),VLOOKUP(D150,PARAM!J:K,2,0),VLOOKUP(E150,PARAM!G:H,2,0),VLOOKUP(G150,PARAM!P:Q,2,0)),"")</f>
        <v>11210832</v>
      </c>
      <c r="J150" s="1" t="str">
        <f>IFERROR(CONCATENATE("*",VLOOKUP(C150,PARAM!D:E,2,0),VLOOKUP(D150,PARAM!J:K,2,0),VLOOKUP(E150,PARAM!G:H,2,0),VLOOKUP(G150,PARAM!P:Q,2,0),"*"),"")</f>
        <v>*11210832*</v>
      </c>
      <c r="K150" s="1" t="str">
        <f t="shared" si="1"/>
        <v>CAMISETAS CABALLERO CUELLO REDONDO TALLA XL</v>
      </c>
      <c r="L150" s="1"/>
    </row>
    <row r="151">
      <c r="A151" s="55">
        <v>46186.0</v>
      </c>
      <c r="B151" s="4" t="s">
        <v>1078</v>
      </c>
      <c r="C151" s="4" t="s">
        <v>1171</v>
      </c>
      <c r="D151" s="4" t="s">
        <v>1080</v>
      </c>
      <c r="E151" s="4" t="s">
        <v>1183</v>
      </c>
      <c r="F151" s="4" t="s">
        <v>1069</v>
      </c>
      <c r="G151" s="60" t="s">
        <v>1168</v>
      </c>
      <c r="H151" s="1" t="s">
        <v>587</v>
      </c>
      <c r="I151" s="1" t="str">
        <f>IFERROR(CONCATENATE(VLOOKUP(C151,PARAM!D:E,2,0),VLOOKUP(D151,PARAM!J:K,2,0),VLOOKUP(E151,PARAM!G:H,2,0),VLOOKUP(G151,PARAM!P:Q,2,0)),"")</f>
        <v>11221827</v>
      </c>
      <c r="J151" s="1" t="str">
        <f>IFERROR(CONCATENATE("*",VLOOKUP(C151,PARAM!D:E,2,0),VLOOKUP(D151,PARAM!J:K,2,0),VLOOKUP(E151,PARAM!G:H,2,0),VLOOKUP(G151,PARAM!P:Q,2,0),"*"),"")</f>
        <v>*11221827*</v>
      </c>
      <c r="K151" s="1" t="str">
        <f t="shared" si="1"/>
        <v>CAMISETAS CABALLERO POLO SEDA FRIA TALLA S</v>
      </c>
      <c r="L151" s="1"/>
    </row>
    <row r="152">
      <c r="A152" s="55">
        <v>46186.0</v>
      </c>
      <c r="B152" s="4" t="s">
        <v>1078</v>
      </c>
      <c r="C152" s="4" t="s">
        <v>1171</v>
      </c>
      <c r="D152" s="4" t="s">
        <v>1080</v>
      </c>
      <c r="E152" s="4" t="s">
        <v>1183</v>
      </c>
      <c r="F152" s="4" t="s">
        <v>1069</v>
      </c>
      <c r="G152" s="60" t="s">
        <v>1164</v>
      </c>
      <c r="H152" s="1" t="s">
        <v>587</v>
      </c>
      <c r="I152" s="1" t="str">
        <f>IFERROR(CONCATENATE(VLOOKUP(C152,PARAM!D:E,2,0),VLOOKUP(D152,PARAM!J:K,2,0),VLOOKUP(E152,PARAM!G:H,2,0),VLOOKUP(G152,PARAM!P:Q,2,0)),"")</f>
        <v>11221825</v>
      </c>
      <c r="J152" s="1" t="str">
        <f>IFERROR(CONCATENATE("*",VLOOKUP(C152,PARAM!D:E,2,0),VLOOKUP(D152,PARAM!J:K,2,0),VLOOKUP(E152,PARAM!G:H,2,0),VLOOKUP(G152,PARAM!P:Q,2,0),"*"),"")</f>
        <v>*11221825*</v>
      </c>
      <c r="K152" s="1" t="str">
        <f t="shared" si="1"/>
        <v>CAMISETAS CABALLERO POLO SEDA FRIA TALLA M</v>
      </c>
      <c r="L152" s="1"/>
    </row>
    <row r="153">
      <c r="A153" s="55">
        <v>46186.0</v>
      </c>
      <c r="B153" s="4" t="s">
        <v>1078</v>
      </c>
      <c r="C153" s="4" t="s">
        <v>1171</v>
      </c>
      <c r="D153" s="4" t="s">
        <v>1080</v>
      </c>
      <c r="E153" s="4" t="s">
        <v>1183</v>
      </c>
      <c r="F153" s="4" t="s">
        <v>1069</v>
      </c>
      <c r="G153" s="60" t="s">
        <v>1165</v>
      </c>
      <c r="H153" s="1" t="s">
        <v>587</v>
      </c>
      <c r="I153" s="1" t="str">
        <f>IFERROR(CONCATENATE(VLOOKUP(C153,PARAM!D:E,2,0),VLOOKUP(D153,PARAM!J:K,2,0),VLOOKUP(E153,PARAM!G:H,2,0),VLOOKUP(G153,PARAM!P:Q,2,0)),"")</f>
        <v>11221823</v>
      </c>
      <c r="J153" s="1" t="str">
        <f>IFERROR(CONCATENATE("*",VLOOKUP(C153,PARAM!D:E,2,0),VLOOKUP(D153,PARAM!J:K,2,0),VLOOKUP(E153,PARAM!G:H,2,0),VLOOKUP(G153,PARAM!P:Q,2,0),"*"),"")</f>
        <v>*11221823*</v>
      </c>
      <c r="K153" s="1" t="str">
        <f t="shared" si="1"/>
        <v>CAMISETAS CABALLERO POLO SEDA FRIA TALLA L</v>
      </c>
      <c r="L153" s="1"/>
    </row>
    <row r="154">
      <c r="A154" s="55">
        <v>46186.0</v>
      </c>
      <c r="B154" s="4" t="s">
        <v>1078</v>
      </c>
      <c r="C154" s="4" t="s">
        <v>1171</v>
      </c>
      <c r="D154" s="4" t="s">
        <v>1080</v>
      </c>
      <c r="E154" s="4" t="s">
        <v>1183</v>
      </c>
      <c r="F154" s="4" t="s">
        <v>1069</v>
      </c>
      <c r="G154" s="60" t="s">
        <v>1077</v>
      </c>
      <c r="H154" s="1" t="s">
        <v>587</v>
      </c>
      <c r="I154" s="1" t="str">
        <f>IFERROR(CONCATENATE(VLOOKUP(C154,PARAM!D:E,2,0),VLOOKUP(D154,PARAM!J:K,2,0),VLOOKUP(E154,PARAM!G:H,2,0),VLOOKUP(G154,PARAM!P:Q,2,0)),"")</f>
        <v>11221832</v>
      </c>
      <c r="J154" s="1" t="str">
        <f>IFERROR(CONCATENATE("*",VLOOKUP(C154,PARAM!D:E,2,0),VLOOKUP(D154,PARAM!J:K,2,0),VLOOKUP(E154,PARAM!G:H,2,0),VLOOKUP(G154,PARAM!P:Q,2,0),"*"),"")</f>
        <v>*11221832*</v>
      </c>
      <c r="K154" s="1" t="str">
        <f t="shared" si="1"/>
        <v>CAMISETAS CABALLERO POLO SEDA FRIA TALLA XL</v>
      </c>
      <c r="L154" s="1"/>
    </row>
    <row r="155">
      <c r="A155" s="55">
        <v>46186.0</v>
      </c>
      <c r="B155" s="4" t="s">
        <v>1058</v>
      </c>
      <c r="C155" s="4" t="s">
        <v>1158</v>
      </c>
      <c r="D155" s="4" t="s">
        <v>1060</v>
      </c>
      <c r="E155" s="4" t="s">
        <v>1184</v>
      </c>
      <c r="F155" s="4" t="s">
        <v>1069</v>
      </c>
      <c r="G155" s="60">
        <v>12.0</v>
      </c>
      <c r="H155" s="1" t="s">
        <v>602</v>
      </c>
      <c r="I155" s="1" t="str">
        <f>IFERROR(CONCATENATE(VLOOKUP(C155,PARAM!D:E,2,0),VLOOKUP(D155,PARAM!J:K,2,0),VLOOKUP(E155,PARAM!G:H,2,0),VLOOKUP(G155,PARAM!P:Q,2,0)),"")</f>
        <v>211974</v>
      </c>
      <c r="J155" s="1" t="str">
        <f>IFERROR(CONCATENATE("*",VLOOKUP(C155,PARAM!D:E,2,0),VLOOKUP(D155,PARAM!J:K,2,0),VLOOKUP(E155,PARAM!G:H,2,0),VLOOKUP(G155,PARAM!P:Q,2,0),"*"),"")</f>
        <v>*211974*</v>
      </c>
      <c r="K155" s="1" t="str">
        <f t="shared" si="1"/>
        <v>PANTALONES DAMA NOCHE TALLA 12</v>
      </c>
      <c r="L155" s="1"/>
    </row>
    <row r="156">
      <c r="A156" s="55">
        <v>46186.0</v>
      </c>
      <c r="B156" s="4" t="s">
        <v>1058</v>
      </c>
      <c r="C156" s="4" t="s">
        <v>1158</v>
      </c>
      <c r="D156" s="4" t="s">
        <v>1060</v>
      </c>
      <c r="E156" s="4" t="s">
        <v>1184</v>
      </c>
      <c r="F156" s="4" t="s">
        <v>1069</v>
      </c>
      <c r="G156" s="60">
        <v>14.0</v>
      </c>
      <c r="H156" s="1" t="s">
        <v>602</v>
      </c>
      <c r="I156" s="1" t="str">
        <f>IFERROR(CONCATENATE(VLOOKUP(C156,PARAM!D:E,2,0),VLOOKUP(D156,PARAM!J:K,2,0),VLOOKUP(E156,PARAM!G:H,2,0),VLOOKUP(G156,PARAM!P:Q,2,0)),"")</f>
        <v>211975</v>
      </c>
      <c r="J156" s="1" t="str">
        <f>IFERROR(CONCATENATE("*",VLOOKUP(C156,PARAM!D:E,2,0),VLOOKUP(D156,PARAM!J:K,2,0),VLOOKUP(E156,PARAM!G:H,2,0),VLOOKUP(G156,PARAM!P:Q,2,0),"*"),"")</f>
        <v>*211975*</v>
      </c>
      <c r="K156" s="1" t="str">
        <f t="shared" si="1"/>
        <v>PANTALONES DAMA NOCHE TALLA 14</v>
      </c>
      <c r="L156" s="1"/>
    </row>
    <row r="157">
      <c r="A157" s="55">
        <v>46186.0</v>
      </c>
      <c r="B157" s="4" t="s">
        <v>1058</v>
      </c>
      <c r="C157" s="4" t="s">
        <v>1158</v>
      </c>
      <c r="D157" s="4" t="s">
        <v>1060</v>
      </c>
      <c r="E157" s="4" t="s">
        <v>1184</v>
      </c>
      <c r="F157" s="4" t="s">
        <v>1069</v>
      </c>
      <c r="G157" s="60">
        <v>10.0</v>
      </c>
      <c r="H157" s="1" t="s">
        <v>602</v>
      </c>
      <c r="I157" s="1" t="str">
        <f>IFERROR(CONCATENATE(VLOOKUP(C157,PARAM!D:E,2,0),VLOOKUP(D157,PARAM!J:K,2,0),VLOOKUP(E157,PARAM!G:H,2,0),VLOOKUP(G157,PARAM!P:Q,2,0)),"")</f>
        <v>211973</v>
      </c>
      <c r="J157" s="1" t="str">
        <f>IFERROR(CONCATENATE("*",VLOOKUP(C157,PARAM!D:E,2,0),VLOOKUP(D157,PARAM!J:K,2,0),VLOOKUP(E157,PARAM!G:H,2,0),VLOOKUP(G157,PARAM!P:Q,2,0),"*"),"")</f>
        <v>*211973*</v>
      </c>
      <c r="K157" s="1" t="str">
        <f t="shared" si="1"/>
        <v>PANTALONES DAMA NOCHE TALLA 10</v>
      </c>
      <c r="L157" s="1"/>
    </row>
    <row r="158">
      <c r="A158" s="55">
        <v>46186.0</v>
      </c>
      <c r="B158" s="4" t="s">
        <v>1058</v>
      </c>
      <c r="C158" s="4" t="s">
        <v>1185</v>
      </c>
      <c r="D158" s="4" t="s">
        <v>1060</v>
      </c>
      <c r="E158" s="4" t="s">
        <v>1161</v>
      </c>
      <c r="F158" s="4" t="s">
        <v>1069</v>
      </c>
      <c r="G158" s="60">
        <v>6.0</v>
      </c>
      <c r="H158" s="1" t="s">
        <v>602</v>
      </c>
      <c r="I158" s="1" t="str">
        <f>IFERROR(CONCATENATE(VLOOKUP(C158,PARAM!D:E,2,0),VLOOKUP(D158,PARAM!J:K,2,0),VLOOKUP(E158,PARAM!G:H,2,0),VLOOKUP(G158,PARAM!P:Q,2,0)),"")</f>
        <v>911371</v>
      </c>
      <c r="J158" s="1" t="str">
        <f>IFERROR(CONCATENATE("*",VLOOKUP(C158,PARAM!D:E,2,0),VLOOKUP(D158,PARAM!J:K,2,0),VLOOKUP(E158,PARAM!G:H,2,0),VLOOKUP(G158,PARAM!P:Q,2,0),"*"),"")</f>
        <v>*911371*</v>
      </c>
      <c r="K158" s="1" t="str">
        <f t="shared" si="1"/>
        <v>FALDAS DAMA GAMUSA TALLA 6</v>
      </c>
      <c r="L158" s="1"/>
    </row>
    <row r="159">
      <c r="A159" s="55">
        <v>46186.0</v>
      </c>
      <c r="B159" s="4" t="s">
        <v>1058</v>
      </c>
      <c r="C159" s="4" t="s">
        <v>1185</v>
      </c>
      <c r="D159" s="4" t="s">
        <v>1060</v>
      </c>
      <c r="E159" s="4" t="s">
        <v>1161</v>
      </c>
      <c r="F159" s="4" t="s">
        <v>1069</v>
      </c>
      <c r="G159" s="60">
        <v>8.0</v>
      </c>
      <c r="H159" s="1" t="s">
        <v>602</v>
      </c>
      <c r="I159" s="1" t="str">
        <f>IFERROR(CONCATENATE(VLOOKUP(C159,PARAM!D:E,2,0),VLOOKUP(D159,PARAM!J:K,2,0),VLOOKUP(E159,PARAM!G:H,2,0),VLOOKUP(G159,PARAM!P:Q,2,0)),"")</f>
        <v>911372</v>
      </c>
      <c r="J159" s="1" t="str">
        <f>IFERROR(CONCATENATE("*",VLOOKUP(C159,PARAM!D:E,2,0),VLOOKUP(D159,PARAM!J:K,2,0),VLOOKUP(E159,PARAM!G:H,2,0),VLOOKUP(G159,PARAM!P:Q,2,0),"*"),"")</f>
        <v>*911372*</v>
      </c>
      <c r="K159" s="1" t="str">
        <f t="shared" si="1"/>
        <v>FALDAS DAMA GAMUSA TALLA 8</v>
      </c>
      <c r="L159" s="1"/>
    </row>
    <row r="160">
      <c r="A160" s="55">
        <v>46186.0</v>
      </c>
      <c r="B160" s="4" t="s">
        <v>1058</v>
      </c>
      <c r="C160" s="4" t="s">
        <v>1185</v>
      </c>
      <c r="D160" s="4" t="s">
        <v>1060</v>
      </c>
      <c r="E160" s="4" t="s">
        <v>1161</v>
      </c>
      <c r="F160" s="4" t="s">
        <v>1069</v>
      </c>
      <c r="G160" s="60">
        <v>12.0</v>
      </c>
      <c r="H160" s="1" t="s">
        <v>602</v>
      </c>
      <c r="I160" s="1" t="str">
        <f>IFERROR(CONCATENATE(VLOOKUP(C160,PARAM!D:E,2,0),VLOOKUP(D160,PARAM!J:K,2,0),VLOOKUP(E160,PARAM!G:H,2,0),VLOOKUP(G160,PARAM!P:Q,2,0)),"")</f>
        <v>911374</v>
      </c>
      <c r="J160" s="1" t="str">
        <f>IFERROR(CONCATENATE("*",VLOOKUP(C160,PARAM!D:E,2,0),VLOOKUP(D160,PARAM!J:K,2,0),VLOOKUP(E160,PARAM!G:H,2,0),VLOOKUP(G160,PARAM!P:Q,2,0),"*"),"")</f>
        <v>*911374*</v>
      </c>
      <c r="K160" s="1" t="str">
        <f t="shared" si="1"/>
        <v>FALDAS DAMA GAMUSA TALLA 12</v>
      </c>
      <c r="L160" s="1"/>
    </row>
    <row r="161">
      <c r="A161" s="55">
        <v>46186.0</v>
      </c>
      <c r="B161" s="4" t="s">
        <v>1058</v>
      </c>
      <c r="C161" s="4" t="s">
        <v>1185</v>
      </c>
      <c r="D161" s="4" t="s">
        <v>1060</v>
      </c>
      <c r="E161" s="4" t="s">
        <v>1161</v>
      </c>
      <c r="F161" s="4" t="s">
        <v>1069</v>
      </c>
      <c r="G161" s="60">
        <v>10.0</v>
      </c>
      <c r="H161" s="1" t="s">
        <v>602</v>
      </c>
      <c r="I161" s="1" t="str">
        <f>IFERROR(CONCATENATE(VLOOKUP(C161,PARAM!D:E,2,0),VLOOKUP(D161,PARAM!J:K,2,0),VLOOKUP(E161,PARAM!G:H,2,0),VLOOKUP(G161,PARAM!P:Q,2,0)),"")</f>
        <v>911373</v>
      </c>
      <c r="J161" s="1" t="str">
        <f>IFERROR(CONCATENATE("*",VLOOKUP(C161,PARAM!D:E,2,0),VLOOKUP(D161,PARAM!J:K,2,0),VLOOKUP(E161,PARAM!G:H,2,0),VLOOKUP(G161,PARAM!P:Q,2,0),"*"),"")</f>
        <v>*911373*</v>
      </c>
      <c r="K161" s="1" t="str">
        <f t="shared" si="1"/>
        <v>FALDAS DAMA GAMUSA TALLA 10</v>
      </c>
      <c r="L161" s="1"/>
    </row>
    <row r="162">
      <c r="A162" s="55">
        <v>46186.0</v>
      </c>
      <c r="B162" s="4" t="s">
        <v>1058</v>
      </c>
      <c r="C162" s="4" t="s">
        <v>1162</v>
      </c>
      <c r="D162" s="4" t="s">
        <v>1060</v>
      </c>
      <c r="E162" s="4" t="s">
        <v>1161</v>
      </c>
      <c r="F162" s="4" t="s">
        <v>1069</v>
      </c>
      <c r="G162" s="60" t="s">
        <v>1164</v>
      </c>
      <c r="H162" s="1" t="s">
        <v>610</v>
      </c>
      <c r="I162" s="1" t="str">
        <f>IFERROR(CONCATENATE(VLOOKUP(C162,PARAM!D:E,2,0),VLOOKUP(D162,PARAM!J:K,2,0),VLOOKUP(E162,PARAM!G:H,2,0),VLOOKUP(G162,PARAM!P:Q,2,0)),"")</f>
        <v>25113725</v>
      </c>
      <c r="J162" s="1" t="str">
        <f>IFERROR(CONCATENATE("*",VLOOKUP(C162,PARAM!D:E,2,0),VLOOKUP(D162,PARAM!J:K,2,0),VLOOKUP(E162,PARAM!G:H,2,0),VLOOKUP(G162,PARAM!P:Q,2,0),"*"),"")</f>
        <v>*25113725*</v>
      </c>
      <c r="K162" s="1" t="str">
        <f t="shared" si="1"/>
        <v>CHAQUETAS DAMA GAMUSA TALLA M</v>
      </c>
      <c r="L162" s="1"/>
    </row>
    <row r="163">
      <c r="A163" s="55">
        <v>46186.0</v>
      </c>
      <c r="B163" s="4" t="s">
        <v>1058</v>
      </c>
      <c r="C163" s="4" t="s">
        <v>1162</v>
      </c>
      <c r="D163" s="4" t="s">
        <v>1060</v>
      </c>
      <c r="E163" s="4" t="s">
        <v>1161</v>
      </c>
      <c r="F163" s="4" t="s">
        <v>1069</v>
      </c>
      <c r="G163" s="60" t="s">
        <v>1165</v>
      </c>
      <c r="H163" s="1" t="s">
        <v>610</v>
      </c>
      <c r="I163" s="1" t="str">
        <f>IFERROR(CONCATENATE(VLOOKUP(C163,PARAM!D:E,2,0),VLOOKUP(D163,PARAM!J:K,2,0),VLOOKUP(E163,PARAM!G:H,2,0),VLOOKUP(G163,PARAM!P:Q,2,0)),"")</f>
        <v>25113723</v>
      </c>
      <c r="J163" s="1" t="str">
        <f>IFERROR(CONCATENATE("*",VLOOKUP(C163,PARAM!D:E,2,0),VLOOKUP(D163,PARAM!J:K,2,0),VLOOKUP(E163,PARAM!G:H,2,0),VLOOKUP(G163,PARAM!P:Q,2,0),"*"),"")</f>
        <v>*25113723*</v>
      </c>
      <c r="K163" s="1" t="str">
        <f t="shared" si="1"/>
        <v>CHAQUETAS DAMA GAMUSA TALLA L</v>
      </c>
      <c r="L163" s="1"/>
    </row>
    <row r="164">
      <c r="A164" s="55">
        <v>46186.0</v>
      </c>
      <c r="B164" s="4" t="s">
        <v>1058</v>
      </c>
      <c r="C164" s="4" t="s">
        <v>1162</v>
      </c>
      <c r="D164" s="4" t="s">
        <v>1060</v>
      </c>
      <c r="E164" s="4" t="s">
        <v>1186</v>
      </c>
      <c r="F164" s="4" t="s">
        <v>1069</v>
      </c>
      <c r="G164" s="60" t="s">
        <v>1164</v>
      </c>
      <c r="H164" s="1" t="s">
        <v>613</v>
      </c>
      <c r="I164" s="1" t="str">
        <f>IFERROR(CONCATENATE(VLOOKUP(C164,PARAM!D:E,2,0),VLOOKUP(D164,PARAM!J:K,2,0),VLOOKUP(E164,PARAM!G:H,2,0),VLOOKUP(G164,PARAM!P:Q,2,0)),"")</f>
        <v>25120525</v>
      </c>
      <c r="J164" s="1" t="str">
        <f>IFERROR(CONCATENATE("*",VLOOKUP(C164,PARAM!D:E,2,0),VLOOKUP(D164,PARAM!J:K,2,0),VLOOKUP(E164,PARAM!G:H,2,0),VLOOKUP(G164,PARAM!P:Q,2,0),"*"),"")</f>
        <v>*25120525*</v>
      </c>
      <c r="K164" s="1" t="str">
        <f t="shared" si="1"/>
        <v>CHAQUETAS DAMA PAÑO TALLA M</v>
      </c>
      <c r="L164" s="1"/>
    </row>
    <row r="165">
      <c r="A165" s="55">
        <v>46186.0</v>
      </c>
      <c r="B165" s="4" t="s">
        <v>1058</v>
      </c>
      <c r="C165" s="4" t="s">
        <v>1162</v>
      </c>
      <c r="D165" s="4" t="s">
        <v>1060</v>
      </c>
      <c r="E165" s="4" t="s">
        <v>1186</v>
      </c>
      <c r="F165" s="4" t="s">
        <v>1069</v>
      </c>
      <c r="G165" s="60" t="s">
        <v>1165</v>
      </c>
      <c r="H165" s="1" t="s">
        <v>613</v>
      </c>
      <c r="I165" s="1" t="str">
        <f>IFERROR(CONCATENATE(VLOOKUP(C165,PARAM!D:E,2,0),VLOOKUP(D165,PARAM!J:K,2,0),VLOOKUP(E165,PARAM!G:H,2,0),VLOOKUP(G165,PARAM!P:Q,2,0)),"")</f>
        <v>25120523</v>
      </c>
      <c r="J165" s="1" t="str">
        <f>IFERROR(CONCATENATE("*",VLOOKUP(C165,PARAM!D:E,2,0),VLOOKUP(D165,PARAM!J:K,2,0),VLOOKUP(E165,PARAM!G:H,2,0),VLOOKUP(G165,PARAM!P:Q,2,0),"*"),"")</f>
        <v>*25120523*</v>
      </c>
      <c r="K165" s="1" t="str">
        <f t="shared" si="1"/>
        <v>CHAQUETAS DAMA PAÑO TALLA L</v>
      </c>
      <c r="L165" s="1"/>
    </row>
    <row r="166">
      <c r="A166" s="55">
        <v>46186.0</v>
      </c>
      <c r="B166" s="4" t="s">
        <v>1187</v>
      </c>
      <c r="C166" s="4" t="s">
        <v>1158</v>
      </c>
      <c r="D166" s="4" t="s">
        <v>1101</v>
      </c>
      <c r="E166" s="4" t="s">
        <v>1188</v>
      </c>
      <c r="F166" s="4" t="s">
        <v>1069</v>
      </c>
      <c r="G166" s="60" t="s">
        <v>1189</v>
      </c>
      <c r="H166" s="1" t="s">
        <v>616</v>
      </c>
      <c r="I166" s="1" t="str">
        <f>IFERROR(CONCATENATE(VLOOKUP(C166,PARAM!D:E,2,0),VLOOKUP(D166,PARAM!J:K,2,0),VLOOKUP(E166,PARAM!G:H,2,0),VLOOKUP(G166,PARAM!P:Q,2,0)),"")</f>
        <v>2314534</v>
      </c>
      <c r="J166" s="1" t="str">
        <f>IFERROR(CONCATENATE("*",VLOOKUP(C166,PARAM!D:E,2,0),VLOOKUP(D166,PARAM!J:K,2,0),VLOOKUP(E166,PARAM!G:H,2,0),VLOOKUP(G166,PARAM!P:Q,2,0),"*"),"")</f>
        <v>*2314534*</v>
      </c>
      <c r="K166" s="1" t="str">
        <f t="shared" si="1"/>
        <v>PANTALONES UNISEX IMPERMEABLE TALLA XXL</v>
      </c>
      <c r="L166" s="1"/>
    </row>
    <row r="167">
      <c r="A167" s="55">
        <v>46186.0</v>
      </c>
      <c r="B167" s="4" t="s">
        <v>1187</v>
      </c>
      <c r="C167" s="4" t="s">
        <v>1158</v>
      </c>
      <c r="D167" s="4" t="s">
        <v>1101</v>
      </c>
      <c r="E167" s="4" t="s">
        <v>1188</v>
      </c>
      <c r="F167" s="4" t="s">
        <v>1069</v>
      </c>
      <c r="G167" s="60" t="s">
        <v>1077</v>
      </c>
      <c r="H167" s="1" t="s">
        <v>616</v>
      </c>
      <c r="I167" s="1" t="str">
        <f>IFERROR(CONCATENATE(VLOOKUP(C167,PARAM!D:E,2,0),VLOOKUP(D167,PARAM!J:K,2,0),VLOOKUP(E167,PARAM!G:H,2,0),VLOOKUP(G167,PARAM!P:Q,2,0)),"")</f>
        <v>2314532</v>
      </c>
      <c r="J167" s="1" t="str">
        <f>IFERROR(CONCATENATE("*",VLOOKUP(C167,PARAM!D:E,2,0),VLOOKUP(D167,PARAM!J:K,2,0),VLOOKUP(E167,PARAM!G:H,2,0),VLOOKUP(G167,PARAM!P:Q,2,0),"*"),"")</f>
        <v>*2314532*</v>
      </c>
      <c r="K167" s="1" t="str">
        <f t="shared" si="1"/>
        <v>PANTALONES UNISEX IMPERMEABLE TALLA XL</v>
      </c>
      <c r="L167" s="1"/>
    </row>
    <row r="168">
      <c r="A168" s="55">
        <v>46186.0</v>
      </c>
      <c r="B168" s="4" t="s">
        <v>1187</v>
      </c>
      <c r="C168" s="4" t="s">
        <v>1158</v>
      </c>
      <c r="D168" s="4" t="s">
        <v>1101</v>
      </c>
      <c r="E168" s="4" t="s">
        <v>1188</v>
      </c>
      <c r="F168" s="4" t="s">
        <v>1069</v>
      </c>
      <c r="G168" s="60" t="s">
        <v>1165</v>
      </c>
      <c r="H168" s="1" t="s">
        <v>616</v>
      </c>
      <c r="I168" s="1" t="str">
        <f>IFERROR(CONCATENATE(VLOOKUP(C168,PARAM!D:E,2,0),VLOOKUP(D168,PARAM!J:K,2,0),VLOOKUP(E168,PARAM!G:H,2,0),VLOOKUP(G168,PARAM!P:Q,2,0)),"")</f>
        <v>2314523</v>
      </c>
      <c r="J168" s="1" t="str">
        <f>IFERROR(CONCATENATE("*",VLOOKUP(C168,PARAM!D:E,2,0),VLOOKUP(D168,PARAM!J:K,2,0),VLOOKUP(E168,PARAM!G:H,2,0),VLOOKUP(G168,PARAM!P:Q,2,0),"*"),"")</f>
        <v>*2314523*</v>
      </c>
      <c r="K168" s="1" t="str">
        <f t="shared" si="1"/>
        <v>PANTALONES UNISEX IMPERMEABLE TALLA L</v>
      </c>
      <c r="L168" s="1"/>
    </row>
    <row r="169">
      <c r="A169" s="55">
        <v>46186.0</v>
      </c>
      <c r="B169" s="4" t="s">
        <v>1187</v>
      </c>
      <c r="C169" s="4" t="s">
        <v>1158</v>
      </c>
      <c r="D169" s="4" t="s">
        <v>1101</v>
      </c>
      <c r="E169" s="4" t="s">
        <v>1188</v>
      </c>
      <c r="F169" s="4" t="s">
        <v>1069</v>
      </c>
      <c r="G169" s="60" t="s">
        <v>1077</v>
      </c>
      <c r="H169" s="1" t="s">
        <v>616</v>
      </c>
      <c r="I169" s="1" t="str">
        <f>IFERROR(CONCATENATE(VLOOKUP(C169,PARAM!D:E,2,0),VLOOKUP(D169,PARAM!J:K,2,0),VLOOKUP(E169,PARAM!G:H,2,0),VLOOKUP(G169,PARAM!P:Q,2,0)),"")</f>
        <v>2314532</v>
      </c>
      <c r="J169" s="1" t="str">
        <f>IFERROR(CONCATENATE("*",VLOOKUP(C169,PARAM!D:E,2,0),VLOOKUP(D169,PARAM!J:K,2,0),VLOOKUP(E169,PARAM!G:H,2,0),VLOOKUP(G169,PARAM!P:Q,2,0),"*"),"")</f>
        <v>*2314532*</v>
      </c>
      <c r="K169" s="1" t="str">
        <f t="shared" si="1"/>
        <v>PANTALONES UNISEX IMPERMEABLE TALLA XL</v>
      </c>
      <c r="L169" s="1"/>
    </row>
    <row r="170">
      <c r="A170" s="55">
        <v>46186.0</v>
      </c>
      <c r="B170" s="4" t="s">
        <v>1187</v>
      </c>
      <c r="C170" s="4" t="s">
        <v>1158</v>
      </c>
      <c r="D170" s="4" t="s">
        <v>1101</v>
      </c>
      <c r="E170" s="4" t="s">
        <v>1188</v>
      </c>
      <c r="F170" s="4" t="s">
        <v>1069</v>
      </c>
      <c r="G170" s="60" t="s">
        <v>1103</v>
      </c>
      <c r="H170" s="1" t="s">
        <v>616</v>
      </c>
      <c r="I170" s="1" t="str">
        <f>IFERROR(CONCATENATE(VLOOKUP(C170,PARAM!D:E,2,0),VLOOKUP(D170,PARAM!J:K,2,0),VLOOKUP(E170,PARAM!G:H,2,0),VLOOKUP(G170,PARAM!P:Q,2,0)),"")</f>
        <v>2314530</v>
      </c>
      <c r="J170" s="1" t="str">
        <f>IFERROR(CONCATENATE("*",VLOOKUP(C170,PARAM!D:E,2,0),VLOOKUP(D170,PARAM!J:K,2,0),VLOOKUP(E170,PARAM!G:H,2,0),VLOOKUP(G170,PARAM!P:Q,2,0),"*"),"")</f>
        <v>*2314530*</v>
      </c>
      <c r="K170" s="1" t="str">
        <f t="shared" si="1"/>
        <v>PANTALONES UNISEX IMPERMEABLE TALLA UN</v>
      </c>
      <c r="L170" s="1"/>
    </row>
    <row r="171">
      <c r="A171" s="55">
        <v>46186.0</v>
      </c>
      <c r="B171" s="4" t="s">
        <v>1187</v>
      </c>
      <c r="C171" s="4" t="s">
        <v>1158</v>
      </c>
      <c r="D171" s="4" t="s">
        <v>1101</v>
      </c>
      <c r="E171" s="4" t="s">
        <v>1190</v>
      </c>
      <c r="F171" s="4" t="s">
        <v>1069</v>
      </c>
      <c r="G171" s="60" t="s">
        <v>1164</v>
      </c>
      <c r="H171" s="1" t="s">
        <v>616</v>
      </c>
      <c r="I171" s="1" t="str">
        <f>IFERROR(CONCATENATE(VLOOKUP(C171,PARAM!D:E,2,0),VLOOKUP(D171,PARAM!J:K,2,0),VLOOKUP(E171,PARAM!G:H,2,0),VLOOKUP(G171,PARAM!P:Q,2,0)),"")</f>
        <v>2327625</v>
      </c>
      <c r="J171" s="1" t="str">
        <f>IFERROR(CONCATENATE("*",VLOOKUP(C171,PARAM!D:E,2,0),VLOOKUP(D171,PARAM!J:K,2,0),VLOOKUP(E171,PARAM!G:H,2,0),VLOOKUP(G171,PARAM!P:Q,2,0),"*"),"")</f>
        <v>*2327625*</v>
      </c>
      <c r="K171" s="1" t="str">
        <f t="shared" si="1"/>
        <v>PANTALONES UNISEX VIOTO TALLA M</v>
      </c>
      <c r="L171" s="1"/>
    </row>
    <row r="172">
      <c r="A172" s="55">
        <v>46186.0</v>
      </c>
      <c r="B172" s="4" t="s">
        <v>1187</v>
      </c>
      <c r="C172" s="4" t="s">
        <v>1158</v>
      </c>
      <c r="D172" s="4" t="s">
        <v>1101</v>
      </c>
      <c r="E172" s="4" t="s">
        <v>1188</v>
      </c>
      <c r="F172" s="4" t="s">
        <v>1069</v>
      </c>
      <c r="G172" s="60" t="s">
        <v>1164</v>
      </c>
      <c r="H172" s="1" t="s">
        <v>616</v>
      </c>
      <c r="I172" s="1" t="str">
        <f>IFERROR(CONCATENATE(VLOOKUP(C172,PARAM!D:E,2,0),VLOOKUP(D172,PARAM!J:K,2,0),VLOOKUP(E172,PARAM!G:H,2,0),VLOOKUP(G172,PARAM!P:Q,2,0)),"")</f>
        <v>2314525</v>
      </c>
      <c r="J172" s="1" t="str">
        <f>IFERROR(CONCATENATE("*",VLOOKUP(C172,PARAM!D:E,2,0),VLOOKUP(D172,PARAM!J:K,2,0),VLOOKUP(E172,PARAM!G:H,2,0),VLOOKUP(G172,PARAM!P:Q,2,0),"*"),"")</f>
        <v>*2314525*</v>
      </c>
      <c r="K172" s="1" t="str">
        <f t="shared" si="1"/>
        <v>PANTALONES UNISEX IMPERMEABLE TALLA M</v>
      </c>
      <c r="L172" s="1"/>
    </row>
    <row r="173">
      <c r="A173" s="55">
        <v>46186.0</v>
      </c>
      <c r="B173" s="4" t="s">
        <v>1187</v>
      </c>
      <c r="C173" s="4" t="s">
        <v>1158</v>
      </c>
      <c r="D173" s="4" t="s">
        <v>1101</v>
      </c>
      <c r="E173" s="4" t="s">
        <v>1188</v>
      </c>
      <c r="F173" s="4" t="s">
        <v>1069</v>
      </c>
      <c r="G173" s="60" t="s">
        <v>1165</v>
      </c>
      <c r="H173" s="1" t="s">
        <v>616</v>
      </c>
      <c r="I173" s="1" t="str">
        <f>IFERROR(CONCATENATE(VLOOKUP(C173,PARAM!D:E,2,0),VLOOKUP(D173,PARAM!J:K,2,0),VLOOKUP(E173,PARAM!G:H,2,0),VLOOKUP(G173,PARAM!P:Q,2,0)),"")</f>
        <v>2314523</v>
      </c>
      <c r="J173" s="1" t="str">
        <f>IFERROR(CONCATENATE("*",VLOOKUP(C173,PARAM!D:E,2,0),VLOOKUP(D173,PARAM!J:K,2,0),VLOOKUP(E173,PARAM!G:H,2,0),VLOOKUP(G173,PARAM!P:Q,2,0),"*"),"")</f>
        <v>*2314523*</v>
      </c>
      <c r="K173" s="1" t="str">
        <f t="shared" si="1"/>
        <v>PANTALONES UNISEX IMPERMEABLE TALLA L</v>
      </c>
      <c r="L173" s="1"/>
    </row>
    <row r="174">
      <c r="A174" s="55">
        <v>46186.0</v>
      </c>
      <c r="B174" s="4" t="s">
        <v>1187</v>
      </c>
      <c r="C174" s="4" t="s">
        <v>1158</v>
      </c>
      <c r="D174" s="4" t="s">
        <v>1101</v>
      </c>
      <c r="E174" s="4" t="s">
        <v>1190</v>
      </c>
      <c r="F174" s="4" t="s">
        <v>1069</v>
      </c>
      <c r="G174" s="60" t="s">
        <v>1165</v>
      </c>
      <c r="H174" s="1" t="s">
        <v>616</v>
      </c>
      <c r="I174" s="1" t="str">
        <f>IFERROR(CONCATENATE(VLOOKUP(C174,PARAM!D:E,2,0),VLOOKUP(D174,PARAM!J:K,2,0),VLOOKUP(E174,PARAM!G:H,2,0),VLOOKUP(G174,PARAM!P:Q,2,0)),"")</f>
        <v>2327623</v>
      </c>
      <c r="J174" s="1" t="str">
        <f>IFERROR(CONCATENATE("*",VLOOKUP(C174,PARAM!D:E,2,0),VLOOKUP(D174,PARAM!J:K,2,0),VLOOKUP(E174,PARAM!G:H,2,0),VLOOKUP(G174,PARAM!P:Q,2,0),"*"),"")</f>
        <v>*2327623*</v>
      </c>
      <c r="K174" s="1" t="str">
        <f t="shared" si="1"/>
        <v>PANTALONES UNISEX VIOTO TALLA L</v>
      </c>
      <c r="L174" s="1"/>
    </row>
    <row r="175">
      <c r="A175" s="55">
        <v>46186.0</v>
      </c>
      <c r="B175" s="4" t="s">
        <v>1187</v>
      </c>
      <c r="C175" s="4" t="s">
        <v>1158</v>
      </c>
      <c r="D175" s="4" t="s">
        <v>1101</v>
      </c>
      <c r="E175" s="4" t="s">
        <v>1190</v>
      </c>
      <c r="F175" s="4" t="s">
        <v>1069</v>
      </c>
      <c r="G175" s="60" t="s">
        <v>1077</v>
      </c>
      <c r="H175" s="1" t="s">
        <v>616</v>
      </c>
      <c r="I175" s="1" t="str">
        <f>IFERROR(CONCATENATE(VLOOKUP(C175,PARAM!D:E,2,0),VLOOKUP(D175,PARAM!J:K,2,0),VLOOKUP(E175,PARAM!G:H,2,0),VLOOKUP(G175,PARAM!P:Q,2,0)),"")</f>
        <v>2327632</v>
      </c>
      <c r="J175" s="1" t="str">
        <f>IFERROR(CONCATENATE("*",VLOOKUP(C175,PARAM!D:E,2,0),VLOOKUP(D175,PARAM!J:K,2,0),VLOOKUP(E175,PARAM!G:H,2,0),VLOOKUP(G175,PARAM!P:Q,2,0),"*"),"")</f>
        <v>*2327632*</v>
      </c>
      <c r="K175" s="1" t="str">
        <f t="shared" si="1"/>
        <v>PANTALONES UNISEX VIOTO TALLA XL</v>
      </c>
      <c r="L175" s="1"/>
    </row>
    <row r="176">
      <c r="A176" s="55">
        <v>46186.0</v>
      </c>
      <c r="B176" s="4" t="s">
        <v>1187</v>
      </c>
      <c r="C176" s="4" t="s">
        <v>1158</v>
      </c>
      <c r="D176" s="4" t="s">
        <v>1101</v>
      </c>
      <c r="E176" s="4" t="s">
        <v>1073</v>
      </c>
      <c r="F176" s="4" t="s">
        <v>1069</v>
      </c>
      <c r="G176" s="60" t="s">
        <v>1164</v>
      </c>
      <c r="H176" s="1" t="s">
        <v>616</v>
      </c>
      <c r="I176" s="1" t="str">
        <f>IFERROR(CONCATENATE(VLOOKUP(C176,PARAM!D:E,2,0),VLOOKUP(D176,PARAM!J:K,2,0),VLOOKUP(E176,PARAM!G:H,2,0),VLOOKUP(G176,PARAM!P:Q,2,0)),"")</f>
        <v>231625</v>
      </c>
      <c r="J176" s="1" t="str">
        <f>IFERROR(CONCATENATE("*",VLOOKUP(C176,PARAM!D:E,2,0),VLOOKUP(D176,PARAM!J:K,2,0),VLOOKUP(E176,PARAM!G:H,2,0),VLOOKUP(G176,PARAM!P:Q,2,0),"*"),"")</f>
        <v>*231625*</v>
      </c>
      <c r="K176" s="1" t="str">
        <f t="shared" si="1"/>
        <v>PANTALONES UNISEX ALGODON TALLA M</v>
      </c>
      <c r="L176" s="1"/>
    </row>
    <row r="177">
      <c r="A177" s="55">
        <v>46186.0</v>
      </c>
      <c r="B177" s="4" t="s">
        <v>1187</v>
      </c>
      <c r="C177" s="4" t="s">
        <v>1158</v>
      </c>
      <c r="D177" s="4" t="s">
        <v>1101</v>
      </c>
      <c r="E177" s="4" t="s">
        <v>1073</v>
      </c>
      <c r="F177" s="4" t="s">
        <v>1069</v>
      </c>
      <c r="G177" s="60" t="s">
        <v>1077</v>
      </c>
      <c r="H177" s="1" t="s">
        <v>616</v>
      </c>
      <c r="I177" s="1" t="str">
        <f>IFERROR(CONCATENATE(VLOOKUP(C177,PARAM!D:E,2,0),VLOOKUP(D177,PARAM!J:K,2,0),VLOOKUP(E177,PARAM!G:H,2,0),VLOOKUP(G177,PARAM!P:Q,2,0)),"")</f>
        <v>231632</v>
      </c>
      <c r="J177" s="1" t="str">
        <f>IFERROR(CONCATENATE("*",VLOOKUP(C177,PARAM!D:E,2,0),VLOOKUP(D177,PARAM!J:K,2,0),VLOOKUP(E177,PARAM!G:H,2,0),VLOOKUP(G177,PARAM!P:Q,2,0),"*"),"")</f>
        <v>*231632*</v>
      </c>
      <c r="K177" s="1" t="str">
        <f t="shared" si="1"/>
        <v>PANTALONES UNISEX ALGODON TALLA XL</v>
      </c>
      <c r="L177" s="1"/>
    </row>
    <row r="178">
      <c r="A178" s="55">
        <v>46186.0</v>
      </c>
      <c r="B178" s="4" t="s">
        <v>1187</v>
      </c>
      <c r="C178" s="4" t="s">
        <v>1158</v>
      </c>
      <c r="D178" s="4" t="s">
        <v>1101</v>
      </c>
      <c r="E178" s="4" t="s">
        <v>1073</v>
      </c>
      <c r="F178" s="4" t="s">
        <v>1069</v>
      </c>
      <c r="G178" s="60" t="s">
        <v>1165</v>
      </c>
      <c r="H178" s="1" t="s">
        <v>616</v>
      </c>
      <c r="I178" s="1" t="str">
        <f>IFERROR(CONCATENATE(VLOOKUP(C178,PARAM!D:E,2,0),VLOOKUP(D178,PARAM!J:K,2,0),VLOOKUP(E178,PARAM!G:H,2,0),VLOOKUP(G178,PARAM!P:Q,2,0)),"")</f>
        <v>231623</v>
      </c>
      <c r="J178" s="1" t="str">
        <f>IFERROR(CONCATENATE("*",VLOOKUP(C178,PARAM!D:E,2,0),VLOOKUP(D178,PARAM!J:K,2,0),VLOOKUP(E178,PARAM!G:H,2,0),VLOOKUP(G178,PARAM!P:Q,2,0),"*"),"")</f>
        <v>*231623*</v>
      </c>
      <c r="K178" s="1" t="str">
        <f t="shared" si="1"/>
        <v>PANTALONES UNISEX ALGODON TALLA L</v>
      </c>
      <c r="L178" s="1"/>
    </row>
    <row r="179">
      <c r="A179" s="55">
        <v>46186.0</v>
      </c>
      <c r="B179" s="4" t="s">
        <v>1191</v>
      </c>
      <c r="C179" s="4" t="s">
        <v>1192</v>
      </c>
      <c r="D179" s="4" t="s">
        <v>1101</v>
      </c>
      <c r="E179" s="4" t="s">
        <v>1193</v>
      </c>
      <c r="F179" s="4" t="s">
        <v>1069</v>
      </c>
      <c r="G179" s="60" t="s">
        <v>1103</v>
      </c>
      <c r="H179" s="1" t="s">
        <v>628</v>
      </c>
      <c r="I179" s="1" t="str">
        <f>IFERROR(CONCATENATE(VLOOKUP(C179,PARAM!D:E,2,0),VLOOKUP(D179,PARAM!J:K,2,0),VLOOKUP(E179,PARAM!G:H,2,0),VLOOKUP(G179,PARAM!P:Q,2,0)),"")</f>
        <v>41320230</v>
      </c>
      <c r="J179" s="1" t="str">
        <f>IFERROR(CONCATENATE("*",VLOOKUP(C179,PARAM!D:E,2,0),VLOOKUP(D179,PARAM!J:K,2,0),VLOOKUP(E179,PARAM!G:H,2,0),VLOOKUP(G179,PARAM!P:Q,2,0),"*"),"")</f>
        <v>*41320230*</v>
      </c>
      <c r="K179" s="1" t="str">
        <f t="shared" si="1"/>
        <v>SUDADERA UNISEX OVERSIZE TALLA UN</v>
      </c>
      <c r="L179" s="1"/>
    </row>
    <row r="180">
      <c r="A180" s="55">
        <v>46186.0</v>
      </c>
      <c r="B180" s="4" t="s">
        <v>1191</v>
      </c>
      <c r="C180" s="4" t="s">
        <v>1194</v>
      </c>
      <c r="D180" s="4" t="s">
        <v>1101</v>
      </c>
      <c r="E180" s="4" t="s">
        <v>1193</v>
      </c>
      <c r="F180" s="4" t="s">
        <v>1069</v>
      </c>
      <c r="G180" s="60" t="s">
        <v>1103</v>
      </c>
      <c r="H180" s="1" t="s">
        <v>628</v>
      </c>
      <c r="I180" s="1" t="str">
        <f>IFERROR(CONCATENATE(VLOOKUP(C180,PARAM!D:E,2,0),VLOOKUP(D180,PARAM!J:K,2,0),VLOOKUP(E180,PARAM!G:H,2,0),VLOOKUP(G180,PARAM!P:Q,2,0)),"")</f>
        <v>26320230</v>
      </c>
      <c r="J180" s="1" t="str">
        <f>IFERROR(CONCATENATE("*",VLOOKUP(C180,PARAM!D:E,2,0),VLOOKUP(D180,PARAM!J:K,2,0),VLOOKUP(E180,PARAM!G:H,2,0),VLOOKUP(G180,PARAM!P:Q,2,0),"*"),"")</f>
        <v>*26320230*</v>
      </c>
      <c r="K180" s="1" t="str">
        <f t="shared" si="1"/>
        <v>BUSOS UNISEX OVERSIZE TALLA UN</v>
      </c>
      <c r="L180" s="1"/>
    </row>
    <row r="181">
      <c r="A181" s="55">
        <v>46186.0</v>
      </c>
      <c r="B181" s="4" t="s">
        <v>1191</v>
      </c>
      <c r="C181" s="4" t="s">
        <v>1171</v>
      </c>
      <c r="D181" s="4" t="s">
        <v>1080</v>
      </c>
      <c r="E181" s="4" t="s">
        <v>1193</v>
      </c>
      <c r="F181" s="4" t="s">
        <v>1069</v>
      </c>
      <c r="G181" s="60" t="s">
        <v>1168</v>
      </c>
      <c r="H181" s="1" t="s">
        <v>628</v>
      </c>
      <c r="I181" s="1" t="str">
        <f>IFERROR(CONCATENATE(VLOOKUP(C181,PARAM!D:E,2,0),VLOOKUP(D181,PARAM!J:K,2,0),VLOOKUP(E181,PARAM!G:H,2,0),VLOOKUP(G181,PARAM!P:Q,2,0)),"")</f>
        <v>11220227</v>
      </c>
      <c r="J181" s="1" t="str">
        <f>IFERROR(CONCATENATE("*",VLOOKUP(C181,PARAM!D:E,2,0),VLOOKUP(D181,PARAM!J:K,2,0),VLOOKUP(E181,PARAM!G:H,2,0),VLOOKUP(G181,PARAM!P:Q,2,0),"*"),"")</f>
        <v>*11220227*</v>
      </c>
      <c r="K181" s="1" t="str">
        <f t="shared" si="1"/>
        <v>CAMISETAS CABALLERO OVERSIZE TALLA S</v>
      </c>
      <c r="L181" s="1"/>
    </row>
    <row r="182">
      <c r="A182" s="55">
        <v>46186.0</v>
      </c>
      <c r="B182" s="4" t="s">
        <v>1191</v>
      </c>
      <c r="C182" s="4" t="s">
        <v>1171</v>
      </c>
      <c r="D182" s="4" t="s">
        <v>1080</v>
      </c>
      <c r="E182" s="4" t="s">
        <v>1193</v>
      </c>
      <c r="F182" s="4" t="s">
        <v>1069</v>
      </c>
      <c r="G182" s="60" t="s">
        <v>1164</v>
      </c>
      <c r="H182" s="1" t="s">
        <v>628</v>
      </c>
      <c r="I182" s="1" t="str">
        <f>IFERROR(CONCATENATE(VLOOKUP(C182,PARAM!D:E,2,0),VLOOKUP(D182,PARAM!J:K,2,0),VLOOKUP(E182,PARAM!G:H,2,0),VLOOKUP(G182,PARAM!P:Q,2,0)),"")</f>
        <v>11220225</v>
      </c>
      <c r="J182" s="1" t="str">
        <f>IFERROR(CONCATENATE("*",VLOOKUP(C182,PARAM!D:E,2,0),VLOOKUP(D182,PARAM!J:K,2,0),VLOOKUP(E182,PARAM!G:H,2,0),VLOOKUP(G182,PARAM!P:Q,2,0),"*"),"")</f>
        <v>*11220225*</v>
      </c>
      <c r="K182" s="1" t="str">
        <f t="shared" si="1"/>
        <v>CAMISETAS CABALLERO OVERSIZE TALLA M</v>
      </c>
      <c r="L182" s="1"/>
    </row>
    <row r="183">
      <c r="A183" s="55">
        <v>46186.0</v>
      </c>
      <c r="B183" s="4" t="s">
        <v>1191</v>
      </c>
      <c r="C183" s="4" t="s">
        <v>1171</v>
      </c>
      <c r="D183" s="4" t="s">
        <v>1080</v>
      </c>
      <c r="E183" s="4" t="s">
        <v>1193</v>
      </c>
      <c r="F183" s="4" t="s">
        <v>1069</v>
      </c>
      <c r="G183" s="60" t="s">
        <v>1165</v>
      </c>
      <c r="H183" s="1" t="s">
        <v>628</v>
      </c>
      <c r="I183" s="1" t="str">
        <f>IFERROR(CONCATENATE(VLOOKUP(C183,PARAM!D:E,2,0),VLOOKUP(D183,PARAM!J:K,2,0),VLOOKUP(E183,PARAM!G:H,2,0),VLOOKUP(G183,PARAM!P:Q,2,0)),"")</f>
        <v>11220223</v>
      </c>
      <c r="J183" s="1" t="str">
        <f>IFERROR(CONCATENATE("*",VLOOKUP(C183,PARAM!D:E,2,0),VLOOKUP(D183,PARAM!J:K,2,0),VLOOKUP(E183,PARAM!G:H,2,0),VLOOKUP(G183,PARAM!P:Q,2,0),"*"),"")</f>
        <v>*11220223*</v>
      </c>
      <c r="K183" s="1" t="str">
        <f t="shared" si="1"/>
        <v>CAMISETAS CABALLERO OVERSIZE TALLA L</v>
      </c>
      <c r="L183" s="1"/>
    </row>
    <row r="184">
      <c r="A184" s="55">
        <v>46186.0</v>
      </c>
      <c r="B184" s="4" t="s">
        <v>1191</v>
      </c>
      <c r="C184" s="4" t="s">
        <v>1194</v>
      </c>
      <c r="D184" s="4" t="s">
        <v>1060</v>
      </c>
      <c r="E184" s="4" t="s">
        <v>1195</v>
      </c>
      <c r="F184" s="4" t="s">
        <v>1069</v>
      </c>
      <c r="G184" s="60" t="s">
        <v>1103</v>
      </c>
      <c r="H184" s="1" t="s">
        <v>628</v>
      </c>
      <c r="I184" s="1" t="str">
        <f>IFERROR(CONCATENATE(VLOOKUP(C184,PARAM!D:E,2,0),VLOOKUP(D184,PARAM!J:K,2,0),VLOOKUP(E184,PARAM!G:H,2,0),VLOOKUP(G184,PARAM!P:Q,2,0)),"")</f>
        <v>26110430</v>
      </c>
      <c r="J184" s="1" t="str">
        <f>IFERROR(CONCATENATE("*",VLOOKUP(C184,PARAM!D:E,2,0),VLOOKUP(D184,PARAM!J:K,2,0),VLOOKUP(E184,PARAM!G:H,2,0),VLOOKUP(G184,PARAM!P:Q,2,0),"*"),"")</f>
        <v>*26110430*</v>
      </c>
      <c r="K184" s="1" t="str">
        <f t="shared" si="1"/>
        <v>BUSOS DAMA CREMALLERA OVERSIZE TALLA UN</v>
      </c>
      <c r="L184" s="1"/>
    </row>
    <row r="185">
      <c r="A185" s="55">
        <v>46186.0</v>
      </c>
      <c r="B185" s="4" t="s">
        <v>1191</v>
      </c>
      <c r="C185" s="4" t="s">
        <v>1194</v>
      </c>
      <c r="D185" s="4" t="s">
        <v>1080</v>
      </c>
      <c r="E185" s="4" t="s">
        <v>1196</v>
      </c>
      <c r="F185" s="4" t="s">
        <v>1069</v>
      </c>
      <c r="G185" s="60" t="s">
        <v>1103</v>
      </c>
      <c r="H185" s="1" t="s">
        <v>628</v>
      </c>
      <c r="I185" s="1" t="str">
        <f>IFERROR(CONCATENATE(VLOOKUP(C185,PARAM!D:E,2,0),VLOOKUP(D185,PARAM!J:K,2,0),VLOOKUP(E185,PARAM!G:H,2,0),VLOOKUP(G185,PARAM!P:Q,2,0)),"")</f>
        <v>26210930</v>
      </c>
      <c r="J185" s="1" t="str">
        <f>IFERROR(CONCATENATE("*",VLOOKUP(C185,PARAM!D:E,2,0),VLOOKUP(D185,PARAM!J:K,2,0),VLOOKUP(E185,PARAM!G:H,2,0),VLOOKUP(G185,PARAM!P:Q,2,0),"*"),"")</f>
        <v>*26210930*</v>
      </c>
      <c r="K185" s="1" t="str">
        <f t="shared" si="1"/>
        <v>BUSOS CABALLERO CUELLO REDONDO COMBINADO TALLA UN</v>
      </c>
      <c r="L185" s="1"/>
    </row>
    <row r="186">
      <c r="A186" s="55">
        <v>46186.0</v>
      </c>
      <c r="B186" s="4" t="s">
        <v>1191</v>
      </c>
      <c r="C186" s="4" t="s">
        <v>1194</v>
      </c>
      <c r="D186" s="4" t="s">
        <v>1080</v>
      </c>
      <c r="E186" s="1" t="s">
        <v>1144</v>
      </c>
      <c r="F186" s="4" t="s">
        <v>1069</v>
      </c>
      <c r="G186" s="60" t="s">
        <v>1103</v>
      </c>
      <c r="H186" s="1" t="s">
        <v>628</v>
      </c>
      <c r="I186" s="1" t="str">
        <f>IFERROR(CONCATENATE(VLOOKUP(C186,PARAM!D:E,2,0),VLOOKUP(D186,PARAM!J:K,2,0),VLOOKUP(E186,PARAM!G:H,2,0),VLOOKUP(G186,PARAM!P:Q,2,0)),"")</f>
        <v>26210830</v>
      </c>
      <c r="J186" s="1" t="str">
        <f>IFERROR(CONCATENATE("*",VLOOKUP(C186,PARAM!D:E,2,0),VLOOKUP(D186,PARAM!J:K,2,0),VLOOKUP(E186,PARAM!G:H,2,0),VLOOKUP(G186,PARAM!P:Q,2,0),"*"),"")</f>
        <v>*26210830*</v>
      </c>
      <c r="K186" s="1" t="str">
        <f t="shared" si="1"/>
        <v>BUSOS CABALLERO CUELLO REDONDO TALLA UN</v>
      </c>
      <c r="L186" s="1"/>
    </row>
    <row r="187">
      <c r="A187" s="55">
        <v>46186.0</v>
      </c>
      <c r="B187" s="4" t="s">
        <v>1191</v>
      </c>
      <c r="C187" s="4" t="s">
        <v>1194</v>
      </c>
      <c r="D187" s="4" t="s">
        <v>1080</v>
      </c>
      <c r="E187" s="4" t="s">
        <v>1197</v>
      </c>
      <c r="F187" s="4" t="s">
        <v>1069</v>
      </c>
      <c r="G187" s="60" t="s">
        <v>1103</v>
      </c>
      <c r="H187" s="1" t="s">
        <v>628</v>
      </c>
      <c r="I187" s="1" t="str">
        <f>IFERROR(CONCATENATE(VLOOKUP(C187,PARAM!D:E,2,0),VLOOKUP(D187,PARAM!J:K,2,0),VLOOKUP(E187,PARAM!G:H,2,0),VLOOKUP(G187,PARAM!P:Q,2,0)),"")</f>
        <v>26213130</v>
      </c>
      <c r="J187" s="1" t="str">
        <f>IFERROR(CONCATENATE("*",VLOOKUP(C187,PARAM!D:E,2,0),VLOOKUP(D187,PARAM!J:K,2,0),VLOOKUP(E187,PARAM!G:H,2,0),VLOOKUP(G187,PARAM!P:Q,2,0),"*"),"")</f>
        <v>*26213130*</v>
      </c>
      <c r="K187" s="1" t="str">
        <f t="shared" si="1"/>
        <v>BUSOS CABALLERO ESTAMPADO TALLA UN</v>
      </c>
      <c r="L187" s="1"/>
    </row>
    <row r="188">
      <c r="A188" s="55">
        <v>46186.0</v>
      </c>
      <c r="B188" s="4" t="s">
        <v>1191</v>
      </c>
      <c r="C188" s="4" t="s">
        <v>1194</v>
      </c>
      <c r="D188" s="4" t="s">
        <v>1080</v>
      </c>
      <c r="E188" s="4" t="s">
        <v>1198</v>
      </c>
      <c r="F188" s="4" t="s">
        <v>1069</v>
      </c>
      <c r="G188" s="60" t="s">
        <v>1103</v>
      </c>
      <c r="H188" s="1" t="s">
        <v>628</v>
      </c>
      <c r="I188" s="1" t="str">
        <f>IFERROR(CONCATENATE(VLOOKUP(C188,PARAM!D:E,2,0),VLOOKUP(D188,PARAM!J:K,2,0),VLOOKUP(E188,PARAM!G:H,2,0),VLOOKUP(G188,PARAM!P:Q,2,0)),"")</f>
        <v>26218530</v>
      </c>
      <c r="J188" s="1" t="str">
        <f>IFERROR(CONCATENATE("*",VLOOKUP(C188,PARAM!D:E,2,0),VLOOKUP(D188,PARAM!J:K,2,0),VLOOKUP(E188,PARAM!G:H,2,0),VLOOKUP(G188,PARAM!P:Q,2,0),"*"),"")</f>
        <v>*26218530*</v>
      </c>
      <c r="K188" s="1" t="str">
        <f t="shared" si="1"/>
        <v>BUSOS CABALLERO MEDIA CREMALLERA COMBINADO TALLA UN</v>
      </c>
      <c r="L188" s="1"/>
    </row>
    <row r="189">
      <c r="A189" s="55">
        <v>46186.0</v>
      </c>
      <c r="B189" s="4" t="s">
        <v>1078</v>
      </c>
      <c r="C189" s="4" t="s">
        <v>1162</v>
      </c>
      <c r="D189" s="4" t="s">
        <v>1080</v>
      </c>
      <c r="E189" s="4" t="s">
        <v>1199</v>
      </c>
      <c r="F189" s="4" t="s">
        <v>1069</v>
      </c>
      <c r="G189" s="60" t="s">
        <v>1165</v>
      </c>
      <c r="H189" s="1" t="s">
        <v>639</v>
      </c>
      <c r="I189" s="1" t="str">
        <f>IFERROR(CONCATENATE(VLOOKUP(C189,PARAM!D:E,2,0),VLOOKUP(D189,PARAM!J:K,2,0),VLOOKUP(E189,PARAM!G:H,2,0),VLOOKUP(G189,PARAM!P:Q,2,0)),"")</f>
        <v>25221923</v>
      </c>
      <c r="J189" s="1" t="str">
        <f>IFERROR(CONCATENATE("*",VLOOKUP(C189,PARAM!D:E,2,0),VLOOKUP(D189,PARAM!J:K,2,0),VLOOKUP(E189,PARAM!G:H,2,0),VLOOKUP(G189,PARAM!P:Q,2,0),"*"),"")</f>
        <v>*25221923*</v>
      </c>
      <c r="K189" s="1" t="str">
        <f t="shared" si="1"/>
        <v>CHAQUETAS CABALLERO POLO SENCILLA TALLA L</v>
      </c>
      <c r="L189" s="1"/>
    </row>
    <row r="190">
      <c r="A190" s="55">
        <v>46186.0</v>
      </c>
      <c r="B190" s="4" t="s">
        <v>1078</v>
      </c>
      <c r="C190" s="4" t="s">
        <v>1162</v>
      </c>
      <c r="D190" s="4" t="s">
        <v>1080</v>
      </c>
      <c r="E190" s="4" t="s">
        <v>1199</v>
      </c>
      <c r="F190" s="4" t="s">
        <v>1069</v>
      </c>
      <c r="G190" s="60" t="s">
        <v>1077</v>
      </c>
      <c r="H190" s="1" t="s">
        <v>641</v>
      </c>
      <c r="I190" s="1" t="str">
        <f>IFERROR(CONCATENATE(VLOOKUP(C190,PARAM!D:E,2,0),VLOOKUP(D190,PARAM!J:K,2,0),VLOOKUP(E190,PARAM!G:H,2,0),VLOOKUP(G190,PARAM!P:Q,2,0)),"")</f>
        <v>25221932</v>
      </c>
      <c r="J190" s="1" t="str">
        <f>IFERROR(CONCATENATE("*",VLOOKUP(C190,PARAM!D:E,2,0),VLOOKUP(D190,PARAM!J:K,2,0),VLOOKUP(E190,PARAM!G:H,2,0),VLOOKUP(G190,PARAM!P:Q,2,0),"*"),"")</f>
        <v>*25221932*</v>
      </c>
      <c r="K190" s="1" t="str">
        <f t="shared" si="1"/>
        <v>CHAQUETAS CABALLERO POLO SENCILLA TALLA XL</v>
      </c>
      <c r="L190" s="1"/>
    </row>
    <row r="191">
      <c r="A191" s="55">
        <v>46186.0</v>
      </c>
      <c r="B191" s="4" t="s">
        <v>1078</v>
      </c>
      <c r="C191" s="4" t="s">
        <v>1162</v>
      </c>
      <c r="D191" s="4" t="s">
        <v>1080</v>
      </c>
      <c r="E191" s="4" t="s">
        <v>1199</v>
      </c>
      <c r="F191" s="4" t="s">
        <v>1069</v>
      </c>
      <c r="G191" s="60" t="s">
        <v>1164</v>
      </c>
      <c r="H191" s="1" t="s">
        <v>641</v>
      </c>
      <c r="I191" s="1" t="str">
        <f>IFERROR(CONCATENATE(VLOOKUP(C191,PARAM!D:E,2,0),VLOOKUP(D191,PARAM!J:K,2,0),VLOOKUP(E191,PARAM!G:H,2,0),VLOOKUP(G191,PARAM!P:Q,2,0)),"")</f>
        <v>25221925</v>
      </c>
      <c r="J191" s="1" t="str">
        <f>IFERROR(CONCATENATE("*",VLOOKUP(C191,PARAM!D:E,2,0),VLOOKUP(D191,PARAM!J:K,2,0),VLOOKUP(E191,PARAM!G:H,2,0),VLOOKUP(G191,PARAM!P:Q,2,0),"*"),"")</f>
        <v>*25221925*</v>
      </c>
      <c r="K191" s="1" t="str">
        <f t="shared" si="1"/>
        <v>CHAQUETAS CABALLERO POLO SENCILLA TALLA M</v>
      </c>
      <c r="L191" s="1"/>
    </row>
    <row r="192">
      <c r="A192" s="55">
        <v>46186.0</v>
      </c>
      <c r="B192" s="4" t="s">
        <v>1078</v>
      </c>
      <c r="C192" s="4" t="s">
        <v>1162</v>
      </c>
      <c r="D192" s="4" t="s">
        <v>1080</v>
      </c>
      <c r="E192" s="4" t="s">
        <v>1200</v>
      </c>
      <c r="F192" s="4" t="s">
        <v>1069</v>
      </c>
      <c r="G192" s="60" t="s">
        <v>1077</v>
      </c>
      <c r="H192" s="1" t="s">
        <v>641</v>
      </c>
      <c r="I192" s="1" t="str">
        <f>IFERROR(CONCATENATE(VLOOKUP(C192,PARAM!D:E,2,0),VLOOKUP(D192,PARAM!J:K,2,0),VLOOKUP(E192,PARAM!G:H,2,0),VLOOKUP(G192,PARAM!P:Q,2,0)),"")</f>
        <v>25217532</v>
      </c>
      <c r="J192" s="1" t="str">
        <f>IFERROR(CONCATENATE("*",VLOOKUP(C192,PARAM!D:E,2,0),VLOOKUP(D192,PARAM!J:K,2,0),VLOOKUP(E192,PARAM!G:H,2,0),VLOOKUP(G192,PARAM!P:Q,2,0),"*"),"")</f>
        <v>*25217532*</v>
      </c>
      <c r="K192" s="1" t="str">
        <f t="shared" si="1"/>
        <v>CHAQUETAS CABALLERO LISA ACOLCHADA TALLA XL</v>
      </c>
      <c r="L192" s="1"/>
    </row>
    <row r="193">
      <c r="A193" s="55">
        <v>46186.0</v>
      </c>
      <c r="B193" s="4" t="s">
        <v>1078</v>
      </c>
      <c r="C193" s="4" t="s">
        <v>1162</v>
      </c>
      <c r="D193" s="4" t="s">
        <v>1080</v>
      </c>
      <c r="E193" s="4" t="s">
        <v>1200</v>
      </c>
      <c r="F193" s="4" t="s">
        <v>1069</v>
      </c>
      <c r="G193" s="60" t="s">
        <v>1165</v>
      </c>
      <c r="H193" s="1" t="s">
        <v>641</v>
      </c>
      <c r="I193" s="1" t="str">
        <f>IFERROR(CONCATENATE(VLOOKUP(C193,PARAM!D:E,2,0),VLOOKUP(D193,PARAM!J:K,2,0),VLOOKUP(E193,PARAM!G:H,2,0),VLOOKUP(G193,PARAM!P:Q,2,0)),"")</f>
        <v>25217523</v>
      </c>
      <c r="J193" s="1" t="str">
        <f>IFERROR(CONCATENATE("*",VLOOKUP(C193,PARAM!D:E,2,0),VLOOKUP(D193,PARAM!J:K,2,0),VLOOKUP(E193,PARAM!G:H,2,0),VLOOKUP(G193,PARAM!P:Q,2,0),"*"),"")</f>
        <v>*25217523*</v>
      </c>
      <c r="K193" s="1" t="str">
        <f t="shared" si="1"/>
        <v>CHAQUETAS CABALLERO LISA ACOLCHADA TALLA L</v>
      </c>
      <c r="L193" s="1"/>
    </row>
    <row r="194">
      <c r="A194" s="55">
        <v>46186.0</v>
      </c>
      <c r="B194" s="4" t="s">
        <v>1078</v>
      </c>
      <c r="C194" s="4" t="s">
        <v>1162</v>
      </c>
      <c r="D194" s="4" t="s">
        <v>1080</v>
      </c>
      <c r="E194" s="4" t="s">
        <v>1200</v>
      </c>
      <c r="F194" s="4" t="s">
        <v>1069</v>
      </c>
      <c r="G194" s="60" t="s">
        <v>1164</v>
      </c>
      <c r="H194" s="1" t="s">
        <v>641</v>
      </c>
      <c r="I194" s="1" t="str">
        <f>IFERROR(CONCATENATE(VLOOKUP(C194,PARAM!D:E,2,0),VLOOKUP(D194,PARAM!J:K,2,0),VLOOKUP(E194,PARAM!G:H,2,0),VLOOKUP(G194,PARAM!P:Q,2,0)),"")</f>
        <v>25217525</v>
      </c>
      <c r="J194" s="1" t="str">
        <f>IFERROR(CONCATENATE("*",VLOOKUP(C194,PARAM!D:E,2,0),VLOOKUP(D194,PARAM!J:K,2,0),VLOOKUP(E194,PARAM!G:H,2,0),VLOOKUP(G194,PARAM!P:Q,2,0),"*"),"")</f>
        <v>*25217525*</v>
      </c>
      <c r="K194" s="1" t="str">
        <f t="shared" si="1"/>
        <v>CHAQUETAS CABALLERO LISA ACOLCHADA TALLA M</v>
      </c>
      <c r="L194" s="1"/>
    </row>
    <row r="195">
      <c r="A195" s="55">
        <v>46186.0</v>
      </c>
      <c r="B195" s="4" t="s">
        <v>1078</v>
      </c>
      <c r="C195" s="4" t="s">
        <v>1162</v>
      </c>
      <c r="D195" s="4" t="s">
        <v>1080</v>
      </c>
      <c r="E195" s="1" t="s">
        <v>1201</v>
      </c>
      <c r="F195" s="4" t="s">
        <v>1069</v>
      </c>
      <c r="G195" s="60" t="s">
        <v>1164</v>
      </c>
      <c r="H195" s="1" t="s">
        <v>647</v>
      </c>
      <c r="I195" s="1" t="str">
        <f>IFERROR(CONCATENATE(VLOOKUP(C195,PARAM!D:E,2,0),VLOOKUP(D195,PARAM!J:K,2,0),VLOOKUP(E195,PARAM!G:H,2,0),VLOOKUP(G195,PARAM!P:Q,2,0)),"")</f>
        <v>252725</v>
      </c>
      <c r="J195" s="1" t="str">
        <f>IFERROR(CONCATENATE("*",VLOOKUP(C195,PARAM!D:E,2,0),VLOOKUP(D195,PARAM!J:K,2,0),VLOOKUP(E195,PARAM!G:H,2,0),VLOOKUP(G195,PARAM!P:Q,2,0),"*"),"")</f>
        <v>*252725*</v>
      </c>
      <c r="K195" s="1" t="str">
        <f t="shared" si="1"/>
        <v>CHAQUETAS CABALLERO ABIERTA AIR TALLA M</v>
      </c>
      <c r="L195" s="1"/>
    </row>
    <row r="196">
      <c r="A196" s="55">
        <v>46186.0</v>
      </c>
      <c r="B196" s="4" t="s">
        <v>1078</v>
      </c>
      <c r="C196" s="4" t="s">
        <v>1162</v>
      </c>
      <c r="D196" s="4" t="s">
        <v>1080</v>
      </c>
      <c r="E196" s="1" t="s">
        <v>1201</v>
      </c>
      <c r="F196" s="4" t="s">
        <v>1069</v>
      </c>
      <c r="G196" s="60" t="s">
        <v>1165</v>
      </c>
      <c r="H196" s="1" t="s">
        <v>647</v>
      </c>
      <c r="I196" s="1" t="str">
        <f>IFERROR(CONCATENATE(VLOOKUP(C196,PARAM!D:E,2,0),VLOOKUP(D196,PARAM!J:K,2,0),VLOOKUP(E196,PARAM!G:H,2,0),VLOOKUP(G196,PARAM!P:Q,2,0)),"")</f>
        <v>252723</v>
      </c>
      <c r="J196" s="1" t="str">
        <f>IFERROR(CONCATENATE("*",VLOOKUP(C196,PARAM!D:E,2,0),VLOOKUP(D196,PARAM!J:K,2,0),VLOOKUP(E196,PARAM!G:H,2,0),VLOOKUP(G196,PARAM!P:Q,2,0),"*"),"")</f>
        <v>*252723*</v>
      </c>
      <c r="K196" s="1" t="str">
        <f t="shared" si="1"/>
        <v>CHAQUETAS CABALLERO ABIERTA AIR TALLA L</v>
      </c>
      <c r="L196" s="1"/>
    </row>
    <row r="197">
      <c r="A197" s="55">
        <v>46186.0</v>
      </c>
      <c r="B197" s="4" t="s">
        <v>1078</v>
      </c>
      <c r="C197" s="4" t="s">
        <v>1162</v>
      </c>
      <c r="D197" s="4" t="s">
        <v>1080</v>
      </c>
      <c r="E197" s="1" t="s">
        <v>1201</v>
      </c>
      <c r="F197" s="4" t="s">
        <v>1069</v>
      </c>
      <c r="G197" s="60" t="s">
        <v>1077</v>
      </c>
      <c r="H197" s="1" t="s">
        <v>647</v>
      </c>
      <c r="I197" s="1" t="str">
        <f>IFERROR(CONCATENATE(VLOOKUP(C197,PARAM!D:E,2,0),VLOOKUP(D197,PARAM!J:K,2,0),VLOOKUP(E197,PARAM!G:H,2,0),VLOOKUP(G197,PARAM!P:Q,2,0)),"")</f>
        <v>252732</v>
      </c>
      <c r="J197" s="1" t="str">
        <f>IFERROR(CONCATENATE("*",VLOOKUP(C197,PARAM!D:E,2,0),VLOOKUP(D197,PARAM!J:K,2,0),VLOOKUP(E197,PARAM!G:H,2,0),VLOOKUP(G197,PARAM!P:Q,2,0),"*"),"")</f>
        <v>*252732*</v>
      </c>
      <c r="K197" s="1" t="str">
        <f t="shared" si="1"/>
        <v>CHAQUETAS CABALLERO ABIERTA AIR TALLA XL</v>
      </c>
      <c r="L197" s="1"/>
    </row>
    <row r="198">
      <c r="A198" s="55">
        <v>46186.0</v>
      </c>
      <c r="B198" s="4" t="s">
        <v>1078</v>
      </c>
      <c r="C198" s="4" t="s">
        <v>1162</v>
      </c>
      <c r="D198" s="4" t="s">
        <v>1080</v>
      </c>
      <c r="E198" s="4" t="s">
        <v>1181</v>
      </c>
      <c r="F198" s="4" t="s">
        <v>1069</v>
      </c>
      <c r="G198" s="60" t="s">
        <v>1103</v>
      </c>
      <c r="H198" s="1" t="s">
        <v>651</v>
      </c>
      <c r="I198" s="1" t="str">
        <f>IFERROR(CONCATENATE(VLOOKUP(C198,PARAM!D:E,2,0),VLOOKUP(D198,PARAM!J:K,2,0),VLOOKUP(E198,PARAM!G:H,2,0),VLOOKUP(G198,PARAM!P:Q,2,0)),"")</f>
        <v>25221630</v>
      </c>
      <c r="J198" s="1" t="str">
        <f>IFERROR(CONCATENATE("*",VLOOKUP(C198,PARAM!D:E,2,0),VLOOKUP(D198,PARAM!J:K,2,0),VLOOKUP(E198,PARAM!G:H,2,0),VLOOKUP(G198,PARAM!P:Q,2,0),"*"),"")</f>
        <v>*25221630*</v>
      </c>
      <c r="K198" s="1" t="str">
        <f t="shared" si="1"/>
        <v>CHAQUETAS CABALLERO POLO TALLA UN</v>
      </c>
      <c r="L198" s="1"/>
    </row>
    <row r="199">
      <c r="A199" s="55">
        <v>46186.0</v>
      </c>
      <c r="B199" s="4" t="s">
        <v>1078</v>
      </c>
      <c r="C199" s="4" t="s">
        <v>1162</v>
      </c>
      <c r="D199" s="4" t="s">
        <v>1080</v>
      </c>
      <c r="E199" s="4" t="s">
        <v>1202</v>
      </c>
      <c r="F199" s="4" t="s">
        <v>1069</v>
      </c>
      <c r="G199" s="60" t="s">
        <v>1103</v>
      </c>
      <c r="H199" s="1" t="s">
        <v>651</v>
      </c>
      <c r="I199" s="1" t="str">
        <f>IFERROR(CONCATENATE(VLOOKUP(C199,PARAM!D:E,2,0),VLOOKUP(D199,PARAM!J:K,2,0),VLOOKUP(E199,PARAM!G:H,2,0),VLOOKUP(G199,PARAM!P:Q,2,0)),"")</f>
        <v>25214330</v>
      </c>
      <c r="J199" s="1" t="str">
        <f>IFERROR(CONCATENATE("*",VLOOKUP(C199,PARAM!D:E,2,0),VLOOKUP(D199,PARAM!J:K,2,0),VLOOKUP(E199,PARAM!G:H,2,0),VLOOKUP(G199,PARAM!P:Q,2,0),"*"),"")</f>
        <v>*25214330*</v>
      </c>
      <c r="K199" s="1" t="str">
        <f t="shared" si="1"/>
        <v>CHAQUETAS CABALLERO HUGO BOSS TALLA UN</v>
      </c>
      <c r="L199" s="1"/>
    </row>
    <row r="200">
      <c r="A200" s="55">
        <v>46186.0</v>
      </c>
      <c r="B200" s="4" t="s">
        <v>1078</v>
      </c>
      <c r="C200" s="4" t="s">
        <v>1162</v>
      </c>
      <c r="D200" s="4" t="s">
        <v>1080</v>
      </c>
      <c r="E200" s="4" t="s">
        <v>1202</v>
      </c>
      <c r="F200" s="4" t="s">
        <v>1069</v>
      </c>
      <c r="G200" s="60" t="s">
        <v>1077</v>
      </c>
      <c r="H200" s="1" t="s">
        <v>651</v>
      </c>
      <c r="I200" s="1" t="str">
        <f>IFERROR(CONCATENATE(VLOOKUP(C200,PARAM!D:E,2,0),VLOOKUP(D200,PARAM!J:K,2,0),VLOOKUP(E200,PARAM!G:H,2,0),VLOOKUP(G200,PARAM!P:Q,2,0)),"")</f>
        <v>25214332</v>
      </c>
      <c r="J200" s="1" t="str">
        <f>IFERROR(CONCATENATE("*",VLOOKUP(C200,PARAM!D:E,2,0),VLOOKUP(D200,PARAM!J:K,2,0),VLOOKUP(E200,PARAM!G:H,2,0),VLOOKUP(G200,PARAM!P:Q,2,0),"*"),"")</f>
        <v>*25214332*</v>
      </c>
      <c r="K200" s="1" t="str">
        <f t="shared" si="1"/>
        <v>CHAQUETAS CABALLERO HUGO BOSS TALLA XL</v>
      </c>
      <c r="L200" s="1"/>
    </row>
    <row r="201">
      <c r="A201" s="55">
        <v>46186.0</v>
      </c>
      <c r="B201" s="4" t="s">
        <v>1078</v>
      </c>
      <c r="C201" s="4" t="s">
        <v>1162</v>
      </c>
      <c r="D201" s="4" t="s">
        <v>1080</v>
      </c>
      <c r="E201" s="1" t="s">
        <v>1203</v>
      </c>
      <c r="F201" s="4" t="s">
        <v>1069</v>
      </c>
      <c r="G201" s="60" t="s">
        <v>1164</v>
      </c>
      <c r="H201" s="1" t="s">
        <v>651</v>
      </c>
      <c r="I201" s="1" t="str">
        <f>IFERROR(CONCATENATE(VLOOKUP(C201,PARAM!D:E,2,0),VLOOKUP(D201,PARAM!J:K,2,0),VLOOKUP(E201,PARAM!G:H,2,0),VLOOKUP(G201,PARAM!P:Q,2,0)),"")</f>
        <v>2526825</v>
      </c>
      <c r="J201" s="1" t="str">
        <f>IFERROR(CONCATENATE("*",VLOOKUP(C201,PARAM!D:E,2,0),VLOOKUP(D201,PARAM!J:K,2,0),VLOOKUP(E201,PARAM!G:H,2,0),VLOOKUP(G201,PARAM!P:Q,2,0),"*"),"")</f>
        <v>*2526825*</v>
      </c>
      <c r="K201" s="1" t="str">
        <f t="shared" si="1"/>
        <v>CHAQUETAS CABALLERO CANGURO AIR TALLA M</v>
      </c>
      <c r="L201" s="1"/>
    </row>
    <row r="202">
      <c r="A202" s="55">
        <v>46186.0</v>
      </c>
      <c r="B202" s="4" t="s">
        <v>1078</v>
      </c>
      <c r="C202" s="4" t="s">
        <v>1162</v>
      </c>
      <c r="D202" s="4" t="s">
        <v>1080</v>
      </c>
      <c r="E202" s="1" t="s">
        <v>1203</v>
      </c>
      <c r="F202" s="4" t="s">
        <v>1069</v>
      </c>
      <c r="G202" s="60" t="s">
        <v>1165</v>
      </c>
      <c r="H202" s="1" t="s">
        <v>647</v>
      </c>
      <c r="I202" s="1" t="str">
        <f>IFERROR(CONCATENATE(VLOOKUP(C202,PARAM!D:E,2,0),VLOOKUP(D202,PARAM!J:K,2,0),VLOOKUP(E202,PARAM!G:H,2,0),VLOOKUP(G202,PARAM!P:Q,2,0)),"")</f>
        <v>2526823</v>
      </c>
      <c r="J202" s="1" t="str">
        <f>IFERROR(CONCATENATE("*",VLOOKUP(C202,PARAM!D:E,2,0),VLOOKUP(D202,PARAM!J:K,2,0),VLOOKUP(E202,PARAM!G:H,2,0),VLOOKUP(G202,PARAM!P:Q,2,0),"*"),"")</f>
        <v>*2526823*</v>
      </c>
      <c r="K202" s="1" t="str">
        <f t="shared" si="1"/>
        <v>CHAQUETAS CABALLERO CANGURO AIR TALLA L</v>
      </c>
      <c r="L202" s="1"/>
    </row>
    <row r="203">
      <c r="A203" s="55">
        <v>46186.0</v>
      </c>
      <c r="B203" s="4" t="s">
        <v>1078</v>
      </c>
      <c r="C203" s="4" t="s">
        <v>1162</v>
      </c>
      <c r="D203" s="4" t="s">
        <v>1080</v>
      </c>
      <c r="E203" s="1" t="s">
        <v>1203</v>
      </c>
      <c r="F203" s="4" t="s">
        <v>1069</v>
      </c>
      <c r="G203" s="60" t="s">
        <v>1204</v>
      </c>
      <c r="H203" s="1" t="s">
        <v>647</v>
      </c>
      <c r="I203" s="1" t="str">
        <f>IFERROR(CONCATENATE(VLOOKUP(C203,PARAM!D:E,2,0),VLOOKUP(D203,PARAM!J:K,2,0),VLOOKUP(E203,PARAM!G:H,2,0),VLOOKUP(G203,PARAM!P:Q,2,0)),"")</f>
        <v>2526833</v>
      </c>
      <c r="J203" s="1" t="str">
        <f>IFERROR(CONCATENATE("*",VLOOKUP(C203,PARAM!D:E,2,0),VLOOKUP(D203,PARAM!J:K,2,0),VLOOKUP(E203,PARAM!G:H,2,0),VLOOKUP(G203,PARAM!P:Q,2,0),"*"),"")</f>
        <v>*2526833*</v>
      </c>
      <c r="K203" s="1" t="str">
        <f t="shared" si="1"/>
        <v>CHAQUETAS CABALLERO CANGURO AIR TALLA XL </v>
      </c>
      <c r="L203" s="1"/>
    </row>
    <row r="204">
      <c r="A204" s="55">
        <v>46186.0</v>
      </c>
      <c r="B204" s="4" t="s">
        <v>1187</v>
      </c>
      <c r="C204" s="4" t="s">
        <v>1089</v>
      </c>
      <c r="D204" s="4" t="s">
        <v>1060</v>
      </c>
      <c r="E204" s="4" t="s">
        <v>1205</v>
      </c>
      <c r="F204" s="4" t="s">
        <v>1069</v>
      </c>
      <c r="G204" s="60" t="s">
        <v>1077</v>
      </c>
      <c r="H204" s="1" t="s">
        <v>658</v>
      </c>
      <c r="I204" s="1" t="str">
        <f>IFERROR(CONCATENATE(VLOOKUP(C204,PARAM!D:E,2,0),VLOOKUP(D204,PARAM!J:K,2,0),VLOOKUP(E204,PARAM!G:H,2,0),VLOOKUP(G204,PARAM!P:Q,2,0)),"")</f>
        <v>4124632</v>
      </c>
      <c r="J204" s="1" t="str">
        <f>IFERROR(CONCATENATE("*",VLOOKUP(C204,PARAM!D:E,2,0),VLOOKUP(D204,PARAM!J:K,2,0),VLOOKUP(E204,PARAM!G:H,2,0),VLOOKUP(G204,PARAM!P:Q,2,0),"*"),"")</f>
        <v>*4124632*</v>
      </c>
      <c r="K204" s="1" t="str">
        <f t="shared" si="1"/>
        <v>SHORTS DAMA RUNNING TALLA XL</v>
      </c>
      <c r="L204" s="1"/>
    </row>
    <row r="205">
      <c r="A205" s="55">
        <v>46186.0</v>
      </c>
      <c r="B205" s="4" t="s">
        <v>1187</v>
      </c>
      <c r="C205" s="4" t="s">
        <v>1089</v>
      </c>
      <c r="D205" s="4" t="s">
        <v>1060</v>
      </c>
      <c r="E205" s="4" t="s">
        <v>1205</v>
      </c>
      <c r="F205" s="4" t="s">
        <v>1069</v>
      </c>
      <c r="G205" s="60" t="s">
        <v>1103</v>
      </c>
      <c r="H205" s="1" t="s">
        <v>660</v>
      </c>
      <c r="I205" s="1" t="str">
        <f>IFERROR(CONCATENATE(VLOOKUP(C205,PARAM!D:E,2,0),VLOOKUP(D205,PARAM!J:K,2,0),VLOOKUP(E205,PARAM!G:H,2,0),VLOOKUP(G205,PARAM!P:Q,2,0)),"")</f>
        <v>4124630</v>
      </c>
      <c r="J205" s="1" t="str">
        <f>IFERROR(CONCATENATE("*",VLOOKUP(C205,PARAM!D:E,2,0),VLOOKUP(D205,PARAM!J:K,2,0),VLOOKUP(E205,PARAM!G:H,2,0),VLOOKUP(G205,PARAM!P:Q,2,0),"*"),"")</f>
        <v>*4124630*</v>
      </c>
      <c r="K205" s="1" t="str">
        <f t="shared" si="1"/>
        <v>SHORTS DAMA RUNNING TALLA UN</v>
      </c>
      <c r="L205" s="1"/>
    </row>
    <row r="206">
      <c r="A206" s="55">
        <v>46186.0</v>
      </c>
      <c r="B206" s="4" t="s">
        <v>1187</v>
      </c>
      <c r="C206" s="4" t="s">
        <v>1089</v>
      </c>
      <c r="D206" s="4" t="s">
        <v>1060</v>
      </c>
      <c r="E206" s="4" t="s">
        <v>1206</v>
      </c>
      <c r="F206" s="4" t="s">
        <v>1069</v>
      </c>
      <c r="G206" s="60" t="s">
        <v>1103</v>
      </c>
      <c r="H206" s="1" t="s">
        <v>660</v>
      </c>
      <c r="I206" s="1" t="str">
        <f>IFERROR(CONCATENATE(VLOOKUP(C206,PARAM!D:E,2,0),VLOOKUP(D206,PARAM!J:K,2,0),VLOOKUP(E206,PARAM!G:H,2,0),VLOOKUP(G206,PARAM!P:Q,2,0)),"")</f>
        <v>417130</v>
      </c>
      <c r="J206" s="1" t="str">
        <f>IFERROR(CONCATENATE("*",VLOOKUP(C206,PARAM!D:E,2,0),VLOOKUP(D206,PARAM!J:K,2,0),VLOOKUP(E206,PARAM!G:H,2,0),VLOOKUP(G206,PARAM!P:Q,2,0),"*"),"")</f>
        <v>*417130*</v>
      </c>
      <c r="K206" s="1" t="str">
        <f t="shared" si="1"/>
        <v>SHORTS DAMA CAPRIATY TALLA UN</v>
      </c>
      <c r="L206" s="1"/>
    </row>
    <row r="207">
      <c r="A207" s="55">
        <v>46186.0</v>
      </c>
      <c r="B207" s="4" t="s">
        <v>1187</v>
      </c>
      <c r="C207" s="4" t="s">
        <v>1194</v>
      </c>
      <c r="D207" s="4" t="s">
        <v>1060</v>
      </c>
      <c r="E207" s="4" t="s">
        <v>1207</v>
      </c>
      <c r="F207" s="4" t="s">
        <v>1069</v>
      </c>
      <c r="G207" s="60" t="s">
        <v>1103</v>
      </c>
      <c r="H207" s="1" t="s">
        <v>660</v>
      </c>
      <c r="I207" s="1" t="str">
        <f>IFERROR(CONCATENATE(VLOOKUP(C207,PARAM!D:E,2,0),VLOOKUP(D207,PARAM!J:K,2,0),VLOOKUP(E207,PARAM!G:H,2,0),VLOOKUP(G207,PARAM!P:Q,2,0)),"")</f>
        <v>26112230</v>
      </c>
      <c r="J207" s="1" t="str">
        <f>IFERROR(CONCATENATE("*",VLOOKUP(C207,PARAM!D:E,2,0),VLOOKUP(D207,PARAM!J:K,2,0),VLOOKUP(E207,PARAM!G:H,2,0),VLOOKUP(G207,PARAM!P:Q,2,0),"*"),"")</f>
        <v>*26112230*</v>
      </c>
      <c r="K207" s="1" t="str">
        <f t="shared" si="1"/>
        <v>BUSOS DAMA DUO TALLA UN</v>
      </c>
      <c r="L207" s="1"/>
    </row>
    <row r="208">
      <c r="A208" s="55">
        <v>46186.0</v>
      </c>
      <c r="B208" s="4" t="s">
        <v>1187</v>
      </c>
      <c r="C208" s="4" t="s">
        <v>1185</v>
      </c>
      <c r="D208" s="4" t="s">
        <v>1060</v>
      </c>
      <c r="E208" s="4" t="s">
        <v>1208</v>
      </c>
      <c r="F208" s="4" t="s">
        <v>1069</v>
      </c>
      <c r="G208" s="60" t="s">
        <v>1103</v>
      </c>
      <c r="H208" s="1" t="s">
        <v>660</v>
      </c>
      <c r="I208" s="1" t="str">
        <f>IFERROR(CONCATENATE(VLOOKUP(C208,PARAM!D:E,2,0),VLOOKUP(D208,PARAM!J:K,2,0),VLOOKUP(E208,PARAM!G:H,2,0),VLOOKUP(G208,PARAM!P:Q,2,0)),"")</f>
        <v>9124330</v>
      </c>
      <c r="J208" s="1" t="str">
        <f>IFERROR(CONCATENATE("*",VLOOKUP(C208,PARAM!D:E,2,0),VLOOKUP(D208,PARAM!J:K,2,0),VLOOKUP(E208,PARAM!G:H,2,0),VLOOKUP(G208,PARAM!P:Q,2,0),"*"),"")</f>
        <v>*9124330*</v>
      </c>
      <c r="K208" s="1" t="str">
        <f t="shared" si="1"/>
        <v>FALDAS DAMA ROTONDA TALLA UN</v>
      </c>
      <c r="L208" s="1"/>
    </row>
    <row r="209">
      <c r="A209" s="55">
        <v>46186.0</v>
      </c>
      <c r="B209" s="4" t="s">
        <v>1187</v>
      </c>
      <c r="C209" s="4" t="s">
        <v>1185</v>
      </c>
      <c r="D209" s="4" t="s">
        <v>1060</v>
      </c>
      <c r="E209" s="4" t="s">
        <v>1208</v>
      </c>
      <c r="F209" s="4" t="s">
        <v>1069</v>
      </c>
      <c r="G209" s="60" t="s">
        <v>1077</v>
      </c>
      <c r="H209" s="1" t="s">
        <v>660</v>
      </c>
      <c r="I209" s="1" t="str">
        <f>IFERROR(CONCATENATE(VLOOKUP(C209,PARAM!D:E,2,0),VLOOKUP(D209,PARAM!J:K,2,0),VLOOKUP(E209,PARAM!G:H,2,0),VLOOKUP(G209,PARAM!P:Q,2,0)),"")</f>
        <v>9124332</v>
      </c>
      <c r="J209" s="1" t="str">
        <f>IFERROR(CONCATENATE("*",VLOOKUP(C209,PARAM!D:E,2,0),VLOOKUP(D209,PARAM!J:K,2,0),VLOOKUP(E209,PARAM!G:H,2,0),VLOOKUP(G209,PARAM!P:Q,2,0),"*"),"")</f>
        <v>*9124332*</v>
      </c>
      <c r="K209" s="1" t="str">
        <f t="shared" si="1"/>
        <v>FALDAS DAMA ROTONDA TALLA XL</v>
      </c>
      <c r="L209" s="1"/>
    </row>
    <row r="210">
      <c r="A210" s="55">
        <v>46186.0</v>
      </c>
      <c r="B210" s="4" t="s">
        <v>1187</v>
      </c>
      <c r="C210" s="4" t="s">
        <v>1162</v>
      </c>
      <c r="D210" s="4" t="s">
        <v>1060</v>
      </c>
      <c r="E210" s="4" t="s">
        <v>1209</v>
      </c>
      <c r="F210" s="4" t="s">
        <v>1069</v>
      </c>
      <c r="G210" s="60" t="s">
        <v>1103</v>
      </c>
      <c r="H210" s="1" t="s">
        <v>660</v>
      </c>
      <c r="I210" s="1" t="str">
        <f>IFERROR(CONCATENATE(VLOOKUP(C210,PARAM!D:E,2,0),VLOOKUP(D210,PARAM!J:K,2,0),VLOOKUP(E210,PARAM!G:H,2,0),VLOOKUP(G210,PARAM!P:Q,2,0)),"")</f>
        <v>25120430</v>
      </c>
      <c r="J210" s="1" t="str">
        <f>IFERROR(CONCATENATE("*",VLOOKUP(C210,PARAM!D:E,2,0),VLOOKUP(D210,PARAM!J:K,2,0),VLOOKUP(E210,PARAM!G:H,2,0),VLOOKUP(G210,PARAM!P:Q,2,0),"*"),"")</f>
        <v>*25120430*</v>
      </c>
      <c r="K210" s="1" t="str">
        <f t="shared" si="1"/>
        <v>CHAQUETAS DAMA PACIFIC LICRA TALLA UN</v>
      </c>
      <c r="L210" s="1"/>
    </row>
    <row r="211">
      <c r="A211" s="55">
        <v>46186.0</v>
      </c>
      <c r="B211" s="4" t="s">
        <v>1187</v>
      </c>
      <c r="C211" s="4" t="s">
        <v>1162</v>
      </c>
      <c r="D211" s="4" t="s">
        <v>1060</v>
      </c>
      <c r="E211" s="1" t="s">
        <v>1210</v>
      </c>
      <c r="F211" s="4" t="s">
        <v>1069</v>
      </c>
      <c r="G211" s="60" t="s">
        <v>1077</v>
      </c>
      <c r="H211" s="1" t="s">
        <v>660</v>
      </c>
      <c r="I211" s="1" t="str">
        <f>IFERROR(CONCATENATE(VLOOKUP(C211,PARAM!D:E,2,0),VLOOKUP(D211,PARAM!J:K,2,0),VLOOKUP(E211,PARAM!G:H,2,0),VLOOKUP(G211,PARAM!P:Q,2,0)),"")</f>
        <v>25127732</v>
      </c>
      <c r="J211" s="1" t="str">
        <f>IFERROR(CONCATENATE("*",VLOOKUP(C211,PARAM!D:E,2,0),VLOOKUP(D211,PARAM!J:K,2,0),VLOOKUP(E211,PARAM!G:H,2,0),VLOOKUP(G211,PARAM!P:Q,2,0),"*"),"")</f>
        <v>*25127732*</v>
      </c>
      <c r="K211" s="1" t="str">
        <f t="shared" si="1"/>
        <v>CHAQUETAS DAMA YOGA LICRA TALLA XL</v>
      </c>
      <c r="L211" s="1"/>
    </row>
    <row r="212">
      <c r="A212" s="55">
        <v>46186.0</v>
      </c>
      <c r="B212" s="4" t="s">
        <v>1187</v>
      </c>
      <c r="C212" s="4" t="s">
        <v>1162</v>
      </c>
      <c r="D212" s="4" t="s">
        <v>1060</v>
      </c>
      <c r="E212" s="1" t="s">
        <v>1210</v>
      </c>
      <c r="F212" s="4" t="s">
        <v>1069</v>
      </c>
      <c r="G212" s="60" t="s">
        <v>1103</v>
      </c>
      <c r="H212" s="1" t="s">
        <v>660</v>
      </c>
      <c r="I212" s="1" t="str">
        <f>IFERROR(CONCATENATE(VLOOKUP(C212,PARAM!D:E,2,0),VLOOKUP(D212,PARAM!J:K,2,0),VLOOKUP(E212,PARAM!G:H,2,0),VLOOKUP(G212,PARAM!P:Q,2,0)),"")</f>
        <v>25127730</v>
      </c>
      <c r="J212" s="1" t="str">
        <f>IFERROR(CONCATENATE("*",VLOOKUP(C212,PARAM!D:E,2,0),VLOOKUP(D212,PARAM!J:K,2,0),VLOOKUP(E212,PARAM!G:H,2,0),VLOOKUP(G212,PARAM!P:Q,2,0),"*"),"")</f>
        <v>*25127730*</v>
      </c>
      <c r="K212" s="1" t="str">
        <f t="shared" si="1"/>
        <v>CHAQUETAS DAMA YOGA LICRA TALLA UN</v>
      </c>
      <c r="L212" s="1"/>
    </row>
    <row r="213">
      <c r="A213" s="55">
        <v>46186.0</v>
      </c>
      <c r="B213" s="4" t="s">
        <v>1187</v>
      </c>
      <c r="C213" s="4" t="s">
        <v>1089</v>
      </c>
      <c r="D213" s="4" t="s">
        <v>1060</v>
      </c>
      <c r="E213" s="1" t="s">
        <v>1211</v>
      </c>
      <c r="F213" s="4" t="s">
        <v>1069</v>
      </c>
      <c r="G213" s="60" t="s">
        <v>1103</v>
      </c>
      <c r="H213" s="1" t="s">
        <v>660</v>
      </c>
      <c r="I213" s="1" t="str">
        <f>IFERROR(CONCATENATE(VLOOKUP(C213,PARAM!D:E,2,0),VLOOKUP(D213,PARAM!J:K,2,0),VLOOKUP(E213,PARAM!G:H,2,0),VLOOKUP(G213,PARAM!P:Q,2,0)),"")</f>
        <v>4125230</v>
      </c>
      <c r="J213" s="1" t="str">
        <f>IFERROR(CONCATENATE("*",VLOOKUP(C213,PARAM!D:E,2,0),VLOOKUP(D213,PARAM!J:K,2,0),VLOOKUP(E213,PARAM!G:H,2,0),VLOOKUP(G213,PARAM!P:Q,2,0),"*"),"")</f>
        <v>*4125230*</v>
      </c>
      <c r="K213" s="1" t="str">
        <f t="shared" si="1"/>
        <v>SHORTS DAMA SHORT PACIFIC TALLA UN</v>
      </c>
      <c r="L213" s="1"/>
    </row>
    <row r="214">
      <c r="A214" s="55">
        <v>46186.0</v>
      </c>
      <c r="B214" s="4" t="s">
        <v>1187</v>
      </c>
      <c r="C214" s="4" t="s">
        <v>1076</v>
      </c>
      <c r="D214" s="4" t="s">
        <v>1060</v>
      </c>
      <c r="E214" s="4" t="s">
        <v>1212</v>
      </c>
      <c r="F214" s="4" t="s">
        <v>1069</v>
      </c>
      <c r="G214" s="60" t="s">
        <v>1077</v>
      </c>
      <c r="H214" s="1" t="s">
        <v>670</v>
      </c>
      <c r="I214" s="1" t="str">
        <f>IFERROR(CONCATENATE(VLOOKUP(C214,PARAM!D:E,2,0),VLOOKUP(D214,PARAM!J:K,2,0),VLOOKUP(E214,PARAM!G:H,2,0),VLOOKUP(G214,PARAM!P:Q,2,0)),"")</f>
        <v>44116732</v>
      </c>
      <c r="J214" s="1" t="str">
        <f>IFERROR(CONCATENATE("*",VLOOKUP(C214,PARAM!D:E,2,0),VLOOKUP(D214,PARAM!J:K,2,0),VLOOKUP(E214,PARAM!G:H,2,0),VLOOKUP(G214,PARAM!P:Q,2,0),"*"),"")</f>
        <v>*44116732*</v>
      </c>
      <c r="K214" s="1" t="str">
        <f t="shared" si="1"/>
        <v>LEGGINS DAMA LICRA TALLA XL</v>
      </c>
      <c r="L214" s="1"/>
    </row>
    <row r="215">
      <c r="A215" s="55">
        <v>46186.0</v>
      </c>
      <c r="B215" s="4" t="s">
        <v>1187</v>
      </c>
      <c r="C215" s="4" t="s">
        <v>1076</v>
      </c>
      <c r="D215" s="4" t="s">
        <v>1060</v>
      </c>
      <c r="E215" s="4" t="s">
        <v>1212</v>
      </c>
      <c r="F215" s="4" t="s">
        <v>1069</v>
      </c>
      <c r="G215" s="60" t="s">
        <v>1103</v>
      </c>
      <c r="H215" s="1" t="s">
        <v>670</v>
      </c>
      <c r="I215" s="1" t="str">
        <f>IFERROR(CONCATENATE(VLOOKUP(C215,PARAM!D:E,2,0),VLOOKUP(D215,PARAM!J:K,2,0),VLOOKUP(E215,PARAM!G:H,2,0),VLOOKUP(G215,PARAM!P:Q,2,0)),"")</f>
        <v>44116730</v>
      </c>
      <c r="J215" s="1" t="str">
        <f>IFERROR(CONCATENATE("*",VLOOKUP(C215,PARAM!D:E,2,0),VLOOKUP(D215,PARAM!J:K,2,0),VLOOKUP(E215,PARAM!G:H,2,0),VLOOKUP(G215,PARAM!P:Q,2,0),"*"),"")</f>
        <v>*44116730*</v>
      </c>
      <c r="K215" s="1" t="str">
        <f t="shared" si="1"/>
        <v>LEGGINS DAMA LICRA TALLA UN</v>
      </c>
      <c r="L215" s="1"/>
    </row>
    <row r="216">
      <c r="A216" s="55">
        <v>46186.0</v>
      </c>
      <c r="B216" s="4" t="s">
        <v>1187</v>
      </c>
      <c r="C216" s="4" t="s">
        <v>1213</v>
      </c>
      <c r="D216" s="4" t="s">
        <v>1060</v>
      </c>
      <c r="E216" s="4" t="s">
        <v>1214</v>
      </c>
      <c r="F216" s="4" t="s">
        <v>1069</v>
      </c>
      <c r="G216" s="60" t="s">
        <v>1103</v>
      </c>
      <c r="H216" s="1" t="s">
        <v>670</v>
      </c>
      <c r="I216" s="1" t="str">
        <f>IFERROR(CONCATENATE(VLOOKUP(C216,PARAM!D:E,2,0),VLOOKUP(D216,PARAM!J:K,2,0),VLOOKUP(E216,PARAM!G:H,2,0),VLOOKUP(G216,PARAM!P:Q,2,0)),"")</f>
        <v>31630</v>
      </c>
      <c r="J216" s="1" t="str">
        <f>IFERROR(CONCATENATE("*",VLOOKUP(C216,PARAM!D:E,2,0),VLOOKUP(D216,PARAM!J:K,2,0),VLOOKUP(E216,PARAM!G:H,2,0),VLOOKUP(G216,PARAM!P:Q,2,0),"*"),"")</f>
        <v>*31630*</v>
      </c>
      <c r="K216" s="1" t="str">
        <f t="shared" si="1"/>
        <v>LICRAS DAMA A RODILLA TALLA UN</v>
      </c>
      <c r="L216" s="1"/>
    </row>
    <row r="217">
      <c r="A217" s="55">
        <v>46186.0</v>
      </c>
      <c r="B217" s="4" t="s">
        <v>1187</v>
      </c>
      <c r="C217" s="4" t="s">
        <v>1213</v>
      </c>
      <c r="D217" s="4" t="s">
        <v>1060</v>
      </c>
      <c r="E217" s="4" t="s">
        <v>1214</v>
      </c>
      <c r="F217" s="4" t="s">
        <v>1069</v>
      </c>
      <c r="G217" s="60" t="s">
        <v>1077</v>
      </c>
      <c r="H217" s="1" t="s">
        <v>670</v>
      </c>
      <c r="I217" s="1" t="str">
        <f>IFERROR(CONCATENATE(VLOOKUP(C217,PARAM!D:E,2,0),VLOOKUP(D217,PARAM!J:K,2,0),VLOOKUP(E217,PARAM!G:H,2,0),VLOOKUP(G217,PARAM!P:Q,2,0)),"")</f>
        <v>31632</v>
      </c>
      <c r="J217" s="1" t="str">
        <f>IFERROR(CONCATENATE("*",VLOOKUP(C217,PARAM!D:E,2,0),VLOOKUP(D217,PARAM!J:K,2,0),VLOOKUP(E217,PARAM!G:H,2,0),VLOOKUP(G217,PARAM!P:Q,2,0),"*"),"")</f>
        <v>*31632*</v>
      </c>
      <c r="K217" s="1" t="str">
        <f t="shared" si="1"/>
        <v>LICRAS DAMA A RODILLA TALLA XL</v>
      </c>
      <c r="L217" s="1"/>
    </row>
    <row r="218">
      <c r="A218" s="55">
        <v>46186.0</v>
      </c>
      <c r="B218" s="4" t="s">
        <v>1187</v>
      </c>
      <c r="C218" s="4" t="s">
        <v>1076</v>
      </c>
      <c r="D218" s="4" t="s">
        <v>1060</v>
      </c>
      <c r="E218" s="4" t="s">
        <v>1215</v>
      </c>
      <c r="F218" s="4" t="s">
        <v>1069</v>
      </c>
      <c r="G218" s="60" t="s">
        <v>1103</v>
      </c>
      <c r="H218" s="1" t="s">
        <v>670</v>
      </c>
      <c r="I218" s="1" t="str">
        <f>IFERROR(CONCATENATE(VLOOKUP(C218,PARAM!D:E,2,0),VLOOKUP(D218,PARAM!J:K,2,0),VLOOKUP(E218,PARAM!G:H,2,0),VLOOKUP(G218,PARAM!P:Q,2,0)),"")</f>
        <v>44116930</v>
      </c>
      <c r="J218" s="1" t="str">
        <f>IFERROR(CONCATENATE("*",VLOOKUP(C218,PARAM!D:E,2,0),VLOOKUP(D218,PARAM!J:K,2,0),VLOOKUP(E218,PARAM!G:H,2,0),VLOOKUP(G218,PARAM!P:Q,2,0),"*"),"")</f>
        <v>*44116930*</v>
      </c>
      <c r="K218" s="1" t="str">
        <f t="shared" si="1"/>
        <v>LEGGINS DAMA LICRA CATTO KIEWO TALLA UN</v>
      </c>
      <c r="L218" s="1"/>
    </row>
    <row r="219">
      <c r="A219" s="55">
        <v>46186.0</v>
      </c>
      <c r="B219" s="4" t="s">
        <v>1187</v>
      </c>
      <c r="C219" s="4" t="s">
        <v>1171</v>
      </c>
      <c r="D219" s="4" t="s">
        <v>1080</v>
      </c>
      <c r="E219" s="4" t="s">
        <v>1216</v>
      </c>
      <c r="F219" s="4" t="s">
        <v>1069</v>
      </c>
      <c r="G219" s="60" t="s">
        <v>1217</v>
      </c>
      <c r="H219" s="1" t="s">
        <v>670</v>
      </c>
      <c r="I219" s="1" t="str">
        <f>IFERROR(CONCATENATE(VLOOKUP(C219,PARAM!D:E,2,0),VLOOKUP(D219,PARAM!J:K,2,0),VLOOKUP(E219,PARAM!G:H,2,0),VLOOKUP(G219,PARAM!P:Q,2,0)),"")</f>
        <v>11211328</v>
      </c>
      <c r="J219" s="1" t="str">
        <f>IFERROR(CONCATENATE("*",VLOOKUP(C219,PARAM!D:E,2,0),VLOOKUP(D219,PARAM!J:K,2,0),VLOOKUP(E219,PARAM!G:H,2,0),VLOOKUP(G219,PARAM!P:Q,2,0),"*"),"")</f>
        <v>*11211328*</v>
      </c>
      <c r="K219" s="1" t="str">
        <f t="shared" si="1"/>
        <v>CAMISETAS CABALLERO DEPORTIVA TALLA S-M</v>
      </c>
      <c r="L219" s="1"/>
    </row>
    <row r="220">
      <c r="A220" s="55">
        <v>46186.0</v>
      </c>
      <c r="B220" s="4" t="s">
        <v>1187</v>
      </c>
      <c r="C220" s="4" t="s">
        <v>1171</v>
      </c>
      <c r="D220" s="4" t="s">
        <v>1080</v>
      </c>
      <c r="E220" s="4" t="s">
        <v>1216</v>
      </c>
      <c r="F220" s="4" t="s">
        <v>1069</v>
      </c>
      <c r="G220" s="60" t="s">
        <v>1218</v>
      </c>
      <c r="H220" s="1" t="s">
        <v>670</v>
      </c>
      <c r="I220" s="1" t="str">
        <f>IFERROR(CONCATENATE(VLOOKUP(C220,PARAM!D:E,2,0),VLOOKUP(D220,PARAM!J:K,2,0),VLOOKUP(E220,PARAM!G:H,2,0),VLOOKUP(G220,PARAM!P:Q,2,0)),"")</f>
        <v>11211324</v>
      </c>
      <c r="J220" s="1" t="str">
        <f>IFERROR(CONCATENATE("*",VLOOKUP(C220,PARAM!D:E,2,0),VLOOKUP(D220,PARAM!J:K,2,0),VLOOKUP(E220,PARAM!G:H,2,0),VLOOKUP(G220,PARAM!P:Q,2,0),"*"),"")</f>
        <v>*11211324*</v>
      </c>
      <c r="K220" s="1" t="str">
        <f t="shared" si="1"/>
        <v>CAMISETAS CABALLERO DEPORTIVA TALLA L-XL</v>
      </c>
      <c r="L220" s="1"/>
    </row>
    <row r="221">
      <c r="A221" s="55">
        <v>46186.0</v>
      </c>
      <c r="B221" s="4" t="s">
        <v>1187</v>
      </c>
      <c r="C221" s="4" t="s">
        <v>1213</v>
      </c>
      <c r="D221" s="4" t="s">
        <v>1060</v>
      </c>
      <c r="E221" s="4" t="s">
        <v>1219</v>
      </c>
      <c r="F221" s="4" t="s">
        <v>1069</v>
      </c>
      <c r="G221" s="60" t="s">
        <v>1103</v>
      </c>
      <c r="H221" s="1" t="s">
        <v>670</v>
      </c>
      <c r="I221" s="1" t="str">
        <f>IFERROR(CONCATENATE(VLOOKUP(C221,PARAM!D:E,2,0),VLOOKUP(D221,PARAM!J:K,2,0),VLOOKUP(E221,PARAM!G:H,2,0),VLOOKUP(G221,PARAM!P:Q,2,0)),"")</f>
        <v>3112630</v>
      </c>
      <c r="J221" s="1" t="str">
        <f>IFERROR(CONCATENATE("*",VLOOKUP(C221,PARAM!D:E,2,0),VLOOKUP(D221,PARAM!J:K,2,0),VLOOKUP(E221,PARAM!G:H,2,0),VLOOKUP(G221,PARAM!P:Q,2,0),"*"),"")</f>
        <v>*3112630*</v>
      </c>
      <c r="K221" s="1" t="str">
        <f t="shared" si="1"/>
        <v>LICRAS DAMA ENTERIZO DEPORTIVO TALLA UN</v>
      </c>
      <c r="L221" s="1"/>
    </row>
    <row r="222">
      <c r="A222" s="55">
        <v>46186.0</v>
      </c>
      <c r="B222" s="4" t="s">
        <v>1187</v>
      </c>
      <c r="C222" s="4" t="s">
        <v>420</v>
      </c>
      <c r="D222" s="4" t="s">
        <v>1080</v>
      </c>
      <c r="E222" s="4" t="s">
        <v>1220</v>
      </c>
      <c r="F222" s="4" t="s">
        <v>1069</v>
      </c>
      <c r="G222" s="60" t="s">
        <v>1221</v>
      </c>
      <c r="H222" s="1" t="s">
        <v>670</v>
      </c>
      <c r="I222" s="1" t="str">
        <f>IFERROR(CONCATENATE(VLOOKUP(C222,PARAM!D:E,2,0),VLOOKUP(D222,PARAM!J:K,2,0),VLOOKUP(E222,PARAM!G:H,2,0),VLOOKUP(G222,PARAM!P:Q,2,0)),"")</f>
        <v>35211429</v>
      </c>
      <c r="J222" s="1" t="str">
        <f>IFERROR(CONCATENATE("*",VLOOKUP(C222,PARAM!D:E,2,0),VLOOKUP(D222,PARAM!J:K,2,0),VLOOKUP(E222,PARAM!G:H,2,0),VLOOKUP(G222,PARAM!P:Q,2,0),"*"),"")</f>
        <v>*35211429*</v>
      </c>
      <c r="K222" s="1" t="str">
        <f t="shared" si="1"/>
        <v>PANTALONETAS CABALLERO DEPORTIVAS TALLA SM</v>
      </c>
      <c r="L222" s="1"/>
    </row>
    <row r="223">
      <c r="A223" s="55">
        <v>46186.0</v>
      </c>
      <c r="B223" s="4" t="s">
        <v>1187</v>
      </c>
      <c r="C223" s="4" t="s">
        <v>420</v>
      </c>
      <c r="D223" s="4" t="s">
        <v>1080</v>
      </c>
      <c r="E223" s="4" t="s">
        <v>1220</v>
      </c>
      <c r="F223" s="4" t="s">
        <v>1069</v>
      </c>
      <c r="G223" s="60" t="s">
        <v>1218</v>
      </c>
      <c r="H223" s="1" t="s">
        <v>670</v>
      </c>
      <c r="I223" s="1" t="str">
        <f>IFERROR(CONCATENATE(VLOOKUP(C223,PARAM!D:E,2,0),VLOOKUP(D223,PARAM!J:K,2,0),VLOOKUP(E223,PARAM!G:H,2,0),VLOOKUP(G223,PARAM!P:Q,2,0)),"")</f>
        <v>35211424</v>
      </c>
      <c r="J223" s="1" t="str">
        <f>IFERROR(CONCATENATE("*",VLOOKUP(C223,PARAM!D:E,2,0),VLOOKUP(D223,PARAM!J:K,2,0),VLOOKUP(E223,PARAM!G:H,2,0),VLOOKUP(G223,PARAM!P:Q,2,0),"*"),"")</f>
        <v>*35211424*</v>
      </c>
      <c r="K223" s="1" t="str">
        <f t="shared" si="1"/>
        <v>PANTALONETAS CABALLERO DEPORTIVAS TALLA L-XL</v>
      </c>
      <c r="L223" s="1"/>
    </row>
    <row r="224">
      <c r="A224" s="55">
        <v>46186.0</v>
      </c>
      <c r="B224" s="4" t="s">
        <v>1187</v>
      </c>
      <c r="C224" s="4" t="s">
        <v>1076</v>
      </c>
      <c r="D224" s="4" t="s">
        <v>1060</v>
      </c>
      <c r="E224" s="4" t="s">
        <v>1222</v>
      </c>
      <c r="F224" s="4" t="s">
        <v>1069</v>
      </c>
      <c r="G224" s="60" t="s">
        <v>1165</v>
      </c>
      <c r="H224" s="1" t="s">
        <v>670</v>
      </c>
      <c r="I224" s="1" t="str">
        <f>IFERROR(CONCATENATE(VLOOKUP(C224,PARAM!D:E,2,0),VLOOKUP(D224,PARAM!J:K,2,0),VLOOKUP(E224,PARAM!G:H,2,0),VLOOKUP(G224,PARAM!P:Q,2,0)),"")</f>
        <v>44125023</v>
      </c>
      <c r="J224" s="1" t="str">
        <f>IFERROR(CONCATENATE("*",VLOOKUP(C224,PARAM!D:E,2,0),VLOOKUP(D224,PARAM!J:K,2,0),VLOOKUP(E224,PARAM!G:H,2,0),VLOOKUP(G224,PARAM!P:Q,2,0),"*"),"")</f>
        <v>*44125023*</v>
      </c>
      <c r="K224" s="1" t="str">
        <f t="shared" si="1"/>
        <v>LEGGINS DAMA SHORT TALLA L</v>
      </c>
      <c r="L224" s="1"/>
    </row>
    <row r="225">
      <c r="A225" s="55">
        <v>46186.0</v>
      </c>
      <c r="B225" s="4" t="s">
        <v>1187</v>
      </c>
      <c r="C225" s="4" t="s">
        <v>1076</v>
      </c>
      <c r="D225" s="4" t="s">
        <v>1060</v>
      </c>
      <c r="E225" s="4" t="s">
        <v>1223</v>
      </c>
      <c r="F225" s="4" t="s">
        <v>1069</v>
      </c>
      <c r="G225" s="60" t="s">
        <v>1165</v>
      </c>
      <c r="H225" s="1" t="s">
        <v>670</v>
      </c>
      <c r="I225" s="1" t="str">
        <f>IFERROR(CONCATENATE(VLOOKUP(C225,PARAM!D:E,2,0),VLOOKUP(D225,PARAM!J:K,2,0),VLOOKUP(E225,PARAM!G:H,2,0),VLOOKUP(G225,PARAM!P:Q,2,0)),"")</f>
        <v>44116823</v>
      </c>
      <c r="J225" s="1" t="str">
        <f>IFERROR(CONCATENATE("*",VLOOKUP(C225,PARAM!D:E,2,0),VLOOKUP(D225,PARAM!J:K,2,0),VLOOKUP(E225,PARAM!G:H,2,0),VLOOKUP(G225,PARAM!P:Q,2,0),"*"),"")</f>
        <v>*44116823*</v>
      </c>
      <c r="K225" s="1" t="str">
        <f t="shared" si="1"/>
        <v>LEGGINS DAMA LICRA ACANALADA TALLA L</v>
      </c>
      <c r="L225" s="1"/>
    </row>
    <row r="226">
      <c r="A226" s="55">
        <v>46186.0</v>
      </c>
      <c r="B226" s="4" t="s">
        <v>1187</v>
      </c>
      <c r="C226" s="4" t="s">
        <v>1194</v>
      </c>
      <c r="D226" s="4" t="s">
        <v>1080</v>
      </c>
      <c r="E226" s="4" t="s">
        <v>1187</v>
      </c>
      <c r="F226" s="4" t="s">
        <v>1069</v>
      </c>
      <c r="G226" s="60" t="s">
        <v>1221</v>
      </c>
      <c r="H226" s="1" t="s">
        <v>670</v>
      </c>
      <c r="I226" s="1" t="str">
        <f>IFERROR(CONCATENATE(VLOOKUP(C226,PARAM!D:E,2,0),VLOOKUP(D226,PARAM!J:K,2,0),VLOOKUP(E226,PARAM!G:H,2,0),VLOOKUP(G226,PARAM!P:Q,2,0)),"")</f>
        <v>26211529</v>
      </c>
      <c r="J226" s="1" t="str">
        <f>IFERROR(CONCATENATE("*",VLOOKUP(C226,PARAM!D:E,2,0),VLOOKUP(D226,PARAM!J:K,2,0),VLOOKUP(E226,PARAM!G:H,2,0),VLOOKUP(G226,PARAM!P:Q,2,0),"*"),"")</f>
        <v>*26211529*</v>
      </c>
      <c r="K226" s="1" t="str">
        <f t="shared" si="1"/>
        <v>BUSOS CABALLERO DEPORTIVO TALLA SM</v>
      </c>
      <c r="L226" s="1"/>
    </row>
    <row r="227">
      <c r="A227" s="55">
        <v>46186.0</v>
      </c>
      <c r="B227" s="4" t="s">
        <v>1187</v>
      </c>
      <c r="C227" s="4" t="s">
        <v>1194</v>
      </c>
      <c r="D227" s="4" t="s">
        <v>1080</v>
      </c>
      <c r="E227" s="4" t="s">
        <v>1187</v>
      </c>
      <c r="F227" s="4" t="s">
        <v>1069</v>
      </c>
      <c r="G227" s="60" t="s">
        <v>1218</v>
      </c>
      <c r="H227" s="1" t="s">
        <v>670</v>
      </c>
      <c r="I227" s="1" t="str">
        <f>IFERROR(CONCATENATE(VLOOKUP(C227,PARAM!D:E,2,0),VLOOKUP(D227,PARAM!J:K,2,0),VLOOKUP(E227,PARAM!G:H,2,0),VLOOKUP(G227,PARAM!P:Q,2,0)),"")</f>
        <v>26211524</v>
      </c>
      <c r="J227" s="1" t="str">
        <f>IFERROR(CONCATENATE("*",VLOOKUP(C227,PARAM!D:E,2,0),VLOOKUP(D227,PARAM!J:K,2,0),VLOOKUP(E227,PARAM!G:H,2,0),VLOOKUP(G227,PARAM!P:Q,2,0),"*"),"")</f>
        <v>*26211524*</v>
      </c>
      <c r="K227" s="1" t="str">
        <f t="shared" si="1"/>
        <v>BUSOS CABALLERO DEPORTIVO TALLA L-XL</v>
      </c>
      <c r="L227" s="1"/>
    </row>
    <row r="228">
      <c r="A228" s="55">
        <v>46186.0</v>
      </c>
      <c r="B228" s="4" t="s">
        <v>1187</v>
      </c>
      <c r="C228" s="4" t="s">
        <v>1076</v>
      </c>
      <c r="D228" s="4" t="s">
        <v>1060</v>
      </c>
      <c r="E228" s="1" t="s">
        <v>1224</v>
      </c>
      <c r="F228" s="4" t="s">
        <v>1069</v>
      </c>
      <c r="G228" s="60" t="s">
        <v>1165</v>
      </c>
      <c r="H228" s="1" t="s">
        <v>670</v>
      </c>
      <c r="I228" s="1" t="str">
        <f>IFERROR(CONCATENATE(VLOOKUP(C228,PARAM!D:E,2,0),VLOOKUP(D228,PARAM!J:K,2,0),VLOOKUP(E228,PARAM!G:H,2,0),VLOOKUP(G228,PARAM!P:Q,2,0)),"")</f>
        <v>44116623</v>
      </c>
      <c r="J228" s="1" t="str">
        <f>IFERROR(CONCATENATE("*",VLOOKUP(C228,PARAM!D:E,2,0),VLOOKUP(D228,PARAM!J:K,2,0),VLOOKUP(E228,PARAM!G:H,2,0),VLOOKUP(G228,PARAM!P:Q,2,0),"*"),"")</f>
        <v>*44116623*</v>
      </c>
      <c r="K228" s="1" t="str">
        <f t="shared" si="1"/>
        <v>LEGGINS DAMA LEGGINS UNICOLOR TALLA L</v>
      </c>
      <c r="L228" s="1"/>
    </row>
    <row r="229">
      <c r="A229" s="55">
        <v>46186.0</v>
      </c>
      <c r="B229" s="4" t="s">
        <v>1187</v>
      </c>
      <c r="C229" s="4" t="s">
        <v>1219</v>
      </c>
      <c r="D229" s="4" t="s">
        <v>1060</v>
      </c>
      <c r="E229" s="4" t="s">
        <v>1225</v>
      </c>
      <c r="F229" s="4" t="s">
        <v>1069</v>
      </c>
      <c r="G229" s="60" t="s">
        <v>1103</v>
      </c>
      <c r="H229" s="1" t="s">
        <v>670</v>
      </c>
      <c r="I229" s="1" t="str">
        <f>IFERROR(CONCATENATE(VLOOKUP(C229,PARAM!D:E,2,0),VLOOKUP(D229,PARAM!J:K,2,0),VLOOKUP(E229,PARAM!G:H,2,0),VLOOKUP(G229,PARAM!P:Q,2,0)),"")</f>
        <v>53110230</v>
      </c>
      <c r="J229" s="1" t="str">
        <f>IFERROR(CONCATENATE("*",VLOOKUP(C229,PARAM!D:E,2,0),VLOOKUP(D229,PARAM!J:K,2,0),VLOOKUP(E229,PARAM!G:H,2,0),VLOOKUP(G229,PARAM!P:Q,2,0),"*"),"")</f>
        <v>*53110230*</v>
      </c>
      <c r="K229" s="1" t="str">
        <f t="shared" si="1"/>
        <v>ENTERIZO DEPORTIVO DAMA CORTO TALLA UN</v>
      </c>
      <c r="L229" s="1"/>
    </row>
    <row r="230">
      <c r="A230" s="55">
        <v>46186.0</v>
      </c>
      <c r="B230" s="4" t="s">
        <v>1187</v>
      </c>
      <c r="C230" s="4" t="s">
        <v>1226</v>
      </c>
      <c r="D230" s="4" t="s">
        <v>1060</v>
      </c>
      <c r="E230" s="4" t="s">
        <v>503</v>
      </c>
      <c r="F230" s="4" t="s">
        <v>1069</v>
      </c>
      <c r="G230" s="60" t="s">
        <v>1103</v>
      </c>
      <c r="H230" s="1" t="s">
        <v>670</v>
      </c>
      <c r="I230" s="1" t="str">
        <f>IFERROR(CONCATENATE(VLOOKUP(C230,PARAM!D:E,2,0),VLOOKUP(D230,PARAM!J:K,2,0),VLOOKUP(E230,PARAM!G:H,2,0),VLOOKUP(G230,PARAM!P:Q,2,0)),"")</f>
        <v>541030</v>
      </c>
      <c r="J230" s="1" t="str">
        <f>IFERROR(CONCATENATE("*",VLOOKUP(C230,PARAM!D:E,2,0),VLOOKUP(D230,PARAM!J:K,2,0),VLOOKUP(E230,PARAM!G:H,2,0),VLOOKUP(G230,PARAM!P:Q,2,0),"*"),"")</f>
        <v>*541030*</v>
      </c>
      <c r="K230" s="1" t="str">
        <f t="shared" si="1"/>
        <v>CONJUNTO DEPORTIVO DAMA - TALLA UN</v>
      </c>
      <c r="L230" s="1"/>
    </row>
    <row r="231">
      <c r="A231" s="55">
        <v>46186.0</v>
      </c>
      <c r="B231" s="4" t="s">
        <v>1058</v>
      </c>
      <c r="C231" s="4" t="s">
        <v>1227</v>
      </c>
      <c r="D231" s="4" t="s">
        <v>1060</v>
      </c>
      <c r="E231" s="4" t="s">
        <v>1228</v>
      </c>
      <c r="F231" s="4" t="s">
        <v>1069</v>
      </c>
      <c r="G231" s="60" t="s">
        <v>1103</v>
      </c>
      <c r="H231" s="1" t="s">
        <v>688</v>
      </c>
      <c r="I231" s="1" t="str">
        <f>IFERROR(CONCATENATE(VLOOKUP(C231,PARAM!D:E,2,0),VLOOKUP(D231,PARAM!J:K,2,0),VLOOKUP(E231,PARAM!G:H,2,0),VLOOKUP(G231,PARAM!P:Q,2,0)),"")</f>
        <v>39125830</v>
      </c>
      <c r="J231" s="1" t="str">
        <f>IFERROR(CONCATENATE("*",VLOOKUP(C231,PARAM!D:E,2,0),VLOOKUP(D231,PARAM!J:K,2,0),VLOOKUP(E231,PARAM!G:H,2,0),VLOOKUP(G231,PARAM!P:Q,2,0),"*"),"")</f>
        <v>*39125830*</v>
      </c>
      <c r="K231" s="1" t="str">
        <f t="shared" si="1"/>
        <v>SACO DAMA TEJIDO RAYAS TALLA UN</v>
      </c>
      <c r="L231" s="1"/>
    </row>
    <row r="232">
      <c r="A232" s="55">
        <v>46186.0</v>
      </c>
      <c r="B232" s="4" t="s">
        <v>1058</v>
      </c>
      <c r="C232" s="4" t="s">
        <v>1227</v>
      </c>
      <c r="D232" s="4" t="s">
        <v>1060</v>
      </c>
      <c r="E232" s="4" t="s">
        <v>1229</v>
      </c>
      <c r="F232" s="4" t="s">
        <v>1069</v>
      </c>
      <c r="G232" s="60" t="s">
        <v>1103</v>
      </c>
      <c r="H232" s="1" t="s">
        <v>690</v>
      </c>
      <c r="I232" s="1" t="str">
        <f>IFERROR(CONCATENATE(VLOOKUP(C232,PARAM!D:E,2,0),VLOOKUP(D232,PARAM!J:K,2,0),VLOOKUP(E232,PARAM!G:H,2,0),VLOOKUP(G232,PARAM!P:Q,2,0)),"")</f>
        <v>39118030</v>
      </c>
      <c r="J232" s="1" t="str">
        <f>IFERROR(CONCATENATE("*",VLOOKUP(C232,PARAM!D:E,2,0),VLOOKUP(D232,PARAM!J:K,2,0),VLOOKUP(E232,PARAM!G:H,2,0),VLOOKUP(G232,PARAM!P:Q,2,0),"*"),"")</f>
        <v>*39118030*</v>
      </c>
      <c r="K232" s="1" t="str">
        <f t="shared" si="1"/>
        <v>SACO DAMA MANGA CORTA TALLA UN</v>
      </c>
      <c r="L232" s="1"/>
    </row>
    <row r="233">
      <c r="A233" s="55">
        <v>46186.0</v>
      </c>
      <c r="B233" s="4" t="s">
        <v>1058</v>
      </c>
      <c r="C233" s="4" t="s">
        <v>1227</v>
      </c>
      <c r="D233" s="4" t="s">
        <v>1060</v>
      </c>
      <c r="E233" s="4" t="s">
        <v>1230</v>
      </c>
      <c r="F233" s="4" t="s">
        <v>1069</v>
      </c>
      <c r="G233" s="60" t="s">
        <v>1103</v>
      </c>
      <c r="H233" s="1" t="s">
        <v>692</v>
      </c>
      <c r="I233" s="1" t="str">
        <f>IFERROR(CONCATENATE(VLOOKUP(C233,PARAM!D:E,2,0),VLOOKUP(D233,PARAM!J:K,2,0),VLOOKUP(E233,PARAM!G:H,2,0),VLOOKUP(G233,PARAM!P:Q,2,0)),"")</f>
        <v>3919730</v>
      </c>
      <c r="J233" s="1" t="str">
        <f>IFERROR(CONCATENATE("*",VLOOKUP(C233,PARAM!D:E,2,0),VLOOKUP(D233,PARAM!J:K,2,0),VLOOKUP(E233,PARAM!G:H,2,0),VLOOKUP(G233,PARAM!P:Q,2,0),"*"),"")</f>
        <v>*3919730*</v>
      </c>
      <c r="K233" s="1" t="str">
        <f t="shared" si="1"/>
        <v>SACO DAMA CORAZON LOVE TALLA UN</v>
      </c>
      <c r="L233" s="1"/>
    </row>
    <row r="234">
      <c r="A234" s="55">
        <v>46186.0</v>
      </c>
      <c r="B234" s="4" t="s">
        <v>1058</v>
      </c>
      <c r="C234" s="4" t="s">
        <v>1227</v>
      </c>
      <c r="D234" s="4" t="s">
        <v>1060</v>
      </c>
      <c r="E234" s="4" t="s">
        <v>1231</v>
      </c>
      <c r="F234" s="4" t="s">
        <v>1069</v>
      </c>
      <c r="G234" s="60" t="s">
        <v>1103</v>
      </c>
      <c r="H234" s="1" t="s">
        <v>692</v>
      </c>
      <c r="I234" s="1" t="str">
        <f>IFERROR(CONCATENATE(VLOOKUP(C234,PARAM!D:E,2,0),VLOOKUP(D234,PARAM!J:K,2,0),VLOOKUP(E234,PARAM!G:H,2,0),VLOOKUP(G234,PARAM!P:Q,2,0)),"")</f>
        <v>39123130</v>
      </c>
      <c r="J234" s="1" t="str">
        <f>IFERROR(CONCATENATE("*",VLOOKUP(C234,PARAM!D:E,2,0),VLOOKUP(D234,PARAM!J:K,2,0),VLOOKUP(E234,PARAM!G:H,2,0),VLOOKUP(G234,PARAM!P:Q,2,0),"*"),"")</f>
        <v>*39123130*</v>
      </c>
      <c r="K234" s="1" t="str">
        <f t="shared" si="1"/>
        <v>SACO DAMA RAYAS COMBINADAS TALLA UN</v>
      </c>
      <c r="L234" s="1"/>
    </row>
    <row r="235">
      <c r="A235" s="55">
        <v>46186.0</v>
      </c>
      <c r="B235" s="4" t="s">
        <v>1058</v>
      </c>
      <c r="C235" s="4" t="s">
        <v>1194</v>
      </c>
      <c r="D235" s="4" t="s">
        <v>1060</v>
      </c>
      <c r="E235" s="4" t="s">
        <v>1232</v>
      </c>
      <c r="F235" s="4" t="s">
        <v>1069</v>
      </c>
      <c r="G235" s="60" t="s">
        <v>1103</v>
      </c>
      <c r="H235" s="1" t="s">
        <v>695</v>
      </c>
      <c r="I235" s="1" t="str">
        <f>IFERROR(CONCATENATE(VLOOKUP(C235,PARAM!D:E,2,0),VLOOKUP(D235,PARAM!J:K,2,0),VLOOKUP(E235,PARAM!G:H,2,0),VLOOKUP(G235,PARAM!P:Q,2,0)),"")</f>
        <v>26123630</v>
      </c>
      <c r="J235" s="1" t="str">
        <f>IFERROR(CONCATENATE("*",VLOOKUP(C235,PARAM!D:E,2,0),VLOOKUP(D235,PARAM!J:K,2,0),VLOOKUP(E235,PARAM!G:H,2,0),VLOOKUP(G235,PARAM!P:Q,2,0),"*"),"")</f>
        <v>*26123630*</v>
      </c>
      <c r="K235" s="1" t="str">
        <f t="shared" si="1"/>
        <v>BUSOS DAMA RESORTADO CON CAPOTA TALLA UN</v>
      </c>
      <c r="L235" s="1"/>
    </row>
    <row r="236">
      <c r="A236" s="55">
        <v>46186.0</v>
      </c>
      <c r="B236" s="4" t="s">
        <v>1058</v>
      </c>
      <c r="C236" s="4" t="s">
        <v>1194</v>
      </c>
      <c r="D236" s="4" t="s">
        <v>1060</v>
      </c>
      <c r="E236" s="4" t="s">
        <v>1144</v>
      </c>
      <c r="F236" s="4" t="s">
        <v>1069</v>
      </c>
      <c r="G236" s="60" t="s">
        <v>1103</v>
      </c>
      <c r="H236" s="1" t="s">
        <v>697</v>
      </c>
      <c r="I236" s="1" t="str">
        <f>IFERROR(CONCATENATE(VLOOKUP(C236,PARAM!D:E,2,0),VLOOKUP(D236,PARAM!J:K,2,0),VLOOKUP(E236,PARAM!G:H,2,0),VLOOKUP(G236,PARAM!P:Q,2,0)),"")</f>
        <v>26110830</v>
      </c>
      <c r="J236" s="1" t="str">
        <f>IFERROR(CONCATENATE("*",VLOOKUP(C236,PARAM!D:E,2,0),VLOOKUP(D236,PARAM!J:K,2,0),VLOOKUP(E236,PARAM!G:H,2,0),VLOOKUP(G236,PARAM!P:Q,2,0),"*"),"")</f>
        <v>*26110830*</v>
      </c>
      <c r="K236" s="1" t="str">
        <f t="shared" si="1"/>
        <v>BUSOS DAMA CUELLO REDONDO TALLA UN</v>
      </c>
      <c r="L236" s="1"/>
    </row>
    <row r="237">
      <c r="A237" s="55">
        <v>46186.0</v>
      </c>
      <c r="B237" s="4" t="s">
        <v>1058</v>
      </c>
      <c r="C237" s="4" t="s">
        <v>1171</v>
      </c>
      <c r="D237" s="4" t="s">
        <v>1060</v>
      </c>
      <c r="E237" s="4" t="s">
        <v>1233</v>
      </c>
      <c r="F237" s="4" t="s">
        <v>1069</v>
      </c>
      <c r="G237" s="60" t="s">
        <v>1103</v>
      </c>
      <c r="H237" s="1" t="s">
        <v>697</v>
      </c>
      <c r="I237" s="1" t="str">
        <f>IFERROR(CONCATENATE(VLOOKUP(C237,PARAM!D:E,2,0),VLOOKUP(D237,PARAM!J:K,2,0),VLOOKUP(E237,PARAM!G:H,2,0),VLOOKUP(G237,PARAM!P:Q,2,0)),"")</f>
        <v>111830</v>
      </c>
      <c r="J237" s="1" t="str">
        <f>IFERROR(CONCATENATE("*",VLOOKUP(C237,PARAM!D:E,2,0),VLOOKUP(D237,PARAM!J:K,2,0),VLOOKUP(E237,PARAM!G:H,2,0),VLOOKUP(G237,PARAM!P:Q,2,0),"*"),"")</f>
        <v>*111830*</v>
      </c>
      <c r="K237" s="1" t="str">
        <f t="shared" si="1"/>
        <v>CAMISETAS DAMA ACANALADA TALLA UN</v>
      </c>
      <c r="L237" s="1"/>
    </row>
    <row r="238">
      <c r="A238" s="55">
        <v>46186.0</v>
      </c>
      <c r="B238" s="4" t="s">
        <v>1058</v>
      </c>
      <c r="C238" s="4" t="s">
        <v>1234</v>
      </c>
      <c r="D238" s="4" t="s">
        <v>1060</v>
      </c>
      <c r="E238" s="4" t="s">
        <v>1235</v>
      </c>
      <c r="F238" s="4" t="s">
        <v>1069</v>
      </c>
      <c r="G238" s="60" t="s">
        <v>1103</v>
      </c>
      <c r="H238" s="1" t="s">
        <v>697</v>
      </c>
      <c r="I238" s="1" t="str">
        <f>IFERROR(CONCATENATE(VLOOKUP(C238,PARAM!D:E,2,0),VLOOKUP(D238,PARAM!J:K,2,0),VLOOKUP(E238,PARAM!G:H,2,0),VLOOKUP(G238,PARAM!P:Q,2,0)),"")</f>
        <v>371930</v>
      </c>
      <c r="J238" s="1" t="str">
        <f>IFERROR(CONCATENATE("*",VLOOKUP(C238,PARAM!D:E,2,0),VLOOKUP(D238,PARAM!J:K,2,0),VLOOKUP(E238,PARAM!G:H,2,0),VLOOKUP(G238,PARAM!P:Q,2,0),"*"),"")</f>
        <v>*371930*</v>
      </c>
      <c r="K238" s="1" t="str">
        <f t="shared" si="1"/>
        <v>ESQUELETO DAMA ACANALADO CORTO TALLA UN</v>
      </c>
      <c r="L238" s="1"/>
    </row>
    <row r="239">
      <c r="A239" s="55">
        <v>46186.0</v>
      </c>
      <c r="B239" s="4" t="s">
        <v>1058</v>
      </c>
      <c r="C239" s="4" t="s">
        <v>1171</v>
      </c>
      <c r="D239" s="4" t="s">
        <v>1060</v>
      </c>
      <c r="E239" s="4" t="s">
        <v>1236</v>
      </c>
      <c r="F239" s="4" t="s">
        <v>1069</v>
      </c>
      <c r="G239" s="60" t="s">
        <v>1103</v>
      </c>
      <c r="H239" s="1" t="s">
        <v>697</v>
      </c>
      <c r="I239" s="1" t="str">
        <f>IFERROR(CONCATENATE(VLOOKUP(C239,PARAM!D:E,2,0),VLOOKUP(D239,PARAM!J:K,2,0),VLOOKUP(E239,PARAM!G:H,2,0),VLOOKUP(G239,PARAM!P:Q,2,0)),"")</f>
        <v>1111030</v>
      </c>
      <c r="J239" s="1" t="str">
        <f>IFERROR(CONCATENATE("*",VLOOKUP(C239,PARAM!D:E,2,0),VLOOKUP(D239,PARAM!J:K,2,0),VLOOKUP(E239,PARAM!G:H,2,0),VLOOKUP(G239,PARAM!P:Q,2,0),"*"),"")</f>
        <v>*1111030*</v>
      </c>
      <c r="K239" s="1" t="str">
        <f t="shared" si="1"/>
        <v>CAMISETAS DAMA ACANALADO LARGO TALLA UN</v>
      </c>
      <c r="L239" s="1"/>
    </row>
    <row r="240">
      <c r="A240" s="55">
        <v>46186.0</v>
      </c>
      <c r="B240" s="4" t="s">
        <v>1058</v>
      </c>
      <c r="C240" s="4" t="s">
        <v>1234</v>
      </c>
      <c r="D240" s="4" t="s">
        <v>1060</v>
      </c>
      <c r="E240" s="4" t="s">
        <v>1236</v>
      </c>
      <c r="F240" s="4" t="s">
        <v>1069</v>
      </c>
      <c r="G240" s="60" t="s">
        <v>1103</v>
      </c>
      <c r="H240" s="1" t="s">
        <v>697</v>
      </c>
      <c r="I240" s="1" t="str">
        <f>IFERROR(CONCATENATE(VLOOKUP(C240,PARAM!D:E,2,0),VLOOKUP(D240,PARAM!J:K,2,0),VLOOKUP(E240,PARAM!G:H,2,0),VLOOKUP(G240,PARAM!P:Q,2,0)),"")</f>
        <v>3711030</v>
      </c>
      <c r="J240" s="1" t="str">
        <f>IFERROR(CONCATENATE("*",VLOOKUP(C240,PARAM!D:E,2,0),VLOOKUP(D240,PARAM!J:K,2,0),VLOOKUP(E240,PARAM!G:H,2,0),VLOOKUP(G240,PARAM!P:Q,2,0),"*"),"")</f>
        <v>*3711030*</v>
      </c>
      <c r="K240" s="1" t="str">
        <f t="shared" si="1"/>
        <v>ESQUELETO DAMA ACANALADO LARGO TALLA UN</v>
      </c>
      <c r="L240" s="1"/>
    </row>
    <row r="241">
      <c r="A241" s="55">
        <v>46186.0</v>
      </c>
      <c r="B241" s="4" t="s">
        <v>1058</v>
      </c>
      <c r="C241" s="4" t="s">
        <v>1171</v>
      </c>
      <c r="D241" s="4" t="s">
        <v>1060</v>
      </c>
      <c r="E241" s="4" t="s">
        <v>1237</v>
      </c>
      <c r="F241" s="4" t="s">
        <v>1069</v>
      </c>
      <c r="G241" s="60" t="s">
        <v>1103</v>
      </c>
      <c r="H241" s="1" t="s">
        <v>697</v>
      </c>
      <c r="I241" s="1" t="str">
        <f>IFERROR(CONCATENATE(VLOOKUP(C241,PARAM!D:E,2,0),VLOOKUP(D241,PARAM!J:K,2,0),VLOOKUP(E241,PARAM!G:H,2,0),VLOOKUP(G241,PARAM!P:Q,2,0)),"")</f>
        <v>11124830</v>
      </c>
      <c r="J241" s="1" t="str">
        <f>IFERROR(CONCATENATE("*",VLOOKUP(C241,PARAM!D:E,2,0),VLOOKUP(D241,PARAM!J:K,2,0),VLOOKUP(E241,PARAM!G:H,2,0),VLOOKUP(G241,PARAM!P:Q,2,0),"*"),"")</f>
        <v>*11124830*</v>
      </c>
      <c r="K241" s="1" t="str">
        <f t="shared" si="1"/>
        <v>CAMISETAS DAMA SEDA FRIA TALLA UN</v>
      </c>
      <c r="L241" s="1"/>
    </row>
    <row r="242">
      <c r="A242" s="55">
        <v>46186.0</v>
      </c>
      <c r="B242" s="4" t="s">
        <v>1187</v>
      </c>
      <c r="C242" s="4" t="s">
        <v>1238</v>
      </c>
      <c r="D242" s="4" t="s">
        <v>1101</v>
      </c>
      <c r="E242" s="4" t="s">
        <v>1239</v>
      </c>
      <c r="F242" s="4" t="s">
        <v>1069</v>
      </c>
      <c r="G242" s="60" t="s">
        <v>1070</v>
      </c>
      <c r="H242" s="1" t="s">
        <v>704</v>
      </c>
      <c r="I242" s="1" t="str">
        <f>IFERROR(CONCATENATE(VLOOKUP(C242,PARAM!D:E,2,0),VLOOKUP(D242,PARAM!J:K,2,0),VLOOKUP(E242,PARAM!G:H,2,0),VLOOKUP(G242,PARAM!P:Q,2,0)),"")</f>
        <v>27314631</v>
      </c>
      <c r="J242" s="1" t="str">
        <f>IFERROR(CONCATENATE("*",VLOOKUP(C242,PARAM!D:E,2,0),VLOOKUP(D242,PARAM!J:K,2,0),VLOOKUP(E242,PARAM!G:H,2,0),VLOOKUP(G242,PARAM!P:Q,2,0),"*"),"")</f>
        <v>*27314631*</v>
      </c>
      <c r="K242" s="1" t="str">
        <f t="shared" si="1"/>
        <v>CANILLERAS UNISEX IMPORTADA TALLA VA</v>
      </c>
      <c r="L242" s="1"/>
    </row>
    <row r="243">
      <c r="A243" s="55">
        <v>46186.0</v>
      </c>
      <c r="B243" s="4" t="s">
        <v>1187</v>
      </c>
      <c r="C243" s="4" t="s">
        <v>1238</v>
      </c>
      <c r="D243" s="4" t="s">
        <v>1240</v>
      </c>
      <c r="E243" s="4" t="s">
        <v>1241</v>
      </c>
      <c r="F243" s="4" t="s">
        <v>1069</v>
      </c>
      <c r="G243" s="60" t="s">
        <v>1070</v>
      </c>
      <c r="H243" s="1" t="s">
        <v>704</v>
      </c>
      <c r="I243" s="1" t="str">
        <f>IFERROR(CONCATENATE(VLOOKUP(C243,PARAM!D:E,2,0),VLOOKUP(D243,PARAM!J:K,2,0),VLOOKUP(E243,PARAM!G:H,2,0),VLOOKUP(G243,PARAM!P:Q,2,0)),"")</f>
        <v>27412731</v>
      </c>
      <c r="J243" s="1" t="str">
        <f>IFERROR(CONCATENATE("*",VLOOKUP(C243,PARAM!D:E,2,0),VLOOKUP(D243,PARAM!J:K,2,0),VLOOKUP(E243,PARAM!G:H,2,0),VLOOKUP(G243,PARAM!P:Q,2,0),"*"),"")</f>
        <v>*27412731*</v>
      </c>
      <c r="K243" s="1" t="str">
        <f t="shared" si="1"/>
        <v>CANILLERAS NIÑO EQUIPOS TALLA VA</v>
      </c>
      <c r="L243" s="1"/>
    </row>
    <row r="244">
      <c r="A244" s="55">
        <v>46186.0</v>
      </c>
      <c r="B244" s="4" t="s">
        <v>1187</v>
      </c>
      <c r="C244" s="4" t="s">
        <v>1238</v>
      </c>
      <c r="D244" s="4" t="s">
        <v>1240</v>
      </c>
      <c r="E244" s="4" t="s">
        <v>1242</v>
      </c>
      <c r="F244" s="4" t="s">
        <v>1069</v>
      </c>
      <c r="G244" s="60" t="s">
        <v>1070</v>
      </c>
      <c r="H244" s="1" t="s">
        <v>704</v>
      </c>
      <c r="I244" s="1" t="str">
        <f>IFERROR(CONCATENATE(VLOOKUP(C244,PARAM!D:E,2,0),VLOOKUP(D244,PARAM!J:K,2,0),VLOOKUP(E244,PARAM!G:H,2,0),VLOOKUP(G244,PARAM!P:Q,2,0)),"")</f>
        <v>2746531</v>
      </c>
      <c r="J244" s="1" t="str">
        <f>IFERROR(CONCATENATE("*",VLOOKUP(C244,PARAM!D:E,2,0),VLOOKUP(D244,PARAM!J:K,2,0),VLOOKUP(E244,PARAM!G:H,2,0),VLOOKUP(G244,PARAM!P:Q,2,0),"*"),"")</f>
        <v>*2746531*</v>
      </c>
      <c r="K244" s="1" t="str">
        <f t="shared" si="1"/>
        <v>CANILLERAS NIÑO CAMPEON TALLA VA</v>
      </c>
      <c r="L244" s="1"/>
    </row>
    <row r="245">
      <c r="A245" s="55">
        <v>46186.0</v>
      </c>
      <c r="B245" s="4" t="s">
        <v>1187</v>
      </c>
      <c r="C245" s="4" t="s">
        <v>1238</v>
      </c>
      <c r="D245" s="4" t="s">
        <v>1240</v>
      </c>
      <c r="E245" s="4" t="s">
        <v>1243</v>
      </c>
      <c r="F245" s="4" t="s">
        <v>1069</v>
      </c>
      <c r="G245" s="60" t="s">
        <v>1070</v>
      </c>
      <c r="H245" s="1" t="s">
        <v>704</v>
      </c>
      <c r="I245" s="1" t="str">
        <f>IFERROR(CONCATENATE(VLOOKUP(C245,PARAM!D:E,2,0),VLOOKUP(D245,PARAM!J:K,2,0),VLOOKUP(E245,PARAM!G:H,2,0),VLOOKUP(G245,PARAM!P:Q,2,0)),"")</f>
        <v>27412431</v>
      </c>
      <c r="J245" s="1" t="str">
        <f>IFERROR(CONCATENATE("*",VLOOKUP(C245,PARAM!D:E,2,0),VLOOKUP(D245,PARAM!J:K,2,0),VLOOKUP(E245,PARAM!G:H,2,0),VLOOKUP(G245,PARAM!P:Q,2,0),"*"),"")</f>
        <v>*27412431*</v>
      </c>
      <c r="K245" s="1" t="str">
        <f t="shared" si="1"/>
        <v>CANILLERAS NIÑO ECONOMICA TALLA VA</v>
      </c>
      <c r="L245" s="1"/>
    </row>
    <row r="246">
      <c r="A246" s="55">
        <v>46186.0</v>
      </c>
      <c r="B246" s="4" t="s">
        <v>1187</v>
      </c>
      <c r="C246" s="4" t="s">
        <v>1238</v>
      </c>
      <c r="D246" s="4" t="s">
        <v>1101</v>
      </c>
      <c r="E246" s="1" t="s">
        <v>1244</v>
      </c>
      <c r="F246" s="4" t="s">
        <v>1069</v>
      </c>
      <c r="G246" s="60" t="s">
        <v>1070</v>
      </c>
      <c r="H246" s="1" t="s">
        <v>704</v>
      </c>
      <c r="I246" s="1" t="str">
        <f>IFERROR(CONCATENATE(VLOOKUP(C246,PARAM!D:E,2,0),VLOOKUP(D246,PARAM!J:K,2,0),VLOOKUP(E246,PARAM!G:H,2,0),VLOOKUP(G246,PARAM!P:Q,2,0)),"")</f>
        <v>2736931</v>
      </c>
      <c r="J246" s="1" t="str">
        <f>IFERROR(CONCATENATE("*",VLOOKUP(C246,PARAM!D:E,2,0),VLOOKUP(D246,PARAM!J:K,2,0),VLOOKUP(E246,PARAM!G:H,2,0),VLOOKUP(G246,PARAM!P:Q,2,0),"*"),"")</f>
        <v>*2736931*</v>
      </c>
      <c r="K246" s="1" t="str">
        <f t="shared" si="1"/>
        <v>CANILLERAS UNISEX CANILLERA ADULTO TALLA VA</v>
      </c>
      <c r="L246" s="1"/>
    </row>
    <row r="247">
      <c r="A247" s="55">
        <v>46186.0</v>
      </c>
      <c r="B247" s="4" t="s">
        <v>1187</v>
      </c>
      <c r="C247" s="4" t="s">
        <v>426</v>
      </c>
      <c r="D247" s="4" t="s">
        <v>1101</v>
      </c>
      <c r="E247" s="4" t="s">
        <v>1243</v>
      </c>
      <c r="F247" s="4" t="s">
        <v>1069</v>
      </c>
      <c r="G247" s="60" t="s">
        <v>1070</v>
      </c>
      <c r="H247" s="1" t="s">
        <v>704</v>
      </c>
      <c r="I247" s="1" t="str">
        <f>IFERROR(CONCATENATE(VLOOKUP(C247,PARAM!D:E,2,0),VLOOKUP(D247,PARAM!J:K,2,0),VLOOKUP(E247,PARAM!G:H,2,0),VLOOKUP(G247,PARAM!P:Q,2,0)),"")</f>
        <v>24312431</v>
      </c>
      <c r="J247" s="1" t="str">
        <f>IFERROR(CONCATENATE("*",VLOOKUP(C247,PARAM!D:E,2,0),VLOOKUP(D247,PARAM!J:K,2,0),VLOOKUP(E247,PARAM!G:H,2,0),VLOOKUP(G247,PARAM!P:Q,2,0),"*"),"")</f>
        <v>*24312431*</v>
      </c>
      <c r="K247" s="1" t="str">
        <f t="shared" si="1"/>
        <v>MEDIAS UNISEX ECONOMICA TALLA VA</v>
      </c>
      <c r="L247" s="1"/>
    </row>
    <row r="248">
      <c r="A248" s="55">
        <v>46186.0</v>
      </c>
      <c r="B248" s="4" t="s">
        <v>1187</v>
      </c>
      <c r="C248" s="4" t="s">
        <v>426</v>
      </c>
      <c r="D248" s="4" t="s">
        <v>1101</v>
      </c>
      <c r="E248" s="1" t="s">
        <v>1245</v>
      </c>
      <c r="F248" s="4" t="s">
        <v>1069</v>
      </c>
      <c r="G248" s="60" t="s">
        <v>1070</v>
      </c>
      <c r="H248" s="1" t="s">
        <v>704</v>
      </c>
      <c r="I248" s="1" t="str">
        <f>IFERROR(CONCATENATE(VLOOKUP(C248,PARAM!D:E,2,0),VLOOKUP(D248,PARAM!J:K,2,0),VLOOKUP(E248,PARAM!G:H,2,0),VLOOKUP(G248,PARAM!P:Q,2,0)),"")</f>
        <v>24313531</v>
      </c>
      <c r="J248" s="1" t="str">
        <f>IFERROR(CONCATENATE("*",VLOOKUP(C248,PARAM!D:E,2,0),VLOOKUP(D248,PARAM!J:K,2,0),VLOOKUP(E248,PARAM!G:H,2,0),VLOOKUP(G248,PARAM!P:Q,2,0),"*"),"")</f>
        <v>*24313531*</v>
      </c>
      <c r="K248" s="1" t="str">
        <f t="shared" si="1"/>
        <v>MEDIAS UNISEX FINA MEDIA TALLA VA</v>
      </c>
      <c r="L248" s="1"/>
    </row>
    <row r="249">
      <c r="A249" s="55">
        <v>46186.0</v>
      </c>
      <c r="B249" s="4" t="s">
        <v>1058</v>
      </c>
      <c r="C249" s="4" t="s">
        <v>1162</v>
      </c>
      <c r="D249" s="4" t="s">
        <v>1060</v>
      </c>
      <c r="E249" s="4" t="s">
        <v>1246</v>
      </c>
      <c r="F249" s="4" t="s">
        <v>1069</v>
      </c>
      <c r="G249" s="60" t="s">
        <v>1077</v>
      </c>
      <c r="H249" s="1" t="s">
        <v>712</v>
      </c>
      <c r="I249" s="1" t="str">
        <f>IFERROR(CONCATENATE(VLOOKUP(C249,PARAM!D:E,2,0),VLOOKUP(D249,PARAM!J:K,2,0),VLOOKUP(E249,PARAM!G:H,2,0),VLOOKUP(G249,PARAM!P:Q,2,0)),"")</f>
        <v>25124232</v>
      </c>
      <c r="J249" s="1" t="str">
        <f>IFERROR(CONCATENATE("*",VLOOKUP(C249,PARAM!D:E,2,0),VLOOKUP(D249,PARAM!J:K,2,0),VLOOKUP(E249,PARAM!G:H,2,0),VLOOKUP(G249,PARAM!P:Q,2,0),"*"),"")</f>
        <v>*25124232*</v>
      </c>
      <c r="K249" s="1" t="str">
        <f t="shared" si="1"/>
        <v>CHAQUETAS DAMA ROMBOS TALLA XL</v>
      </c>
      <c r="L249" s="1"/>
    </row>
    <row r="250">
      <c r="A250" s="55">
        <v>46186.0</v>
      </c>
      <c r="B250" s="4" t="s">
        <v>1058</v>
      </c>
      <c r="C250" s="4" t="s">
        <v>1162</v>
      </c>
      <c r="D250" s="4" t="s">
        <v>1060</v>
      </c>
      <c r="E250" s="4" t="s">
        <v>1246</v>
      </c>
      <c r="F250" s="4" t="s">
        <v>1069</v>
      </c>
      <c r="G250" s="60" t="s">
        <v>1164</v>
      </c>
      <c r="H250" s="1" t="s">
        <v>712</v>
      </c>
      <c r="I250" s="1" t="str">
        <f>IFERROR(CONCATENATE(VLOOKUP(C250,PARAM!D:E,2,0),VLOOKUP(D250,PARAM!J:K,2,0),VLOOKUP(E250,PARAM!G:H,2,0),VLOOKUP(G250,PARAM!P:Q,2,0)),"")</f>
        <v>25124225</v>
      </c>
      <c r="J250" s="1" t="str">
        <f>IFERROR(CONCATENATE("*",VLOOKUP(C250,PARAM!D:E,2,0),VLOOKUP(D250,PARAM!J:K,2,0),VLOOKUP(E250,PARAM!G:H,2,0),VLOOKUP(G250,PARAM!P:Q,2,0),"*"),"")</f>
        <v>*25124225*</v>
      </c>
      <c r="K250" s="1" t="str">
        <f t="shared" si="1"/>
        <v>CHAQUETAS DAMA ROMBOS TALLA M</v>
      </c>
      <c r="L250" s="1"/>
    </row>
    <row r="251">
      <c r="A251" s="55">
        <v>46186.0</v>
      </c>
      <c r="B251" s="4" t="s">
        <v>1058</v>
      </c>
      <c r="C251" s="4" t="s">
        <v>1162</v>
      </c>
      <c r="D251" s="4" t="s">
        <v>1060</v>
      </c>
      <c r="E251" s="4" t="s">
        <v>1246</v>
      </c>
      <c r="F251" s="4" t="s">
        <v>1069</v>
      </c>
      <c r="G251" s="60" t="s">
        <v>1168</v>
      </c>
      <c r="H251" s="1" t="s">
        <v>712</v>
      </c>
      <c r="I251" s="1" t="str">
        <f>IFERROR(CONCATENATE(VLOOKUP(C251,PARAM!D:E,2,0),VLOOKUP(D251,PARAM!J:K,2,0),VLOOKUP(E251,PARAM!G:H,2,0),VLOOKUP(G251,PARAM!P:Q,2,0)),"")</f>
        <v>25124227</v>
      </c>
      <c r="J251" s="1" t="str">
        <f>IFERROR(CONCATENATE("*",VLOOKUP(C251,PARAM!D:E,2,0),VLOOKUP(D251,PARAM!J:K,2,0),VLOOKUP(E251,PARAM!G:H,2,0),VLOOKUP(G251,PARAM!P:Q,2,0),"*"),"")</f>
        <v>*25124227*</v>
      </c>
      <c r="K251" s="1" t="str">
        <f t="shared" si="1"/>
        <v>CHAQUETAS DAMA ROMBOS TALLA S</v>
      </c>
      <c r="L251" s="1"/>
    </row>
    <row r="252">
      <c r="A252" s="55">
        <v>46186.0</v>
      </c>
      <c r="B252" s="4" t="s">
        <v>1058</v>
      </c>
      <c r="C252" s="4" t="s">
        <v>1162</v>
      </c>
      <c r="D252" s="4" t="s">
        <v>1060</v>
      </c>
      <c r="E252" s="4" t="s">
        <v>1246</v>
      </c>
      <c r="F252" s="4" t="s">
        <v>1069</v>
      </c>
      <c r="G252" s="60" t="s">
        <v>1165</v>
      </c>
      <c r="H252" s="1" t="s">
        <v>712</v>
      </c>
      <c r="I252" s="1" t="str">
        <f>IFERROR(CONCATENATE(VLOOKUP(C252,PARAM!D:E,2,0),VLOOKUP(D252,PARAM!J:K,2,0),VLOOKUP(E252,PARAM!G:H,2,0),VLOOKUP(G252,PARAM!P:Q,2,0)),"")</f>
        <v>25124223</v>
      </c>
      <c r="J252" s="1" t="str">
        <f>IFERROR(CONCATENATE("*",VLOOKUP(C252,PARAM!D:E,2,0),VLOOKUP(D252,PARAM!J:K,2,0),VLOOKUP(E252,PARAM!G:H,2,0),VLOOKUP(G252,PARAM!P:Q,2,0),"*"),"")</f>
        <v>*25124223*</v>
      </c>
      <c r="K252" s="1" t="str">
        <f t="shared" si="1"/>
        <v>CHAQUETAS DAMA ROMBOS TALLA L</v>
      </c>
      <c r="L252" s="1"/>
    </row>
    <row r="253">
      <c r="A253" s="55">
        <v>46186.0</v>
      </c>
      <c r="B253" s="4" t="s">
        <v>1058</v>
      </c>
      <c r="C253" s="4" t="s">
        <v>1162</v>
      </c>
      <c r="D253" s="4" t="s">
        <v>1060</v>
      </c>
      <c r="E253" s="4" t="s">
        <v>1247</v>
      </c>
      <c r="F253" s="4" t="s">
        <v>1069</v>
      </c>
      <c r="G253" s="60" t="s">
        <v>1168</v>
      </c>
      <c r="H253" s="1" t="s">
        <v>712</v>
      </c>
      <c r="I253" s="1" t="str">
        <f>IFERROR(CONCATENATE(VLOOKUP(C253,PARAM!D:E,2,0),VLOOKUP(D253,PARAM!J:K,2,0),VLOOKUP(E253,PARAM!G:H,2,0),VLOOKUP(G253,PARAM!P:Q,2,0)),"")</f>
        <v>25120027</v>
      </c>
      <c r="J253" s="1" t="str">
        <f>IFERROR(CONCATENATE("*",VLOOKUP(C253,PARAM!D:E,2,0),VLOOKUP(D253,PARAM!J:K,2,0),VLOOKUP(E253,PARAM!G:H,2,0),VLOOKUP(G253,PARAM!P:Q,2,0),"*"),"")</f>
        <v>*25120027*</v>
      </c>
      <c r="K253" s="1" t="str">
        <f t="shared" si="1"/>
        <v>CHAQUETAS DAMA OVEJERA CUERINA TALLA S</v>
      </c>
      <c r="L253" s="1"/>
    </row>
    <row r="254">
      <c r="A254" s="55">
        <v>46186.0</v>
      </c>
      <c r="B254" s="4" t="s">
        <v>1058</v>
      </c>
      <c r="C254" s="4" t="s">
        <v>1162</v>
      </c>
      <c r="D254" s="4" t="s">
        <v>1060</v>
      </c>
      <c r="E254" s="4" t="s">
        <v>1247</v>
      </c>
      <c r="F254" s="4" t="s">
        <v>1069</v>
      </c>
      <c r="G254" s="60" t="s">
        <v>1077</v>
      </c>
      <c r="H254" s="1" t="s">
        <v>712</v>
      </c>
      <c r="I254" s="1" t="str">
        <f>IFERROR(CONCATENATE(VLOOKUP(C254,PARAM!D:E,2,0),VLOOKUP(D254,PARAM!J:K,2,0),VLOOKUP(E254,PARAM!G:H,2,0),VLOOKUP(G254,PARAM!P:Q,2,0)),"")</f>
        <v>25120032</v>
      </c>
      <c r="J254" s="1" t="str">
        <f>IFERROR(CONCATENATE("*",VLOOKUP(C254,PARAM!D:E,2,0),VLOOKUP(D254,PARAM!J:K,2,0),VLOOKUP(E254,PARAM!G:H,2,0),VLOOKUP(G254,PARAM!P:Q,2,0),"*"),"")</f>
        <v>*25120032*</v>
      </c>
      <c r="K254" s="1" t="str">
        <f t="shared" si="1"/>
        <v>CHAQUETAS DAMA OVEJERA CUERINA TALLA XL</v>
      </c>
      <c r="L254" s="1"/>
    </row>
    <row r="255">
      <c r="A255" s="55">
        <v>46186.0</v>
      </c>
      <c r="B255" s="4" t="s">
        <v>1058</v>
      </c>
      <c r="C255" s="4" t="s">
        <v>1162</v>
      </c>
      <c r="D255" s="4" t="s">
        <v>1060</v>
      </c>
      <c r="E255" s="4" t="s">
        <v>1247</v>
      </c>
      <c r="F255" s="4" t="s">
        <v>1069</v>
      </c>
      <c r="G255" s="60" t="s">
        <v>1165</v>
      </c>
      <c r="H255" s="1" t="s">
        <v>712</v>
      </c>
      <c r="I255" s="1" t="str">
        <f>IFERROR(CONCATENATE(VLOOKUP(C255,PARAM!D:E,2,0),VLOOKUP(D255,PARAM!J:K,2,0),VLOOKUP(E255,PARAM!G:H,2,0),VLOOKUP(G255,PARAM!P:Q,2,0)),"")</f>
        <v>25120023</v>
      </c>
      <c r="J255" s="1" t="str">
        <f>IFERROR(CONCATENATE("*",VLOOKUP(C255,PARAM!D:E,2,0),VLOOKUP(D255,PARAM!J:K,2,0),VLOOKUP(E255,PARAM!G:H,2,0),VLOOKUP(G255,PARAM!P:Q,2,0),"*"),"")</f>
        <v>*25120023*</v>
      </c>
      <c r="K255" s="1" t="str">
        <f t="shared" si="1"/>
        <v>CHAQUETAS DAMA OVEJERA CUERINA TALLA L</v>
      </c>
      <c r="L255" s="1"/>
    </row>
    <row r="256">
      <c r="A256" s="55">
        <v>46186.0</v>
      </c>
      <c r="B256" s="4" t="s">
        <v>1058</v>
      </c>
      <c r="C256" s="4" t="s">
        <v>1162</v>
      </c>
      <c r="D256" s="4" t="s">
        <v>1060</v>
      </c>
      <c r="E256" s="4" t="s">
        <v>1247</v>
      </c>
      <c r="F256" s="4" t="s">
        <v>1069</v>
      </c>
      <c r="G256" s="60" t="s">
        <v>1164</v>
      </c>
      <c r="H256" s="1" t="s">
        <v>712</v>
      </c>
      <c r="I256" s="1" t="str">
        <f>IFERROR(CONCATENATE(VLOOKUP(C256,PARAM!D:E,2,0),VLOOKUP(D256,PARAM!J:K,2,0),VLOOKUP(E256,PARAM!G:H,2,0),VLOOKUP(G256,PARAM!P:Q,2,0)),"")</f>
        <v>25120025</v>
      </c>
      <c r="J256" s="1" t="str">
        <f>IFERROR(CONCATENATE("*",VLOOKUP(C256,PARAM!D:E,2,0),VLOOKUP(D256,PARAM!J:K,2,0),VLOOKUP(E256,PARAM!G:H,2,0),VLOOKUP(G256,PARAM!P:Q,2,0),"*"),"")</f>
        <v>*25120025*</v>
      </c>
      <c r="K256" s="1" t="str">
        <f t="shared" si="1"/>
        <v>CHAQUETAS DAMA OVEJERA CUERINA TALLA M</v>
      </c>
      <c r="L256" s="1"/>
    </row>
    <row r="257">
      <c r="A257" s="55">
        <v>46186.0</v>
      </c>
      <c r="B257" s="4" t="s">
        <v>1058</v>
      </c>
      <c r="C257" s="4" t="s">
        <v>1059</v>
      </c>
      <c r="D257" s="4" t="s">
        <v>1060</v>
      </c>
      <c r="E257" s="4" t="s">
        <v>1081</v>
      </c>
      <c r="F257" s="4" t="s">
        <v>1067</v>
      </c>
      <c r="G257" s="60">
        <v>16.0</v>
      </c>
      <c r="H257" s="1" t="s">
        <v>721</v>
      </c>
      <c r="I257" s="1" t="str">
        <f>IFERROR(CONCATENATE(VLOOKUP(C257,PARAM!D:E,2,0),VLOOKUP(D257,PARAM!J:K,2,0),VLOOKUP(E257,PARAM!G:H,2,0),VLOOKUP(G257,PARAM!P:Q,2,0)),"")</f>
        <v>11666</v>
      </c>
      <c r="J257" s="1" t="str">
        <f>IFERROR(CONCATENATE("*",VLOOKUP(C257,PARAM!D:E,2,0),VLOOKUP(D257,PARAM!J:K,2,0),VLOOKUP(E257,PARAM!G:H,2,0),VLOOKUP(G257,PARAM!P:Q,2,0),"*"),"")</f>
        <v>*11666*</v>
      </c>
      <c r="K257" s="1" t="str">
        <f t="shared" si="1"/>
        <v>JEANS DAMA CAMUFLADO TALLA 16</v>
      </c>
      <c r="L257" s="1"/>
    </row>
    <row r="258">
      <c r="A258" s="55">
        <v>46186.0</v>
      </c>
      <c r="B258" s="4" t="s">
        <v>1058</v>
      </c>
      <c r="C258" s="4" t="s">
        <v>1059</v>
      </c>
      <c r="D258" s="4" t="s">
        <v>1060</v>
      </c>
      <c r="E258" s="4" t="s">
        <v>1081</v>
      </c>
      <c r="F258" s="4" t="s">
        <v>1067</v>
      </c>
      <c r="G258" s="60">
        <v>14.0</v>
      </c>
      <c r="H258" s="1" t="s">
        <v>721</v>
      </c>
      <c r="I258" s="1" t="str">
        <f>IFERROR(CONCATENATE(VLOOKUP(C258,PARAM!D:E,2,0),VLOOKUP(D258,PARAM!J:K,2,0),VLOOKUP(E258,PARAM!G:H,2,0),VLOOKUP(G258,PARAM!P:Q,2,0)),"")</f>
        <v>11665</v>
      </c>
      <c r="J258" s="1" t="str">
        <f>IFERROR(CONCATENATE("*",VLOOKUP(C258,PARAM!D:E,2,0),VLOOKUP(D258,PARAM!J:K,2,0),VLOOKUP(E258,PARAM!G:H,2,0),VLOOKUP(G258,PARAM!P:Q,2,0),"*"),"")</f>
        <v>*11665*</v>
      </c>
      <c r="K258" s="1" t="str">
        <f t="shared" si="1"/>
        <v>JEANS DAMA CAMUFLADO TALLA 14</v>
      </c>
      <c r="L258" s="1"/>
    </row>
    <row r="259">
      <c r="A259" s="55">
        <v>46186.0</v>
      </c>
      <c r="B259" s="4" t="s">
        <v>1058</v>
      </c>
      <c r="C259" s="4" t="s">
        <v>1059</v>
      </c>
      <c r="D259" s="4" t="s">
        <v>1060</v>
      </c>
      <c r="E259" s="4" t="s">
        <v>1081</v>
      </c>
      <c r="F259" s="4" t="s">
        <v>1067</v>
      </c>
      <c r="G259" s="60">
        <v>10.0</v>
      </c>
      <c r="H259" s="1" t="s">
        <v>721</v>
      </c>
      <c r="I259" s="1" t="str">
        <f>IFERROR(CONCATENATE(VLOOKUP(C259,PARAM!D:E,2,0),VLOOKUP(D259,PARAM!J:K,2,0),VLOOKUP(E259,PARAM!G:H,2,0),VLOOKUP(G259,PARAM!P:Q,2,0)),"")</f>
        <v>11663</v>
      </c>
      <c r="J259" s="1" t="str">
        <f>IFERROR(CONCATENATE("*",VLOOKUP(C259,PARAM!D:E,2,0),VLOOKUP(D259,PARAM!J:K,2,0),VLOOKUP(E259,PARAM!G:H,2,0),VLOOKUP(G259,PARAM!P:Q,2,0),"*"),"")</f>
        <v>*11663*</v>
      </c>
      <c r="K259" s="1" t="str">
        <f t="shared" si="1"/>
        <v>JEANS DAMA CAMUFLADO TALLA 10</v>
      </c>
      <c r="L259" s="1"/>
    </row>
    <row r="260">
      <c r="A260" s="55">
        <v>46186.0</v>
      </c>
      <c r="B260" s="4" t="s">
        <v>1058</v>
      </c>
      <c r="C260" s="4" t="s">
        <v>1059</v>
      </c>
      <c r="D260" s="4" t="s">
        <v>1060</v>
      </c>
      <c r="E260" s="4" t="s">
        <v>1081</v>
      </c>
      <c r="F260" s="4" t="s">
        <v>1067</v>
      </c>
      <c r="G260" s="60">
        <v>8.0</v>
      </c>
      <c r="H260" s="1" t="s">
        <v>721</v>
      </c>
      <c r="I260" s="1" t="str">
        <f>IFERROR(CONCATENATE(VLOOKUP(C260,PARAM!D:E,2,0),VLOOKUP(D260,PARAM!J:K,2,0),VLOOKUP(E260,PARAM!G:H,2,0),VLOOKUP(G260,PARAM!P:Q,2,0)),"")</f>
        <v>11662</v>
      </c>
      <c r="J260" s="1" t="str">
        <f>IFERROR(CONCATENATE("*",VLOOKUP(C260,PARAM!D:E,2,0),VLOOKUP(D260,PARAM!J:K,2,0),VLOOKUP(E260,PARAM!G:H,2,0),VLOOKUP(G260,PARAM!P:Q,2,0),"*"),"")</f>
        <v>*11662*</v>
      </c>
      <c r="K260" s="1" t="str">
        <f t="shared" si="1"/>
        <v>JEANS DAMA CAMUFLADO TALLA 8</v>
      </c>
      <c r="L260" s="1"/>
    </row>
    <row r="261">
      <c r="A261" s="55">
        <v>46186.0</v>
      </c>
      <c r="B261" s="4" t="s">
        <v>1058</v>
      </c>
      <c r="C261" s="4" t="s">
        <v>1059</v>
      </c>
      <c r="D261" s="4" t="s">
        <v>1060</v>
      </c>
      <c r="E261" s="4" t="s">
        <v>1081</v>
      </c>
      <c r="F261" s="4" t="s">
        <v>1067</v>
      </c>
      <c r="G261" s="60">
        <v>12.0</v>
      </c>
      <c r="H261" s="1" t="s">
        <v>721</v>
      </c>
      <c r="I261" s="1" t="str">
        <f>IFERROR(CONCATENATE(VLOOKUP(C261,PARAM!D:E,2,0),VLOOKUP(D261,PARAM!J:K,2,0),VLOOKUP(E261,PARAM!G:H,2,0),VLOOKUP(G261,PARAM!P:Q,2,0)),"")</f>
        <v>11664</v>
      </c>
      <c r="J261" s="1" t="str">
        <f>IFERROR(CONCATENATE("*",VLOOKUP(C261,PARAM!D:E,2,0),VLOOKUP(D261,PARAM!J:K,2,0),VLOOKUP(E261,PARAM!G:H,2,0),VLOOKUP(G261,PARAM!P:Q,2,0),"*"),"")</f>
        <v>*11664*</v>
      </c>
      <c r="K261" s="1" t="str">
        <f t="shared" si="1"/>
        <v>JEANS DAMA CAMUFLADO TALLA 12</v>
      </c>
      <c r="L261" s="1"/>
    </row>
    <row r="262">
      <c r="A262" s="55">
        <v>46186.0</v>
      </c>
      <c r="B262" s="4" t="s">
        <v>1058</v>
      </c>
      <c r="C262" s="4" t="s">
        <v>1059</v>
      </c>
      <c r="D262" s="4" t="s">
        <v>1060</v>
      </c>
      <c r="E262" s="4" t="s">
        <v>1063</v>
      </c>
      <c r="F262" s="4" t="s">
        <v>1067</v>
      </c>
      <c r="G262" s="60">
        <v>10.0</v>
      </c>
      <c r="H262" s="1" t="s">
        <v>721</v>
      </c>
      <c r="I262" s="1" t="str">
        <f>IFERROR(CONCATENATE(VLOOKUP(C262,PARAM!D:E,2,0),VLOOKUP(D262,PARAM!J:K,2,0),VLOOKUP(E262,PARAM!G:H,2,0),VLOOKUP(G262,PARAM!P:Q,2,0)),"")</f>
        <v>1153</v>
      </c>
      <c r="J262" s="1" t="str">
        <f>IFERROR(CONCATENATE("*",VLOOKUP(C262,PARAM!D:E,2,0),VLOOKUP(D262,PARAM!J:K,2,0),VLOOKUP(E262,PARAM!G:H,2,0),VLOOKUP(G262,PARAM!P:Q,2,0),"*"),"")</f>
        <v>*1153*</v>
      </c>
      <c r="K262" s="1" t="str">
        <f t="shared" si="1"/>
        <v>JEANS DAMA 4 BOTONES SIN BOLSILLO TALLA 10</v>
      </c>
      <c r="L262" s="1"/>
    </row>
    <row r="263">
      <c r="A263" s="55">
        <v>46186.0</v>
      </c>
      <c r="B263" s="4" t="s">
        <v>1187</v>
      </c>
      <c r="C263" s="4" t="s">
        <v>420</v>
      </c>
      <c r="D263" s="4" t="s">
        <v>1080</v>
      </c>
      <c r="E263" s="4" t="s">
        <v>1216</v>
      </c>
      <c r="F263" s="4" t="s">
        <v>1069</v>
      </c>
      <c r="G263" s="60" t="s">
        <v>1217</v>
      </c>
      <c r="H263" s="1" t="s">
        <v>476</v>
      </c>
      <c r="I263" s="1" t="str">
        <f>IFERROR(CONCATENATE(VLOOKUP(C263,PARAM!D:E,2,0),VLOOKUP(D263,PARAM!J:K,2,0),VLOOKUP(E263,PARAM!G:H,2,0),VLOOKUP(G263,PARAM!P:Q,2,0)),"")</f>
        <v>35211328</v>
      </c>
      <c r="J263" s="1" t="str">
        <f>IFERROR(CONCATENATE("*",VLOOKUP(C263,PARAM!D:E,2,0),VLOOKUP(D263,PARAM!J:K,2,0),VLOOKUP(E263,PARAM!G:H,2,0),VLOOKUP(G263,PARAM!P:Q,2,0),"*"),"")</f>
        <v>*35211328*</v>
      </c>
      <c r="K263" s="1" t="str">
        <f t="shared" si="1"/>
        <v>PANTALONETAS CABALLERO DEPORTIVA TALLA S-M</v>
      </c>
      <c r="L263" s="1"/>
    </row>
    <row r="264">
      <c r="A264" s="55">
        <v>46186.0</v>
      </c>
      <c r="B264" s="4" t="s">
        <v>427</v>
      </c>
      <c r="C264" s="4" t="s">
        <v>1248</v>
      </c>
      <c r="D264" s="4" t="s">
        <v>1101</v>
      </c>
      <c r="E264" s="1" t="s">
        <v>1249</v>
      </c>
      <c r="F264" s="4" t="s">
        <v>1069</v>
      </c>
      <c r="G264" s="60" t="s">
        <v>1070</v>
      </c>
      <c r="H264" s="1" t="s">
        <v>729</v>
      </c>
      <c r="I264" s="1" t="str">
        <f>IFERROR(CONCATENATE(VLOOKUP(C264,PARAM!D:E,2,0),VLOOKUP(D264,PARAM!J:K,2,0),VLOOKUP(E264,PARAM!G:H,2,0),VLOOKUP(G264,PARAM!P:Q,2,0)),"")</f>
        <v>2832531</v>
      </c>
      <c r="J264" s="1" t="str">
        <f>IFERROR(CONCATENATE("*",VLOOKUP(C264,PARAM!D:E,2,0),VLOOKUP(D264,PARAM!J:K,2,0),VLOOKUP(E264,PARAM!G:H,2,0),VLOOKUP(G264,PARAM!P:Q,2,0),"*"),"")</f>
        <v>*2832531*</v>
      </c>
      <c r="K264" s="1" t="str">
        <f t="shared" si="1"/>
        <v>ANILLOS UNISEX ANILLO 1 TALLA VA</v>
      </c>
      <c r="L264" s="1"/>
    </row>
    <row r="265">
      <c r="A265" s="55">
        <v>46186.0</v>
      </c>
      <c r="B265" s="4" t="s">
        <v>427</v>
      </c>
      <c r="C265" s="4" t="s">
        <v>1248</v>
      </c>
      <c r="D265" s="4" t="s">
        <v>1101</v>
      </c>
      <c r="E265" s="1" t="s">
        <v>1250</v>
      </c>
      <c r="F265" s="4" t="s">
        <v>1069</v>
      </c>
      <c r="G265" s="60" t="s">
        <v>1070</v>
      </c>
      <c r="H265" s="1" t="s">
        <v>729</v>
      </c>
      <c r="I265" s="1" t="str">
        <f>IFERROR(CONCATENATE(VLOOKUP(C265,PARAM!D:E,2,0),VLOOKUP(D265,PARAM!J:K,2,0),VLOOKUP(E265,PARAM!G:H,2,0),VLOOKUP(G265,PARAM!P:Q,2,0)),"")</f>
        <v>2832631</v>
      </c>
      <c r="J265" s="1" t="str">
        <f>IFERROR(CONCATENATE("*",VLOOKUP(C265,PARAM!D:E,2,0),VLOOKUP(D265,PARAM!J:K,2,0),VLOOKUP(E265,PARAM!G:H,2,0),VLOOKUP(G265,PARAM!P:Q,2,0),"*"),"")</f>
        <v>*2832631*</v>
      </c>
      <c r="K265" s="1" t="str">
        <f t="shared" si="1"/>
        <v>ANILLOS UNISEX ANILLO 2 TALLA VA</v>
      </c>
      <c r="L265" s="1"/>
    </row>
    <row r="266">
      <c r="A266" s="55">
        <v>46186.0</v>
      </c>
      <c r="B266" s="4" t="s">
        <v>427</v>
      </c>
      <c r="C266" s="4" t="s">
        <v>1248</v>
      </c>
      <c r="D266" s="4" t="s">
        <v>1101</v>
      </c>
      <c r="E266" s="1" t="s">
        <v>1251</v>
      </c>
      <c r="F266" s="4" t="s">
        <v>1069</v>
      </c>
      <c r="G266" s="60" t="s">
        <v>1070</v>
      </c>
      <c r="H266" s="1" t="s">
        <v>729</v>
      </c>
      <c r="I266" s="1" t="str">
        <f>IFERROR(CONCATENATE(VLOOKUP(C266,PARAM!D:E,2,0),VLOOKUP(D266,PARAM!J:K,2,0),VLOOKUP(E266,PARAM!G:H,2,0),VLOOKUP(G266,PARAM!P:Q,2,0)),"")</f>
        <v>2832731</v>
      </c>
      <c r="J266" s="1" t="str">
        <f>IFERROR(CONCATENATE("*",VLOOKUP(C266,PARAM!D:E,2,0),VLOOKUP(D266,PARAM!J:K,2,0),VLOOKUP(E266,PARAM!G:H,2,0),VLOOKUP(G266,PARAM!P:Q,2,0),"*"),"")</f>
        <v>*2832731*</v>
      </c>
      <c r="K266" s="1" t="str">
        <f t="shared" si="1"/>
        <v>ANILLOS UNISEX ANILLO 3 TALLA VA</v>
      </c>
      <c r="L266" s="1"/>
    </row>
    <row r="267">
      <c r="A267" s="55">
        <v>46186.0</v>
      </c>
      <c r="B267" s="4" t="s">
        <v>427</v>
      </c>
      <c r="C267" s="4" t="s">
        <v>1248</v>
      </c>
      <c r="D267" s="4" t="s">
        <v>1101</v>
      </c>
      <c r="E267" s="1" t="s">
        <v>1252</v>
      </c>
      <c r="F267" s="4" t="s">
        <v>1069</v>
      </c>
      <c r="G267" s="60" t="s">
        <v>1070</v>
      </c>
      <c r="H267" s="1" t="s">
        <v>729</v>
      </c>
      <c r="I267" s="1" t="str">
        <f>IFERROR(CONCATENATE(VLOOKUP(C267,PARAM!D:E,2,0),VLOOKUP(D267,PARAM!J:K,2,0),VLOOKUP(E267,PARAM!G:H,2,0),VLOOKUP(G267,PARAM!P:Q,2,0)),"")</f>
        <v>2832831</v>
      </c>
      <c r="J267" s="1" t="str">
        <f>IFERROR(CONCATENATE("*",VLOOKUP(C267,PARAM!D:E,2,0),VLOOKUP(D267,PARAM!J:K,2,0),VLOOKUP(E267,PARAM!G:H,2,0),VLOOKUP(G267,PARAM!P:Q,2,0),"*"),"")</f>
        <v>*2832831*</v>
      </c>
      <c r="K267" s="1" t="str">
        <f t="shared" si="1"/>
        <v>ANILLOS UNISEX ANILLO 4 TALLA VA</v>
      </c>
      <c r="L267" s="1"/>
    </row>
    <row r="268">
      <c r="A268" s="55">
        <v>46186.0</v>
      </c>
      <c r="B268" s="4" t="s">
        <v>427</v>
      </c>
      <c r="C268" s="4" t="s">
        <v>1248</v>
      </c>
      <c r="D268" s="4" t="s">
        <v>1101</v>
      </c>
      <c r="E268" s="1" t="s">
        <v>1253</v>
      </c>
      <c r="F268" s="4" t="s">
        <v>1069</v>
      </c>
      <c r="G268" s="60" t="s">
        <v>1070</v>
      </c>
      <c r="H268" s="1" t="s">
        <v>729</v>
      </c>
      <c r="I268" s="1" t="str">
        <f>IFERROR(CONCATENATE(VLOOKUP(C268,PARAM!D:E,2,0),VLOOKUP(D268,PARAM!J:K,2,0),VLOOKUP(E268,PARAM!G:H,2,0),VLOOKUP(G268,PARAM!P:Q,2,0)),"")</f>
        <v>2832931</v>
      </c>
      <c r="J268" s="1" t="str">
        <f>IFERROR(CONCATENATE("*",VLOOKUP(C268,PARAM!D:E,2,0),VLOOKUP(D268,PARAM!J:K,2,0),VLOOKUP(E268,PARAM!G:H,2,0),VLOOKUP(G268,PARAM!P:Q,2,0),"*"),"")</f>
        <v>*2832931*</v>
      </c>
      <c r="K268" s="1" t="str">
        <f t="shared" si="1"/>
        <v>ANILLOS UNISEX ANILLO 5 TALLA VA</v>
      </c>
      <c r="L268" s="1"/>
    </row>
    <row r="269">
      <c r="A269" s="55">
        <v>46186.0</v>
      </c>
      <c r="B269" s="4" t="s">
        <v>427</v>
      </c>
      <c r="C269" s="4" t="s">
        <v>1248</v>
      </c>
      <c r="D269" s="4" t="s">
        <v>1101</v>
      </c>
      <c r="E269" s="1" t="s">
        <v>1254</v>
      </c>
      <c r="F269" s="4" t="s">
        <v>1069</v>
      </c>
      <c r="G269" s="60" t="s">
        <v>1070</v>
      </c>
      <c r="H269" s="1" t="s">
        <v>729</v>
      </c>
      <c r="I269" s="1" t="str">
        <f>IFERROR(CONCATENATE(VLOOKUP(C269,PARAM!D:E,2,0),VLOOKUP(D269,PARAM!J:K,2,0),VLOOKUP(E269,PARAM!G:H,2,0),VLOOKUP(G269,PARAM!P:Q,2,0)),"")</f>
        <v>2833031</v>
      </c>
      <c r="J269" s="1" t="str">
        <f>IFERROR(CONCATENATE("*",VLOOKUP(C269,PARAM!D:E,2,0),VLOOKUP(D269,PARAM!J:K,2,0),VLOOKUP(E269,PARAM!G:H,2,0),VLOOKUP(G269,PARAM!P:Q,2,0),"*"),"")</f>
        <v>*2833031*</v>
      </c>
      <c r="K269" s="1" t="str">
        <f t="shared" si="1"/>
        <v>ANILLOS UNISEX ANILLO 6 TALLA VA</v>
      </c>
      <c r="L269" s="1"/>
    </row>
    <row r="270">
      <c r="A270" s="55">
        <v>46186.0</v>
      </c>
      <c r="B270" s="4" t="s">
        <v>427</v>
      </c>
      <c r="C270" s="4" t="s">
        <v>1248</v>
      </c>
      <c r="D270" s="4" t="s">
        <v>1101</v>
      </c>
      <c r="E270" s="1" t="s">
        <v>1255</v>
      </c>
      <c r="F270" s="4" t="s">
        <v>1069</v>
      </c>
      <c r="G270" s="60" t="s">
        <v>1070</v>
      </c>
      <c r="H270" s="1" t="s">
        <v>729</v>
      </c>
      <c r="I270" s="1" t="str">
        <f>IFERROR(CONCATENATE(VLOOKUP(C270,PARAM!D:E,2,0),VLOOKUP(D270,PARAM!J:K,2,0),VLOOKUP(E270,PARAM!G:H,2,0),VLOOKUP(G270,PARAM!P:Q,2,0)),"")</f>
        <v>2833131</v>
      </c>
      <c r="J270" s="1" t="str">
        <f>IFERROR(CONCATENATE("*",VLOOKUP(C270,PARAM!D:E,2,0),VLOOKUP(D270,PARAM!J:K,2,0),VLOOKUP(E270,PARAM!G:H,2,0),VLOOKUP(G270,PARAM!P:Q,2,0),"*"),"")</f>
        <v>*2833131*</v>
      </c>
      <c r="K270" s="1" t="str">
        <f t="shared" si="1"/>
        <v>ANILLOS UNISEX ANILLO 7 TALLA VA</v>
      </c>
      <c r="L270" s="1"/>
    </row>
    <row r="271">
      <c r="A271" s="55">
        <v>46186.0</v>
      </c>
      <c r="B271" s="4" t="s">
        <v>427</v>
      </c>
      <c r="C271" s="4" t="s">
        <v>1256</v>
      </c>
      <c r="D271" s="4" t="s">
        <v>1101</v>
      </c>
      <c r="E271" s="1" t="s">
        <v>1257</v>
      </c>
      <c r="F271" s="4" t="s">
        <v>1069</v>
      </c>
      <c r="G271" s="60" t="s">
        <v>1070</v>
      </c>
      <c r="H271" s="1" t="s">
        <v>729</v>
      </c>
      <c r="I271" s="1" t="str">
        <f>IFERROR(CONCATENATE(VLOOKUP(C271,PARAM!D:E,2,0),VLOOKUP(D271,PARAM!J:K,2,0),VLOOKUP(E271,PARAM!G:H,2,0),VLOOKUP(G271,PARAM!P:Q,2,0)),"")</f>
        <v>29321331</v>
      </c>
      <c r="J271" s="1" t="str">
        <f>IFERROR(CONCATENATE("*",VLOOKUP(C271,PARAM!D:E,2,0),VLOOKUP(D271,PARAM!J:K,2,0),VLOOKUP(E271,PARAM!G:H,2,0),VLOOKUP(G271,PARAM!P:Q,2,0),"*"),"")</f>
        <v>*29321331*</v>
      </c>
      <c r="K271" s="1" t="str">
        <f t="shared" si="1"/>
        <v>CABELLO-ACCESORIOS UNISEX PINZAS CABELLO TALLA VA</v>
      </c>
      <c r="L271" s="1"/>
    </row>
    <row r="272">
      <c r="A272" s="55">
        <v>46186.0</v>
      </c>
      <c r="B272" s="4" t="s">
        <v>427</v>
      </c>
      <c r="C272" s="4" t="s">
        <v>1256</v>
      </c>
      <c r="D272" s="4" t="s">
        <v>1101</v>
      </c>
      <c r="E272" s="1" t="s">
        <v>1258</v>
      </c>
      <c r="F272" s="4" t="s">
        <v>1069</v>
      </c>
      <c r="G272" s="60" t="s">
        <v>1070</v>
      </c>
      <c r="H272" s="1" t="s">
        <v>729</v>
      </c>
      <c r="I272" s="1" t="str">
        <f>IFERROR(CONCATENATE(VLOOKUP(C272,PARAM!D:E,2,0),VLOOKUP(D272,PARAM!J:K,2,0),VLOOKUP(E272,PARAM!G:H,2,0),VLOOKUP(G272,PARAM!P:Q,2,0)),"")</f>
        <v>29319231</v>
      </c>
      <c r="J272" s="1" t="str">
        <f>IFERROR(CONCATENATE("*",VLOOKUP(C272,PARAM!D:E,2,0),VLOOKUP(D272,PARAM!J:K,2,0),VLOOKUP(E272,PARAM!G:H,2,0),VLOOKUP(G272,PARAM!P:Q,2,0),"*"),"")</f>
        <v>*29319231*</v>
      </c>
      <c r="K272" s="1" t="str">
        <f t="shared" si="1"/>
        <v>CABELLO-ACCESORIOS UNISEX MOÑAS COLERA TALLA VA</v>
      </c>
      <c r="L272" s="1"/>
    </row>
    <row r="273">
      <c r="A273" s="55">
        <v>46186.0</v>
      </c>
      <c r="B273" s="4" t="s">
        <v>427</v>
      </c>
      <c r="C273" s="4" t="s">
        <v>1256</v>
      </c>
      <c r="D273" s="4" t="s">
        <v>1101</v>
      </c>
      <c r="E273" s="1" t="s">
        <v>1259</v>
      </c>
      <c r="F273" s="4" t="s">
        <v>1069</v>
      </c>
      <c r="G273" s="60" t="s">
        <v>1070</v>
      </c>
      <c r="H273" s="1" t="s">
        <v>729</v>
      </c>
      <c r="I273" s="1" t="str">
        <f>IFERROR(CONCATENATE(VLOOKUP(C273,PARAM!D:E,2,0),VLOOKUP(D273,PARAM!J:K,2,0),VLOOKUP(E273,PARAM!G:H,2,0),VLOOKUP(G273,PARAM!P:Q,2,0)),"")</f>
        <v>29311731</v>
      </c>
      <c r="J273" s="1" t="str">
        <f>IFERROR(CONCATENATE("*",VLOOKUP(C273,PARAM!D:E,2,0),VLOOKUP(D273,PARAM!J:K,2,0),VLOOKUP(E273,PARAM!G:H,2,0),VLOOKUP(G273,PARAM!P:Q,2,0),"*"),"")</f>
        <v>*29311731*</v>
      </c>
      <c r="K273" s="1" t="str">
        <f t="shared" si="1"/>
        <v>CABELLO-ACCESORIOS UNISEX DIADEMA MEDIANA TALLA VA</v>
      </c>
      <c r="L273" s="1"/>
    </row>
    <row r="274">
      <c r="A274" s="55">
        <v>46186.0</v>
      </c>
      <c r="B274" s="4" t="s">
        <v>427</v>
      </c>
      <c r="C274" s="4" t="s">
        <v>1256</v>
      </c>
      <c r="D274" s="4" t="s">
        <v>1101</v>
      </c>
      <c r="E274" s="1" t="s">
        <v>1260</v>
      </c>
      <c r="F274" s="4" t="s">
        <v>1069</v>
      </c>
      <c r="G274" s="60" t="s">
        <v>1070</v>
      </c>
      <c r="H274" s="1" t="s">
        <v>729</v>
      </c>
      <c r="I274" s="1" t="str">
        <f>IFERROR(CONCATENATE(VLOOKUP(C274,PARAM!D:E,2,0),VLOOKUP(D274,PARAM!J:K,2,0),VLOOKUP(E274,PARAM!G:H,2,0),VLOOKUP(G274,PARAM!P:Q,2,0)),"")</f>
        <v>29311631</v>
      </c>
      <c r="J274" s="1" t="str">
        <f>IFERROR(CONCATENATE("*",VLOOKUP(C274,PARAM!D:E,2,0),VLOOKUP(D274,PARAM!J:K,2,0),VLOOKUP(E274,PARAM!G:H,2,0),VLOOKUP(G274,PARAM!P:Q,2,0),"*"),"")</f>
        <v>*29311631*</v>
      </c>
      <c r="K274" s="1" t="str">
        <f t="shared" si="1"/>
        <v>CABELLO-ACCESORIOS UNISEX DIADEMA DELGADA TALLA VA</v>
      </c>
      <c r="L274" s="1"/>
    </row>
    <row r="275">
      <c r="A275" s="55">
        <v>46186.0</v>
      </c>
      <c r="B275" s="4" t="s">
        <v>427</v>
      </c>
      <c r="C275" s="4" t="s">
        <v>1261</v>
      </c>
      <c r="D275" s="4" t="s">
        <v>1101</v>
      </c>
      <c r="E275" s="1" t="s">
        <v>1262</v>
      </c>
      <c r="F275" s="4" t="s">
        <v>1069</v>
      </c>
      <c r="G275" s="60" t="s">
        <v>1070</v>
      </c>
      <c r="H275" s="1" t="s">
        <v>729</v>
      </c>
      <c r="I275" s="1" t="str">
        <f>IFERROR(CONCATENATE(VLOOKUP(C275,PARAM!D:E,2,0),VLOOKUP(D275,PARAM!J:K,2,0),VLOOKUP(E275,PARAM!G:H,2,0),VLOOKUP(G275,PARAM!P:Q,2,0)),"")</f>
        <v>3037931</v>
      </c>
      <c r="J275" s="1" t="str">
        <f>IFERROR(CONCATENATE("*",VLOOKUP(C275,PARAM!D:E,2,0),VLOOKUP(D275,PARAM!J:K,2,0),VLOOKUP(E275,PARAM!G:H,2,0),VLOOKUP(G275,PARAM!P:Q,2,0),"*"),"")</f>
        <v>*3037931*</v>
      </c>
      <c r="K275" s="1" t="str">
        <f t="shared" si="1"/>
        <v>COLLAR UNISEX COLLAR 1 TALLA VA</v>
      </c>
      <c r="L275" s="1"/>
    </row>
    <row r="276">
      <c r="A276" s="55">
        <v>46186.0</v>
      </c>
      <c r="B276" s="4" t="s">
        <v>427</v>
      </c>
      <c r="C276" s="4" t="s">
        <v>1261</v>
      </c>
      <c r="D276" s="4" t="s">
        <v>1101</v>
      </c>
      <c r="E276" s="1" t="s">
        <v>1263</v>
      </c>
      <c r="F276" s="4" t="s">
        <v>1069</v>
      </c>
      <c r="G276" s="60" t="s">
        <v>1070</v>
      </c>
      <c r="H276" s="1" t="s">
        <v>729</v>
      </c>
      <c r="I276" s="1" t="str">
        <f>IFERROR(CONCATENATE(VLOOKUP(C276,PARAM!D:E,2,0),VLOOKUP(D276,PARAM!J:K,2,0),VLOOKUP(E276,PARAM!G:H,2,0),VLOOKUP(G276,PARAM!P:Q,2,0)),"")</f>
        <v>3038031</v>
      </c>
      <c r="J276" s="1" t="str">
        <f>IFERROR(CONCATENATE("*",VLOOKUP(C276,PARAM!D:E,2,0),VLOOKUP(D276,PARAM!J:K,2,0),VLOOKUP(E276,PARAM!G:H,2,0),VLOOKUP(G276,PARAM!P:Q,2,0),"*"),"")</f>
        <v>*3038031*</v>
      </c>
      <c r="K276" s="1" t="str">
        <f t="shared" si="1"/>
        <v>COLLAR UNISEX COLLAR 2 TALLA VA</v>
      </c>
      <c r="L276" s="1"/>
    </row>
    <row r="277">
      <c r="A277" s="55">
        <v>46186.0</v>
      </c>
      <c r="B277" s="4" t="s">
        <v>427</v>
      </c>
      <c r="C277" s="4" t="s">
        <v>1261</v>
      </c>
      <c r="D277" s="4" t="s">
        <v>1101</v>
      </c>
      <c r="E277" s="1" t="s">
        <v>1264</v>
      </c>
      <c r="F277" s="4" t="s">
        <v>1069</v>
      </c>
      <c r="G277" s="60" t="s">
        <v>1070</v>
      </c>
      <c r="H277" s="1" t="s">
        <v>729</v>
      </c>
      <c r="I277" s="1" t="str">
        <f>IFERROR(CONCATENATE(VLOOKUP(C277,PARAM!D:E,2,0),VLOOKUP(D277,PARAM!J:K,2,0),VLOOKUP(E277,PARAM!G:H,2,0),VLOOKUP(G277,PARAM!P:Q,2,0)),"")</f>
        <v>3038131</v>
      </c>
      <c r="J277" s="1" t="str">
        <f>IFERROR(CONCATENATE("*",VLOOKUP(C277,PARAM!D:E,2,0),VLOOKUP(D277,PARAM!J:K,2,0),VLOOKUP(E277,PARAM!G:H,2,0),VLOOKUP(G277,PARAM!P:Q,2,0),"*"),"")</f>
        <v>*3038131*</v>
      </c>
      <c r="K277" s="1" t="str">
        <f t="shared" si="1"/>
        <v>COLLAR UNISEX COLLAR 3 TALLA VA</v>
      </c>
      <c r="L277" s="1"/>
    </row>
    <row r="278">
      <c r="A278" s="55">
        <v>46186.0</v>
      </c>
      <c r="B278" s="4" t="s">
        <v>427</v>
      </c>
      <c r="C278" s="4" t="s">
        <v>1261</v>
      </c>
      <c r="D278" s="4" t="s">
        <v>1101</v>
      </c>
      <c r="E278" s="1" t="s">
        <v>1265</v>
      </c>
      <c r="F278" s="4" t="s">
        <v>1069</v>
      </c>
      <c r="G278" s="60" t="s">
        <v>1070</v>
      </c>
      <c r="H278" s="1" t="s">
        <v>729</v>
      </c>
      <c r="I278" s="1" t="str">
        <f>IFERROR(CONCATENATE(VLOOKUP(C278,PARAM!D:E,2,0),VLOOKUP(D278,PARAM!J:K,2,0),VLOOKUP(E278,PARAM!G:H,2,0),VLOOKUP(G278,PARAM!P:Q,2,0)),"")</f>
        <v>3038231</v>
      </c>
      <c r="J278" s="1" t="str">
        <f>IFERROR(CONCATENATE("*",VLOOKUP(C278,PARAM!D:E,2,0),VLOOKUP(D278,PARAM!J:K,2,0),VLOOKUP(E278,PARAM!G:H,2,0),VLOOKUP(G278,PARAM!P:Q,2,0),"*"),"")</f>
        <v>*3038231*</v>
      </c>
      <c r="K278" s="1" t="str">
        <f t="shared" si="1"/>
        <v>COLLAR UNISEX COLLAR 4 TALLA VA</v>
      </c>
      <c r="L278" s="1"/>
    </row>
    <row r="279">
      <c r="A279" s="55">
        <v>46186.0</v>
      </c>
      <c r="B279" s="4" t="s">
        <v>427</v>
      </c>
      <c r="C279" s="4" t="s">
        <v>1261</v>
      </c>
      <c r="D279" s="4" t="s">
        <v>1101</v>
      </c>
      <c r="E279" s="1" t="s">
        <v>1266</v>
      </c>
      <c r="F279" s="4" t="s">
        <v>1069</v>
      </c>
      <c r="G279" s="60" t="s">
        <v>1070</v>
      </c>
      <c r="H279" s="1" t="s">
        <v>729</v>
      </c>
      <c r="I279" s="1" t="str">
        <f>IFERROR(CONCATENATE(VLOOKUP(C279,PARAM!D:E,2,0),VLOOKUP(D279,PARAM!J:K,2,0),VLOOKUP(E279,PARAM!G:H,2,0),VLOOKUP(G279,PARAM!P:Q,2,0)),"")</f>
        <v>3038331</v>
      </c>
      <c r="J279" s="1" t="str">
        <f>IFERROR(CONCATENATE("*",VLOOKUP(C279,PARAM!D:E,2,0),VLOOKUP(D279,PARAM!J:K,2,0),VLOOKUP(E279,PARAM!G:H,2,0),VLOOKUP(G279,PARAM!P:Q,2,0),"*"),"")</f>
        <v>*3038331*</v>
      </c>
      <c r="K279" s="1" t="str">
        <f t="shared" si="1"/>
        <v>COLLAR UNISEX COLLAR 5 TALLA VA</v>
      </c>
      <c r="L279" s="1"/>
    </row>
    <row r="280">
      <c r="A280" s="55">
        <v>46186.0</v>
      </c>
      <c r="B280" s="4" t="s">
        <v>427</v>
      </c>
      <c r="C280" s="4" t="s">
        <v>1261</v>
      </c>
      <c r="D280" s="4" t="s">
        <v>1101</v>
      </c>
      <c r="E280" s="1" t="s">
        <v>1267</v>
      </c>
      <c r="F280" s="4" t="s">
        <v>1069</v>
      </c>
      <c r="G280" s="60" t="s">
        <v>1070</v>
      </c>
      <c r="H280" s="1" t="s">
        <v>729</v>
      </c>
      <c r="I280" s="1" t="str">
        <f>IFERROR(CONCATENATE(VLOOKUP(C280,PARAM!D:E,2,0),VLOOKUP(D280,PARAM!J:K,2,0),VLOOKUP(E280,PARAM!G:H,2,0),VLOOKUP(G280,PARAM!P:Q,2,0)),"")</f>
        <v>3038431</v>
      </c>
      <c r="J280" s="1" t="str">
        <f>IFERROR(CONCATENATE("*",VLOOKUP(C280,PARAM!D:E,2,0),VLOOKUP(D280,PARAM!J:K,2,0),VLOOKUP(E280,PARAM!G:H,2,0),VLOOKUP(G280,PARAM!P:Q,2,0),"*"),"")</f>
        <v>*3038431*</v>
      </c>
      <c r="K280" s="1" t="str">
        <f t="shared" si="1"/>
        <v>COLLAR UNISEX COLLAR 6 TALLA VA</v>
      </c>
      <c r="L280" s="1"/>
    </row>
    <row r="281">
      <c r="A281" s="55">
        <v>46186.0</v>
      </c>
      <c r="B281" s="4" t="s">
        <v>427</v>
      </c>
      <c r="C281" s="4" t="s">
        <v>1261</v>
      </c>
      <c r="D281" s="4" t="s">
        <v>1101</v>
      </c>
      <c r="E281" s="1" t="s">
        <v>1268</v>
      </c>
      <c r="F281" s="4" t="s">
        <v>1069</v>
      </c>
      <c r="G281" s="60" t="s">
        <v>1070</v>
      </c>
      <c r="H281" s="1" t="s">
        <v>729</v>
      </c>
      <c r="I281" s="1" t="str">
        <f>IFERROR(CONCATENATE(VLOOKUP(C281,PARAM!D:E,2,0),VLOOKUP(D281,PARAM!J:K,2,0),VLOOKUP(E281,PARAM!G:H,2,0),VLOOKUP(G281,PARAM!P:Q,2,0)),"")</f>
        <v>3038531</v>
      </c>
      <c r="J281" s="1" t="str">
        <f>IFERROR(CONCATENATE("*",VLOOKUP(C281,PARAM!D:E,2,0),VLOOKUP(D281,PARAM!J:K,2,0),VLOOKUP(E281,PARAM!G:H,2,0),VLOOKUP(G281,PARAM!P:Q,2,0),"*"),"")</f>
        <v>*3038531*</v>
      </c>
      <c r="K281" s="1" t="str">
        <f t="shared" si="1"/>
        <v>COLLAR UNISEX COLLAR 7 TALLA VA</v>
      </c>
      <c r="L281" s="1"/>
    </row>
    <row r="282">
      <c r="A282" s="55">
        <v>46186.0</v>
      </c>
      <c r="B282" s="4" t="s">
        <v>427</v>
      </c>
      <c r="C282" s="4" t="s">
        <v>1269</v>
      </c>
      <c r="D282" s="4" t="s">
        <v>1101</v>
      </c>
      <c r="E282" s="1" t="s">
        <v>1270</v>
      </c>
      <c r="F282" s="4" t="s">
        <v>1069</v>
      </c>
      <c r="G282" s="60" t="s">
        <v>1070</v>
      </c>
      <c r="H282" s="1" t="s">
        <v>729</v>
      </c>
      <c r="I282" s="1" t="str">
        <f>IFERROR(CONCATENATE(VLOOKUP(C282,PARAM!D:E,2,0),VLOOKUP(D282,PARAM!J:K,2,0),VLOOKUP(E282,PARAM!G:H,2,0),VLOOKUP(G282,PARAM!P:Q,2,0)),"")</f>
        <v>31322431</v>
      </c>
      <c r="J282" s="1" t="str">
        <f>IFERROR(CONCATENATE("*",VLOOKUP(C282,PARAM!D:E,2,0),VLOOKUP(D282,PARAM!J:K,2,0),VLOOKUP(E282,PARAM!G:H,2,0),VLOOKUP(G282,PARAM!P:Q,2,0),"*"),"")</f>
        <v>*31322431*</v>
      </c>
      <c r="K282" s="1" t="str">
        <f t="shared" si="1"/>
        <v>PULSERAS UNISEX PULSERA 1 TALLA VA</v>
      </c>
      <c r="L282" s="1"/>
    </row>
    <row r="283">
      <c r="A283" s="55">
        <v>46186.0</v>
      </c>
      <c r="B283" s="4" t="s">
        <v>427</v>
      </c>
      <c r="C283" s="4" t="s">
        <v>1269</v>
      </c>
      <c r="D283" s="4" t="s">
        <v>1101</v>
      </c>
      <c r="E283" s="1" t="s">
        <v>1271</v>
      </c>
      <c r="F283" s="4" t="s">
        <v>1069</v>
      </c>
      <c r="G283" s="60" t="s">
        <v>1070</v>
      </c>
      <c r="H283" s="1" t="s">
        <v>729</v>
      </c>
      <c r="I283" s="1" t="str">
        <f>IFERROR(CONCATENATE(VLOOKUP(C283,PARAM!D:E,2,0),VLOOKUP(D283,PARAM!J:K,2,0),VLOOKUP(E283,PARAM!G:H,2,0),VLOOKUP(G283,PARAM!P:Q,2,0)),"")</f>
        <v>31322531</v>
      </c>
      <c r="J283" s="1" t="str">
        <f>IFERROR(CONCATENATE("*",VLOOKUP(C283,PARAM!D:E,2,0),VLOOKUP(D283,PARAM!J:K,2,0),VLOOKUP(E283,PARAM!G:H,2,0),VLOOKUP(G283,PARAM!P:Q,2,0),"*"),"")</f>
        <v>*31322531*</v>
      </c>
      <c r="K283" s="1" t="str">
        <f t="shared" si="1"/>
        <v>PULSERAS UNISEX PULSERA 2 TALLA VA</v>
      </c>
      <c r="L283" s="1"/>
    </row>
    <row r="284">
      <c r="A284" s="55">
        <v>46186.0</v>
      </c>
      <c r="B284" s="4" t="s">
        <v>427</v>
      </c>
      <c r="C284" s="4" t="s">
        <v>1269</v>
      </c>
      <c r="D284" s="4" t="s">
        <v>1101</v>
      </c>
      <c r="E284" s="1" t="s">
        <v>1272</v>
      </c>
      <c r="F284" s="4" t="s">
        <v>1069</v>
      </c>
      <c r="G284" s="60" t="s">
        <v>1070</v>
      </c>
      <c r="H284" s="1" t="s">
        <v>729</v>
      </c>
      <c r="I284" s="1" t="str">
        <f>IFERROR(CONCATENATE(VLOOKUP(C284,PARAM!D:E,2,0),VLOOKUP(D284,PARAM!J:K,2,0),VLOOKUP(E284,PARAM!G:H,2,0),VLOOKUP(G284,PARAM!P:Q,2,0)),"")</f>
        <v>31322631</v>
      </c>
      <c r="J284" s="1" t="str">
        <f>IFERROR(CONCATENATE("*",VLOOKUP(C284,PARAM!D:E,2,0),VLOOKUP(D284,PARAM!J:K,2,0),VLOOKUP(E284,PARAM!G:H,2,0),VLOOKUP(G284,PARAM!P:Q,2,0),"*"),"")</f>
        <v>*31322631*</v>
      </c>
      <c r="K284" s="1" t="str">
        <f t="shared" si="1"/>
        <v>PULSERAS UNISEX PULSERA 3 TALLA VA</v>
      </c>
      <c r="L284" s="1"/>
    </row>
    <row r="285">
      <c r="A285" s="55">
        <v>46186.0</v>
      </c>
      <c r="B285" s="4" t="s">
        <v>427</v>
      </c>
      <c r="C285" s="4" t="s">
        <v>1269</v>
      </c>
      <c r="D285" s="4" t="s">
        <v>1101</v>
      </c>
      <c r="E285" s="1" t="s">
        <v>1273</v>
      </c>
      <c r="F285" s="4" t="s">
        <v>1069</v>
      </c>
      <c r="G285" s="60" t="s">
        <v>1070</v>
      </c>
      <c r="H285" s="1" t="s">
        <v>729</v>
      </c>
      <c r="I285" s="1" t="str">
        <f>IFERROR(CONCATENATE(VLOOKUP(C285,PARAM!D:E,2,0),VLOOKUP(D285,PARAM!J:K,2,0),VLOOKUP(E285,PARAM!G:H,2,0),VLOOKUP(G285,PARAM!P:Q,2,0)),"")</f>
        <v>31322731</v>
      </c>
      <c r="J285" s="1" t="str">
        <f>IFERROR(CONCATENATE("*",VLOOKUP(C285,PARAM!D:E,2,0),VLOOKUP(D285,PARAM!J:K,2,0),VLOOKUP(E285,PARAM!G:H,2,0),VLOOKUP(G285,PARAM!P:Q,2,0),"*"),"")</f>
        <v>*31322731*</v>
      </c>
      <c r="K285" s="1" t="str">
        <f t="shared" si="1"/>
        <v>PULSERAS UNISEX PULSERA 4 TALLA VA</v>
      </c>
      <c r="L285" s="1"/>
    </row>
    <row r="286">
      <c r="A286" s="55">
        <v>46186.0</v>
      </c>
      <c r="B286" s="4" t="s">
        <v>427</v>
      </c>
      <c r="C286" s="4" t="s">
        <v>1269</v>
      </c>
      <c r="D286" s="4" t="s">
        <v>1101</v>
      </c>
      <c r="E286" s="1" t="s">
        <v>1274</v>
      </c>
      <c r="F286" s="4" t="s">
        <v>1069</v>
      </c>
      <c r="G286" s="60" t="s">
        <v>1070</v>
      </c>
      <c r="H286" s="1" t="s">
        <v>729</v>
      </c>
      <c r="I286" s="1" t="str">
        <f>IFERROR(CONCATENATE(VLOOKUP(C286,PARAM!D:E,2,0),VLOOKUP(D286,PARAM!J:K,2,0),VLOOKUP(E286,PARAM!G:H,2,0),VLOOKUP(G286,PARAM!P:Q,2,0)),"")</f>
        <v>31322831</v>
      </c>
      <c r="J286" s="1" t="str">
        <f>IFERROR(CONCATENATE("*",VLOOKUP(C286,PARAM!D:E,2,0),VLOOKUP(D286,PARAM!J:K,2,0),VLOOKUP(E286,PARAM!G:H,2,0),VLOOKUP(G286,PARAM!P:Q,2,0),"*"),"")</f>
        <v>*31322831*</v>
      </c>
      <c r="K286" s="1" t="str">
        <f t="shared" si="1"/>
        <v>PULSERAS UNISEX PULSERA 5 TALLA VA</v>
      </c>
      <c r="L286" s="1"/>
    </row>
    <row r="287">
      <c r="A287" s="55">
        <v>46186.0</v>
      </c>
      <c r="B287" s="4" t="s">
        <v>427</v>
      </c>
      <c r="C287" s="4" t="s">
        <v>1269</v>
      </c>
      <c r="D287" s="4" t="s">
        <v>1101</v>
      </c>
      <c r="E287" s="1" t="s">
        <v>1275</v>
      </c>
      <c r="F287" s="4" t="s">
        <v>1069</v>
      </c>
      <c r="G287" s="60" t="s">
        <v>1070</v>
      </c>
      <c r="H287" s="1" t="s">
        <v>729</v>
      </c>
      <c r="I287" s="1" t="str">
        <f>IFERROR(CONCATENATE(VLOOKUP(C287,PARAM!D:E,2,0),VLOOKUP(D287,PARAM!J:K,2,0),VLOOKUP(E287,PARAM!G:H,2,0),VLOOKUP(G287,PARAM!P:Q,2,0)),"")</f>
        <v>31322931</v>
      </c>
      <c r="J287" s="1" t="str">
        <f>IFERROR(CONCATENATE("*",VLOOKUP(C287,PARAM!D:E,2,0),VLOOKUP(D287,PARAM!J:K,2,0),VLOOKUP(E287,PARAM!G:H,2,0),VLOOKUP(G287,PARAM!P:Q,2,0),"*"),"")</f>
        <v>*31322931*</v>
      </c>
      <c r="K287" s="1" t="str">
        <f t="shared" si="1"/>
        <v>PULSERAS UNISEX PULSERA 6 TALLA VA</v>
      </c>
      <c r="L287" s="1"/>
    </row>
    <row r="288">
      <c r="A288" s="55">
        <v>46186.0</v>
      </c>
      <c r="B288" s="4" t="s">
        <v>427</v>
      </c>
      <c r="C288" s="4" t="s">
        <v>1276</v>
      </c>
      <c r="D288" s="4" t="s">
        <v>1101</v>
      </c>
      <c r="E288" s="4" t="s">
        <v>1277</v>
      </c>
      <c r="F288" s="4" t="s">
        <v>1069</v>
      </c>
      <c r="G288" s="60" t="s">
        <v>1070</v>
      </c>
      <c r="H288" s="1" t="s">
        <v>729</v>
      </c>
      <c r="I288" s="1" t="str">
        <f>IFERROR(CONCATENATE(VLOOKUP(C288,PARAM!D:E,2,0),VLOOKUP(D288,PARAM!J:K,2,0),VLOOKUP(E288,PARAM!G:H,2,0),VLOOKUP(G288,PARAM!P:Q,2,0)),"")</f>
        <v>32326731</v>
      </c>
      <c r="J288" s="1" t="str">
        <f>IFERROR(CONCATENATE("*",VLOOKUP(C288,PARAM!D:E,2,0),VLOOKUP(D288,PARAM!J:K,2,0),VLOOKUP(E288,PARAM!G:H,2,0),VLOOKUP(G288,PARAM!P:Q,2,0),"*"),"")</f>
        <v>*32326731*</v>
      </c>
      <c r="K288" s="1" t="str">
        <f t="shared" si="1"/>
        <v>TOPOS UNISEX TOPOS DE SEGURIDAD 1 TALLA VA</v>
      </c>
      <c r="L288" s="1"/>
    </row>
    <row r="289">
      <c r="A289" s="55">
        <v>46186.0</v>
      </c>
      <c r="B289" s="4" t="s">
        <v>427</v>
      </c>
      <c r="C289" s="4" t="s">
        <v>1276</v>
      </c>
      <c r="D289" s="4" t="s">
        <v>1101</v>
      </c>
      <c r="E289" s="4" t="s">
        <v>1278</v>
      </c>
      <c r="F289" s="4" t="s">
        <v>1069</v>
      </c>
      <c r="G289" s="60" t="s">
        <v>1070</v>
      </c>
      <c r="H289" s="1" t="s">
        <v>729</v>
      </c>
      <c r="I289" s="1" t="str">
        <f>IFERROR(CONCATENATE(VLOOKUP(C289,PARAM!D:E,2,0),VLOOKUP(D289,PARAM!J:K,2,0),VLOOKUP(E289,PARAM!G:H,2,0),VLOOKUP(G289,PARAM!P:Q,2,0)),"")</f>
        <v>32326831</v>
      </c>
      <c r="J289" s="1" t="str">
        <f>IFERROR(CONCATENATE("*",VLOOKUP(C289,PARAM!D:E,2,0),VLOOKUP(D289,PARAM!J:K,2,0),VLOOKUP(E289,PARAM!G:H,2,0),VLOOKUP(G289,PARAM!P:Q,2,0),"*"),"")</f>
        <v>*32326831*</v>
      </c>
      <c r="K289" s="1" t="str">
        <f t="shared" si="1"/>
        <v>TOPOS UNISEX TOPOS DE SEGURIDAD 2 TALLA VA</v>
      </c>
      <c r="L289" s="1"/>
    </row>
    <row r="290">
      <c r="A290" s="55">
        <v>46186.0</v>
      </c>
      <c r="B290" s="4" t="s">
        <v>427</v>
      </c>
      <c r="C290" s="4" t="s">
        <v>1276</v>
      </c>
      <c r="D290" s="4" t="s">
        <v>1101</v>
      </c>
      <c r="E290" s="4" t="s">
        <v>1279</v>
      </c>
      <c r="F290" s="4" t="s">
        <v>1069</v>
      </c>
      <c r="G290" s="60" t="s">
        <v>1070</v>
      </c>
      <c r="H290" s="1" t="s">
        <v>729</v>
      </c>
      <c r="I290" s="1" t="str">
        <f>IFERROR(CONCATENATE(VLOOKUP(C290,PARAM!D:E,2,0),VLOOKUP(D290,PARAM!J:K,2,0),VLOOKUP(E290,PARAM!G:H,2,0),VLOOKUP(G290,PARAM!P:Q,2,0)),"")</f>
        <v>32326931</v>
      </c>
      <c r="J290" s="1" t="str">
        <f>IFERROR(CONCATENATE("*",VLOOKUP(C290,PARAM!D:E,2,0),VLOOKUP(D290,PARAM!J:K,2,0),VLOOKUP(E290,PARAM!G:H,2,0),VLOOKUP(G290,PARAM!P:Q,2,0),"*"),"")</f>
        <v>*32326931*</v>
      </c>
      <c r="K290" s="1" t="str">
        <f t="shared" si="1"/>
        <v>TOPOS UNISEX TOPOS DE SEGURIDAD 3 TALLA VA</v>
      </c>
      <c r="L290" s="1"/>
    </row>
    <row r="291">
      <c r="A291" s="55">
        <v>46186.0</v>
      </c>
      <c r="B291" s="4" t="s">
        <v>427</v>
      </c>
      <c r="C291" s="4" t="s">
        <v>1280</v>
      </c>
      <c r="D291" s="4" t="s">
        <v>1101</v>
      </c>
      <c r="E291" s="4" t="s">
        <v>1281</v>
      </c>
      <c r="F291" s="4" t="s">
        <v>1069</v>
      </c>
      <c r="G291" s="60" t="s">
        <v>1070</v>
      </c>
      <c r="H291" s="1" t="s">
        <v>729</v>
      </c>
      <c r="I291" s="1" t="str">
        <f>IFERROR(CONCATENATE(VLOOKUP(C291,PARAM!D:E,2,0),VLOOKUP(D291,PARAM!J:K,2,0),VLOOKUP(E291,PARAM!G:H,2,0),VLOOKUP(G291,PARAM!P:Q,2,0)),"")</f>
        <v>34310531</v>
      </c>
      <c r="J291" s="1" t="str">
        <f>IFERROR(CONCATENATE("*",VLOOKUP(C291,PARAM!D:E,2,0),VLOOKUP(D291,PARAM!J:K,2,0),VLOOKUP(E291,PARAM!G:H,2,0),VLOOKUP(G291,PARAM!P:Q,2,0),"*"),"")</f>
        <v>*34310531*</v>
      </c>
      <c r="K291" s="1" t="str">
        <f t="shared" si="1"/>
        <v>CANDONGAS UNISEX CUADRADA 1 TALLA VA</v>
      </c>
      <c r="L291" s="1"/>
    </row>
    <row r="292">
      <c r="A292" s="55">
        <v>46186.0</v>
      </c>
      <c r="B292" s="4" t="s">
        <v>427</v>
      </c>
      <c r="C292" s="4" t="s">
        <v>1280</v>
      </c>
      <c r="D292" s="4" t="s">
        <v>1101</v>
      </c>
      <c r="E292" s="4" t="s">
        <v>1282</v>
      </c>
      <c r="F292" s="4" t="s">
        <v>1069</v>
      </c>
      <c r="G292" s="60" t="s">
        <v>1070</v>
      </c>
      <c r="H292" s="1" t="s">
        <v>729</v>
      </c>
      <c r="I292" s="1" t="str">
        <f>IFERROR(CONCATENATE(VLOOKUP(C292,PARAM!D:E,2,0),VLOOKUP(D292,PARAM!J:K,2,0),VLOOKUP(E292,PARAM!G:H,2,0),VLOOKUP(G292,PARAM!P:Q,2,0)),"")</f>
        <v>34310631</v>
      </c>
      <c r="J292" s="1" t="str">
        <f>IFERROR(CONCATENATE("*",VLOOKUP(C292,PARAM!D:E,2,0),VLOOKUP(D292,PARAM!J:K,2,0),VLOOKUP(E292,PARAM!G:H,2,0),VLOOKUP(G292,PARAM!P:Q,2,0),"*"),"")</f>
        <v>*34310631*</v>
      </c>
      <c r="K292" s="1" t="str">
        <f t="shared" si="1"/>
        <v>CANDONGAS UNISEX CUADRADA 2 TALLA VA</v>
      </c>
      <c r="L292" s="1"/>
    </row>
    <row r="293">
      <c r="A293" s="55">
        <v>46186.0</v>
      </c>
      <c r="B293" s="4" t="s">
        <v>427</v>
      </c>
      <c r="C293" s="4" t="s">
        <v>1280</v>
      </c>
      <c r="D293" s="4" t="s">
        <v>1101</v>
      </c>
      <c r="E293" s="4" t="s">
        <v>1283</v>
      </c>
      <c r="F293" s="4" t="s">
        <v>1069</v>
      </c>
      <c r="G293" s="60" t="s">
        <v>1070</v>
      </c>
      <c r="H293" s="1" t="s">
        <v>729</v>
      </c>
      <c r="I293" s="1" t="str">
        <f>IFERROR(CONCATENATE(VLOOKUP(C293,PARAM!D:E,2,0),VLOOKUP(D293,PARAM!J:K,2,0),VLOOKUP(E293,PARAM!G:H,2,0),VLOOKUP(G293,PARAM!P:Q,2,0)),"")</f>
        <v>34310731</v>
      </c>
      <c r="J293" s="1" t="str">
        <f>IFERROR(CONCATENATE("*",VLOOKUP(C293,PARAM!D:E,2,0),VLOOKUP(D293,PARAM!J:K,2,0),VLOOKUP(E293,PARAM!G:H,2,0),VLOOKUP(G293,PARAM!P:Q,2,0),"*"),"")</f>
        <v>*34310731*</v>
      </c>
      <c r="K293" s="1" t="str">
        <f t="shared" si="1"/>
        <v>CANDONGAS UNISEX CUADRADA 3 TALLA VA</v>
      </c>
      <c r="L293" s="1"/>
    </row>
    <row r="294">
      <c r="A294" s="55">
        <v>46186.0</v>
      </c>
      <c r="B294" s="4" t="s">
        <v>427</v>
      </c>
      <c r="C294" s="4" t="s">
        <v>1280</v>
      </c>
      <c r="D294" s="4" t="s">
        <v>1101</v>
      </c>
      <c r="E294" s="4" t="s">
        <v>1284</v>
      </c>
      <c r="F294" s="4" t="s">
        <v>1069</v>
      </c>
      <c r="G294" s="60" t="s">
        <v>1070</v>
      </c>
      <c r="H294" s="1" t="s">
        <v>729</v>
      </c>
      <c r="I294" s="1" t="str">
        <f>IFERROR(CONCATENATE(VLOOKUP(C294,PARAM!D:E,2,0),VLOOKUP(D294,PARAM!J:K,2,0),VLOOKUP(E294,PARAM!G:H,2,0),VLOOKUP(G294,PARAM!P:Q,2,0)),"")</f>
        <v>3439831</v>
      </c>
      <c r="J294" s="1" t="str">
        <f>IFERROR(CONCATENATE("*",VLOOKUP(C294,PARAM!D:E,2,0),VLOOKUP(D294,PARAM!J:K,2,0),VLOOKUP(E294,PARAM!G:H,2,0),VLOOKUP(G294,PARAM!P:Q,2,0),"*"),"")</f>
        <v>*3439831*</v>
      </c>
      <c r="K294" s="1" t="str">
        <f t="shared" si="1"/>
        <v>CANDONGAS UNISEX CORAZON LOVE 1 TALLA VA</v>
      </c>
      <c r="L294" s="1"/>
    </row>
    <row r="295">
      <c r="A295" s="55">
        <v>46186.0</v>
      </c>
      <c r="B295" s="4" t="s">
        <v>427</v>
      </c>
      <c r="C295" s="4" t="s">
        <v>1280</v>
      </c>
      <c r="D295" s="4" t="s">
        <v>1101</v>
      </c>
      <c r="E295" s="4" t="s">
        <v>1285</v>
      </c>
      <c r="F295" s="4" t="s">
        <v>1069</v>
      </c>
      <c r="G295" s="60" t="s">
        <v>1070</v>
      </c>
      <c r="H295" s="1" t="s">
        <v>729</v>
      </c>
      <c r="I295" s="1" t="str">
        <f>IFERROR(CONCATENATE(VLOOKUP(C295,PARAM!D:E,2,0),VLOOKUP(D295,PARAM!J:K,2,0),VLOOKUP(E295,PARAM!G:H,2,0),VLOOKUP(G295,PARAM!P:Q,2,0)),"")</f>
        <v>3439931</v>
      </c>
      <c r="J295" s="1" t="str">
        <f>IFERROR(CONCATENATE("*",VLOOKUP(C295,PARAM!D:E,2,0),VLOOKUP(D295,PARAM!J:K,2,0),VLOOKUP(E295,PARAM!G:H,2,0),VLOOKUP(G295,PARAM!P:Q,2,0),"*"),"")</f>
        <v>*3439931*</v>
      </c>
      <c r="K295" s="1" t="str">
        <f t="shared" si="1"/>
        <v>CANDONGAS UNISEX CORAZON LOVE 2 TALLA VA</v>
      </c>
      <c r="L295" s="1"/>
    </row>
    <row r="296">
      <c r="A296" s="55">
        <v>46186.0</v>
      </c>
      <c r="B296" s="4" t="s">
        <v>427</v>
      </c>
      <c r="C296" s="4" t="s">
        <v>1280</v>
      </c>
      <c r="D296" s="4" t="s">
        <v>1101</v>
      </c>
      <c r="E296" s="4" t="s">
        <v>1286</v>
      </c>
      <c r="F296" s="4" t="s">
        <v>1069</v>
      </c>
      <c r="G296" s="60" t="s">
        <v>1070</v>
      </c>
      <c r="H296" s="1" t="s">
        <v>729</v>
      </c>
      <c r="I296" s="1" t="str">
        <f>IFERROR(CONCATENATE(VLOOKUP(C296,PARAM!D:E,2,0),VLOOKUP(D296,PARAM!J:K,2,0),VLOOKUP(E296,PARAM!G:H,2,0),VLOOKUP(G296,PARAM!P:Q,2,0)),"")</f>
        <v>34310031</v>
      </c>
      <c r="J296" s="1" t="str">
        <f>IFERROR(CONCATENATE("*",VLOOKUP(C296,PARAM!D:E,2,0),VLOOKUP(D296,PARAM!J:K,2,0),VLOOKUP(E296,PARAM!G:H,2,0),VLOOKUP(G296,PARAM!P:Q,2,0),"*"),"")</f>
        <v>*34310031*</v>
      </c>
      <c r="K296" s="1" t="str">
        <f t="shared" si="1"/>
        <v>CANDONGAS UNISEX CORAZON LOVE 3 TALLA VA</v>
      </c>
      <c r="L296" s="1"/>
    </row>
    <row r="297">
      <c r="A297" s="55">
        <v>46186.0</v>
      </c>
      <c r="B297" s="4" t="s">
        <v>427</v>
      </c>
      <c r="C297" s="4" t="s">
        <v>1280</v>
      </c>
      <c r="D297" s="4" t="s">
        <v>1101</v>
      </c>
      <c r="E297" s="4" t="s">
        <v>1287</v>
      </c>
      <c r="F297" s="4" t="s">
        <v>1069</v>
      </c>
      <c r="G297" s="60" t="s">
        <v>1070</v>
      </c>
      <c r="H297" s="1" t="s">
        <v>729</v>
      </c>
      <c r="I297" s="1" t="str">
        <f>IFERROR(CONCATENATE(VLOOKUP(C297,PARAM!D:E,2,0),VLOOKUP(D297,PARAM!J:K,2,0),VLOOKUP(E297,PARAM!G:H,2,0),VLOOKUP(G297,PARAM!P:Q,2,0)),"")</f>
        <v>34310131</v>
      </c>
      <c r="J297" s="1" t="str">
        <f>IFERROR(CONCATENATE("*",VLOOKUP(C297,PARAM!D:E,2,0),VLOOKUP(D297,PARAM!J:K,2,0),VLOOKUP(E297,PARAM!G:H,2,0),VLOOKUP(G297,PARAM!P:Q,2,0),"*"),"")</f>
        <v>*34310131*</v>
      </c>
      <c r="K297" s="1" t="str">
        <f t="shared" si="1"/>
        <v>CANDONGAS UNISEX CORAZON LOVE 4 TALLA VA</v>
      </c>
      <c r="L297" s="1"/>
    </row>
    <row r="298">
      <c r="A298" s="55">
        <v>46186.0</v>
      </c>
      <c r="B298" s="4" t="s">
        <v>427</v>
      </c>
      <c r="C298" s="4" t="s">
        <v>1280</v>
      </c>
      <c r="D298" s="4" t="s">
        <v>1101</v>
      </c>
      <c r="E298" s="1" t="s">
        <v>1288</v>
      </c>
      <c r="F298" s="4" t="s">
        <v>1069</v>
      </c>
      <c r="G298" s="60" t="s">
        <v>1070</v>
      </c>
      <c r="H298" s="1" t="s">
        <v>729</v>
      </c>
      <c r="I298" s="1" t="str">
        <f>IFERROR(CONCATENATE(VLOOKUP(C298,PARAM!D:E,2,0),VLOOKUP(D298,PARAM!J:K,2,0),VLOOKUP(E298,PARAM!G:H,2,0),VLOOKUP(G298,PARAM!P:Q,2,0)),"")</f>
        <v>3436731</v>
      </c>
      <c r="J298" s="1" t="str">
        <f>IFERROR(CONCATENATE("*",VLOOKUP(C298,PARAM!D:E,2,0),VLOOKUP(D298,PARAM!J:K,2,0),VLOOKUP(E298,PARAM!G:H,2,0),VLOOKUP(G298,PARAM!P:Q,2,0),"*"),"")</f>
        <v>*3436731*</v>
      </c>
      <c r="K298" s="1" t="str">
        <f t="shared" si="1"/>
        <v>CANDONGAS UNISEX CANDONGA MEDIANA TALLA VA</v>
      </c>
      <c r="L298" s="1"/>
    </row>
    <row r="299">
      <c r="A299" s="55">
        <v>46186.0</v>
      </c>
      <c r="B299" s="4" t="s">
        <v>427</v>
      </c>
      <c r="C299" s="4" t="s">
        <v>1280</v>
      </c>
      <c r="D299" s="4" t="s">
        <v>1101</v>
      </c>
      <c r="E299" s="4" t="s">
        <v>1289</v>
      </c>
      <c r="F299" s="4" t="s">
        <v>1069</v>
      </c>
      <c r="G299" s="60" t="s">
        <v>1070</v>
      </c>
      <c r="H299" s="1" t="s">
        <v>729</v>
      </c>
      <c r="I299" s="1" t="str">
        <f>IFERROR(CONCATENATE(VLOOKUP(C299,PARAM!D:E,2,0),VLOOKUP(D299,PARAM!J:K,2,0),VLOOKUP(E299,PARAM!G:H,2,0),VLOOKUP(G299,PARAM!P:Q,2,0)),"")</f>
        <v>34313931</v>
      </c>
      <c r="J299" s="1" t="str">
        <f>IFERROR(CONCATENATE("*",VLOOKUP(C299,PARAM!D:E,2,0),VLOOKUP(D299,PARAM!J:K,2,0),VLOOKUP(E299,PARAM!G:H,2,0),VLOOKUP(G299,PARAM!P:Q,2,0),"*"),"")</f>
        <v>*34313931*</v>
      </c>
      <c r="K299" s="1" t="str">
        <f t="shared" si="1"/>
        <v>CANDONGAS UNISEX GRANDE TALLA VA</v>
      </c>
      <c r="L299" s="1"/>
    </row>
    <row r="300">
      <c r="A300" s="55">
        <v>46186.0</v>
      </c>
      <c r="B300" s="4" t="s">
        <v>427</v>
      </c>
      <c r="C300" s="4" t="s">
        <v>1280</v>
      </c>
      <c r="D300" s="4" t="s">
        <v>1101</v>
      </c>
      <c r="E300" s="4" t="s">
        <v>1290</v>
      </c>
      <c r="F300" s="4" t="s">
        <v>1069</v>
      </c>
      <c r="G300" s="60" t="s">
        <v>1070</v>
      </c>
      <c r="H300" s="1" t="s">
        <v>729</v>
      </c>
      <c r="I300" s="1" t="str">
        <f>IFERROR(CONCATENATE(VLOOKUP(C300,PARAM!D:E,2,0),VLOOKUP(D300,PARAM!J:K,2,0),VLOOKUP(E300,PARAM!G:H,2,0),VLOOKUP(G300,PARAM!P:Q,2,0)),"")</f>
        <v>34324131</v>
      </c>
      <c r="J300" s="1" t="str">
        <f>IFERROR(CONCATENATE("*",VLOOKUP(C300,PARAM!D:E,2,0),VLOOKUP(D300,PARAM!J:K,2,0),VLOOKUP(E300,PARAM!G:H,2,0),VLOOKUP(G300,PARAM!P:Q,2,0),"*"),"")</f>
        <v>*34324131*</v>
      </c>
      <c r="K300" s="1" t="str">
        <f t="shared" si="1"/>
        <v>CANDONGAS UNISEX ROMBA TALLA VA</v>
      </c>
      <c r="L300" s="1"/>
    </row>
    <row r="301">
      <c r="A301" s="55">
        <v>46186.0</v>
      </c>
      <c r="B301" s="4" t="s">
        <v>427</v>
      </c>
      <c r="C301" s="4" t="s">
        <v>1280</v>
      </c>
      <c r="D301" s="4" t="s">
        <v>1101</v>
      </c>
      <c r="E301" s="1" t="s">
        <v>1291</v>
      </c>
      <c r="F301" s="4" t="s">
        <v>1069</v>
      </c>
      <c r="G301" s="60" t="s">
        <v>1070</v>
      </c>
      <c r="H301" s="1" t="s">
        <v>729</v>
      </c>
      <c r="I301" s="1" t="str">
        <f>IFERROR(CONCATENATE(VLOOKUP(C301,PARAM!D:E,2,0),VLOOKUP(D301,PARAM!J:K,2,0),VLOOKUP(E301,PARAM!G:H,2,0),VLOOKUP(G301,PARAM!P:Q,2,0)),"")</f>
        <v>34323331</v>
      </c>
      <c r="J301" s="1" t="str">
        <f>IFERROR(CONCATENATE("*",VLOOKUP(C301,PARAM!D:E,2,0),VLOOKUP(D301,PARAM!J:K,2,0),VLOOKUP(E301,PARAM!G:H,2,0),VLOOKUP(G301,PARAM!P:Q,2,0),"*"),"")</f>
        <v>*34323331*</v>
      </c>
      <c r="K301" s="1" t="str">
        <f t="shared" si="1"/>
        <v>CANDONGAS UNISEX REDONDA 1 TALLA VA</v>
      </c>
      <c r="L301" s="1"/>
    </row>
    <row r="302">
      <c r="A302" s="55">
        <v>46186.0</v>
      </c>
      <c r="B302" s="4" t="s">
        <v>427</v>
      </c>
      <c r="C302" s="4" t="s">
        <v>1280</v>
      </c>
      <c r="D302" s="4" t="s">
        <v>1101</v>
      </c>
      <c r="E302" s="1" t="s">
        <v>1292</v>
      </c>
      <c r="F302" s="4" t="s">
        <v>1069</v>
      </c>
      <c r="G302" s="60" t="s">
        <v>1070</v>
      </c>
      <c r="H302" s="1" t="s">
        <v>729</v>
      </c>
      <c r="I302" s="1" t="str">
        <f>IFERROR(CONCATENATE(VLOOKUP(C302,PARAM!D:E,2,0),VLOOKUP(D302,PARAM!J:K,2,0),VLOOKUP(E302,PARAM!G:H,2,0),VLOOKUP(G302,PARAM!P:Q,2,0)),"")</f>
        <v>34323431</v>
      </c>
      <c r="J302" s="1" t="str">
        <f>IFERROR(CONCATENATE("*",VLOOKUP(C302,PARAM!D:E,2,0),VLOOKUP(D302,PARAM!J:K,2,0),VLOOKUP(E302,PARAM!G:H,2,0),VLOOKUP(G302,PARAM!P:Q,2,0),"*"),"")</f>
        <v>*34323431*</v>
      </c>
      <c r="K302" s="1" t="str">
        <f t="shared" si="1"/>
        <v>CANDONGAS UNISEX REDONDA 2 TALLA VA</v>
      </c>
      <c r="L302" s="1"/>
    </row>
    <row r="303">
      <c r="A303" s="55">
        <v>46186.0</v>
      </c>
      <c r="B303" s="4" t="s">
        <v>427</v>
      </c>
      <c r="C303" s="4" t="s">
        <v>1280</v>
      </c>
      <c r="D303" s="4" t="s">
        <v>1101</v>
      </c>
      <c r="E303" s="1" t="s">
        <v>1293</v>
      </c>
      <c r="F303" s="4" t="s">
        <v>1069</v>
      </c>
      <c r="G303" s="60" t="s">
        <v>1070</v>
      </c>
      <c r="H303" s="1" t="s">
        <v>729</v>
      </c>
      <c r="I303" s="1" t="str">
        <f>IFERROR(CONCATENATE(VLOOKUP(C303,PARAM!D:E,2,0),VLOOKUP(D303,PARAM!J:K,2,0),VLOOKUP(E303,PARAM!G:H,2,0),VLOOKUP(G303,PARAM!P:Q,2,0)),"")</f>
        <v>34323531</v>
      </c>
      <c r="J303" s="1" t="str">
        <f>IFERROR(CONCATENATE("*",VLOOKUP(C303,PARAM!D:E,2,0),VLOOKUP(D303,PARAM!J:K,2,0),VLOOKUP(E303,PARAM!G:H,2,0),VLOOKUP(G303,PARAM!P:Q,2,0),"*"),"")</f>
        <v>*34323531*</v>
      </c>
      <c r="K303" s="1" t="str">
        <f t="shared" si="1"/>
        <v>CANDONGAS UNISEX REDONDA 3 TALLA VA</v>
      </c>
      <c r="L303" s="1"/>
    </row>
    <row r="304">
      <c r="A304" s="55">
        <v>46186.0</v>
      </c>
      <c r="B304" s="4" t="s">
        <v>427</v>
      </c>
      <c r="C304" s="4" t="s">
        <v>1294</v>
      </c>
      <c r="D304" s="4" t="s">
        <v>1101</v>
      </c>
      <c r="E304" s="1" t="s">
        <v>1295</v>
      </c>
      <c r="F304" s="4" t="s">
        <v>1069</v>
      </c>
      <c r="G304" s="60" t="s">
        <v>1070</v>
      </c>
      <c r="H304" s="1" t="s">
        <v>729</v>
      </c>
      <c r="I304" s="1" t="str">
        <f>IFERROR(CONCATENATE(VLOOKUP(C304,PARAM!D:E,2,0),VLOOKUP(D304,PARAM!J:K,2,0),VLOOKUP(E304,PARAM!G:H,2,0),VLOOKUP(G304,PARAM!P:Q,2,0)),"")</f>
        <v>33327831</v>
      </c>
      <c r="J304" s="1" t="str">
        <f>IFERROR(CONCATENATE("*",VLOOKUP(C304,PARAM!D:E,2,0),VLOOKUP(D304,PARAM!J:K,2,0),VLOOKUP(E304,PARAM!G:H,2,0),VLOOKUP(G304,PARAM!P:Q,2,0),"*"),"")</f>
        <v>*33327831*</v>
      </c>
      <c r="K304" s="1" t="str">
        <f t="shared" si="1"/>
        <v>ARETES UNISEX ZARCILLO 1 TALLA VA</v>
      </c>
      <c r="L304" s="1"/>
    </row>
    <row r="305">
      <c r="A305" s="55">
        <v>46186.0</v>
      </c>
      <c r="B305" s="4" t="s">
        <v>427</v>
      </c>
      <c r="C305" s="4" t="s">
        <v>1294</v>
      </c>
      <c r="D305" s="4" t="s">
        <v>1101</v>
      </c>
      <c r="E305" s="1" t="s">
        <v>1296</v>
      </c>
      <c r="F305" s="4" t="s">
        <v>1069</v>
      </c>
      <c r="G305" s="60" t="s">
        <v>1070</v>
      </c>
      <c r="H305" s="1" t="s">
        <v>729</v>
      </c>
      <c r="I305" s="1" t="str">
        <f>IFERROR(CONCATENATE(VLOOKUP(C305,PARAM!D:E,2,0),VLOOKUP(D305,PARAM!J:K,2,0),VLOOKUP(E305,PARAM!G:H,2,0),VLOOKUP(G305,PARAM!P:Q,2,0)),"")</f>
        <v>33327931</v>
      </c>
      <c r="J305" s="1" t="str">
        <f>IFERROR(CONCATENATE("*",VLOOKUP(C305,PARAM!D:E,2,0),VLOOKUP(D305,PARAM!J:K,2,0),VLOOKUP(E305,PARAM!G:H,2,0),VLOOKUP(G305,PARAM!P:Q,2,0),"*"),"")</f>
        <v>*33327931*</v>
      </c>
      <c r="K305" s="1" t="str">
        <f t="shared" si="1"/>
        <v>ARETES UNISEX ZARCILLO 2 TALLA VA</v>
      </c>
      <c r="L305" s="1"/>
    </row>
    <row r="306">
      <c r="A306" s="55">
        <v>46186.0</v>
      </c>
      <c r="B306" s="4" t="s">
        <v>427</v>
      </c>
      <c r="C306" s="4" t="s">
        <v>1294</v>
      </c>
      <c r="D306" s="4" t="s">
        <v>1101</v>
      </c>
      <c r="E306" s="1" t="s">
        <v>1297</v>
      </c>
      <c r="F306" s="4" t="s">
        <v>1069</v>
      </c>
      <c r="G306" s="60" t="s">
        <v>1070</v>
      </c>
      <c r="H306" s="1" t="s">
        <v>729</v>
      </c>
      <c r="I306" s="1" t="str">
        <f>IFERROR(CONCATENATE(VLOOKUP(C306,PARAM!D:E,2,0),VLOOKUP(D306,PARAM!J:K,2,0),VLOOKUP(E306,PARAM!G:H,2,0),VLOOKUP(G306,PARAM!P:Q,2,0)),"")</f>
        <v>33328031</v>
      </c>
      <c r="J306" s="1" t="str">
        <f>IFERROR(CONCATENATE("*",VLOOKUP(C306,PARAM!D:E,2,0),VLOOKUP(D306,PARAM!J:K,2,0),VLOOKUP(E306,PARAM!G:H,2,0),VLOOKUP(G306,PARAM!P:Q,2,0),"*"),"")</f>
        <v>*33328031*</v>
      </c>
      <c r="K306" s="1" t="str">
        <f t="shared" si="1"/>
        <v>ARETES UNISEX ZARCILLO 3 TALLA VA</v>
      </c>
      <c r="L306" s="1"/>
    </row>
    <row r="307">
      <c r="A307" s="55">
        <v>46186.0</v>
      </c>
      <c r="B307" s="4" t="s">
        <v>427</v>
      </c>
      <c r="C307" s="4" t="s">
        <v>1294</v>
      </c>
      <c r="D307" s="4" t="s">
        <v>1101</v>
      </c>
      <c r="E307" s="1" t="s">
        <v>1298</v>
      </c>
      <c r="F307" s="4" t="s">
        <v>1069</v>
      </c>
      <c r="G307" s="60" t="s">
        <v>1070</v>
      </c>
      <c r="H307" s="1" t="s">
        <v>729</v>
      </c>
      <c r="I307" s="1" t="str">
        <f>IFERROR(CONCATENATE(VLOOKUP(C307,PARAM!D:E,2,0),VLOOKUP(D307,PARAM!J:K,2,0),VLOOKUP(E307,PARAM!G:H,2,0),VLOOKUP(G307,PARAM!P:Q,2,0)),"")</f>
        <v>33328131</v>
      </c>
      <c r="J307" s="1" t="str">
        <f>IFERROR(CONCATENATE("*",VLOOKUP(C307,PARAM!D:E,2,0),VLOOKUP(D307,PARAM!J:K,2,0),VLOOKUP(E307,PARAM!G:H,2,0),VLOOKUP(G307,PARAM!P:Q,2,0),"*"),"")</f>
        <v>*33328131*</v>
      </c>
      <c r="K307" s="1" t="str">
        <f t="shared" si="1"/>
        <v>ARETES UNISEX ZARCILLO 4 TALLA VA</v>
      </c>
      <c r="L307" s="1"/>
    </row>
    <row r="308">
      <c r="A308" s="55">
        <v>46186.0</v>
      </c>
      <c r="B308" s="4" t="s">
        <v>427</v>
      </c>
      <c r="C308" s="4" t="s">
        <v>1294</v>
      </c>
      <c r="D308" s="4" t="s">
        <v>1101</v>
      </c>
      <c r="E308" s="1" t="s">
        <v>1299</v>
      </c>
      <c r="F308" s="4" t="s">
        <v>1069</v>
      </c>
      <c r="G308" s="60" t="s">
        <v>1070</v>
      </c>
      <c r="H308" s="1" t="s">
        <v>729</v>
      </c>
      <c r="I308" s="1" t="str">
        <f>IFERROR(CONCATENATE(VLOOKUP(C308,PARAM!D:E,2,0),VLOOKUP(D308,PARAM!J:K,2,0),VLOOKUP(E308,PARAM!G:H,2,0),VLOOKUP(G308,PARAM!P:Q,2,0)),"")</f>
        <v>33328231</v>
      </c>
      <c r="J308" s="1" t="str">
        <f>IFERROR(CONCATENATE("*",VLOOKUP(C308,PARAM!D:E,2,0),VLOOKUP(D308,PARAM!J:K,2,0),VLOOKUP(E308,PARAM!G:H,2,0),VLOOKUP(G308,PARAM!P:Q,2,0),"*"),"")</f>
        <v>*33328231*</v>
      </c>
      <c r="K308" s="1" t="str">
        <f t="shared" si="1"/>
        <v>ARETES UNISEX ZARCILLO 5 TALLA VA</v>
      </c>
      <c r="L308" s="1"/>
    </row>
    <row r="309">
      <c r="A309" s="55">
        <v>46186.0</v>
      </c>
      <c r="B309" s="4" t="s">
        <v>427</v>
      </c>
      <c r="C309" s="4" t="s">
        <v>1300</v>
      </c>
      <c r="D309" s="4" t="s">
        <v>1101</v>
      </c>
      <c r="E309" s="1" t="s">
        <v>1300</v>
      </c>
      <c r="F309" s="4" t="s">
        <v>1069</v>
      </c>
      <c r="G309" s="60" t="s">
        <v>1070</v>
      </c>
      <c r="H309" s="1" t="s">
        <v>729</v>
      </c>
      <c r="I309" s="1" t="str">
        <f>IFERROR(CONCATENATE(VLOOKUP(C309,PARAM!D:E,2,0),VLOOKUP(D309,PARAM!J:K,2,0),VLOOKUP(E309,PARAM!G:H,2,0),VLOOKUP(G309,PARAM!P:Q,2,0)),"")</f>
        <v>36312331</v>
      </c>
      <c r="J309" s="1" t="str">
        <f>IFERROR(CONCATENATE("*",VLOOKUP(C309,PARAM!D:E,2,0),VLOOKUP(D309,PARAM!J:K,2,0),VLOOKUP(E309,PARAM!G:H,2,0),VLOOKUP(G309,PARAM!P:Q,2,0),"*"),"")</f>
        <v>*36312331*</v>
      </c>
      <c r="K309" s="1" t="str">
        <f t="shared" si="1"/>
        <v>EAR CUFF UNISEX EAR CUFF TALLA VA</v>
      </c>
      <c r="L309" s="1"/>
    </row>
    <row r="310">
      <c r="A310" s="55">
        <v>46186.0</v>
      </c>
      <c r="B310" s="4" t="s">
        <v>427</v>
      </c>
      <c r="C310" s="4" t="s">
        <v>1276</v>
      </c>
      <c r="D310" s="4" t="s">
        <v>1101</v>
      </c>
      <c r="E310" s="1" t="s">
        <v>1301</v>
      </c>
      <c r="F310" s="4" t="s">
        <v>1069</v>
      </c>
      <c r="G310" s="60" t="s">
        <v>1070</v>
      </c>
      <c r="H310" s="1" t="s">
        <v>729</v>
      </c>
      <c r="I310" s="1" t="str">
        <f>IFERROR(CONCATENATE(VLOOKUP(C310,PARAM!D:E,2,0),VLOOKUP(D310,PARAM!J:K,2,0),VLOOKUP(E310,PARAM!G:H,2,0),VLOOKUP(G310,PARAM!P:Q,2,0)),"")</f>
        <v>32326631</v>
      </c>
      <c r="J310" s="1" t="str">
        <f>IFERROR(CONCATENATE("*",VLOOKUP(C310,PARAM!D:E,2,0),VLOOKUP(D310,PARAM!J:K,2,0),VLOOKUP(E310,PARAM!G:H,2,0),VLOOKUP(G310,PARAM!P:Q,2,0),"*"),"")</f>
        <v>*32326631*</v>
      </c>
      <c r="K310" s="1" t="str">
        <f t="shared" si="1"/>
        <v>TOPOS UNISEX TOPO SEGURIDAD TALLA VA</v>
      </c>
      <c r="L310" s="1"/>
    </row>
    <row r="311">
      <c r="A311" s="55">
        <v>46186.0</v>
      </c>
      <c r="B311" s="4" t="s">
        <v>427</v>
      </c>
      <c r="C311" s="4" t="s">
        <v>1099</v>
      </c>
      <c r="D311" s="4" t="s">
        <v>1080</v>
      </c>
      <c r="E311" s="4" t="s">
        <v>1302</v>
      </c>
      <c r="F311" s="4" t="s">
        <v>1069</v>
      </c>
      <c r="G311" s="60" t="s">
        <v>1070</v>
      </c>
      <c r="H311" s="1" t="s">
        <v>476</v>
      </c>
      <c r="I311" s="1" t="str">
        <f>IFERROR(CONCATENATE(VLOOKUP(C311,PARAM!D:E,2,0),VLOOKUP(D311,PARAM!J:K,2,0),VLOOKUP(E311,PARAM!G:H,2,0),VLOOKUP(G311,PARAM!P:Q,2,0)),"")</f>
        <v>46223031</v>
      </c>
      <c r="J311" s="1" t="str">
        <f>IFERROR(CONCATENATE("*",VLOOKUP(C311,PARAM!D:E,2,0),VLOOKUP(D311,PARAM!J:K,2,0),VLOOKUP(E311,PARAM!G:H,2,0),VLOOKUP(G311,PARAM!P:Q,2,0),"*"),"")</f>
        <v>*46223031*</v>
      </c>
      <c r="K311" s="1" t="str">
        <f t="shared" si="1"/>
        <v>SPLASH CABALLERO PULSERA COMBO TALLA VA</v>
      </c>
      <c r="L311" s="1"/>
    </row>
    <row r="312">
      <c r="A312" s="55">
        <v>46186.0</v>
      </c>
      <c r="B312" s="4" t="s">
        <v>427</v>
      </c>
      <c r="C312" s="4" t="s">
        <v>1099</v>
      </c>
      <c r="D312" s="4" t="s">
        <v>1080</v>
      </c>
      <c r="E312" s="4" t="s">
        <v>1302</v>
      </c>
      <c r="F312" s="4" t="s">
        <v>1069</v>
      </c>
      <c r="G312" s="60" t="s">
        <v>1070</v>
      </c>
      <c r="H312" s="1" t="s">
        <v>476</v>
      </c>
      <c r="I312" s="1" t="str">
        <f>IFERROR(CONCATENATE(VLOOKUP(C312,PARAM!D:E,2,0),VLOOKUP(D312,PARAM!J:K,2,0),VLOOKUP(E312,PARAM!G:H,2,0),VLOOKUP(G312,PARAM!P:Q,2,0)),"")</f>
        <v>46223031</v>
      </c>
      <c r="J312" s="1" t="str">
        <f>IFERROR(CONCATENATE("*",VLOOKUP(C312,PARAM!D:E,2,0),VLOOKUP(D312,PARAM!J:K,2,0),VLOOKUP(E312,PARAM!G:H,2,0),VLOOKUP(G312,PARAM!P:Q,2,0),"*"),"")</f>
        <v>*46223031*</v>
      </c>
      <c r="K312" s="1" t="str">
        <f t="shared" si="1"/>
        <v>SPLASH CABALLERO PULSERA COMBO TALLA VA</v>
      </c>
      <c r="L312" s="1"/>
    </row>
    <row r="313">
      <c r="A313" s="55">
        <v>46186.0</v>
      </c>
      <c r="B313" s="4" t="s">
        <v>1187</v>
      </c>
      <c r="C313" s="4" t="s">
        <v>1194</v>
      </c>
      <c r="D313" s="4" t="s">
        <v>1101</v>
      </c>
      <c r="E313" s="1" t="s">
        <v>1303</v>
      </c>
      <c r="F313" s="4" t="s">
        <v>1069</v>
      </c>
      <c r="G313" s="60" t="s">
        <v>1168</v>
      </c>
      <c r="H313" s="1" t="s">
        <v>778</v>
      </c>
      <c r="I313" s="1" t="str">
        <f>IFERROR(CONCATENATE(VLOOKUP(C313,PARAM!D:E,2,0),VLOOKUP(D313,PARAM!J:K,2,0),VLOOKUP(E313,PARAM!G:H,2,0),VLOOKUP(G313,PARAM!P:Q,2,0)),"")</f>
        <v>2639327</v>
      </c>
      <c r="J313" s="1" t="str">
        <f>IFERROR(CONCATENATE("*",VLOOKUP(C313,PARAM!D:E,2,0),VLOOKUP(D313,PARAM!J:K,2,0),VLOOKUP(E313,PARAM!G:H,2,0),VLOOKUP(G313,PARAM!P:Q,2,0),"*"),"")</f>
        <v>*2639327*</v>
      </c>
      <c r="K313" s="1" t="str">
        <f t="shared" si="1"/>
        <v>BUSOS UNISEX CON CAPOTA ESTAMPADO CREMALLERA TALLA S</v>
      </c>
      <c r="L313" s="1"/>
    </row>
    <row r="314">
      <c r="A314" s="55">
        <v>46186.0</v>
      </c>
      <c r="B314" s="4" t="s">
        <v>1187</v>
      </c>
      <c r="C314" s="4" t="s">
        <v>1194</v>
      </c>
      <c r="D314" s="4" t="s">
        <v>1101</v>
      </c>
      <c r="E314" s="4" t="s">
        <v>1304</v>
      </c>
      <c r="F314" s="4" t="s">
        <v>1069</v>
      </c>
      <c r="G314" s="60" t="s">
        <v>1164</v>
      </c>
      <c r="H314" s="1" t="s">
        <v>476</v>
      </c>
      <c r="I314" s="1" t="str">
        <f>IFERROR(CONCATENATE(VLOOKUP(C314,PARAM!D:E,2,0),VLOOKUP(D314,PARAM!J:K,2,0),VLOOKUP(E314,PARAM!G:H,2,0),VLOOKUP(G314,PARAM!P:Q,2,0)),"")</f>
        <v>2631925</v>
      </c>
      <c r="J314" s="1" t="str">
        <f>IFERROR(CONCATENATE("*",VLOOKUP(C314,PARAM!D:E,2,0),VLOOKUP(D314,PARAM!J:K,2,0),VLOOKUP(E314,PARAM!G:H,2,0),VLOOKUP(G314,PARAM!P:Q,2,0),"*"),"")</f>
        <v>*2631925*</v>
      </c>
      <c r="K314" s="1" t="str">
        <f t="shared" si="1"/>
        <v>BUSOS UNISEX ALGODON CON CAPOTA ESTAMPADO CREMALLERA TALLA M</v>
      </c>
      <c r="L314" s="1"/>
    </row>
    <row r="315">
      <c r="A315" s="55">
        <v>46186.0</v>
      </c>
      <c r="B315" s="4" t="s">
        <v>1187</v>
      </c>
      <c r="C315" s="4" t="s">
        <v>1194</v>
      </c>
      <c r="D315" s="4" t="s">
        <v>1101</v>
      </c>
      <c r="E315" s="4" t="s">
        <v>1304</v>
      </c>
      <c r="F315" s="4" t="s">
        <v>1069</v>
      </c>
      <c r="G315" s="60" t="s">
        <v>1165</v>
      </c>
      <c r="H315" s="1" t="s">
        <v>476</v>
      </c>
      <c r="I315" s="1" t="str">
        <f>IFERROR(CONCATENATE(VLOOKUP(C315,PARAM!D:E,2,0),VLOOKUP(D315,PARAM!J:K,2,0),VLOOKUP(E315,PARAM!G:H,2,0),VLOOKUP(G315,PARAM!P:Q,2,0)),"")</f>
        <v>2631923</v>
      </c>
      <c r="J315" s="1" t="str">
        <f>IFERROR(CONCATENATE("*",VLOOKUP(C315,PARAM!D:E,2,0),VLOOKUP(D315,PARAM!J:K,2,0),VLOOKUP(E315,PARAM!G:H,2,0),VLOOKUP(G315,PARAM!P:Q,2,0),"*"),"")</f>
        <v>*2631923*</v>
      </c>
      <c r="K315" s="1" t="str">
        <f t="shared" si="1"/>
        <v>BUSOS UNISEX ALGODON CON CAPOTA ESTAMPADO CREMALLERA TALLA L</v>
      </c>
      <c r="L315" s="1"/>
    </row>
    <row r="316">
      <c r="A316" s="55">
        <v>46186.0</v>
      </c>
      <c r="B316" s="4" t="s">
        <v>1187</v>
      </c>
      <c r="C316" s="4" t="s">
        <v>1194</v>
      </c>
      <c r="D316" s="4" t="s">
        <v>1101</v>
      </c>
      <c r="E316" s="4" t="s">
        <v>1304</v>
      </c>
      <c r="F316" s="4" t="s">
        <v>1069</v>
      </c>
      <c r="G316" s="60" t="s">
        <v>1077</v>
      </c>
      <c r="H316" s="1" t="s">
        <v>476</v>
      </c>
      <c r="I316" s="1" t="str">
        <f>IFERROR(CONCATENATE(VLOOKUP(C316,PARAM!D:E,2,0),VLOOKUP(D316,PARAM!J:K,2,0),VLOOKUP(E316,PARAM!G:H,2,0),VLOOKUP(G316,PARAM!P:Q,2,0)),"")</f>
        <v>2631932</v>
      </c>
      <c r="J316" s="1" t="str">
        <f>IFERROR(CONCATENATE("*",VLOOKUP(C316,PARAM!D:E,2,0),VLOOKUP(D316,PARAM!J:K,2,0),VLOOKUP(E316,PARAM!G:H,2,0),VLOOKUP(G316,PARAM!P:Q,2,0),"*"),"")</f>
        <v>*2631932*</v>
      </c>
      <c r="K316" s="1" t="str">
        <f t="shared" si="1"/>
        <v>BUSOS UNISEX ALGODON CON CAPOTA ESTAMPADO CREMALLERA TALLA XL</v>
      </c>
      <c r="L316" s="1"/>
    </row>
    <row r="317">
      <c r="A317" s="55">
        <v>46186.0</v>
      </c>
      <c r="B317" s="4" t="s">
        <v>1187</v>
      </c>
      <c r="C317" s="4" t="s">
        <v>1194</v>
      </c>
      <c r="D317" s="4" t="s">
        <v>1101</v>
      </c>
      <c r="E317" s="4" t="s">
        <v>1305</v>
      </c>
      <c r="F317" s="4" t="s">
        <v>1069</v>
      </c>
      <c r="G317" s="60" t="s">
        <v>1168</v>
      </c>
      <c r="H317" s="1" t="s">
        <v>476</v>
      </c>
      <c r="I317" s="1" t="str">
        <f>IFERROR(CONCATENATE(VLOOKUP(C317,PARAM!D:E,2,0),VLOOKUP(D317,PARAM!J:K,2,0),VLOOKUP(E317,PARAM!G:H,2,0),VLOOKUP(G317,PARAM!P:Q,2,0)),"")</f>
        <v>2631827</v>
      </c>
      <c r="J317" s="1" t="str">
        <f>IFERROR(CONCATENATE("*",VLOOKUP(C317,PARAM!D:E,2,0),VLOOKUP(D317,PARAM!J:K,2,0),VLOOKUP(E317,PARAM!G:H,2,0),VLOOKUP(G317,PARAM!P:Q,2,0),"*"),"")</f>
        <v>*2631827*</v>
      </c>
      <c r="K317" s="1" t="str">
        <f t="shared" si="1"/>
        <v>BUSOS UNISEX ALGODON CAPOTA ESTAMPADO TALLA S</v>
      </c>
      <c r="L317" s="1"/>
    </row>
    <row r="318">
      <c r="A318" s="55">
        <v>46186.0</v>
      </c>
      <c r="B318" s="4" t="s">
        <v>1187</v>
      </c>
      <c r="C318" s="4" t="s">
        <v>1194</v>
      </c>
      <c r="D318" s="4" t="s">
        <v>1101</v>
      </c>
      <c r="E318" s="4" t="s">
        <v>1305</v>
      </c>
      <c r="F318" s="4" t="s">
        <v>1069</v>
      </c>
      <c r="G318" s="60" t="s">
        <v>1164</v>
      </c>
      <c r="H318" s="1" t="s">
        <v>476</v>
      </c>
      <c r="I318" s="1" t="str">
        <f>IFERROR(CONCATENATE(VLOOKUP(C318,PARAM!D:E,2,0),VLOOKUP(D318,PARAM!J:K,2,0),VLOOKUP(E318,PARAM!G:H,2,0),VLOOKUP(G318,PARAM!P:Q,2,0)),"")</f>
        <v>2631825</v>
      </c>
      <c r="J318" s="1" t="str">
        <f>IFERROR(CONCATENATE("*",VLOOKUP(C318,PARAM!D:E,2,0),VLOOKUP(D318,PARAM!J:K,2,0),VLOOKUP(E318,PARAM!G:H,2,0),VLOOKUP(G318,PARAM!P:Q,2,0),"*"),"")</f>
        <v>*2631825*</v>
      </c>
      <c r="K318" s="1" t="str">
        <f t="shared" si="1"/>
        <v>BUSOS UNISEX ALGODON CAPOTA ESTAMPADO TALLA M</v>
      </c>
      <c r="L318" s="1"/>
    </row>
    <row r="319">
      <c r="A319" s="55">
        <v>46186.0</v>
      </c>
      <c r="B319" s="4" t="s">
        <v>1187</v>
      </c>
      <c r="C319" s="4" t="s">
        <v>1194</v>
      </c>
      <c r="D319" s="4" t="s">
        <v>1101</v>
      </c>
      <c r="E319" s="4" t="s">
        <v>1305</v>
      </c>
      <c r="F319" s="4" t="s">
        <v>1069</v>
      </c>
      <c r="G319" s="60" t="s">
        <v>1165</v>
      </c>
      <c r="H319" s="1" t="s">
        <v>476</v>
      </c>
      <c r="I319" s="1" t="str">
        <f>IFERROR(CONCATENATE(VLOOKUP(C319,PARAM!D:E,2,0),VLOOKUP(D319,PARAM!J:K,2,0),VLOOKUP(E319,PARAM!G:H,2,0),VLOOKUP(G319,PARAM!P:Q,2,0)),"")</f>
        <v>2631823</v>
      </c>
      <c r="J319" s="1" t="str">
        <f>IFERROR(CONCATENATE("*",VLOOKUP(C319,PARAM!D:E,2,0),VLOOKUP(D319,PARAM!J:K,2,0),VLOOKUP(E319,PARAM!G:H,2,0),VLOOKUP(G319,PARAM!P:Q,2,0),"*"),"")</f>
        <v>*2631823*</v>
      </c>
      <c r="K319" s="1" t="str">
        <f t="shared" si="1"/>
        <v>BUSOS UNISEX ALGODON CAPOTA ESTAMPADO TALLA L</v>
      </c>
      <c r="L319" s="1"/>
    </row>
    <row r="320">
      <c r="A320" s="55">
        <v>46186.0</v>
      </c>
      <c r="B320" s="4" t="s">
        <v>1187</v>
      </c>
      <c r="C320" s="4" t="s">
        <v>1194</v>
      </c>
      <c r="D320" s="4" t="s">
        <v>1101</v>
      </c>
      <c r="E320" s="4" t="s">
        <v>1305</v>
      </c>
      <c r="F320" s="4" t="s">
        <v>1069</v>
      </c>
      <c r="G320" s="60" t="s">
        <v>1077</v>
      </c>
      <c r="H320" s="1" t="s">
        <v>476</v>
      </c>
      <c r="I320" s="1" t="str">
        <f>IFERROR(CONCATENATE(VLOOKUP(C320,PARAM!D:E,2,0),VLOOKUP(D320,PARAM!J:K,2,0),VLOOKUP(E320,PARAM!G:H,2,0),VLOOKUP(G320,PARAM!P:Q,2,0)),"")</f>
        <v>2631832</v>
      </c>
      <c r="J320" s="1" t="str">
        <f>IFERROR(CONCATENATE("*",VLOOKUP(C320,PARAM!D:E,2,0),VLOOKUP(D320,PARAM!J:K,2,0),VLOOKUP(E320,PARAM!G:H,2,0),VLOOKUP(G320,PARAM!P:Q,2,0),"*"),"")</f>
        <v>*2631832*</v>
      </c>
      <c r="K320" s="1" t="str">
        <f t="shared" si="1"/>
        <v>BUSOS UNISEX ALGODON CAPOTA ESTAMPADO TALLA XL</v>
      </c>
      <c r="L320" s="1"/>
    </row>
    <row r="321">
      <c r="A321" s="55">
        <v>46186.0</v>
      </c>
      <c r="B321" s="4" t="s">
        <v>1187</v>
      </c>
      <c r="C321" s="4" t="s">
        <v>1194</v>
      </c>
      <c r="D321" s="4" t="s">
        <v>1101</v>
      </c>
      <c r="E321" s="4" t="s">
        <v>1306</v>
      </c>
      <c r="F321" s="4" t="s">
        <v>1069</v>
      </c>
      <c r="G321" s="60" t="s">
        <v>1168</v>
      </c>
      <c r="H321" s="1" t="s">
        <v>476</v>
      </c>
      <c r="I321" s="1" t="str">
        <f>IFERROR(CONCATENATE(VLOOKUP(C321,PARAM!D:E,2,0),VLOOKUP(D321,PARAM!J:K,2,0),VLOOKUP(E321,PARAM!G:H,2,0),VLOOKUP(G321,PARAM!P:Q,2,0)),"")</f>
        <v>2632127</v>
      </c>
      <c r="J321" s="1" t="str">
        <f>IFERROR(CONCATENATE("*",VLOOKUP(C321,PARAM!D:E,2,0),VLOOKUP(D321,PARAM!J:K,2,0),VLOOKUP(E321,PARAM!G:H,2,0),VLOOKUP(G321,PARAM!P:Q,2,0),"*"),"")</f>
        <v>*2632127*</v>
      </c>
      <c r="K321" s="1" t="str">
        <f t="shared" si="1"/>
        <v>BUSOS UNISEX ALGODON CUELLO REDONDO ESTAMPADO TALLA S</v>
      </c>
      <c r="L321" s="1"/>
    </row>
    <row r="322">
      <c r="A322" s="55">
        <v>46186.0</v>
      </c>
      <c r="B322" s="4" t="s">
        <v>1187</v>
      </c>
      <c r="C322" s="4" t="s">
        <v>1194</v>
      </c>
      <c r="D322" s="4" t="s">
        <v>1101</v>
      </c>
      <c r="E322" s="4" t="s">
        <v>1306</v>
      </c>
      <c r="F322" s="4" t="s">
        <v>1069</v>
      </c>
      <c r="G322" s="60" t="s">
        <v>1164</v>
      </c>
      <c r="H322" s="1" t="s">
        <v>476</v>
      </c>
      <c r="I322" s="1" t="str">
        <f>IFERROR(CONCATENATE(VLOOKUP(C322,PARAM!D:E,2,0),VLOOKUP(D322,PARAM!J:K,2,0),VLOOKUP(E322,PARAM!G:H,2,0),VLOOKUP(G322,PARAM!P:Q,2,0)),"")</f>
        <v>2632125</v>
      </c>
      <c r="J322" s="1" t="str">
        <f>IFERROR(CONCATENATE("*",VLOOKUP(C322,PARAM!D:E,2,0),VLOOKUP(D322,PARAM!J:K,2,0),VLOOKUP(E322,PARAM!G:H,2,0),VLOOKUP(G322,PARAM!P:Q,2,0),"*"),"")</f>
        <v>*2632125*</v>
      </c>
      <c r="K322" s="1" t="str">
        <f t="shared" si="1"/>
        <v>BUSOS UNISEX ALGODON CUELLO REDONDO ESTAMPADO TALLA M</v>
      </c>
      <c r="L322" s="1"/>
    </row>
    <row r="323">
      <c r="A323" s="55">
        <v>46186.0</v>
      </c>
      <c r="B323" s="4" t="s">
        <v>1187</v>
      </c>
      <c r="C323" s="4" t="s">
        <v>1194</v>
      </c>
      <c r="D323" s="4" t="s">
        <v>1101</v>
      </c>
      <c r="E323" s="4" t="s">
        <v>1306</v>
      </c>
      <c r="F323" s="4" t="s">
        <v>1069</v>
      </c>
      <c r="G323" s="60" t="s">
        <v>1165</v>
      </c>
      <c r="H323" s="1" t="s">
        <v>476</v>
      </c>
      <c r="I323" s="1" t="str">
        <f>IFERROR(CONCATENATE(VLOOKUP(C323,PARAM!D:E,2,0),VLOOKUP(D323,PARAM!J:K,2,0),VLOOKUP(E323,PARAM!G:H,2,0),VLOOKUP(G323,PARAM!P:Q,2,0)),"")</f>
        <v>2632123</v>
      </c>
      <c r="J323" s="1" t="str">
        <f>IFERROR(CONCATENATE("*",VLOOKUP(C323,PARAM!D:E,2,0),VLOOKUP(D323,PARAM!J:K,2,0),VLOOKUP(E323,PARAM!G:H,2,0),VLOOKUP(G323,PARAM!P:Q,2,0),"*"),"")</f>
        <v>*2632123*</v>
      </c>
      <c r="K323" s="1" t="str">
        <f t="shared" si="1"/>
        <v>BUSOS UNISEX ALGODON CUELLO REDONDO ESTAMPADO TALLA L</v>
      </c>
      <c r="L323" s="1"/>
    </row>
    <row r="324">
      <c r="A324" s="55">
        <v>46186.0</v>
      </c>
      <c r="B324" s="4" t="s">
        <v>1187</v>
      </c>
      <c r="C324" s="4" t="s">
        <v>1194</v>
      </c>
      <c r="D324" s="4" t="s">
        <v>1101</v>
      </c>
      <c r="E324" s="4" t="s">
        <v>1306</v>
      </c>
      <c r="F324" s="4" t="s">
        <v>1069</v>
      </c>
      <c r="G324" s="60" t="s">
        <v>1077</v>
      </c>
      <c r="H324" s="1" t="s">
        <v>476</v>
      </c>
      <c r="I324" s="1" t="str">
        <f>IFERROR(CONCATENATE(VLOOKUP(C324,PARAM!D:E,2,0),VLOOKUP(D324,PARAM!J:K,2,0),VLOOKUP(E324,PARAM!G:H,2,0),VLOOKUP(G324,PARAM!P:Q,2,0)),"")</f>
        <v>2632132</v>
      </c>
      <c r="J324" s="1" t="str">
        <f>IFERROR(CONCATENATE("*",VLOOKUP(C324,PARAM!D:E,2,0),VLOOKUP(D324,PARAM!J:K,2,0),VLOOKUP(E324,PARAM!G:H,2,0),VLOOKUP(G324,PARAM!P:Q,2,0),"*"),"")</f>
        <v>*2632132*</v>
      </c>
      <c r="K324" s="1" t="str">
        <f t="shared" si="1"/>
        <v>BUSOS UNISEX ALGODON CUELLO REDONDO ESTAMPADO TALLA XL</v>
      </c>
      <c r="L324" s="1"/>
    </row>
    <row r="325">
      <c r="A325" s="55">
        <v>46186.0</v>
      </c>
      <c r="B325" s="4" t="s">
        <v>1187</v>
      </c>
      <c r="C325" s="4" t="s">
        <v>1194</v>
      </c>
      <c r="D325" s="4" t="s">
        <v>1101</v>
      </c>
      <c r="E325" s="4" t="s">
        <v>1306</v>
      </c>
      <c r="F325" s="4" t="s">
        <v>1069</v>
      </c>
      <c r="G325" s="60" t="s">
        <v>1189</v>
      </c>
      <c r="H325" s="1" t="s">
        <v>476</v>
      </c>
      <c r="I325" s="1" t="str">
        <f>IFERROR(CONCATENATE(VLOOKUP(C325,PARAM!D:E,2,0),VLOOKUP(D325,PARAM!J:K,2,0),VLOOKUP(E325,PARAM!G:H,2,0),VLOOKUP(G325,PARAM!P:Q,2,0)),"")</f>
        <v>2632134</v>
      </c>
      <c r="J325" s="1" t="str">
        <f>IFERROR(CONCATENATE("*",VLOOKUP(C325,PARAM!D:E,2,0),VLOOKUP(D325,PARAM!J:K,2,0),VLOOKUP(E325,PARAM!G:H,2,0),VLOOKUP(G325,PARAM!P:Q,2,0),"*"),"")</f>
        <v>*2632134*</v>
      </c>
      <c r="K325" s="1" t="str">
        <f t="shared" si="1"/>
        <v>BUSOS UNISEX ALGODON CUELLO REDONDO ESTAMPADO TALLA XXL</v>
      </c>
      <c r="L325" s="1"/>
    </row>
    <row r="326">
      <c r="A326" s="55">
        <v>46186.0</v>
      </c>
      <c r="B326" s="4" t="s">
        <v>1187</v>
      </c>
      <c r="C326" s="4" t="s">
        <v>1194</v>
      </c>
      <c r="D326" s="4" t="s">
        <v>1101</v>
      </c>
      <c r="E326" s="4" t="s">
        <v>1307</v>
      </c>
      <c r="F326" s="4" t="s">
        <v>1069</v>
      </c>
      <c r="G326" s="60" t="s">
        <v>1168</v>
      </c>
      <c r="H326" s="1" t="s">
        <v>476</v>
      </c>
      <c r="I326" s="1" t="str">
        <f>IFERROR(CONCATENATE(VLOOKUP(C326,PARAM!D:E,2,0),VLOOKUP(D326,PARAM!J:K,2,0),VLOOKUP(E326,PARAM!G:H,2,0),VLOOKUP(G326,PARAM!P:Q,2,0)),"")</f>
        <v>2632327</v>
      </c>
      <c r="J326" s="1" t="str">
        <f>IFERROR(CONCATENATE("*",VLOOKUP(C326,PARAM!D:E,2,0),VLOOKUP(D326,PARAM!J:K,2,0),VLOOKUP(E326,PARAM!G:H,2,0),VLOOKUP(G326,PARAM!P:Q,2,0),"*"),"")</f>
        <v>*2632327*</v>
      </c>
      <c r="K326" s="1" t="str">
        <f t="shared" si="1"/>
        <v>BUSOS UNISEX ALGODON SIN ESTAMPADO TALLA S</v>
      </c>
      <c r="L326" s="1"/>
    </row>
    <row r="327">
      <c r="A327" s="55">
        <v>46186.0</v>
      </c>
      <c r="B327" s="4" t="s">
        <v>1187</v>
      </c>
      <c r="C327" s="4" t="s">
        <v>1194</v>
      </c>
      <c r="D327" s="4" t="s">
        <v>1101</v>
      </c>
      <c r="E327" s="4" t="s">
        <v>1307</v>
      </c>
      <c r="F327" s="4" t="s">
        <v>1069</v>
      </c>
      <c r="G327" s="60" t="s">
        <v>1164</v>
      </c>
      <c r="H327" s="1" t="s">
        <v>476</v>
      </c>
      <c r="I327" s="1" t="str">
        <f>IFERROR(CONCATENATE(VLOOKUP(C327,PARAM!D:E,2,0),VLOOKUP(D327,PARAM!J:K,2,0),VLOOKUP(E327,PARAM!G:H,2,0),VLOOKUP(G327,PARAM!P:Q,2,0)),"")</f>
        <v>2632325</v>
      </c>
      <c r="J327" s="1" t="str">
        <f>IFERROR(CONCATENATE("*",VLOOKUP(C327,PARAM!D:E,2,0),VLOOKUP(D327,PARAM!J:K,2,0),VLOOKUP(E327,PARAM!G:H,2,0),VLOOKUP(G327,PARAM!P:Q,2,0),"*"),"")</f>
        <v>*2632325*</v>
      </c>
      <c r="K327" s="1" t="str">
        <f t="shared" si="1"/>
        <v>BUSOS UNISEX ALGODON SIN ESTAMPADO TALLA M</v>
      </c>
      <c r="L327" s="1"/>
    </row>
    <row r="328">
      <c r="A328" s="55">
        <v>46186.0</v>
      </c>
      <c r="B328" s="4" t="s">
        <v>1187</v>
      </c>
      <c r="C328" s="4" t="s">
        <v>1194</v>
      </c>
      <c r="D328" s="4" t="s">
        <v>1101</v>
      </c>
      <c r="E328" s="4" t="s">
        <v>1307</v>
      </c>
      <c r="F328" s="4" t="s">
        <v>1069</v>
      </c>
      <c r="G328" s="60" t="s">
        <v>1165</v>
      </c>
      <c r="H328" s="1" t="s">
        <v>476</v>
      </c>
      <c r="I328" s="1" t="str">
        <f>IFERROR(CONCATENATE(VLOOKUP(C328,PARAM!D:E,2,0),VLOOKUP(D328,PARAM!J:K,2,0),VLOOKUP(E328,PARAM!G:H,2,0),VLOOKUP(G328,PARAM!P:Q,2,0)),"")</f>
        <v>2632323</v>
      </c>
      <c r="J328" s="1" t="str">
        <f>IFERROR(CONCATENATE("*",VLOOKUP(C328,PARAM!D:E,2,0),VLOOKUP(D328,PARAM!J:K,2,0),VLOOKUP(E328,PARAM!G:H,2,0),VLOOKUP(G328,PARAM!P:Q,2,0),"*"),"")</f>
        <v>*2632323*</v>
      </c>
      <c r="K328" s="1" t="str">
        <f t="shared" si="1"/>
        <v>BUSOS UNISEX ALGODON SIN ESTAMPADO TALLA L</v>
      </c>
      <c r="L328" s="1"/>
    </row>
    <row r="329">
      <c r="A329" s="55">
        <v>46186.0</v>
      </c>
      <c r="B329" s="4" t="s">
        <v>1187</v>
      </c>
      <c r="C329" s="4" t="s">
        <v>1194</v>
      </c>
      <c r="D329" s="4" t="s">
        <v>1101</v>
      </c>
      <c r="E329" s="4" t="s">
        <v>1307</v>
      </c>
      <c r="F329" s="4" t="s">
        <v>1069</v>
      </c>
      <c r="G329" s="60" t="s">
        <v>1077</v>
      </c>
      <c r="H329" s="1" t="s">
        <v>476</v>
      </c>
      <c r="I329" s="1" t="str">
        <f>IFERROR(CONCATENATE(VLOOKUP(C329,PARAM!D:E,2,0),VLOOKUP(D329,PARAM!J:K,2,0),VLOOKUP(E329,PARAM!G:H,2,0),VLOOKUP(G329,PARAM!P:Q,2,0)),"")</f>
        <v>2632332</v>
      </c>
      <c r="J329" s="1" t="str">
        <f>IFERROR(CONCATENATE("*",VLOOKUP(C329,PARAM!D:E,2,0),VLOOKUP(D329,PARAM!J:K,2,0),VLOOKUP(E329,PARAM!G:H,2,0),VLOOKUP(G329,PARAM!P:Q,2,0),"*"),"")</f>
        <v>*2632332*</v>
      </c>
      <c r="K329" s="1" t="str">
        <f t="shared" si="1"/>
        <v>BUSOS UNISEX ALGODON SIN ESTAMPADO TALLA XL</v>
      </c>
      <c r="L329" s="1"/>
    </row>
    <row r="330">
      <c r="A330" s="55">
        <v>46186.0</v>
      </c>
      <c r="B330" s="4" t="s">
        <v>1191</v>
      </c>
      <c r="C330" s="4" t="s">
        <v>1171</v>
      </c>
      <c r="D330" s="4" t="s">
        <v>1101</v>
      </c>
      <c r="E330" s="1" t="s">
        <v>1308</v>
      </c>
      <c r="F330" s="4" t="s">
        <v>1069</v>
      </c>
      <c r="G330" s="60" t="s">
        <v>1168</v>
      </c>
      <c r="H330" s="1" t="s">
        <v>476</v>
      </c>
      <c r="I330" s="1" t="str">
        <f>IFERROR(CONCATENATE(VLOOKUP(C330,PARAM!D:E,2,0),VLOOKUP(D330,PARAM!J:K,2,0),VLOOKUP(E330,PARAM!G:H,2,0),VLOOKUP(G330,PARAM!P:Q,2,0)),"")</f>
        <v>11324927</v>
      </c>
      <c r="J330" s="1" t="str">
        <f>IFERROR(CONCATENATE("*",VLOOKUP(C330,PARAM!D:E,2,0),VLOOKUP(D330,PARAM!J:K,2,0),VLOOKUP(E330,PARAM!G:H,2,0),VLOOKUP(G330,PARAM!P:Q,2,0),"*"),"")</f>
        <v>*11324927*</v>
      </c>
      <c r="K330" s="1" t="str">
        <f t="shared" si="1"/>
        <v>CAMISETAS UNISEX SEDA FRÍA TALLA S</v>
      </c>
      <c r="L330" s="1"/>
    </row>
    <row r="331">
      <c r="A331" s="55">
        <v>46186.0</v>
      </c>
      <c r="B331" s="4" t="s">
        <v>1191</v>
      </c>
      <c r="C331" s="4" t="s">
        <v>1171</v>
      </c>
      <c r="D331" s="4" t="s">
        <v>1101</v>
      </c>
      <c r="E331" s="1" t="s">
        <v>1308</v>
      </c>
      <c r="F331" s="4" t="s">
        <v>1069</v>
      </c>
      <c r="G331" s="60" t="s">
        <v>1164</v>
      </c>
      <c r="H331" s="1" t="s">
        <v>476</v>
      </c>
      <c r="I331" s="1" t="str">
        <f>IFERROR(CONCATENATE(VLOOKUP(C331,PARAM!D:E,2,0),VLOOKUP(D331,PARAM!J:K,2,0),VLOOKUP(E331,PARAM!G:H,2,0),VLOOKUP(G331,PARAM!P:Q,2,0)),"")</f>
        <v>11324925</v>
      </c>
      <c r="J331" s="1" t="str">
        <f>IFERROR(CONCATENATE("*",VLOOKUP(C331,PARAM!D:E,2,0),VLOOKUP(D331,PARAM!J:K,2,0),VLOOKUP(E331,PARAM!G:H,2,0),VLOOKUP(G331,PARAM!P:Q,2,0),"*"),"")</f>
        <v>*11324925*</v>
      </c>
      <c r="K331" s="1" t="str">
        <f t="shared" si="1"/>
        <v>CAMISETAS UNISEX SEDA FRÍA TALLA M</v>
      </c>
      <c r="L331" s="1"/>
    </row>
    <row r="332">
      <c r="A332" s="55">
        <v>46186.0</v>
      </c>
      <c r="B332" s="4" t="s">
        <v>1191</v>
      </c>
      <c r="C332" s="4" t="s">
        <v>1171</v>
      </c>
      <c r="D332" s="4" t="s">
        <v>1101</v>
      </c>
      <c r="E332" s="1" t="s">
        <v>1308</v>
      </c>
      <c r="F332" s="4" t="s">
        <v>1069</v>
      </c>
      <c r="G332" s="60" t="s">
        <v>1165</v>
      </c>
      <c r="H332" s="1" t="s">
        <v>476</v>
      </c>
      <c r="I332" s="1" t="str">
        <f>IFERROR(CONCATENATE(VLOOKUP(C332,PARAM!D:E,2,0),VLOOKUP(D332,PARAM!J:K,2,0),VLOOKUP(E332,PARAM!G:H,2,0),VLOOKUP(G332,PARAM!P:Q,2,0)),"")</f>
        <v>11324923</v>
      </c>
      <c r="J332" s="1" t="str">
        <f>IFERROR(CONCATENATE("*",VLOOKUP(C332,PARAM!D:E,2,0),VLOOKUP(D332,PARAM!J:K,2,0),VLOOKUP(E332,PARAM!G:H,2,0),VLOOKUP(G332,PARAM!P:Q,2,0),"*"),"")</f>
        <v>*11324923*</v>
      </c>
      <c r="K332" s="1" t="str">
        <f t="shared" si="1"/>
        <v>CAMISETAS UNISEX SEDA FRÍA TALLA L</v>
      </c>
      <c r="L332" s="1"/>
    </row>
    <row r="333">
      <c r="A333" s="55">
        <v>46186.0</v>
      </c>
      <c r="B333" s="4" t="s">
        <v>1191</v>
      </c>
      <c r="C333" s="4" t="s">
        <v>1171</v>
      </c>
      <c r="D333" s="4" t="s">
        <v>1101</v>
      </c>
      <c r="E333" s="1" t="s">
        <v>1308</v>
      </c>
      <c r="F333" s="4" t="s">
        <v>1069</v>
      </c>
      <c r="G333" s="60" t="s">
        <v>1077</v>
      </c>
      <c r="H333" s="1" t="s">
        <v>476</v>
      </c>
      <c r="I333" s="1" t="str">
        <f>IFERROR(CONCATENATE(VLOOKUP(C333,PARAM!D:E,2,0),VLOOKUP(D333,PARAM!J:K,2,0),VLOOKUP(E333,PARAM!G:H,2,0),VLOOKUP(G333,PARAM!P:Q,2,0)),"")</f>
        <v>11324932</v>
      </c>
      <c r="J333" s="1" t="str">
        <f>IFERROR(CONCATENATE("*",VLOOKUP(C333,PARAM!D:E,2,0),VLOOKUP(D333,PARAM!J:K,2,0),VLOOKUP(E333,PARAM!G:H,2,0),VLOOKUP(G333,PARAM!P:Q,2,0),"*"),"")</f>
        <v>*11324932*</v>
      </c>
      <c r="K333" s="1" t="str">
        <f t="shared" si="1"/>
        <v>CAMISETAS UNISEX SEDA FRÍA TALLA XL</v>
      </c>
      <c r="L333" s="1"/>
    </row>
    <row r="334">
      <c r="A334" s="55">
        <v>46186.0</v>
      </c>
      <c r="B334" s="4" t="s">
        <v>1058</v>
      </c>
      <c r="C334" s="4" t="s">
        <v>1059</v>
      </c>
      <c r="D334" s="4" t="s">
        <v>1060</v>
      </c>
      <c r="E334" s="1" t="s">
        <v>1064</v>
      </c>
      <c r="F334" s="4" t="s">
        <v>1067</v>
      </c>
      <c r="G334" s="60">
        <v>16.0</v>
      </c>
      <c r="H334" s="1" t="s">
        <v>441</v>
      </c>
      <c r="I334" s="1" t="str">
        <f>IFERROR(CONCATENATE(VLOOKUP(C334,PARAM!D:E,2,0),VLOOKUP(D334,PARAM!J:K,2,0),VLOOKUP(E334,PARAM!G:H,2,0),VLOOKUP(G334,PARAM!P:Q,2,0)),"")</f>
        <v>1116</v>
      </c>
      <c r="J334" s="1" t="str">
        <f>IFERROR(CONCATENATE("*",VLOOKUP(C334,PARAM!D:E,2,0),VLOOKUP(D334,PARAM!J:K,2,0),VLOOKUP(E334,PARAM!G:H,2,0),VLOOKUP(G334,PARAM!P:Q,2,0),"*"),"")</f>
        <v>*1116*</v>
      </c>
      <c r="K334" s="1" t="str">
        <f t="shared" si="1"/>
        <v>JEANS DAMA 1 BOTON TALLA 16</v>
      </c>
      <c r="L334" s="1"/>
    </row>
    <row r="335">
      <c r="A335" s="55">
        <v>46186.0</v>
      </c>
      <c r="B335" s="4" t="s">
        <v>1058</v>
      </c>
      <c r="C335" s="4" t="s">
        <v>1059</v>
      </c>
      <c r="D335" s="4" t="s">
        <v>1060</v>
      </c>
      <c r="E335" s="1" t="s">
        <v>1064</v>
      </c>
      <c r="F335" s="4" t="s">
        <v>1067</v>
      </c>
      <c r="G335" s="60">
        <v>8.0</v>
      </c>
      <c r="H335" s="1" t="s">
        <v>441</v>
      </c>
      <c r="I335" s="1" t="str">
        <f>IFERROR(CONCATENATE(VLOOKUP(C335,PARAM!D:E,2,0),VLOOKUP(D335,PARAM!J:K,2,0),VLOOKUP(E335,PARAM!G:H,2,0),VLOOKUP(G335,PARAM!P:Q,2,0)),"")</f>
        <v>1112</v>
      </c>
      <c r="J335" s="1" t="str">
        <f>IFERROR(CONCATENATE("*",VLOOKUP(C335,PARAM!D:E,2,0),VLOOKUP(D335,PARAM!J:K,2,0),VLOOKUP(E335,PARAM!G:H,2,0),VLOOKUP(G335,PARAM!P:Q,2,0),"*"),"")</f>
        <v>*1112*</v>
      </c>
      <c r="K335" s="1" t="str">
        <f t="shared" si="1"/>
        <v>JEANS DAMA 1 BOTON TALLA 8</v>
      </c>
      <c r="L335" s="1"/>
    </row>
    <row r="336">
      <c r="A336" s="55">
        <v>46186.0</v>
      </c>
      <c r="B336" s="4" t="s">
        <v>1058</v>
      </c>
      <c r="C336" s="4" t="s">
        <v>1059</v>
      </c>
      <c r="D336" s="4" t="s">
        <v>1060</v>
      </c>
      <c r="E336" s="1" t="s">
        <v>1061</v>
      </c>
      <c r="F336" s="4" t="s">
        <v>1067</v>
      </c>
      <c r="G336" s="60">
        <v>10.0</v>
      </c>
      <c r="H336" s="1" t="s">
        <v>441</v>
      </c>
      <c r="I336" s="1" t="str">
        <f>IFERROR(CONCATENATE(VLOOKUP(C336,PARAM!D:E,2,0),VLOOKUP(D336,PARAM!J:K,2,0),VLOOKUP(E336,PARAM!G:H,2,0),VLOOKUP(G336,PARAM!P:Q,2,0)),"")</f>
        <v>1143</v>
      </c>
      <c r="J336" s="1" t="str">
        <f>IFERROR(CONCATENATE("*",VLOOKUP(C336,PARAM!D:E,2,0),VLOOKUP(D336,PARAM!J:K,2,0),VLOOKUP(E336,PARAM!G:H,2,0),VLOOKUP(G336,PARAM!P:Q,2,0),"*"),"")</f>
        <v>*1143*</v>
      </c>
      <c r="K336" s="1" t="str">
        <f t="shared" si="1"/>
        <v>JEANS DAMA 4 BOTONES TALLA 10</v>
      </c>
      <c r="L336" s="1"/>
    </row>
    <row r="337">
      <c r="A337" s="55">
        <v>46186.0</v>
      </c>
      <c r="B337" s="4" t="s">
        <v>1058</v>
      </c>
      <c r="C337" s="4" t="s">
        <v>1079</v>
      </c>
      <c r="D337" s="4" t="s">
        <v>1060</v>
      </c>
      <c r="E337" s="4" t="s">
        <v>1309</v>
      </c>
      <c r="F337" s="4" t="s">
        <v>1067</v>
      </c>
      <c r="G337" s="60">
        <v>14.0</v>
      </c>
      <c r="H337" s="1" t="s">
        <v>441</v>
      </c>
      <c r="I337" s="1" t="str">
        <f>IFERROR(CONCATENATE(VLOOKUP(C337,PARAM!D:E,2,0),VLOOKUP(D337,PARAM!J:K,2,0),VLOOKUP(E337,PARAM!G:H,2,0),VLOOKUP(G337,PARAM!P:Q,2,0)),"")</f>
        <v>512395</v>
      </c>
      <c r="J337" s="1" t="str">
        <f>IFERROR(CONCATENATE("*",VLOOKUP(C337,PARAM!D:E,2,0),VLOOKUP(D337,PARAM!J:K,2,0),VLOOKUP(E337,PARAM!G:H,2,0),VLOOKUP(G337,PARAM!P:Q,2,0),"*"),"")</f>
        <v>*512395*</v>
      </c>
      <c r="K337" s="1" t="str">
        <f t="shared" si="1"/>
        <v>BERMUDAS DAMA RODILLA TALLA 14</v>
      </c>
      <c r="L337" s="1"/>
    </row>
    <row r="338">
      <c r="A338" s="55">
        <v>46186.0</v>
      </c>
      <c r="B338" s="4" t="s">
        <v>1058</v>
      </c>
      <c r="C338" s="4" t="s">
        <v>1079</v>
      </c>
      <c r="D338" s="4" t="s">
        <v>1060</v>
      </c>
      <c r="E338" s="4" t="s">
        <v>1309</v>
      </c>
      <c r="F338" s="4" t="s">
        <v>1067</v>
      </c>
      <c r="G338" s="60">
        <v>16.0</v>
      </c>
      <c r="H338" s="1" t="s">
        <v>441</v>
      </c>
      <c r="I338" s="1" t="str">
        <f>IFERROR(CONCATENATE(VLOOKUP(C338,PARAM!D:E,2,0),VLOOKUP(D338,PARAM!J:K,2,0),VLOOKUP(E338,PARAM!G:H,2,0),VLOOKUP(G338,PARAM!P:Q,2,0)),"")</f>
        <v>512396</v>
      </c>
      <c r="J338" s="1" t="str">
        <f>IFERROR(CONCATENATE("*",VLOOKUP(C338,PARAM!D:E,2,0),VLOOKUP(D338,PARAM!J:K,2,0),VLOOKUP(E338,PARAM!G:H,2,0),VLOOKUP(G338,PARAM!P:Q,2,0),"*"),"")</f>
        <v>*512396*</v>
      </c>
      <c r="K338" s="1" t="str">
        <f t="shared" si="1"/>
        <v>BERMUDAS DAMA RODILLA TALLA 16</v>
      </c>
      <c r="L338" s="1"/>
    </row>
    <row r="339">
      <c r="A339" s="55">
        <v>46186.0</v>
      </c>
      <c r="B339" s="4" t="s">
        <v>1058</v>
      </c>
      <c r="C339" s="4" t="s">
        <v>1079</v>
      </c>
      <c r="D339" s="4" t="s">
        <v>1060</v>
      </c>
      <c r="E339" s="4" t="s">
        <v>1309</v>
      </c>
      <c r="F339" s="4" t="s">
        <v>1067</v>
      </c>
      <c r="G339" s="60">
        <v>12.0</v>
      </c>
      <c r="H339" s="1" t="s">
        <v>441</v>
      </c>
      <c r="I339" s="1" t="str">
        <f>IFERROR(CONCATENATE(VLOOKUP(C339,PARAM!D:E,2,0),VLOOKUP(D339,PARAM!J:K,2,0),VLOOKUP(E339,PARAM!G:H,2,0),VLOOKUP(G339,PARAM!P:Q,2,0)),"")</f>
        <v>512394</v>
      </c>
      <c r="J339" s="1" t="str">
        <f>IFERROR(CONCATENATE("*",VLOOKUP(C339,PARAM!D:E,2,0),VLOOKUP(D339,PARAM!J:K,2,0),VLOOKUP(E339,PARAM!G:H,2,0),VLOOKUP(G339,PARAM!P:Q,2,0),"*"),"")</f>
        <v>*512394*</v>
      </c>
      <c r="K339" s="1" t="str">
        <f t="shared" si="1"/>
        <v>BERMUDAS DAMA RODILLA TALLA 12</v>
      </c>
      <c r="L339" s="1"/>
    </row>
    <row r="340">
      <c r="A340" s="55">
        <v>46186.0</v>
      </c>
      <c r="B340" s="4" t="s">
        <v>1058</v>
      </c>
      <c r="C340" s="4" t="s">
        <v>1079</v>
      </c>
      <c r="D340" s="4" t="s">
        <v>1060</v>
      </c>
      <c r="E340" s="4" t="s">
        <v>1309</v>
      </c>
      <c r="F340" s="4" t="s">
        <v>1067</v>
      </c>
      <c r="G340" s="60">
        <v>10.0</v>
      </c>
      <c r="H340" s="1" t="s">
        <v>441</v>
      </c>
      <c r="I340" s="1" t="str">
        <f>IFERROR(CONCATENATE(VLOOKUP(C340,PARAM!D:E,2,0),VLOOKUP(D340,PARAM!J:K,2,0),VLOOKUP(E340,PARAM!G:H,2,0),VLOOKUP(G340,PARAM!P:Q,2,0)),"")</f>
        <v>512393</v>
      </c>
      <c r="J340" s="1" t="str">
        <f>IFERROR(CONCATENATE("*",VLOOKUP(C340,PARAM!D:E,2,0),VLOOKUP(D340,PARAM!J:K,2,0),VLOOKUP(E340,PARAM!G:H,2,0),VLOOKUP(G340,PARAM!P:Q,2,0),"*"),"")</f>
        <v>*512393*</v>
      </c>
      <c r="K340" s="1" t="str">
        <f t="shared" si="1"/>
        <v>BERMUDAS DAMA RODILLA TALLA 10</v>
      </c>
      <c r="L340" s="1"/>
    </row>
    <row r="341">
      <c r="A341" s="55">
        <v>46186.0</v>
      </c>
      <c r="B341" s="4" t="s">
        <v>1187</v>
      </c>
      <c r="C341" s="4" t="s">
        <v>1171</v>
      </c>
      <c r="D341" s="4" t="s">
        <v>1080</v>
      </c>
      <c r="E341" s="4" t="s">
        <v>1310</v>
      </c>
      <c r="F341" s="4" t="s">
        <v>1311</v>
      </c>
      <c r="G341" s="60" t="s">
        <v>1168</v>
      </c>
      <c r="H341" s="1" t="s">
        <v>806</v>
      </c>
      <c r="I341" s="1" t="str">
        <f>IFERROR(CONCATENATE(VLOOKUP(C341,PARAM!D:E,2,0),VLOOKUP(D341,PARAM!J:K,2,0),VLOOKUP(E341,PARAM!G:H,2,0),VLOOKUP(G341,PARAM!P:Q,2,0)),"")</f>
        <v>1128727</v>
      </c>
      <c r="J341" s="1" t="str">
        <f>IFERROR(CONCATENATE("*",VLOOKUP(C341,PARAM!D:E,2,0),VLOOKUP(D341,PARAM!J:K,2,0),VLOOKUP(E341,PARAM!G:H,2,0),VLOOKUP(G341,PARAM!P:Q,2,0),"*"),"")</f>
        <v>*1128727*</v>
      </c>
      <c r="K341" s="1" t="str">
        <f t="shared" si="1"/>
        <v>CAMISETAS CABALLERO COLOMBIA 1.1 LOCAL TALLA S</v>
      </c>
      <c r="L341" s="1"/>
    </row>
    <row r="342">
      <c r="A342" s="55">
        <v>46186.0</v>
      </c>
      <c r="B342" s="4" t="s">
        <v>1187</v>
      </c>
      <c r="C342" s="4" t="s">
        <v>1171</v>
      </c>
      <c r="D342" s="4" t="s">
        <v>1080</v>
      </c>
      <c r="E342" s="4" t="s">
        <v>1310</v>
      </c>
      <c r="F342" s="4" t="s">
        <v>1311</v>
      </c>
      <c r="G342" s="60" t="s">
        <v>1164</v>
      </c>
      <c r="H342" s="1" t="s">
        <v>806</v>
      </c>
      <c r="I342" s="1" t="str">
        <f>IFERROR(CONCATENATE(VLOOKUP(C342,PARAM!D:E,2,0),VLOOKUP(D342,PARAM!J:K,2,0),VLOOKUP(E342,PARAM!G:H,2,0),VLOOKUP(G342,PARAM!P:Q,2,0)),"")</f>
        <v>1128725</v>
      </c>
      <c r="J342" s="1" t="str">
        <f>IFERROR(CONCATENATE("*",VLOOKUP(C342,PARAM!D:E,2,0),VLOOKUP(D342,PARAM!J:K,2,0),VLOOKUP(E342,PARAM!G:H,2,0),VLOOKUP(G342,PARAM!P:Q,2,0),"*"),"")</f>
        <v>*1128725*</v>
      </c>
      <c r="K342" s="1" t="str">
        <f t="shared" si="1"/>
        <v>CAMISETAS CABALLERO COLOMBIA 1.1 LOCAL TALLA M</v>
      </c>
      <c r="L342" s="1"/>
    </row>
    <row r="343">
      <c r="A343" s="55">
        <v>46186.0</v>
      </c>
      <c r="B343" s="4" t="s">
        <v>1187</v>
      </c>
      <c r="C343" s="4" t="s">
        <v>1171</v>
      </c>
      <c r="D343" s="4" t="s">
        <v>1080</v>
      </c>
      <c r="E343" s="4" t="s">
        <v>1310</v>
      </c>
      <c r="F343" s="4" t="s">
        <v>1311</v>
      </c>
      <c r="G343" s="60" t="s">
        <v>1165</v>
      </c>
      <c r="H343" s="1" t="s">
        <v>806</v>
      </c>
      <c r="I343" s="1" t="str">
        <f>IFERROR(CONCATENATE(VLOOKUP(C343,PARAM!D:E,2,0),VLOOKUP(D343,PARAM!J:K,2,0),VLOOKUP(E343,PARAM!G:H,2,0),VLOOKUP(G343,PARAM!P:Q,2,0)),"")</f>
        <v>1128723</v>
      </c>
      <c r="J343" s="1" t="str">
        <f>IFERROR(CONCATENATE("*",VLOOKUP(C343,PARAM!D:E,2,0),VLOOKUP(D343,PARAM!J:K,2,0),VLOOKUP(E343,PARAM!G:H,2,0),VLOOKUP(G343,PARAM!P:Q,2,0),"*"),"")</f>
        <v>*1128723*</v>
      </c>
      <c r="K343" s="1" t="str">
        <f t="shared" si="1"/>
        <v>CAMISETAS CABALLERO COLOMBIA 1.1 LOCAL TALLA L</v>
      </c>
      <c r="L343" s="1"/>
    </row>
    <row r="344">
      <c r="A344" s="55">
        <v>46186.0</v>
      </c>
      <c r="B344" s="4" t="s">
        <v>1187</v>
      </c>
      <c r="C344" s="4" t="s">
        <v>1171</v>
      </c>
      <c r="D344" s="4" t="s">
        <v>1080</v>
      </c>
      <c r="E344" s="4" t="s">
        <v>1310</v>
      </c>
      <c r="F344" s="4" t="s">
        <v>1311</v>
      </c>
      <c r="G344" s="60" t="s">
        <v>1077</v>
      </c>
      <c r="H344" s="1" t="s">
        <v>806</v>
      </c>
      <c r="I344" s="1" t="str">
        <f>IFERROR(CONCATENATE(VLOOKUP(C344,PARAM!D:E,2,0),VLOOKUP(D344,PARAM!J:K,2,0),VLOOKUP(E344,PARAM!G:H,2,0),VLOOKUP(G344,PARAM!P:Q,2,0)),"")</f>
        <v>1128732</v>
      </c>
      <c r="J344" s="1" t="str">
        <f>IFERROR(CONCATENATE("*",VLOOKUP(C344,PARAM!D:E,2,0),VLOOKUP(D344,PARAM!J:K,2,0),VLOOKUP(E344,PARAM!G:H,2,0),VLOOKUP(G344,PARAM!P:Q,2,0),"*"),"")</f>
        <v>*1128732*</v>
      </c>
      <c r="K344" s="1" t="str">
        <f t="shared" si="1"/>
        <v>CAMISETAS CABALLERO COLOMBIA 1.1 LOCAL TALLA XL</v>
      </c>
      <c r="L344" s="1"/>
    </row>
    <row r="345">
      <c r="A345" s="55">
        <v>46186.0</v>
      </c>
      <c r="B345" s="4" t="s">
        <v>1187</v>
      </c>
      <c r="C345" s="4" t="s">
        <v>1171</v>
      </c>
      <c r="D345" s="4" t="s">
        <v>1080</v>
      </c>
      <c r="E345" s="4" t="s">
        <v>1310</v>
      </c>
      <c r="F345" s="4" t="s">
        <v>1311</v>
      </c>
      <c r="G345" s="60" t="s">
        <v>1189</v>
      </c>
      <c r="H345" s="1" t="s">
        <v>806</v>
      </c>
      <c r="I345" s="1" t="str">
        <f>IFERROR(CONCATENATE(VLOOKUP(C345,PARAM!D:E,2,0),VLOOKUP(D345,PARAM!J:K,2,0),VLOOKUP(E345,PARAM!G:H,2,0),VLOOKUP(G345,PARAM!P:Q,2,0)),"")</f>
        <v>1128734</v>
      </c>
      <c r="J345" s="1" t="str">
        <f>IFERROR(CONCATENATE("*",VLOOKUP(C345,PARAM!D:E,2,0),VLOOKUP(D345,PARAM!J:K,2,0),VLOOKUP(E345,PARAM!G:H,2,0),VLOOKUP(G345,PARAM!P:Q,2,0),"*"),"")</f>
        <v>*1128734*</v>
      </c>
      <c r="K345" s="1" t="str">
        <f t="shared" si="1"/>
        <v>CAMISETAS CABALLERO COLOMBIA 1.1 LOCAL TALLA XXL</v>
      </c>
      <c r="L345" s="1"/>
    </row>
    <row r="346">
      <c r="A346" s="55">
        <v>46186.0</v>
      </c>
      <c r="B346" s="4" t="s">
        <v>1187</v>
      </c>
      <c r="C346" s="4" t="s">
        <v>1171</v>
      </c>
      <c r="D346" s="4" t="s">
        <v>1240</v>
      </c>
      <c r="E346" s="4" t="s">
        <v>1312</v>
      </c>
      <c r="F346" s="4" t="s">
        <v>1311</v>
      </c>
      <c r="G346" s="60">
        <v>18.0</v>
      </c>
      <c r="H346" s="1" t="s">
        <v>806</v>
      </c>
      <c r="I346" s="1" t="str">
        <f>IFERROR(CONCATENATE(VLOOKUP(C346,PARAM!D:E,2,0),VLOOKUP(D346,PARAM!J:K,2,0),VLOOKUP(E346,PARAM!G:H,2,0),VLOOKUP(G346,PARAM!P:Q,2,0)),"")</f>
        <v>114887</v>
      </c>
      <c r="J346" s="1" t="str">
        <f>IFERROR(CONCATENATE("*",VLOOKUP(C346,PARAM!D:E,2,0),VLOOKUP(D346,PARAM!J:K,2,0),VLOOKUP(E346,PARAM!G:H,2,0),VLOOKUP(G346,PARAM!P:Q,2,0),"*"),"")</f>
        <v>*114887*</v>
      </c>
      <c r="K346" s="1" t="str">
        <f t="shared" si="1"/>
        <v>CAMISETAS NIÑO COLOMBIA AAA TALLA 18</v>
      </c>
      <c r="L346" s="1"/>
    </row>
    <row r="347">
      <c r="A347" s="55">
        <v>46186.0</v>
      </c>
      <c r="B347" s="4" t="s">
        <v>1187</v>
      </c>
      <c r="C347" s="4" t="s">
        <v>1171</v>
      </c>
      <c r="D347" s="4" t="s">
        <v>1240</v>
      </c>
      <c r="E347" s="4" t="s">
        <v>1312</v>
      </c>
      <c r="F347" s="4" t="s">
        <v>1311</v>
      </c>
      <c r="G347" s="60">
        <v>20.0</v>
      </c>
      <c r="H347" s="1" t="s">
        <v>806</v>
      </c>
      <c r="I347" s="1" t="str">
        <f>IFERROR(CONCATENATE(VLOOKUP(C347,PARAM!D:E,2,0),VLOOKUP(D347,PARAM!J:K,2,0),VLOOKUP(E347,PARAM!G:H,2,0),VLOOKUP(G347,PARAM!P:Q,2,0)),"")</f>
        <v>114888</v>
      </c>
      <c r="J347" s="1" t="str">
        <f>IFERROR(CONCATENATE("*",VLOOKUP(C347,PARAM!D:E,2,0),VLOOKUP(D347,PARAM!J:K,2,0),VLOOKUP(E347,PARAM!G:H,2,0),VLOOKUP(G347,PARAM!P:Q,2,0),"*"),"")</f>
        <v>*114888*</v>
      </c>
      <c r="K347" s="1" t="str">
        <f t="shared" si="1"/>
        <v>CAMISETAS NIÑO COLOMBIA AAA TALLA 20</v>
      </c>
      <c r="L347" s="1"/>
    </row>
    <row r="348">
      <c r="A348" s="55">
        <v>46186.0</v>
      </c>
      <c r="B348" s="4" t="s">
        <v>1187</v>
      </c>
      <c r="C348" s="4" t="s">
        <v>1171</v>
      </c>
      <c r="D348" s="4" t="s">
        <v>1240</v>
      </c>
      <c r="E348" s="4" t="s">
        <v>1312</v>
      </c>
      <c r="F348" s="4" t="s">
        <v>1311</v>
      </c>
      <c r="G348" s="60">
        <v>22.0</v>
      </c>
      <c r="H348" s="1" t="s">
        <v>806</v>
      </c>
      <c r="I348" s="1" t="str">
        <f>IFERROR(CONCATENATE(VLOOKUP(C348,PARAM!D:E,2,0),VLOOKUP(D348,PARAM!J:K,2,0),VLOOKUP(E348,PARAM!G:H,2,0),VLOOKUP(G348,PARAM!P:Q,2,0)),"")</f>
        <v>114889</v>
      </c>
      <c r="J348" s="1" t="str">
        <f>IFERROR(CONCATENATE("*",VLOOKUP(C348,PARAM!D:E,2,0),VLOOKUP(D348,PARAM!J:K,2,0),VLOOKUP(E348,PARAM!G:H,2,0),VLOOKUP(G348,PARAM!P:Q,2,0),"*"),"")</f>
        <v>*114889*</v>
      </c>
      <c r="K348" s="1" t="str">
        <f t="shared" si="1"/>
        <v>CAMISETAS NIÑO COLOMBIA AAA TALLA 22</v>
      </c>
      <c r="L348" s="1"/>
    </row>
    <row r="349">
      <c r="A349" s="55">
        <v>46186.0</v>
      </c>
      <c r="B349" s="4" t="s">
        <v>1187</v>
      </c>
      <c r="C349" s="4" t="s">
        <v>1171</v>
      </c>
      <c r="D349" s="4" t="s">
        <v>1240</v>
      </c>
      <c r="E349" s="4" t="s">
        <v>1312</v>
      </c>
      <c r="F349" s="4" t="s">
        <v>1311</v>
      </c>
      <c r="G349" s="60">
        <v>24.0</v>
      </c>
      <c r="H349" s="1" t="s">
        <v>806</v>
      </c>
      <c r="I349" s="1" t="str">
        <f>IFERROR(CONCATENATE(VLOOKUP(C349,PARAM!D:E,2,0),VLOOKUP(D349,PARAM!J:K,2,0),VLOOKUP(E349,PARAM!G:H,2,0),VLOOKUP(G349,PARAM!P:Q,2,0)),"")</f>
        <v>1148810</v>
      </c>
      <c r="J349" s="1" t="str">
        <f>IFERROR(CONCATENATE("*",VLOOKUP(C349,PARAM!D:E,2,0),VLOOKUP(D349,PARAM!J:K,2,0),VLOOKUP(E349,PARAM!G:H,2,0),VLOOKUP(G349,PARAM!P:Q,2,0),"*"),"")</f>
        <v>*1148810*</v>
      </c>
      <c r="K349" s="1" t="str">
        <f t="shared" si="1"/>
        <v>CAMISETAS NIÑO COLOMBIA AAA TALLA 24</v>
      </c>
      <c r="L349" s="1"/>
    </row>
    <row r="350">
      <c r="A350" s="55">
        <v>46186.0</v>
      </c>
      <c r="B350" s="4" t="s">
        <v>1187</v>
      </c>
      <c r="C350" s="4" t="s">
        <v>1171</v>
      </c>
      <c r="D350" s="4" t="s">
        <v>1240</v>
      </c>
      <c r="E350" s="4" t="s">
        <v>1312</v>
      </c>
      <c r="F350" s="4" t="s">
        <v>1311</v>
      </c>
      <c r="G350" s="60">
        <v>26.0</v>
      </c>
      <c r="H350" s="1" t="s">
        <v>806</v>
      </c>
      <c r="I350" s="1" t="str">
        <f>IFERROR(CONCATENATE(VLOOKUP(C350,PARAM!D:E,2,0),VLOOKUP(D350,PARAM!J:K,2,0),VLOOKUP(E350,PARAM!G:H,2,0),VLOOKUP(G350,PARAM!P:Q,2,0)),"")</f>
        <v>1148811</v>
      </c>
      <c r="J350" s="1" t="str">
        <f>IFERROR(CONCATENATE("*",VLOOKUP(C350,PARAM!D:E,2,0),VLOOKUP(D350,PARAM!J:K,2,0),VLOOKUP(E350,PARAM!G:H,2,0),VLOOKUP(G350,PARAM!P:Q,2,0),"*"),"")</f>
        <v>*1148811*</v>
      </c>
      <c r="K350" s="1" t="str">
        <f t="shared" si="1"/>
        <v>CAMISETAS NIÑO COLOMBIA AAA TALLA 26</v>
      </c>
      <c r="L350" s="1"/>
    </row>
    <row r="351">
      <c r="A351" s="55">
        <v>46186.0</v>
      </c>
      <c r="B351" s="4" t="s">
        <v>1187</v>
      </c>
      <c r="C351" s="4" t="s">
        <v>1171</v>
      </c>
      <c r="D351" s="4" t="s">
        <v>1240</v>
      </c>
      <c r="E351" s="4" t="s">
        <v>1312</v>
      </c>
      <c r="F351" s="4" t="s">
        <v>1311</v>
      </c>
      <c r="G351" s="60">
        <v>28.0</v>
      </c>
      <c r="H351" s="1" t="s">
        <v>806</v>
      </c>
      <c r="I351" s="1" t="str">
        <f>IFERROR(CONCATENATE(VLOOKUP(C351,PARAM!D:E,2,0),VLOOKUP(D351,PARAM!J:K,2,0),VLOOKUP(E351,PARAM!G:H,2,0),VLOOKUP(G351,PARAM!P:Q,2,0)),"")</f>
        <v>1148812</v>
      </c>
      <c r="J351" s="1" t="str">
        <f>IFERROR(CONCATENATE("*",VLOOKUP(C351,PARAM!D:E,2,0),VLOOKUP(D351,PARAM!J:K,2,0),VLOOKUP(E351,PARAM!G:H,2,0),VLOOKUP(G351,PARAM!P:Q,2,0),"*"),"")</f>
        <v>*1148812*</v>
      </c>
      <c r="K351" s="1" t="str">
        <f t="shared" si="1"/>
        <v>CAMISETAS NIÑO COLOMBIA AAA TALLA 28</v>
      </c>
      <c r="L351" s="1"/>
    </row>
    <row r="352">
      <c r="A352" s="55">
        <v>46186.0</v>
      </c>
      <c r="B352" s="4" t="s">
        <v>1187</v>
      </c>
      <c r="C352" s="4" t="s">
        <v>1171</v>
      </c>
      <c r="D352" s="4" t="s">
        <v>1080</v>
      </c>
      <c r="E352" s="4" t="s">
        <v>1312</v>
      </c>
      <c r="F352" s="4" t="s">
        <v>1311</v>
      </c>
      <c r="G352" s="60" t="s">
        <v>1168</v>
      </c>
      <c r="H352" s="1" t="s">
        <v>806</v>
      </c>
      <c r="I352" s="1" t="str">
        <f>IFERROR(CONCATENATE(VLOOKUP(C352,PARAM!D:E,2,0),VLOOKUP(D352,PARAM!J:K,2,0),VLOOKUP(E352,PARAM!G:H,2,0),VLOOKUP(G352,PARAM!P:Q,2,0)),"")</f>
        <v>1128827</v>
      </c>
      <c r="J352" s="1" t="str">
        <f>IFERROR(CONCATENATE("*",VLOOKUP(C352,PARAM!D:E,2,0),VLOOKUP(D352,PARAM!J:K,2,0),VLOOKUP(E352,PARAM!G:H,2,0),VLOOKUP(G352,PARAM!P:Q,2,0),"*"),"")</f>
        <v>*1128827*</v>
      </c>
      <c r="K352" s="1" t="str">
        <f t="shared" si="1"/>
        <v>CAMISETAS CABALLERO COLOMBIA AAA TALLA S</v>
      </c>
      <c r="L352" s="1"/>
    </row>
    <row r="353">
      <c r="A353" s="55">
        <v>46186.0</v>
      </c>
      <c r="B353" s="4" t="s">
        <v>1187</v>
      </c>
      <c r="C353" s="4" t="s">
        <v>1171</v>
      </c>
      <c r="D353" s="4" t="s">
        <v>1080</v>
      </c>
      <c r="E353" s="4" t="s">
        <v>1312</v>
      </c>
      <c r="F353" s="4" t="s">
        <v>1311</v>
      </c>
      <c r="G353" s="60" t="s">
        <v>1164</v>
      </c>
      <c r="H353" s="1" t="s">
        <v>806</v>
      </c>
      <c r="I353" s="1" t="str">
        <f>IFERROR(CONCATENATE(VLOOKUP(C353,PARAM!D:E,2,0),VLOOKUP(D353,PARAM!J:K,2,0),VLOOKUP(E353,PARAM!G:H,2,0),VLOOKUP(G353,PARAM!P:Q,2,0)),"")</f>
        <v>1128825</v>
      </c>
      <c r="J353" s="1" t="str">
        <f>IFERROR(CONCATENATE("*",VLOOKUP(C353,PARAM!D:E,2,0),VLOOKUP(D353,PARAM!J:K,2,0),VLOOKUP(E353,PARAM!G:H,2,0),VLOOKUP(G353,PARAM!P:Q,2,0),"*"),"")</f>
        <v>*1128825*</v>
      </c>
      <c r="K353" s="1" t="str">
        <f t="shared" si="1"/>
        <v>CAMISETAS CABALLERO COLOMBIA AAA TALLA M</v>
      </c>
      <c r="L353" s="1"/>
    </row>
    <row r="354">
      <c r="A354" s="55">
        <v>46186.0</v>
      </c>
      <c r="B354" s="4" t="s">
        <v>1187</v>
      </c>
      <c r="C354" s="4" t="s">
        <v>1171</v>
      </c>
      <c r="D354" s="4" t="s">
        <v>1080</v>
      </c>
      <c r="E354" s="4" t="s">
        <v>1312</v>
      </c>
      <c r="F354" s="4" t="s">
        <v>1311</v>
      </c>
      <c r="G354" s="60" t="s">
        <v>1165</v>
      </c>
      <c r="H354" s="1" t="s">
        <v>806</v>
      </c>
      <c r="I354" s="1" t="str">
        <f>IFERROR(CONCATENATE(VLOOKUP(C354,PARAM!D:E,2,0),VLOOKUP(D354,PARAM!J:K,2,0),VLOOKUP(E354,PARAM!G:H,2,0),VLOOKUP(G354,PARAM!P:Q,2,0)),"")</f>
        <v>1128823</v>
      </c>
      <c r="J354" s="1" t="str">
        <f>IFERROR(CONCATENATE("*",VLOOKUP(C354,PARAM!D:E,2,0),VLOOKUP(D354,PARAM!J:K,2,0),VLOOKUP(E354,PARAM!G:H,2,0),VLOOKUP(G354,PARAM!P:Q,2,0),"*"),"")</f>
        <v>*1128823*</v>
      </c>
      <c r="K354" s="1" t="str">
        <f t="shared" si="1"/>
        <v>CAMISETAS CABALLERO COLOMBIA AAA TALLA L</v>
      </c>
      <c r="L354" s="1"/>
    </row>
    <row r="355">
      <c r="A355" s="55">
        <v>46186.0</v>
      </c>
      <c r="B355" s="4" t="s">
        <v>1187</v>
      </c>
      <c r="C355" s="4" t="s">
        <v>1171</v>
      </c>
      <c r="D355" s="4" t="s">
        <v>1080</v>
      </c>
      <c r="E355" s="4" t="s">
        <v>1312</v>
      </c>
      <c r="F355" s="4" t="s">
        <v>1311</v>
      </c>
      <c r="G355" s="60" t="s">
        <v>1077</v>
      </c>
      <c r="H355" s="1" t="s">
        <v>806</v>
      </c>
      <c r="I355" s="1" t="str">
        <f>IFERROR(CONCATENATE(VLOOKUP(C355,PARAM!D:E,2,0),VLOOKUP(D355,PARAM!J:K,2,0),VLOOKUP(E355,PARAM!G:H,2,0),VLOOKUP(G355,PARAM!P:Q,2,0)),"")</f>
        <v>1128832</v>
      </c>
      <c r="J355" s="1" t="str">
        <f>IFERROR(CONCATENATE("*",VLOOKUP(C355,PARAM!D:E,2,0),VLOOKUP(D355,PARAM!J:K,2,0),VLOOKUP(E355,PARAM!G:H,2,0),VLOOKUP(G355,PARAM!P:Q,2,0),"*"),"")</f>
        <v>*1128832*</v>
      </c>
      <c r="K355" s="1" t="str">
        <f t="shared" si="1"/>
        <v>CAMISETAS CABALLERO COLOMBIA AAA TALLA XL</v>
      </c>
      <c r="L355" s="1"/>
    </row>
    <row r="356">
      <c r="A356" s="55">
        <v>46186.0</v>
      </c>
      <c r="B356" s="4" t="s">
        <v>1187</v>
      </c>
      <c r="C356" s="4" t="s">
        <v>1171</v>
      </c>
      <c r="D356" s="4" t="s">
        <v>1080</v>
      </c>
      <c r="E356" s="4" t="s">
        <v>1312</v>
      </c>
      <c r="F356" s="4" t="s">
        <v>1311</v>
      </c>
      <c r="G356" s="60" t="s">
        <v>1189</v>
      </c>
      <c r="H356" s="1" t="s">
        <v>806</v>
      </c>
      <c r="I356" s="1" t="str">
        <f>IFERROR(CONCATENATE(VLOOKUP(C356,PARAM!D:E,2,0),VLOOKUP(D356,PARAM!J:K,2,0),VLOOKUP(E356,PARAM!G:H,2,0),VLOOKUP(G356,PARAM!P:Q,2,0)),"")</f>
        <v>1128834</v>
      </c>
      <c r="J356" s="1" t="str">
        <f>IFERROR(CONCATENATE("*",VLOOKUP(C356,PARAM!D:E,2,0),VLOOKUP(D356,PARAM!J:K,2,0),VLOOKUP(E356,PARAM!G:H,2,0),VLOOKUP(G356,PARAM!P:Q,2,0),"*"),"")</f>
        <v>*1128834*</v>
      </c>
      <c r="K356" s="1" t="str">
        <f t="shared" si="1"/>
        <v>CAMISETAS CABALLERO COLOMBIA AAA TALLA XXL</v>
      </c>
      <c r="L356" s="1"/>
    </row>
    <row r="357">
      <c r="A357" s="55">
        <v>46186.0</v>
      </c>
      <c r="B357" s="4" t="s">
        <v>1187</v>
      </c>
      <c r="C357" s="4" t="s">
        <v>1171</v>
      </c>
      <c r="D357" s="4" t="s">
        <v>1060</v>
      </c>
      <c r="E357" s="4" t="s">
        <v>1310</v>
      </c>
      <c r="F357" s="4" t="s">
        <v>1311</v>
      </c>
      <c r="G357" s="60" t="s">
        <v>1168</v>
      </c>
      <c r="H357" s="1" t="s">
        <v>806</v>
      </c>
      <c r="I357" s="1" t="str">
        <f>IFERROR(CONCATENATE(VLOOKUP(C357,PARAM!D:E,2,0),VLOOKUP(D357,PARAM!J:K,2,0),VLOOKUP(E357,PARAM!G:H,2,0),VLOOKUP(G357,PARAM!P:Q,2,0)),"")</f>
        <v>1118727</v>
      </c>
      <c r="J357" s="1" t="str">
        <f>IFERROR(CONCATENATE("*",VLOOKUP(C357,PARAM!D:E,2,0),VLOOKUP(D357,PARAM!J:K,2,0),VLOOKUP(E357,PARAM!G:H,2,0),VLOOKUP(G357,PARAM!P:Q,2,0),"*"),"")</f>
        <v>*1118727*</v>
      </c>
      <c r="K357" s="1" t="str">
        <f t="shared" si="1"/>
        <v>CAMISETAS DAMA COLOMBIA 1.1 LOCAL TALLA S</v>
      </c>
      <c r="L357" s="1"/>
    </row>
    <row r="358">
      <c r="A358" s="55">
        <v>46186.0</v>
      </c>
      <c r="B358" s="4" t="s">
        <v>1187</v>
      </c>
      <c r="C358" s="4" t="s">
        <v>1171</v>
      </c>
      <c r="D358" s="4" t="s">
        <v>1060</v>
      </c>
      <c r="E358" s="4" t="s">
        <v>1310</v>
      </c>
      <c r="F358" s="4" t="s">
        <v>1311</v>
      </c>
      <c r="G358" s="60" t="s">
        <v>1164</v>
      </c>
      <c r="H358" s="1" t="s">
        <v>806</v>
      </c>
      <c r="I358" s="1" t="str">
        <f>IFERROR(CONCATENATE(VLOOKUP(C358,PARAM!D:E,2,0),VLOOKUP(D358,PARAM!J:K,2,0),VLOOKUP(E358,PARAM!G:H,2,0),VLOOKUP(G358,PARAM!P:Q,2,0)),"")</f>
        <v>1118725</v>
      </c>
      <c r="J358" s="1" t="str">
        <f>IFERROR(CONCATENATE("*",VLOOKUP(C358,PARAM!D:E,2,0),VLOOKUP(D358,PARAM!J:K,2,0),VLOOKUP(E358,PARAM!G:H,2,0),VLOOKUP(G358,PARAM!P:Q,2,0),"*"),"")</f>
        <v>*1118725*</v>
      </c>
      <c r="K358" s="1" t="str">
        <f t="shared" si="1"/>
        <v>CAMISETAS DAMA COLOMBIA 1.1 LOCAL TALLA M</v>
      </c>
      <c r="L358" s="1"/>
    </row>
    <row r="359">
      <c r="A359" s="55">
        <v>46186.0</v>
      </c>
      <c r="B359" s="4" t="s">
        <v>1187</v>
      </c>
      <c r="C359" s="4" t="s">
        <v>1171</v>
      </c>
      <c r="D359" s="4" t="s">
        <v>1060</v>
      </c>
      <c r="E359" s="4" t="s">
        <v>1310</v>
      </c>
      <c r="F359" s="4" t="s">
        <v>1311</v>
      </c>
      <c r="G359" s="60" t="s">
        <v>1165</v>
      </c>
      <c r="H359" s="1" t="s">
        <v>806</v>
      </c>
      <c r="I359" s="1" t="str">
        <f>IFERROR(CONCATENATE(VLOOKUP(C359,PARAM!D:E,2,0),VLOOKUP(D359,PARAM!J:K,2,0),VLOOKUP(E359,PARAM!G:H,2,0),VLOOKUP(G359,PARAM!P:Q,2,0)),"")</f>
        <v>1118723</v>
      </c>
      <c r="J359" s="1" t="str">
        <f>IFERROR(CONCATENATE("*",VLOOKUP(C359,PARAM!D:E,2,0),VLOOKUP(D359,PARAM!J:K,2,0),VLOOKUP(E359,PARAM!G:H,2,0),VLOOKUP(G359,PARAM!P:Q,2,0),"*"),"")</f>
        <v>*1118723*</v>
      </c>
      <c r="K359" s="1" t="str">
        <f t="shared" si="1"/>
        <v>CAMISETAS DAMA COLOMBIA 1.1 LOCAL TALLA L</v>
      </c>
      <c r="L359" s="1"/>
    </row>
    <row r="360">
      <c r="A360" s="55">
        <v>46186.0</v>
      </c>
      <c r="B360" s="4" t="s">
        <v>1187</v>
      </c>
      <c r="C360" s="4" t="s">
        <v>1171</v>
      </c>
      <c r="D360" s="4" t="s">
        <v>1060</v>
      </c>
      <c r="E360" s="4" t="s">
        <v>1310</v>
      </c>
      <c r="F360" s="4" t="s">
        <v>1311</v>
      </c>
      <c r="G360" s="60" t="s">
        <v>1077</v>
      </c>
      <c r="H360" s="1" t="s">
        <v>806</v>
      </c>
      <c r="I360" s="1" t="str">
        <f>IFERROR(CONCATENATE(VLOOKUP(C360,PARAM!D:E,2,0),VLOOKUP(D360,PARAM!J:K,2,0),VLOOKUP(E360,PARAM!G:H,2,0),VLOOKUP(G360,PARAM!P:Q,2,0)),"")</f>
        <v>1118732</v>
      </c>
      <c r="J360" s="1" t="str">
        <f>IFERROR(CONCATENATE("*",VLOOKUP(C360,PARAM!D:E,2,0),VLOOKUP(D360,PARAM!J:K,2,0),VLOOKUP(E360,PARAM!G:H,2,0),VLOOKUP(G360,PARAM!P:Q,2,0),"*"),"")</f>
        <v>*1118732*</v>
      </c>
      <c r="K360" s="1" t="str">
        <f t="shared" si="1"/>
        <v>CAMISETAS DAMA COLOMBIA 1.1 LOCAL TALLA XL</v>
      </c>
      <c r="L360" s="1"/>
    </row>
    <row r="361">
      <c r="A361" s="55">
        <v>46186.0</v>
      </c>
      <c r="B361" s="4" t="s">
        <v>1187</v>
      </c>
      <c r="C361" s="4" t="s">
        <v>1171</v>
      </c>
      <c r="D361" s="4" t="s">
        <v>1080</v>
      </c>
      <c r="E361" s="4" t="s">
        <v>1313</v>
      </c>
      <c r="F361" s="4" t="s">
        <v>1311</v>
      </c>
      <c r="G361" s="60" t="s">
        <v>1168</v>
      </c>
      <c r="H361" s="1" t="s">
        <v>806</v>
      </c>
      <c r="I361" s="1" t="str">
        <f>IFERROR(CONCATENATE(VLOOKUP(C361,PARAM!D:E,2,0),VLOOKUP(D361,PARAM!J:K,2,0),VLOOKUP(E361,PARAM!G:H,2,0),VLOOKUP(G361,PARAM!P:Q,2,0)),"")</f>
        <v>11215027</v>
      </c>
      <c r="J361" s="1" t="str">
        <f>IFERROR(CONCATENATE("*",VLOOKUP(C361,PARAM!D:E,2,0),VLOOKUP(D361,PARAM!J:K,2,0),VLOOKUP(E361,PARAM!G:H,2,0),VLOOKUP(G361,PARAM!P:Q,2,0),"*"),"")</f>
        <v>*11215027*</v>
      </c>
      <c r="K361" s="1" t="str">
        <f t="shared" si="1"/>
        <v>CAMISETAS CABALLERO ITALIA 90 TALLA S</v>
      </c>
      <c r="L361" s="1"/>
    </row>
    <row r="362">
      <c r="A362" s="55">
        <v>46186.0</v>
      </c>
      <c r="B362" s="4" t="s">
        <v>1187</v>
      </c>
      <c r="C362" s="4" t="s">
        <v>1171</v>
      </c>
      <c r="D362" s="4" t="s">
        <v>1080</v>
      </c>
      <c r="E362" s="4" t="s">
        <v>1313</v>
      </c>
      <c r="F362" s="4" t="s">
        <v>1311</v>
      </c>
      <c r="G362" s="60" t="s">
        <v>1164</v>
      </c>
      <c r="H362" s="1" t="s">
        <v>806</v>
      </c>
      <c r="I362" s="1" t="str">
        <f>IFERROR(CONCATENATE(VLOOKUP(C362,PARAM!D:E,2,0),VLOOKUP(D362,PARAM!J:K,2,0),VLOOKUP(E362,PARAM!G:H,2,0),VLOOKUP(G362,PARAM!P:Q,2,0)),"")</f>
        <v>11215025</v>
      </c>
      <c r="J362" s="1" t="str">
        <f>IFERROR(CONCATENATE("*",VLOOKUP(C362,PARAM!D:E,2,0),VLOOKUP(D362,PARAM!J:K,2,0),VLOOKUP(E362,PARAM!G:H,2,0),VLOOKUP(G362,PARAM!P:Q,2,0),"*"),"")</f>
        <v>*11215025*</v>
      </c>
      <c r="K362" s="1" t="str">
        <f t="shared" si="1"/>
        <v>CAMISETAS CABALLERO ITALIA 90 TALLA M</v>
      </c>
      <c r="L362" s="1"/>
    </row>
    <row r="363">
      <c r="A363" s="55">
        <v>46186.0</v>
      </c>
      <c r="B363" s="4" t="s">
        <v>1187</v>
      </c>
      <c r="C363" s="4" t="s">
        <v>1171</v>
      </c>
      <c r="D363" s="4" t="s">
        <v>1080</v>
      </c>
      <c r="E363" s="4" t="s">
        <v>1313</v>
      </c>
      <c r="F363" s="4" t="s">
        <v>1311</v>
      </c>
      <c r="G363" s="60" t="s">
        <v>1165</v>
      </c>
      <c r="H363" s="1" t="s">
        <v>806</v>
      </c>
      <c r="I363" s="1" t="str">
        <f>IFERROR(CONCATENATE(VLOOKUP(C363,PARAM!D:E,2,0),VLOOKUP(D363,PARAM!J:K,2,0),VLOOKUP(E363,PARAM!G:H,2,0),VLOOKUP(G363,PARAM!P:Q,2,0)),"")</f>
        <v>11215023</v>
      </c>
      <c r="J363" s="1" t="str">
        <f>IFERROR(CONCATENATE("*",VLOOKUP(C363,PARAM!D:E,2,0),VLOOKUP(D363,PARAM!J:K,2,0),VLOOKUP(E363,PARAM!G:H,2,0),VLOOKUP(G363,PARAM!P:Q,2,0),"*"),"")</f>
        <v>*11215023*</v>
      </c>
      <c r="K363" s="1" t="str">
        <f t="shared" si="1"/>
        <v>CAMISETAS CABALLERO ITALIA 90 TALLA L</v>
      </c>
      <c r="L363" s="1"/>
    </row>
    <row r="364">
      <c r="A364" s="55">
        <v>46186.0</v>
      </c>
      <c r="B364" s="4" t="s">
        <v>1187</v>
      </c>
      <c r="C364" s="4" t="s">
        <v>1171</v>
      </c>
      <c r="D364" s="4" t="s">
        <v>1080</v>
      </c>
      <c r="E364" s="4" t="s">
        <v>1313</v>
      </c>
      <c r="F364" s="4" t="s">
        <v>1311</v>
      </c>
      <c r="G364" s="60" t="s">
        <v>1077</v>
      </c>
      <c r="H364" s="1" t="s">
        <v>806</v>
      </c>
      <c r="I364" s="1" t="str">
        <f>IFERROR(CONCATENATE(VLOOKUP(C364,PARAM!D:E,2,0),VLOOKUP(D364,PARAM!J:K,2,0),VLOOKUP(E364,PARAM!G:H,2,0),VLOOKUP(G364,PARAM!P:Q,2,0)),"")</f>
        <v>11215032</v>
      </c>
      <c r="J364" s="1" t="str">
        <f>IFERROR(CONCATENATE("*",VLOOKUP(C364,PARAM!D:E,2,0),VLOOKUP(D364,PARAM!J:K,2,0),VLOOKUP(E364,PARAM!G:H,2,0),VLOOKUP(G364,PARAM!P:Q,2,0),"*"),"")</f>
        <v>*11215032*</v>
      </c>
      <c r="K364" s="1" t="str">
        <f t="shared" si="1"/>
        <v>CAMISETAS CABALLERO ITALIA 90 TALLA XL</v>
      </c>
      <c r="L364" s="1"/>
    </row>
    <row r="365">
      <c r="A365" s="55">
        <v>46186.0</v>
      </c>
      <c r="B365" s="4" t="s">
        <v>1187</v>
      </c>
      <c r="C365" s="4" t="s">
        <v>1171</v>
      </c>
      <c r="D365" s="4" t="s">
        <v>1080</v>
      </c>
      <c r="E365" s="4" t="s">
        <v>1312</v>
      </c>
      <c r="F365" s="4" t="s">
        <v>1067</v>
      </c>
      <c r="G365" s="60" t="s">
        <v>1164</v>
      </c>
      <c r="H365" s="1" t="s">
        <v>806</v>
      </c>
      <c r="I365" s="1" t="str">
        <f>IFERROR(CONCATENATE(VLOOKUP(C365,PARAM!D:E,2,0),VLOOKUP(D365,PARAM!J:K,2,0),VLOOKUP(E365,PARAM!G:H,2,0),VLOOKUP(G365,PARAM!P:Q,2,0)),"")</f>
        <v>1128825</v>
      </c>
      <c r="J365" s="1" t="str">
        <f>IFERROR(CONCATENATE("*",VLOOKUP(C365,PARAM!D:E,2,0),VLOOKUP(D365,PARAM!J:K,2,0),VLOOKUP(E365,PARAM!G:H,2,0),VLOOKUP(G365,PARAM!P:Q,2,0),"*"),"")</f>
        <v>*1128825*</v>
      </c>
      <c r="K365" s="1" t="str">
        <f t="shared" si="1"/>
        <v>CAMISETAS CABALLERO COLOMBIA AAA TALLA M</v>
      </c>
      <c r="L365" s="1"/>
    </row>
    <row r="366">
      <c r="A366" s="55">
        <v>46186.0</v>
      </c>
      <c r="B366" s="4" t="s">
        <v>1187</v>
      </c>
      <c r="C366" s="4" t="s">
        <v>1171</v>
      </c>
      <c r="D366" s="4" t="s">
        <v>1080</v>
      </c>
      <c r="E366" s="4" t="s">
        <v>1312</v>
      </c>
      <c r="F366" s="4" t="s">
        <v>1067</v>
      </c>
      <c r="G366" s="60" t="s">
        <v>1165</v>
      </c>
      <c r="H366" s="1" t="s">
        <v>806</v>
      </c>
      <c r="I366" s="1" t="str">
        <f>IFERROR(CONCATENATE(VLOOKUP(C366,PARAM!D:E,2,0),VLOOKUP(D366,PARAM!J:K,2,0),VLOOKUP(E366,PARAM!G:H,2,0),VLOOKUP(G366,PARAM!P:Q,2,0)),"")</f>
        <v>1128823</v>
      </c>
      <c r="J366" s="1" t="str">
        <f>IFERROR(CONCATENATE("*",VLOOKUP(C366,PARAM!D:E,2,0),VLOOKUP(D366,PARAM!J:K,2,0),VLOOKUP(E366,PARAM!G:H,2,0),VLOOKUP(G366,PARAM!P:Q,2,0),"*"),"")</f>
        <v>*1128823*</v>
      </c>
      <c r="K366" s="1" t="str">
        <f t="shared" si="1"/>
        <v>CAMISETAS CABALLERO COLOMBIA AAA TALLA L</v>
      </c>
      <c r="L366" s="1"/>
    </row>
    <row r="367">
      <c r="A367" s="55">
        <v>46186.0</v>
      </c>
      <c r="B367" s="4" t="s">
        <v>1187</v>
      </c>
      <c r="C367" s="4" t="s">
        <v>1171</v>
      </c>
      <c r="D367" s="4" t="s">
        <v>1080</v>
      </c>
      <c r="E367" s="4" t="s">
        <v>1312</v>
      </c>
      <c r="F367" s="4" t="s">
        <v>1067</v>
      </c>
      <c r="G367" s="60" t="s">
        <v>1077</v>
      </c>
      <c r="H367" s="1" t="s">
        <v>806</v>
      </c>
      <c r="I367" s="1" t="str">
        <f>IFERROR(CONCATENATE(VLOOKUP(C367,PARAM!D:E,2,0),VLOOKUP(D367,PARAM!J:K,2,0),VLOOKUP(E367,PARAM!G:H,2,0),VLOOKUP(G367,PARAM!P:Q,2,0)),"")</f>
        <v>1128832</v>
      </c>
      <c r="J367" s="1" t="str">
        <f>IFERROR(CONCATENATE("*",VLOOKUP(C367,PARAM!D:E,2,0),VLOOKUP(D367,PARAM!J:K,2,0),VLOOKUP(E367,PARAM!G:H,2,0),VLOOKUP(G367,PARAM!P:Q,2,0),"*"),"")</f>
        <v>*1128832*</v>
      </c>
      <c r="K367" s="1" t="str">
        <f t="shared" si="1"/>
        <v>CAMISETAS CABALLERO COLOMBIA AAA TALLA XL</v>
      </c>
      <c r="L367" s="1"/>
    </row>
    <row r="368">
      <c r="A368" s="55">
        <v>46186.0</v>
      </c>
      <c r="B368" s="4" t="s">
        <v>1187</v>
      </c>
      <c r="C368" s="4" t="s">
        <v>1171</v>
      </c>
      <c r="D368" s="4" t="s">
        <v>1240</v>
      </c>
      <c r="E368" s="4" t="s">
        <v>1312</v>
      </c>
      <c r="F368" s="4" t="s">
        <v>1066</v>
      </c>
      <c r="G368" s="60">
        <v>18.0</v>
      </c>
      <c r="H368" s="1" t="s">
        <v>806</v>
      </c>
      <c r="I368" s="1" t="str">
        <f>IFERROR(CONCATENATE(VLOOKUP(C368,PARAM!D:E,2,0),VLOOKUP(D368,PARAM!J:K,2,0),VLOOKUP(E368,PARAM!G:H,2,0),VLOOKUP(G368,PARAM!P:Q,2,0)),"")</f>
        <v>114887</v>
      </c>
      <c r="J368" s="1" t="str">
        <f>IFERROR(CONCATENATE("*",VLOOKUP(C368,PARAM!D:E,2,0),VLOOKUP(D368,PARAM!J:K,2,0),VLOOKUP(E368,PARAM!G:H,2,0),VLOOKUP(G368,PARAM!P:Q,2,0),"*"),"")</f>
        <v>*114887*</v>
      </c>
      <c r="K368" s="1" t="str">
        <f t="shared" si="1"/>
        <v>CAMISETAS NIÑO COLOMBIA AAA TALLA 18</v>
      </c>
      <c r="L368" s="1"/>
    </row>
    <row r="369">
      <c r="A369" s="55">
        <v>46186.0</v>
      </c>
      <c r="B369" s="4" t="s">
        <v>1187</v>
      </c>
      <c r="C369" s="4" t="s">
        <v>1171</v>
      </c>
      <c r="D369" s="4" t="s">
        <v>1240</v>
      </c>
      <c r="E369" s="4" t="s">
        <v>1312</v>
      </c>
      <c r="F369" s="4" t="s">
        <v>1066</v>
      </c>
      <c r="G369" s="60">
        <v>22.0</v>
      </c>
      <c r="H369" s="1" t="s">
        <v>806</v>
      </c>
      <c r="I369" s="1" t="str">
        <f>IFERROR(CONCATENATE(VLOOKUP(C369,PARAM!D:E,2,0),VLOOKUP(D369,PARAM!J:K,2,0),VLOOKUP(E369,PARAM!G:H,2,0),VLOOKUP(G369,PARAM!P:Q,2,0)),"")</f>
        <v>114889</v>
      </c>
      <c r="J369" s="1" t="str">
        <f>IFERROR(CONCATENATE("*",VLOOKUP(C369,PARAM!D:E,2,0),VLOOKUP(D369,PARAM!J:K,2,0),VLOOKUP(E369,PARAM!G:H,2,0),VLOOKUP(G369,PARAM!P:Q,2,0),"*"),"")</f>
        <v>*114889*</v>
      </c>
      <c r="K369" s="1" t="str">
        <f t="shared" si="1"/>
        <v>CAMISETAS NIÑO COLOMBIA AAA TALLA 22</v>
      </c>
      <c r="L369" s="1"/>
    </row>
    <row r="370">
      <c r="A370" s="55">
        <v>46186.0</v>
      </c>
      <c r="B370" s="4" t="s">
        <v>1187</v>
      </c>
      <c r="C370" s="4" t="s">
        <v>1171</v>
      </c>
      <c r="D370" s="4" t="s">
        <v>1240</v>
      </c>
      <c r="E370" s="4" t="s">
        <v>1312</v>
      </c>
      <c r="F370" s="4" t="s">
        <v>1066</v>
      </c>
      <c r="G370" s="60">
        <v>24.0</v>
      </c>
      <c r="H370" s="1" t="s">
        <v>806</v>
      </c>
      <c r="I370" s="1" t="str">
        <f>IFERROR(CONCATENATE(VLOOKUP(C370,PARAM!D:E,2,0),VLOOKUP(D370,PARAM!J:K,2,0),VLOOKUP(E370,PARAM!G:H,2,0),VLOOKUP(G370,PARAM!P:Q,2,0)),"")</f>
        <v>1148810</v>
      </c>
      <c r="J370" s="1" t="str">
        <f>IFERROR(CONCATENATE("*",VLOOKUP(C370,PARAM!D:E,2,0),VLOOKUP(D370,PARAM!J:K,2,0),VLOOKUP(E370,PARAM!G:H,2,0),VLOOKUP(G370,PARAM!P:Q,2,0),"*"),"")</f>
        <v>*1148810*</v>
      </c>
      <c r="K370" s="1" t="str">
        <f t="shared" si="1"/>
        <v>CAMISETAS NIÑO COLOMBIA AAA TALLA 24</v>
      </c>
      <c r="L370" s="1"/>
    </row>
    <row r="371">
      <c r="A371" s="55">
        <v>46186.0</v>
      </c>
      <c r="B371" s="4" t="s">
        <v>1187</v>
      </c>
      <c r="C371" s="4" t="s">
        <v>1171</v>
      </c>
      <c r="D371" s="4" t="s">
        <v>1240</v>
      </c>
      <c r="E371" s="4" t="s">
        <v>1312</v>
      </c>
      <c r="F371" s="4" t="s">
        <v>1066</v>
      </c>
      <c r="G371" s="60">
        <v>26.0</v>
      </c>
      <c r="H371" s="1" t="s">
        <v>806</v>
      </c>
      <c r="I371" s="1" t="str">
        <f>IFERROR(CONCATENATE(VLOOKUP(C371,PARAM!D:E,2,0),VLOOKUP(D371,PARAM!J:K,2,0),VLOOKUP(E371,PARAM!G:H,2,0),VLOOKUP(G371,PARAM!P:Q,2,0)),"")</f>
        <v>1148811</v>
      </c>
      <c r="J371" s="1" t="str">
        <f>IFERROR(CONCATENATE("*",VLOOKUP(C371,PARAM!D:E,2,0),VLOOKUP(D371,PARAM!J:K,2,0),VLOOKUP(E371,PARAM!G:H,2,0),VLOOKUP(G371,PARAM!P:Q,2,0),"*"),"")</f>
        <v>*1148811*</v>
      </c>
      <c r="K371" s="1" t="str">
        <f t="shared" si="1"/>
        <v>CAMISETAS NIÑO COLOMBIA AAA TALLA 26</v>
      </c>
      <c r="L371" s="1"/>
    </row>
    <row r="372">
      <c r="A372" s="55">
        <v>46186.0</v>
      </c>
      <c r="B372" s="4" t="s">
        <v>1187</v>
      </c>
      <c r="C372" s="4" t="s">
        <v>1171</v>
      </c>
      <c r="D372" s="4" t="s">
        <v>1240</v>
      </c>
      <c r="E372" s="4" t="s">
        <v>1312</v>
      </c>
      <c r="F372" s="4" t="s">
        <v>1066</v>
      </c>
      <c r="G372" s="60">
        <v>28.0</v>
      </c>
      <c r="H372" s="1" t="s">
        <v>806</v>
      </c>
      <c r="I372" s="1" t="str">
        <f>IFERROR(CONCATENATE(VLOOKUP(C372,PARAM!D:E,2,0),VLOOKUP(D372,PARAM!J:K,2,0),VLOOKUP(E372,PARAM!G:H,2,0),VLOOKUP(G372,PARAM!P:Q,2,0)),"")</f>
        <v>1148812</v>
      </c>
      <c r="J372" s="1" t="str">
        <f>IFERROR(CONCATENATE("*",VLOOKUP(C372,PARAM!D:E,2,0),VLOOKUP(D372,PARAM!J:K,2,0),VLOOKUP(E372,PARAM!G:H,2,0),VLOOKUP(G372,PARAM!P:Q,2,0),"*"),"")</f>
        <v>*1148812*</v>
      </c>
      <c r="K372" s="1" t="str">
        <f t="shared" si="1"/>
        <v>CAMISETAS NIÑO COLOMBIA AAA TALLA 28</v>
      </c>
      <c r="L372" s="1"/>
    </row>
    <row r="373">
      <c r="A373" s="55">
        <v>46186.0</v>
      </c>
      <c r="B373" s="4" t="s">
        <v>1187</v>
      </c>
      <c r="C373" s="4" t="s">
        <v>1314</v>
      </c>
      <c r="D373" s="4" t="s">
        <v>1080</v>
      </c>
      <c r="E373" s="4" t="s">
        <v>1315</v>
      </c>
      <c r="F373" s="4" t="s">
        <v>1084</v>
      </c>
      <c r="G373" s="60" t="s">
        <v>1168</v>
      </c>
      <c r="H373" s="1" t="s">
        <v>831</v>
      </c>
      <c r="I373" s="1" t="str">
        <f>IFERROR(CONCATENATE(VLOOKUP(C373,PARAM!D:E,2,0),VLOOKUP(D373,PARAM!J:K,2,0),VLOOKUP(E373,PARAM!G:H,2,0),VLOOKUP(G373,PARAM!P:Q,2,0)),"")</f>
        <v>4025127</v>
      </c>
      <c r="J373" s="1" t="str">
        <f>IFERROR(CONCATENATE("*",VLOOKUP(C373,PARAM!D:E,2,0),VLOOKUP(D373,PARAM!J:K,2,0),VLOOKUP(E373,PARAM!G:H,2,0),VLOOKUP(G373,PARAM!P:Q,2,0),"*"),"")</f>
        <v>*4025127*</v>
      </c>
      <c r="K373" s="1" t="str">
        <f t="shared" si="1"/>
        <v>CONJUNTO CABALLERO BRASIL AAA TALLA S</v>
      </c>
      <c r="L373" s="1"/>
    </row>
    <row r="374">
      <c r="A374" s="55">
        <v>46186.0</v>
      </c>
      <c r="B374" s="4" t="s">
        <v>1187</v>
      </c>
      <c r="C374" s="4" t="s">
        <v>1314</v>
      </c>
      <c r="D374" s="4" t="s">
        <v>1080</v>
      </c>
      <c r="E374" s="4" t="s">
        <v>1315</v>
      </c>
      <c r="F374" s="4" t="s">
        <v>1084</v>
      </c>
      <c r="G374" s="60" t="s">
        <v>1164</v>
      </c>
      <c r="H374" s="1" t="s">
        <v>831</v>
      </c>
      <c r="I374" s="1" t="str">
        <f>IFERROR(CONCATENATE(VLOOKUP(C374,PARAM!D:E,2,0),VLOOKUP(D374,PARAM!J:K,2,0),VLOOKUP(E374,PARAM!G:H,2,0),VLOOKUP(G374,PARAM!P:Q,2,0)),"")</f>
        <v>4025125</v>
      </c>
      <c r="J374" s="1" t="str">
        <f>IFERROR(CONCATENATE("*",VLOOKUP(C374,PARAM!D:E,2,0),VLOOKUP(D374,PARAM!J:K,2,0),VLOOKUP(E374,PARAM!G:H,2,0),VLOOKUP(G374,PARAM!P:Q,2,0),"*"),"")</f>
        <v>*4025125*</v>
      </c>
      <c r="K374" s="1" t="str">
        <f t="shared" si="1"/>
        <v>CONJUNTO CABALLERO BRASIL AAA TALLA M</v>
      </c>
      <c r="L374" s="1"/>
    </row>
    <row r="375">
      <c r="A375" s="55">
        <v>46186.0</v>
      </c>
      <c r="B375" s="4" t="s">
        <v>1187</v>
      </c>
      <c r="C375" s="4" t="s">
        <v>1314</v>
      </c>
      <c r="D375" s="4" t="s">
        <v>1080</v>
      </c>
      <c r="E375" s="4" t="s">
        <v>1315</v>
      </c>
      <c r="F375" s="4" t="s">
        <v>1084</v>
      </c>
      <c r="G375" s="60" t="s">
        <v>1165</v>
      </c>
      <c r="H375" s="1" t="s">
        <v>831</v>
      </c>
      <c r="I375" s="1" t="str">
        <f>IFERROR(CONCATENATE(VLOOKUP(C375,PARAM!D:E,2,0),VLOOKUP(D375,PARAM!J:K,2,0),VLOOKUP(E375,PARAM!G:H,2,0),VLOOKUP(G375,PARAM!P:Q,2,0)),"")</f>
        <v>4025123</v>
      </c>
      <c r="J375" s="1" t="str">
        <f>IFERROR(CONCATENATE("*",VLOOKUP(C375,PARAM!D:E,2,0),VLOOKUP(D375,PARAM!J:K,2,0),VLOOKUP(E375,PARAM!G:H,2,0),VLOOKUP(G375,PARAM!P:Q,2,0),"*"),"")</f>
        <v>*4025123*</v>
      </c>
      <c r="K375" s="1" t="str">
        <f t="shared" si="1"/>
        <v>CONJUNTO CABALLERO BRASIL AAA TALLA L</v>
      </c>
      <c r="L375" s="1"/>
    </row>
    <row r="376">
      <c r="A376" s="55">
        <v>46186.0</v>
      </c>
      <c r="B376" s="4" t="s">
        <v>1187</v>
      </c>
      <c r="C376" s="4" t="s">
        <v>1314</v>
      </c>
      <c r="D376" s="4" t="s">
        <v>1080</v>
      </c>
      <c r="E376" s="4" t="s">
        <v>1315</v>
      </c>
      <c r="F376" s="4" t="s">
        <v>1084</v>
      </c>
      <c r="G376" s="60" t="s">
        <v>1077</v>
      </c>
      <c r="H376" s="1" t="s">
        <v>831</v>
      </c>
      <c r="I376" s="1" t="str">
        <f>IFERROR(CONCATENATE(VLOOKUP(C376,PARAM!D:E,2,0),VLOOKUP(D376,PARAM!J:K,2,0),VLOOKUP(E376,PARAM!G:H,2,0),VLOOKUP(G376,PARAM!P:Q,2,0)),"")</f>
        <v>4025132</v>
      </c>
      <c r="J376" s="1" t="str">
        <f>IFERROR(CONCATENATE("*",VLOOKUP(C376,PARAM!D:E,2,0),VLOOKUP(D376,PARAM!J:K,2,0),VLOOKUP(E376,PARAM!G:H,2,0),VLOOKUP(G376,PARAM!P:Q,2,0),"*"),"")</f>
        <v>*4025132*</v>
      </c>
      <c r="K376" s="1" t="str">
        <f t="shared" si="1"/>
        <v>CONJUNTO CABALLERO BRASIL AAA TALLA XL</v>
      </c>
      <c r="L376" s="1"/>
    </row>
    <row r="377">
      <c r="A377" s="55">
        <v>46186.0</v>
      </c>
      <c r="B377" s="4" t="s">
        <v>1187</v>
      </c>
      <c r="C377" s="4" t="s">
        <v>1314</v>
      </c>
      <c r="D377" s="4" t="s">
        <v>1080</v>
      </c>
      <c r="E377" s="4" t="s">
        <v>1315</v>
      </c>
      <c r="F377" s="4" t="s">
        <v>1084</v>
      </c>
      <c r="G377" s="60" t="s">
        <v>1189</v>
      </c>
      <c r="H377" s="1" t="s">
        <v>831</v>
      </c>
      <c r="I377" s="1" t="str">
        <f>IFERROR(CONCATENATE(VLOOKUP(C377,PARAM!D:E,2,0),VLOOKUP(D377,PARAM!J:K,2,0),VLOOKUP(E377,PARAM!G:H,2,0),VLOOKUP(G377,PARAM!P:Q,2,0)),"")</f>
        <v>4025134</v>
      </c>
      <c r="J377" s="1" t="str">
        <f>IFERROR(CONCATENATE("*",VLOOKUP(C377,PARAM!D:E,2,0),VLOOKUP(D377,PARAM!J:K,2,0),VLOOKUP(E377,PARAM!G:H,2,0),VLOOKUP(G377,PARAM!P:Q,2,0),"*"),"")</f>
        <v>*4025134*</v>
      </c>
      <c r="K377" s="1" t="str">
        <f t="shared" si="1"/>
        <v>CONJUNTO CABALLERO BRASIL AAA TALLA XXL</v>
      </c>
      <c r="L377" s="1"/>
    </row>
    <row r="378">
      <c r="A378" s="55">
        <v>46186.0</v>
      </c>
      <c r="B378" s="4" t="s">
        <v>1187</v>
      </c>
      <c r="C378" s="4" t="s">
        <v>1314</v>
      </c>
      <c r="D378" s="4" t="s">
        <v>1080</v>
      </c>
      <c r="E378" s="4" t="s">
        <v>1316</v>
      </c>
      <c r="F378" s="4" t="s">
        <v>1122</v>
      </c>
      <c r="G378" s="60" t="s">
        <v>1168</v>
      </c>
      <c r="H378" s="1" t="s">
        <v>837</v>
      </c>
      <c r="I378" s="1" t="str">
        <f>IFERROR(CONCATENATE(VLOOKUP(C378,PARAM!D:E,2,0),VLOOKUP(D378,PARAM!J:K,2,0),VLOOKUP(E378,PARAM!G:H,2,0),VLOOKUP(G378,PARAM!P:Q,2,0)),"")</f>
        <v>40222327</v>
      </c>
      <c r="J378" s="1" t="str">
        <f>IFERROR(CONCATENATE("*",VLOOKUP(C378,PARAM!D:E,2,0),VLOOKUP(D378,PARAM!J:K,2,0),VLOOKUP(E378,PARAM!G:H,2,0),VLOOKUP(G378,PARAM!P:Q,2,0),"*"),"")</f>
        <v>*40222327*</v>
      </c>
      <c r="K378" s="1" t="str">
        <f t="shared" si="1"/>
        <v>CONJUNTO CABALLERO PORTUGAL AAA TALLA S</v>
      </c>
      <c r="L378" s="1"/>
    </row>
    <row r="379">
      <c r="A379" s="55">
        <v>46186.0</v>
      </c>
      <c r="B379" s="4" t="s">
        <v>1187</v>
      </c>
      <c r="C379" s="4" t="s">
        <v>1314</v>
      </c>
      <c r="D379" s="4" t="s">
        <v>1080</v>
      </c>
      <c r="E379" s="4" t="s">
        <v>1316</v>
      </c>
      <c r="F379" s="4" t="s">
        <v>1122</v>
      </c>
      <c r="G379" s="60" t="s">
        <v>1164</v>
      </c>
      <c r="H379" s="1" t="s">
        <v>837</v>
      </c>
      <c r="I379" s="1" t="str">
        <f>IFERROR(CONCATENATE(VLOOKUP(C379,PARAM!D:E,2,0),VLOOKUP(D379,PARAM!J:K,2,0),VLOOKUP(E379,PARAM!G:H,2,0),VLOOKUP(G379,PARAM!P:Q,2,0)),"")</f>
        <v>40222325</v>
      </c>
      <c r="J379" s="1" t="str">
        <f>IFERROR(CONCATENATE("*",VLOOKUP(C379,PARAM!D:E,2,0),VLOOKUP(D379,PARAM!J:K,2,0),VLOOKUP(E379,PARAM!G:H,2,0),VLOOKUP(G379,PARAM!P:Q,2,0),"*"),"")</f>
        <v>*40222325*</v>
      </c>
      <c r="K379" s="1" t="str">
        <f t="shared" si="1"/>
        <v>CONJUNTO CABALLERO PORTUGAL AAA TALLA M</v>
      </c>
      <c r="L379" s="1"/>
    </row>
    <row r="380">
      <c r="A380" s="55">
        <v>46186.0</v>
      </c>
      <c r="B380" s="4" t="s">
        <v>1187</v>
      </c>
      <c r="C380" s="4" t="s">
        <v>1314</v>
      </c>
      <c r="D380" s="4" t="s">
        <v>1080</v>
      </c>
      <c r="E380" s="4" t="s">
        <v>1316</v>
      </c>
      <c r="F380" s="4" t="s">
        <v>1122</v>
      </c>
      <c r="G380" s="60" t="s">
        <v>1165</v>
      </c>
      <c r="H380" s="1" t="s">
        <v>837</v>
      </c>
      <c r="I380" s="1" t="str">
        <f>IFERROR(CONCATENATE(VLOOKUP(C380,PARAM!D:E,2,0),VLOOKUP(D380,PARAM!J:K,2,0),VLOOKUP(E380,PARAM!G:H,2,0),VLOOKUP(G380,PARAM!P:Q,2,0)),"")</f>
        <v>40222323</v>
      </c>
      <c r="J380" s="1" t="str">
        <f>IFERROR(CONCATENATE("*",VLOOKUP(C380,PARAM!D:E,2,0),VLOOKUP(D380,PARAM!J:K,2,0),VLOOKUP(E380,PARAM!G:H,2,0),VLOOKUP(G380,PARAM!P:Q,2,0),"*"),"")</f>
        <v>*40222323*</v>
      </c>
      <c r="K380" s="1" t="str">
        <f t="shared" si="1"/>
        <v>CONJUNTO CABALLERO PORTUGAL AAA TALLA L</v>
      </c>
      <c r="L380" s="1"/>
    </row>
    <row r="381">
      <c r="A381" s="55">
        <v>46186.0</v>
      </c>
      <c r="B381" s="4" t="s">
        <v>1187</v>
      </c>
      <c r="C381" s="4" t="s">
        <v>1314</v>
      </c>
      <c r="D381" s="4" t="s">
        <v>1080</v>
      </c>
      <c r="E381" s="4" t="s">
        <v>1316</v>
      </c>
      <c r="F381" s="4" t="s">
        <v>1122</v>
      </c>
      <c r="G381" s="60" t="s">
        <v>1077</v>
      </c>
      <c r="H381" s="1" t="s">
        <v>837</v>
      </c>
      <c r="I381" s="1" t="str">
        <f>IFERROR(CONCATENATE(VLOOKUP(C381,PARAM!D:E,2,0),VLOOKUP(D381,PARAM!J:K,2,0),VLOOKUP(E381,PARAM!G:H,2,0),VLOOKUP(G381,PARAM!P:Q,2,0)),"")</f>
        <v>40222332</v>
      </c>
      <c r="J381" s="1" t="str">
        <f>IFERROR(CONCATENATE("*",VLOOKUP(C381,PARAM!D:E,2,0),VLOOKUP(D381,PARAM!J:K,2,0),VLOOKUP(E381,PARAM!G:H,2,0),VLOOKUP(G381,PARAM!P:Q,2,0),"*"),"")</f>
        <v>*40222332*</v>
      </c>
      <c r="K381" s="1" t="str">
        <f t="shared" si="1"/>
        <v>CONJUNTO CABALLERO PORTUGAL AAA TALLA XL</v>
      </c>
      <c r="L381" s="1"/>
    </row>
    <row r="382">
      <c r="A382" s="55">
        <v>46186.0</v>
      </c>
      <c r="B382" s="4" t="s">
        <v>1187</v>
      </c>
      <c r="C382" s="4" t="s">
        <v>1171</v>
      </c>
      <c r="D382" s="4" t="s">
        <v>1080</v>
      </c>
      <c r="E382" s="4" t="s">
        <v>1317</v>
      </c>
      <c r="F382" s="4" t="s">
        <v>1085</v>
      </c>
      <c r="G382" s="60" t="s">
        <v>1168</v>
      </c>
      <c r="H382" s="1" t="s">
        <v>842</v>
      </c>
      <c r="I382" s="1" t="str">
        <f>IFERROR(CONCATENATE(VLOOKUP(C382,PARAM!D:E,2,0),VLOOKUP(D382,PARAM!J:K,2,0),VLOOKUP(E382,PARAM!G:H,2,0),VLOOKUP(G382,PARAM!P:Q,2,0)),"")</f>
        <v>1123827</v>
      </c>
      <c r="J382" s="1" t="str">
        <f>IFERROR(CONCATENATE("*",VLOOKUP(C382,PARAM!D:E,2,0),VLOOKUP(D382,PARAM!J:K,2,0),VLOOKUP(E382,PARAM!G:H,2,0),VLOOKUP(G382,PARAM!P:Q,2,0),"*"),"")</f>
        <v>*1123827*</v>
      </c>
      <c r="K382" s="1" t="str">
        <f t="shared" si="1"/>
        <v>CAMISETAS CABALLERO ATLETICO NACIONAL AAA 2026 TALLA S</v>
      </c>
      <c r="L382" s="1"/>
    </row>
    <row r="383">
      <c r="A383" s="55">
        <v>46186.0</v>
      </c>
      <c r="B383" s="4" t="s">
        <v>1187</v>
      </c>
      <c r="C383" s="4" t="s">
        <v>1171</v>
      </c>
      <c r="D383" s="4" t="s">
        <v>1080</v>
      </c>
      <c r="E383" s="4" t="s">
        <v>1317</v>
      </c>
      <c r="F383" s="4" t="s">
        <v>1085</v>
      </c>
      <c r="G383" s="60" t="s">
        <v>1164</v>
      </c>
      <c r="H383" s="1" t="s">
        <v>842</v>
      </c>
      <c r="I383" s="1" t="str">
        <f>IFERROR(CONCATENATE(VLOOKUP(C383,PARAM!D:E,2,0),VLOOKUP(D383,PARAM!J:K,2,0),VLOOKUP(E383,PARAM!G:H,2,0),VLOOKUP(G383,PARAM!P:Q,2,0)),"")</f>
        <v>1123825</v>
      </c>
      <c r="J383" s="1" t="str">
        <f>IFERROR(CONCATENATE("*",VLOOKUP(C383,PARAM!D:E,2,0),VLOOKUP(D383,PARAM!J:K,2,0),VLOOKUP(E383,PARAM!G:H,2,0),VLOOKUP(G383,PARAM!P:Q,2,0),"*"),"")</f>
        <v>*1123825*</v>
      </c>
      <c r="K383" s="1" t="str">
        <f t="shared" si="1"/>
        <v>CAMISETAS CABALLERO ATLETICO NACIONAL AAA 2026 TALLA M</v>
      </c>
      <c r="L383" s="1"/>
    </row>
    <row r="384">
      <c r="A384" s="55">
        <v>46186.0</v>
      </c>
      <c r="B384" s="4" t="s">
        <v>1187</v>
      </c>
      <c r="C384" s="4" t="s">
        <v>1171</v>
      </c>
      <c r="D384" s="4" t="s">
        <v>1080</v>
      </c>
      <c r="E384" s="4" t="s">
        <v>1317</v>
      </c>
      <c r="F384" s="4" t="s">
        <v>1085</v>
      </c>
      <c r="G384" s="60" t="s">
        <v>1165</v>
      </c>
      <c r="H384" s="1" t="s">
        <v>842</v>
      </c>
      <c r="I384" s="1" t="str">
        <f>IFERROR(CONCATENATE(VLOOKUP(C384,PARAM!D:E,2,0),VLOOKUP(D384,PARAM!J:K,2,0),VLOOKUP(E384,PARAM!G:H,2,0),VLOOKUP(G384,PARAM!P:Q,2,0)),"")</f>
        <v>1123823</v>
      </c>
      <c r="J384" s="1" t="str">
        <f>IFERROR(CONCATENATE("*",VLOOKUP(C384,PARAM!D:E,2,0),VLOOKUP(D384,PARAM!J:K,2,0),VLOOKUP(E384,PARAM!G:H,2,0),VLOOKUP(G384,PARAM!P:Q,2,0),"*"),"")</f>
        <v>*1123823*</v>
      </c>
      <c r="K384" s="1" t="str">
        <f t="shared" si="1"/>
        <v>CAMISETAS CABALLERO ATLETICO NACIONAL AAA 2026 TALLA L</v>
      </c>
      <c r="L384" s="1"/>
    </row>
    <row r="385">
      <c r="A385" s="55">
        <v>46186.0</v>
      </c>
      <c r="B385" s="4" t="s">
        <v>1187</v>
      </c>
      <c r="C385" s="4" t="s">
        <v>1171</v>
      </c>
      <c r="D385" s="4" t="s">
        <v>1080</v>
      </c>
      <c r="E385" s="4" t="s">
        <v>1317</v>
      </c>
      <c r="F385" s="4" t="s">
        <v>1085</v>
      </c>
      <c r="G385" s="60" t="s">
        <v>1077</v>
      </c>
      <c r="H385" s="1" t="s">
        <v>842</v>
      </c>
      <c r="I385" s="1" t="str">
        <f>IFERROR(CONCATENATE(VLOOKUP(C385,PARAM!D:E,2,0),VLOOKUP(D385,PARAM!J:K,2,0),VLOOKUP(E385,PARAM!G:H,2,0),VLOOKUP(G385,PARAM!P:Q,2,0)),"")</f>
        <v>1123832</v>
      </c>
      <c r="J385" s="1" t="str">
        <f>IFERROR(CONCATENATE("*",VLOOKUP(C385,PARAM!D:E,2,0),VLOOKUP(D385,PARAM!J:K,2,0),VLOOKUP(E385,PARAM!G:H,2,0),VLOOKUP(G385,PARAM!P:Q,2,0),"*"),"")</f>
        <v>*1123832*</v>
      </c>
      <c r="K385" s="1" t="str">
        <f t="shared" si="1"/>
        <v>CAMISETAS CABALLERO ATLETICO NACIONAL AAA 2026 TALLA XL</v>
      </c>
      <c r="L385" s="1"/>
    </row>
    <row r="386">
      <c r="A386" s="55">
        <v>46186.0</v>
      </c>
      <c r="B386" s="4" t="s">
        <v>1187</v>
      </c>
      <c r="C386" s="4" t="s">
        <v>1171</v>
      </c>
      <c r="D386" s="4" t="s">
        <v>1080</v>
      </c>
      <c r="E386" s="4" t="s">
        <v>1318</v>
      </c>
      <c r="F386" s="4" t="s">
        <v>1085</v>
      </c>
      <c r="G386" s="60" t="s">
        <v>1077</v>
      </c>
      <c r="H386" s="1" t="s">
        <v>842</v>
      </c>
      <c r="I386" s="1" t="str">
        <f>IFERROR(CONCATENATE(VLOOKUP(C386,PARAM!D:E,2,0),VLOOKUP(D386,PARAM!J:K,2,0),VLOOKUP(E386,PARAM!G:H,2,0),VLOOKUP(G386,PARAM!P:Q,2,0)),"")</f>
        <v>1123732</v>
      </c>
      <c r="J386" s="1" t="str">
        <f>IFERROR(CONCATENATE("*",VLOOKUP(C386,PARAM!D:E,2,0),VLOOKUP(D386,PARAM!J:K,2,0),VLOOKUP(E386,PARAM!G:H,2,0),VLOOKUP(G386,PARAM!P:Q,2,0),"*"),"")</f>
        <v>*1123732*</v>
      </c>
      <c r="K386" s="1" t="str">
        <f t="shared" si="1"/>
        <v>CAMISETAS CABALLERO ATLETICO NACIONAL AAA 2025 TALLA XL</v>
      </c>
      <c r="L386" s="1"/>
    </row>
    <row r="387">
      <c r="A387" s="55">
        <v>46186.0</v>
      </c>
      <c r="B387" s="4" t="s">
        <v>1187</v>
      </c>
      <c r="C387" s="4" t="s">
        <v>1171</v>
      </c>
      <c r="D387" s="4" t="s">
        <v>1080</v>
      </c>
      <c r="E387" s="4" t="s">
        <v>1318</v>
      </c>
      <c r="F387" s="4" t="s">
        <v>1066</v>
      </c>
      <c r="G387" s="60" t="s">
        <v>1165</v>
      </c>
      <c r="H387" s="1" t="s">
        <v>842</v>
      </c>
      <c r="I387" s="1" t="str">
        <f>IFERROR(CONCATENATE(VLOOKUP(C387,PARAM!D:E,2,0),VLOOKUP(D387,PARAM!J:K,2,0),VLOOKUP(E387,PARAM!G:H,2,0),VLOOKUP(G387,PARAM!P:Q,2,0)),"")</f>
        <v>1123723</v>
      </c>
      <c r="J387" s="1" t="str">
        <f>IFERROR(CONCATENATE("*",VLOOKUP(C387,PARAM!D:E,2,0),VLOOKUP(D387,PARAM!J:K,2,0),VLOOKUP(E387,PARAM!G:H,2,0),VLOOKUP(G387,PARAM!P:Q,2,0),"*"),"")</f>
        <v>*1123723*</v>
      </c>
      <c r="K387" s="1" t="str">
        <f t="shared" si="1"/>
        <v>CAMISETAS CABALLERO ATLETICO NACIONAL AAA 2025 TALLA L</v>
      </c>
      <c r="L387" s="1"/>
    </row>
    <row r="388">
      <c r="A388" s="55">
        <v>46186.0</v>
      </c>
      <c r="B388" s="4" t="s">
        <v>1187</v>
      </c>
      <c r="C388" s="4" t="s">
        <v>1171</v>
      </c>
      <c r="D388" s="4" t="s">
        <v>1080</v>
      </c>
      <c r="E388" s="4" t="s">
        <v>1319</v>
      </c>
      <c r="F388" s="4" t="s">
        <v>1320</v>
      </c>
      <c r="G388" s="60" t="s">
        <v>1168</v>
      </c>
      <c r="H388" s="1" t="s">
        <v>837</v>
      </c>
      <c r="I388" s="1" t="str">
        <f>IFERROR(CONCATENATE(VLOOKUP(C388,PARAM!D:E,2,0),VLOOKUP(D388,PARAM!J:K,2,0),VLOOKUP(E388,PARAM!G:H,2,0),VLOOKUP(G388,PARAM!P:Q,2,0)),"")</f>
        <v>11222227</v>
      </c>
      <c r="J388" s="1" t="str">
        <f>IFERROR(CONCATENATE("*",VLOOKUP(C388,PARAM!D:E,2,0),VLOOKUP(D388,PARAM!J:K,2,0),VLOOKUP(E388,PARAM!G:H,2,0),VLOOKUP(G388,PARAM!P:Q,2,0),"*"),"")</f>
        <v>*11222227*</v>
      </c>
      <c r="K388" s="1" t="str">
        <f t="shared" si="1"/>
        <v>CAMISETAS CABALLERO PORTUGAL 1.1 VISITANTE TALLA S</v>
      </c>
      <c r="L388" s="1"/>
    </row>
    <row r="389">
      <c r="A389" s="55">
        <v>46186.0</v>
      </c>
      <c r="B389" s="4" t="s">
        <v>1187</v>
      </c>
      <c r="C389" s="4" t="s">
        <v>1171</v>
      </c>
      <c r="D389" s="4" t="s">
        <v>1080</v>
      </c>
      <c r="E389" s="4" t="s">
        <v>1319</v>
      </c>
      <c r="F389" s="4" t="s">
        <v>1320</v>
      </c>
      <c r="G389" s="60" t="s">
        <v>1164</v>
      </c>
      <c r="H389" s="1" t="s">
        <v>837</v>
      </c>
      <c r="I389" s="1" t="str">
        <f>IFERROR(CONCATENATE(VLOOKUP(C389,PARAM!D:E,2,0),VLOOKUP(D389,PARAM!J:K,2,0),VLOOKUP(E389,PARAM!G:H,2,0),VLOOKUP(G389,PARAM!P:Q,2,0)),"")</f>
        <v>11222225</v>
      </c>
      <c r="J389" s="1" t="str">
        <f>IFERROR(CONCATENATE("*",VLOOKUP(C389,PARAM!D:E,2,0),VLOOKUP(D389,PARAM!J:K,2,0),VLOOKUP(E389,PARAM!G:H,2,0),VLOOKUP(G389,PARAM!P:Q,2,0),"*"),"")</f>
        <v>*11222225*</v>
      </c>
      <c r="K389" s="1" t="str">
        <f t="shared" si="1"/>
        <v>CAMISETAS CABALLERO PORTUGAL 1.1 VISITANTE TALLA M</v>
      </c>
      <c r="L389" s="1"/>
    </row>
    <row r="390">
      <c r="A390" s="55">
        <v>46186.0</v>
      </c>
      <c r="B390" s="4" t="s">
        <v>1187</v>
      </c>
      <c r="C390" s="4" t="s">
        <v>1171</v>
      </c>
      <c r="D390" s="4" t="s">
        <v>1080</v>
      </c>
      <c r="E390" s="4" t="s">
        <v>1319</v>
      </c>
      <c r="F390" s="4" t="s">
        <v>1320</v>
      </c>
      <c r="G390" s="60" t="s">
        <v>1165</v>
      </c>
      <c r="H390" s="1" t="s">
        <v>837</v>
      </c>
      <c r="I390" s="1" t="str">
        <f>IFERROR(CONCATENATE(VLOOKUP(C390,PARAM!D:E,2,0),VLOOKUP(D390,PARAM!J:K,2,0),VLOOKUP(E390,PARAM!G:H,2,0),VLOOKUP(G390,PARAM!P:Q,2,0)),"")</f>
        <v>11222223</v>
      </c>
      <c r="J390" s="1" t="str">
        <f>IFERROR(CONCATENATE("*",VLOOKUP(C390,PARAM!D:E,2,0),VLOOKUP(D390,PARAM!J:K,2,0),VLOOKUP(E390,PARAM!G:H,2,0),VLOOKUP(G390,PARAM!P:Q,2,0),"*"),"")</f>
        <v>*11222223*</v>
      </c>
      <c r="K390" s="1" t="str">
        <f t="shared" si="1"/>
        <v>CAMISETAS CABALLERO PORTUGAL 1.1 VISITANTE TALLA L</v>
      </c>
      <c r="L390" s="1"/>
    </row>
    <row r="391">
      <c r="A391" s="55">
        <v>46186.0</v>
      </c>
      <c r="B391" s="4" t="s">
        <v>1187</v>
      </c>
      <c r="C391" s="4" t="s">
        <v>1171</v>
      </c>
      <c r="D391" s="4" t="s">
        <v>1080</v>
      </c>
      <c r="E391" s="4" t="s">
        <v>1319</v>
      </c>
      <c r="F391" s="4" t="s">
        <v>1320</v>
      </c>
      <c r="G391" s="60" t="s">
        <v>1077</v>
      </c>
      <c r="H391" s="1" t="s">
        <v>837</v>
      </c>
      <c r="I391" s="1" t="str">
        <f>IFERROR(CONCATENATE(VLOOKUP(C391,PARAM!D:E,2,0),VLOOKUP(D391,PARAM!J:K,2,0),VLOOKUP(E391,PARAM!G:H,2,0),VLOOKUP(G391,PARAM!P:Q,2,0)),"")</f>
        <v>11222232</v>
      </c>
      <c r="J391" s="1" t="str">
        <f>IFERROR(CONCATENATE("*",VLOOKUP(C391,PARAM!D:E,2,0),VLOOKUP(D391,PARAM!J:K,2,0),VLOOKUP(E391,PARAM!G:H,2,0),VLOOKUP(G391,PARAM!P:Q,2,0),"*"),"")</f>
        <v>*11222232*</v>
      </c>
      <c r="K391" s="1" t="str">
        <f t="shared" si="1"/>
        <v>CAMISETAS CABALLERO PORTUGAL 1.1 VISITANTE TALLA XL</v>
      </c>
      <c r="L391" s="1"/>
    </row>
    <row r="392">
      <c r="A392" s="55">
        <v>46186.0</v>
      </c>
      <c r="B392" s="4" t="s">
        <v>1187</v>
      </c>
      <c r="C392" s="4" t="s">
        <v>1171</v>
      </c>
      <c r="D392" s="4" t="s">
        <v>1080</v>
      </c>
      <c r="E392" s="4" t="s">
        <v>1319</v>
      </c>
      <c r="F392" s="4" t="s">
        <v>1320</v>
      </c>
      <c r="G392" s="60" t="s">
        <v>1189</v>
      </c>
      <c r="H392" s="1" t="s">
        <v>837</v>
      </c>
      <c r="I392" s="1" t="str">
        <f>IFERROR(CONCATENATE(VLOOKUP(C392,PARAM!D:E,2,0),VLOOKUP(D392,PARAM!J:K,2,0),VLOOKUP(E392,PARAM!G:H,2,0),VLOOKUP(G392,PARAM!P:Q,2,0)),"")</f>
        <v>11222234</v>
      </c>
      <c r="J392" s="1" t="str">
        <f>IFERROR(CONCATENATE("*",VLOOKUP(C392,PARAM!D:E,2,0),VLOOKUP(D392,PARAM!J:K,2,0),VLOOKUP(E392,PARAM!G:H,2,0),VLOOKUP(G392,PARAM!P:Q,2,0),"*"),"")</f>
        <v>*11222234*</v>
      </c>
      <c r="K392" s="1" t="str">
        <f t="shared" si="1"/>
        <v>CAMISETAS CABALLERO PORTUGAL 1.1 VISITANTE TALLA XXL</v>
      </c>
      <c r="L392" s="1"/>
    </row>
    <row r="393">
      <c r="A393" s="55">
        <v>46186.0</v>
      </c>
      <c r="B393" s="4" t="s">
        <v>1187</v>
      </c>
      <c r="C393" s="4" t="s">
        <v>1314</v>
      </c>
      <c r="D393" s="4" t="s">
        <v>1080</v>
      </c>
      <c r="E393" s="4" t="s">
        <v>1321</v>
      </c>
      <c r="F393" s="4" t="s">
        <v>1084</v>
      </c>
      <c r="G393" s="60" t="s">
        <v>1168</v>
      </c>
      <c r="H393" s="1" t="s">
        <v>806</v>
      </c>
      <c r="I393" s="1" t="str">
        <f>IFERROR(CONCATENATE(VLOOKUP(C393,PARAM!D:E,2,0),VLOOKUP(D393,PARAM!J:K,2,0),VLOOKUP(E393,PARAM!G:H,2,0),VLOOKUP(G393,PARAM!P:Q,2,0)),"")</f>
        <v>40215127</v>
      </c>
      <c r="J393" s="1" t="str">
        <f>IFERROR(CONCATENATE("*",VLOOKUP(C393,PARAM!D:E,2,0),VLOOKUP(D393,PARAM!J:K,2,0),VLOOKUP(E393,PARAM!G:H,2,0),VLOOKUP(G393,PARAM!P:Q,2,0),"*"),"")</f>
        <v>*40215127*</v>
      </c>
      <c r="K393" s="1" t="str">
        <f t="shared" si="1"/>
        <v>CONJUNTO CABALLERO JAPON AAA LOCAL TALLA S</v>
      </c>
      <c r="L393" s="1"/>
    </row>
    <row r="394">
      <c r="A394" s="55">
        <v>46186.0</v>
      </c>
      <c r="B394" s="4" t="s">
        <v>1187</v>
      </c>
      <c r="C394" s="4" t="s">
        <v>1314</v>
      </c>
      <c r="D394" s="4" t="s">
        <v>1080</v>
      </c>
      <c r="E394" s="4" t="s">
        <v>1321</v>
      </c>
      <c r="F394" s="4" t="s">
        <v>1084</v>
      </c>
      <c r="G394" s="60" t="s">
        <v>1164</v>
      </c>
      <c r="H394" s="1" t="s">
        <v>806</v>
      </c>
      <c r="I394" s="1" t="str">
        <f>IFERROR(CONCATENATE(VLOOKUP(C394,PARAM!D:E,2,0),VLOOKUP(D394,PARAM!J:K,2,0),VLOOKUP(E394,PARAM!G:H,2,0),VLOOKUP(G394,PARAM!P:Q,2,0)),"")</f>
        <v>40215125</v>
      </c>
      <c r="J394" s="1" t="str">
        <f>IFERROR(CONCATENATE("*",VLOOKUP(C394,PARAM!D:E,2,0),VLOOKUP(D394,PARAM!J:K,2,0),VLOOKUP(E394,PARAM!G:H,2,0),VLOOKUP(G394,PARAM!P:Q,2,0),"*"),"")</f>
        <v>*40215125*</v>
      </c>
      <c r="K394" s="1" t="str">
        <f t="shared" si="1"/>
        <v>CONJUNTO CABALLERO JAPON AAA LOCAL TALLA M</v>
      </c>
      <c r="L394" s="1"/>
    </row>
    <row r="395">
      <c r="A395" s="55">
        <v>46186.0</v>
      </c>
      <c r="B395" s="4" t="s">
        <v>1187</v>
      </c>
      <c r="C395" s="4" t="s">
        <v>1314</v>
      </c>
      <c r="D395" s="4" t="s">
        <v>1080</v>
      </c>
      <c r="E395" s="4" t="s">
        <v>1321</v>
      </c>
      <c r="F395" s="4" t="s">
        <v>1084</v>
      </c>
      <c r="G395" s="60" t="s">
        <v>1165</v>
      </c>
      <c r="H395" s="1" t="s">
        <v>806</v>
      </c>
      <c r="I395" s="1" t="str">
        <f>IFERROR(CONCATENATE(VLOOKUP(C395,PARAM!D:E,2,0),VLOOKUP(D395,PARAM!J:K,2,0),VLOOKUP(E395,PARAM!G:H,2,0),VLOOKUP(G395,PARAM!P:Q,2,0)),"")</f>
        <v>40215123</v>
      </c>
      <c r="J395" s="1" t="str">
        <f>IFERROR(CONCATENATE("*",VLOOKUP(C395,PARAM!D:E,2,0),VLOOKUP(D395,PARAM!J:K,2,0),VLOOKUP(E395,PARAM!G:H,2,0),VLOOKUP(G395,PARAM!P:Q,2,0),"*"),"")</f>
        <v>*40215123*</v>
      </c>
      <c r="K395" s="1" t="str">
        <f t="shared" si="1"/>
        <v>CONJUNTO CABALLERO JAPON AAA LOCAL TALLA L</v>
      </c>
      <c r="L395" s="1"/>
    </row>
    <row r="396">
      <c r="A396" s="55">
        <v>46186.0</v>
      </c>
      <c r="B396" s="4" t="s">
        <v>1187</v>
      </c>
      <c r="C396" s="4" t="s">
        <v>1314</v>
      </c>
      <c r="D396" s="4" t="s">
        <v>1080</v>
      </c>
      <c r="E396" s="4" t="s">
        <v>1321</v>
      </c>
      <c r="F396" s="4" t="s">
        <v>1084</v>
      </c>
      <c r="G396" s="60" t="s">
        <v>1077</v>
      </c>
      <c r="H396" s="1" t="s">
        <v>806</v>
      </c>
      <c r="I396" s="1" t="str">
        <f>IFERROR(CONCATENATE(VLOOKUP(C396,PARAM!D:E,2,0),VLOOKUP(D396,PARAM!J:K,2,0),VLOOKUP(E396,PARAM!G:H,2,0),VLOOKUP(G396,PARAM!P:Q,2,0)),"")</f>
        <v>40215132</v>
      </c>
      <c r="J396" s="1" t="str">
        <f>IFERROR(CONCATENATE("*",VLOOKUP(C396,PARAM!D:E,2,0),VLOOKUP(D396,PARAM!J:K,2,0),VLOOKUP(E396,PARAM!G:H,2,0),VLOOKUP(G396,PARAM!P:Q,2,0),"*"),"")</f>
        <v>*40215132*</v>
      </c>
      <c r="K396" s="1" t="str">
        <f t="shared" si="1"/>
        <v>CONJUNTO CABALLERO JAPON AAA LOCAL TALLA XL</v>
      </c>
      <c r="L396" s="1"/>
    </row>
    <row r="397">
      <c r="A397" s="55">
        <v>46186.0</v>
      </c>
      <c r="B397" s="4" t="s">
        <v>1187</v>
      </c>
      <c r="C397" s="4" t="s">
        <v>1314</v>
      </c>
      <c r="D397" s="4" t="s">
        <v>1080</v>
      </c>
      <c r="E397" s="4" t="s">
        <v>1322</v>
      </c>
      <c r="F397" s="4" t="s">
        <v>1084</v>
      </c>
      <c r="G397" s="60" t="s">
        <v>1164</v>
      </c>
      <c r="H397" s="1" t="s">
        <v>806</v>
      </c>
      <c r="I397" s="1" t="str">
        <f>IFERROR(CONCATENATE(VLOOKUP(C397,PARAM!D:E,2,0),VLOOKUP(D397,PARAM!J:K,2,0),VLOOKUP(E397,PARAM!G:H,2,0),VLOOKUP(G397,PARAM!P:Q,2,0)),"")</f>
        <v>4021525</v>
      </c>
      <c r="J397" s="1" t="str">
        <f>IFERROR(CONCATENATE("*",VLOOKUP(C397,PARAM!D:E,2,0),VLOOKUP(D397,PARAM!J:K,2,0),VLOOKUP(E397,PARAM!G:H,2,0),VLOOKUP(G397,PARAM!P:Q,2,0),"*"),"")</f>
        <v>*4021525*</v>
      </c>
      <c r="K397" s="1" t="str">
        <f t="shared" si="1"/>
        <v>CONJUNTO CABALLERO ALEMANIA AAA LOCAL TALLA M</v>
      </c>
      <c r="L397" s="1"/>
    </row>
    <row r="398">
      <c r="A398" s="55">
        <v>46186.0</v>
      </c>
      <c r="B398" s="4" t="s">
        <v>1187</v>
      </c>
      <c r="C398" s="4" t="s">
        <v>1314</v>
      </c>
      <c r="D398" s="4" t="s">
        <v>1080</v>
      </c>
      <c r="E398" s="4" t="s">
        <v>1322</v>
      </c>
      <c r="F398" s="4" t="s">
        <v>1084</v>
      </c>
      <c r="G398" s="60" t="s">
        <v>1165</v>
      </c>
      <c r="H398" s="1" t="s">
        <v>806</v>
      </c>
      <c r="I398" s="1" t="str">
        <f>IFERROR(CONCATENATE(VLOOKUP(C398,PARAM!D:E,2,0),VLOOKUP(D398,PARAM!J:K,2,0),VLOOKUP(E398,PARAM!G:H,2,0),VLOOKUP(G398,PARAM!P:Q,2,0)),"")</f>
        <v>4021523</v>
      </c>
      <c r="J398" s="1" t="str">
        <f>IFERROR(CONCATENATE("*",VLOOKUP(C398,PARAM!D:E,2,0),VLOOKUP(D398,PARAM!J:K,2,0),VLOOKUP(E398,PARAM!G:H,2,0),VLOOKUP(G398,PARAM!P:Q,2,0),"*"),"")</f>
        <v>*4021523*</v>
      </c>
      <c r="K398" s="1" t="str">
        <f t="shared" si="1"/>
        <v>CONJUNTO CABALLERO ALEMANIA AAA LOCAL TALLA L</v>
      </c>
      <c r="L398" s="1"/>
    </row>
    <row r="399">
      <c r="A399" s="55">
        <v>46186.0</v>
      </c>
      <c r="B399" s="4" t="s">
        <v>1187</v>
      </c>
      <c r="C399" s="4" t="s">
        <v>1314</v>
      </c>
      <c r="D399" s="4" t="s">
        <v>1080</v>
      </c>
      <c r="E399" s="4" t="s">
        <v>1322</v>
      </c>
      <c r="F399" s="4" t="s">
        <v>1084</v>
      </c>
      <c r="G399" s="60" t="s">
        <v>1168</v>
      </c>
      <c r="H399" s="1" t="s">
        <v>806</v>
      </c>
      <c r="I399" s="1" t="str">
        <f>IFERROR(CONCATENATE(VLOOKUP(C399,PARAM!D:E,2,0),VLOOKUP(D399,PARAM!J:K,2,0),VLOOKUP(E399,PARAM!G:H,2,0),VLOOKUP(G399,PARAM!P:Q,2,0)),"")</f>
        <v>4021527</v>
      </c>
      <c r="J399" s="1" t="str">
        <f>IFERROR(CONCATENATE("*",VLOOKUP(C399,PARAM!D:E,2,0),VLOOKUP(D399,PARAM!J:K,2,0),VLOOKUP(E399,PARAM!G:H,2,0),VLOOKUP(G399,PARAM!P:Q,2,0),"*"),"")</f>
        <v>*4021527*</v>
      </c>
      <c r="K399" s="1" t="str">
        <f t="shared" si="1"/>
        <v>CONJUNTO CABALLERO ALEMANIA AAA LOCAL TALLA S</v>
      </c>
      <c r="L399" s="1"/>
    </row>
    <row r="400">
      <c r="A400" s="55">
        <v>46186.0</v>
      </c>
      <c r="B400" s="4" t="s">
        <v>1187</v>
      </c>
      <c r="C400" s="4" t="s">
        <v>1314</v>
      </c>
      <c r="D400" s="4" t="s">
        <v>1080</v>
      </c>
      <c r="E400" s="4" t="s">
        <v>1322</v>
      </c>
      <c r="F400" s="4" t="s">
        <v>1084</v>
      </c>
      <c r="G400" s="60" t="s">
        <v>1077</v>
      </c>
      <c r="H400" s="1" t="s">
        <v>806</v>
      </c>
      <c r="I400" s="1" t="str">
        <f>IFERROR(CONCATENATE(VLOOKUP(C400,PARAM!D:E,2,0),VLOOKUP(D400,PARAM!J:K,2,0),VLOOKUP(E400,PARAM!G:H,2,0),VLOOKUP(G400,PARAM!P:Q,2,0)),"")</f>
        <v>4021532</v>
      </c>
      <c r="J400" s="1" t="str">
        <f>IFERROR(CONCATENATE("*",VLOOKUP(C400,PARAM!D:E,2,0),VLOOKUP(D400,PARAM!J:K,2,0),VLOOKUP(E400,PARAM!G:H,2,0),VLOOKUP(G400,PARAM!P:Q,2,0),"*"),"")</f>
        <v>*4021532*</v>
      </c>
      <c r="K400" s="1" t="str">
        <f t="shared" si="1"/>
        <v>CONJUNTO CABALLERO ALEMANIA AAA LOCAL TALLA XL</v>
      </c>
      <c r="L400" s="1"/>
    </row>
    <row r="401">
      <c r="A401" s="55">
        <v>46186.0</v>
      </c>
      <c r="B401" s="4" t="s">
        <v>1187</v>
      </c>
      <c r="C401" s="4" t="s">
        <v>1314</v>
      </c>
      <c r="D401" s="4" t="s">
        <v>1080</v>
      </c>
      <c r="E401" s="4" t="s">
        <v>1323</v>
      </c>
      <c r="F401" s="4" t="s">
        <v>1088</v>
      </c>
      <c r="G401" s="60" t="s">
        <v>1077</v>
      </c>
      <c r="H401" s="1" t="s">
        <v>806</v>
      </c>
      <c r="I401" s="1" t="str">
        <f>IFERROR(CONCATENATE(VLOOKUP(C401,PARAM!D:E,2,0),VLOOKUP(D401,PARAM!J:K,2,0),VLOOKUP(E401,PARAM!G:H,2,0),VLOOKUP(G401,PARAM!P:Q,2,0)),"")</f>
        <v>40218732</v>
      </c>
      <c r="J401" s="1" t="str">
        <f>IFERROR(CONCATENATE("*",VLOOKUP(C401,PARAM!D:E,2,0),VLOOKUP(D401,PARAM!J:K,2,0),VLOOKUP(E401,PARAM!G:H,2,0),VLOOKUP(G401,PARAM!P:Q,2,0),"*"),"")</f>
        <v>*40218732*</v>
      </c>
      <c r="K401" s="1" t="str">
        <f t="shared" si="1"/>
        <v>CONJUNTO CABALLERO MEXICO AAA LOCAL TALLA XL</v>
      </c>
      <c r="L401" s="1"/>
    </row>
    <row r="402">
      <c r="A402" s="55">
        <v>46186.0</v>
      </c>
      <c r="B402" s="4" t="s">
        <v>1187</v>
      </c>
      <c r="C402" s="4" t="s">
        <v>1314</v>
      </c>
      <c r="D402" s="4" t="s">
        <v>1080</v>
      </c>
      <c r="E402" s="4" t="s">
        <v>1323</v>
      </c>
      <c r="F402" s="4" t="s">
        <v>1088</v>
      </c>
      <c r="G402" s="60" t="s">
        <v>1164</v>
      </c>
      <c r="H402" s="1" t="s">
        <v>806</v>
      </c>
      <c r="I402" s="1" t="str">
        <f>IFERROR(CONCATENATE(VLOOKUP(C402,PARAM!D:E,2,0),VLOOKUP(D402,PARAM!J:K,2,0),VLOOKUP(E402,PARAM!G:H,2,0),VLOOKUP(G402,PARAM!P:Q,2,0)),"")</f>
        <v>40218725</v>
      </c>
      <c r="J402" s="1" t="str">
        <f>IFERROR(CONCATENATE("*",VLOOKUP(C402,PARAM!D:E,2,0),VLOOKUP(D402,PARAM!J:K,2,0),VLOOKUP(E402,PARAM!G:H,2,0),VLOOKUP(G402,PARAM!P:Q,2,0),"*"),"")</f>
        <v>*40218725*</v>
      </c>
      <c r="K402" s="1" t="str">
        <f t="shared" si="1"/>
        <v>CONJUNTO CABALLERO MEXICO AAA LOCAL TALLA M</v>
      </c>
      <c r="L402" s="1"/>
    </row>
    <row r="403">
      <c r="A403" s="55">
        <v>46186.0</v>
      </c>
      <c r="B403" s="4" t="s">
        <v>1187</v>
      </c>
      <c r="C403" s="4" t="s">
        <v>1314</v>
      </c>
      <c r="D403" s="4" t="s">
        <v>1080</v>
      </c>
      <c r="E403" s="4" t="s">
        <v>1323</v>
      </c>
      <c r="F403" s="4" t="s">
        <v>1088</v>
      </c>
      <c r="G403" s="60" t="s">
        <v>1168</v>
      </c>
      <c r="H403" s="1" t="s">
        <v>806</v>
      </c>
      <c r="I403" s="1" t="str">
        <f>IFERROR(CONCATENATE(VLOOKUP(C403,PARAM!D:E,2,0),VLOOKUP(D403,PARAM!J:K,2,0),VLOOKUP(E403,PARAM!G:H,2,0),VLOOKUP(G403,PARAM!P:Q,2,0)),"")</f>
        <v>40218727</v>
      </c>
      <c r="J403" s="1" t="str">
        <f>IFERROR(CONCATENATE("*",VLOOKUP(C403,PARAM!D:E,2,0),VLOOKUP(D403,PARAM!J:K,2,0),VLOOKUP(E403,PARAM!G:H,2,0),VLOOKUP(G403,PARAM!P:Q,2,0),"*"),"")</f>
        <v>*40218727*</v>
      </c>
      <c r="K403" s="1" t="str">
        <f t="shared" si="1"/>
        <v>CONJUNTO CABALLERO MEXICO AAA LOCAL TALLA S</v>
      </c>
      <c r="L403" s="1"/>
    </row>
    <row r="404">
      <c r="A404" s="55">
        <v>46186.0</v>
      </c>
      <c r="B404" s="4" t="s">
        <v>1078</v>
      </c>
      <c r="C404" s="4" t="s">
        <v>1171</v>
      </c>
      <c r="D404" s="4" t="s">
        <v>1080</v>
      </c>
      <c r="E404" s="4" t="s">
        <v>1324</v>
      </c>
      <c r="F404" s="4" t="s">
        <v>1069</v>
      </c>
      <c r="G404" s="60" t="s">
        <v>1165</v>
      </c>
      <c r="H404" s="1" t="s">
        <v>865</v>
      </c>
      <c r="I404" s="1" t="str">
        <f>IFERROR(CONCATENATE(VLOOKUP(C404,PARAM!D:E,2,0),VLOOKUP(D404,PARAM!J:K,2,0),VLOOKUP(E404,PARAM!G:H,2,0),VLOOKUP(G404,PARAM!P:Q,2,0)),"")</f>
        <v>11221723</v>
      </c>
      <c r="J404" s="1" t="str">
        <f>IFERROR(CONCATENATE("*",VLOOKUP(C404,PARAM!D:E,2,0),VLOOKUP(D404,PARAM!J:K,2,0),VLOOKUP(E404,PARAM!G:H,2,0),VLOOKUP(G404,PARAM!P:Q,2,0),"*"),"")</f>
        <v>*11221723*</v>
      </c>
      <c r="K404" s="1" t="str">
        <f t="shared" si="1"/>
        <v>CAMISETAS CABALLERO POLO ROMBOS ALGODON TALLA L</v>
      </c>
      <c r="L404" s="1"/>
    </row>
    <row r="405">
      <c r="A405" s="55">
        <v>46186.0</v>
      </c>
      <c r="B405" s="61" t="s">
        <v>1078</v>
      </c>
      <c r="C405" s="4" t="s">
        <v>1171</v>
      </c>
      <c r="D405" s="61" t="s">
        <v>1080</v>
      </c>
      <c r="E405" s="4" t="s">
        <v>1324</v>
      </c>
      <c r="F405" s="4" t="s">
        <v>1069</v>
      </c>
      <c r="G405" s="60" t="s">
        <v>1164</v>
      </c>
      <c r="H405" s="1" t="s">
        <v>865</v>
      </c>
      <c r="I405" s="1" t="str">
        <f>IFERROR(CONCATENATE(VLOOKUP(C405,PARAM!D:E,2,0),VLOOKUP(D405,PARAM!J:K,2,0),VLOOKUP(E405,PARAM!G:H,2,0),VLOOKUP(G405,PARAM!P:Q,2,0)),"")</f>
        <v>11221725</v>
      </c>
      <c r="J405" s="1" t="str">
        <f>IFERROR(CONCATENATE("*",VLOOKUP(C405,PARAM!D:E,2,0),VLOOKUP(D405,PARAM!J:K,2,0),VLOOKUP(E405,PARAM!G:H,2,0),VLOOKUP(G405,PARAM!P:Q,2,0),"*"),"")</f>
        <v>*11221725*</v>
      </c>
      <c r="K405" s="1" t="str">
        <f t="shared" si="1"/>
        <v>CAMISETAS CABALLERO POLO ROMBOS ALGODON TALLA M</v>
      </c>
      <c r="L405" s="1"/>
    </row>
    <row r="406">
      <c r="A406" s="55">
        <v>46186.0</v>
      </c>
      <c r="B406" s="61" t="s">
        <v>1078</v>
      </c>
      <c r="C406" s="4" t="s">
        <v>1171</v>
      </c>
      <c r="D406" s="61" t="s">
        <v>1080</v>
      </c>
      <c r="E406" s="4" t="s">
        <v>1324</v>
      </c>
      <c r="F406" s="4" t="s">
        <v>1069</v>
      </c>
      <c r="G406" s="60" t="s">
        <v>1168</v>
      </c>
      <c r="H406" s="1" t="s">
        <v>865</v>
      </c>
      <c r="I406" s="1" t="str">
        <f>IFERROR(CONCATENATE(VLOOKUP(C406,PARAM!D:E,2,0),VLOOKUP(D406,PARAM!J:K,2,0),VLOOKUP(E406,PARAM!G:H,2,0),VLOOKUP(G406,PARAM!P:Q,2,0)),"")</f>
        <v>11221727</v>
      </c>
      <c r="J406" s="1" t="str">
        <f>IFERROR(CONCATENATE("*",VLOOKUP(C406,PARAM!D:E,2,0),VLOOKUP(D406,PARAM!J:K,2,0),VLOOKUP(E406,PARAM!G:H,2,0),VLOOKUP(G406,PARAM!P:Q,2,0),"*"),"")</f>
        <v>*11221727*</v>
      </c>
      <c r="K406" s="1" t="str">
        <f t="shared" si="1"/>
        <v>CAMISETAS CABALLERO POLO ROMBOS ALGODON TALLA S</v>
      </c>
      <c r="L406" s="1"/>
    </row>
    <row r="407">
      <c r="A407" s="55">
        <v>46186.0</v>
      </c>
      <c r="B407" s="61" t="s">
        <v>1078</v>
      </c>
      <c r="C407" s="4" t="s">
        <v>1171</v>
      </c>
      <c r="D407" s="61" t="s">
        <v>1080</v>
      </c>
      <c r="E407" s="4" t="s">
        <v>1324</v>
      </c>
      <c r="F407" s="4" t="s">
        <v>1069</v>
      </c>
      <c r="G407" s="60" t="s">
        <v>1077</v>
      </c>
      <c r="H407" s="1" t="s">
        <v>865</v>
      </c>
      <c r="I407" s="1" t="str">
        <f>IFERROR(CONCATENATE(VLOOKUP(C407,PARAM!D:E,2,0),VLOOKUP(D407,PARAM!J:K,2,0),VLOOKUP(E407,PARAM!G:H,2,0),VLOOKUP(G407,PARAM!P:Q,2,0)),"")</f>
        <v>11221732</v>
      </c>
      <c r="J407" s="1" t="str">
        <f>IFERROR(CONCATENATE("*",VLOOKUP(C407,PARAM!D:E,2,0),VLOOKUP(D407,PARAM!J:K,2,0),VLOOKUP(E407,PARAM!G:H,2,0),VLOOKUP(G407,PARAM!P:Q,2,0),"*"),"")</f>
        <v>*11221732*</v>
      </c>
      <c r="K407" s="1" t="str">
        <f t="shared" si="1"/>
        <v>CAMISETAS CABALLERO POLO ROMBOS ALGODON TALLA XL</v>
      </c>
      <c r="L407" s="1"/>
    </row>
    <row r="408">
      <c r="A408" s="55">
        <v>46186.0</v>
      </c>
      <c r="B408" s="61" t="s">
        <v>1078</v>
      </c>
      <c r="C408" s="4" t="s">
        <v>1171</v>
      </c>
      <c r="D408" s="61" t="s">
        <v>1080</v>
      </c>
      <c r="E408" s="4" t="s">
        <v>1182</v>
      </c>
      <c r="F408" s="4" t="s">
        <v>1069</v>
      </c>
      <c r="G408" s="60" t="s">
        <v>1168</v>
      </c>
      <c r="H408" s="1" t="s">
        <v>865</v>
      </c>
      <c r="I408" s="1" t="str">
        <f>IFERROR(CONCATENATE(VLOOKUP(C408,PARAM!D:E,2,0),VLOOKUP(D408,PARAM!J:K,2,0),VLOOKUP(E408,PARAM!G:H,2,0),VLOOKUP(G408,PARAM!P:Q,2,0)),"")</f>
        <v>11222027</v>
      </c>
      <c r="J408" s="1" t="str">
        <f>IFERROR(CONCATENATE("*",VLOOKUP(C408,PARAM!D:E,2,0),VLOOKUP(D408,PARAM!J:K,2,0),VLOOKUP(E408,PARAM!G:H,2,0),VLOOKUP(G408,PARAM!P:Q,2,0),"*"),"")</f>
        <v>*11222027*</v>
      </c>
      <c r="K408" s="1" t="str">
        <f t="shared" si="1"/>
        <v>CAMISETAS CABALLERO POLO TIPO GALLETA TALLA S</v>
      </c>
      <c r="L408" s="1"/>
    </row>
    <row r="409">
      <c r="A409" s="55">
        <v>46186.0</v>
      </c>
      <c r="B409" s="61" t="s">
        <v>1078</v>
      </c>
      <c r="C409" s="4" t="s">
        <v>1171</v>
      </c>
      <c r="D409" s="61" t="s">
        <v>1080</v>
      </c>
      <c r="E409" s="4" t="s">
        <v>1182</v>
      </c>
      <c r="F409" s="4" t="s">
        <v>1069</v>
      </c>
      <c r="G409" s="60" t="s">
        <v>1164</v>
      </c>
      <c r="H409" s="1" t="s">
        <v>865</v>
      </c>
      <c r="I409" s="1" t="str">
        <f>IFERROR(CONCATENATE(VLOOKUP(C409,PARAM!D:E,2,0),VLOOKUP(D409,PARAM!J:K,2,0),VLOOKUP(E409,PARAM!G:H,2,0),VLOOKUP(G409,PARAM!P:Q,2,0)),"")</f>
        <v>11222025</v>
      </c>
      <c r="J409" s="1" t="str">
        <f>IFERROR(CONCATENATE("*",VLOOKUP(C409,PARAM!D:E,2,0),VLOOKUP(D409,PARAM!J:K,2,0),VLOOKUP(E409,PARAM!G:H,2,0),VLOOKUP(G409,PARAM!P:Q,2,0),"*"),"")</f>
        <v>*11222025*</v>
      </c>
      <c r="K409" s="1" t="str">
        <f t="shared" si="1"/>
        <v>CAMISETAS CABALLERO POLO TIPO GALLETA TALLA M</v>
      </c>
      <c r="L409" s="1"/>
    </row>
    <row r="410">
      <c r="A410" s="55">
        <v>46186.0</v>
      </c>
      <c r="B410" s="61" t="s">
        <v>1078</v>
      </c>
      <c r="C410" s="4" t="s">
        <v>1171</v>
      </c>
      <c r="D410" s="61" t="s">
        <v>1080</v>
      </c>
      <c r="E410" s="4" t="s">
        <v>1182</v>
      </c>
      <c r="F410" s="4" t="s">
        <v>1069</v>
      </c>
      <c r="G410" s="60" t="s">
        <v>1165</v>
      </c>
      <c r="H410" s="1" t="s">
        <v>865</v>
      </c>
      <c r="I410" s="1" t="str">
        <f>IFERROR(CONCATENATE(VLOOKUP(C410,PARAM!D:E,2,0),VLOOKUP(D410,PARAM!J:K,2,0),VLOOKUP(E410,PARAM!G:H,2,0),VLOOKUP(G410,PARAM!P:Q,2,0)),"")</f>
        <v>11222023</v>
      </c>
      <c r="J410" s="1" t="str">
        <f>IFERROR(CONCATENATE("*",VLOOKUP(C410,PARAM!D:E,2,0),VLOOKUP(D410,PARAM!J:K,2,0),VLOOKUP(E410,PARAM!G:H,2,0),VLOOKUP(G410,PARAM!P:Q,2,0),"*"),"")</f>
        <v>*11222023*</v>
      </c>
      <c r="K410" s="1" t="str">
        <f t="shared" si="1"/>
        <v>CAMISETAS CABALLERO POLO TIPO GALLETA TALLA L</v>
      </c>
      <c r="L410" s="1"/>
    </row>
    <row r="411">
      <c r="A411" s="55">
        <v>46186.0</v>
      </c>
      <c r="B411" s="61" t="s">
        <v>1078</v>
      </c>
      <c r="C411" s="4" t="s">
        <v>1171</v>
      </c>
      <c r="D411" s="61" t="s">
        <v>1080</v>
      </c>
      <c r="E411" s="4" t="s">
        <v>1182</v>
      </c>
      <c r="F411" s="4" t="s">
        <v>1069</v>
      </c>
      <c r="G411" s="60" t="s">
        <v>1077</v>
      </c>
      <c r="H411" s="1" t="s">
        <v>865</v>
      </c>
      <c r="I411" s="1" t="str">
        <f>IFERROR(CONCATENATE(VLOOKUP(C411,PARAM!D:E,2,0),VLOOKUP(D411,PARAM!J:K,2,0),VLOOKUP(E411,PARAM!G:H,2,0),VLOOKUP(G411,PARAM!P:Q,2,0)),"")</f>
        <v>11222032</v>
      </c>
      <c r="J411" s="1" t="str">
        <f>IFERROR(CONCATENATE("*",VLOOKUP(C411,PARAM!D:E,2,0),VLOOKUP(D411,PARAM!J:K,2,0),VLOOKUP(E411,PARAM!G:H,2,0),VLOOKUP(G411,PARAM!P:Q,2,0),"*"),"")</f>
        <v>*11222032*</v>
      </c>
      <c r="K411" s="1" t="str">
        <f t="shared" si="1"/>
        <v>CAMISETAS CABALLERO POLO TIPO GALLETA TALLA XL</v>
      </c>
      <c r="L411" s="1"/>
    </row>
    <row r="412">
      <c r="A412" s="55">
        <v>46186.0</v>
      </c>
      <c r="B412" s="4" t="s">
        <v>1058</v>
      </c>
      <c r="C412" s="4" t="s">
        <v>1171</v>
      </c>
      <c r="D412" s="4" t="s">
        <v>1060</v>
      </c>
      <c r="E412" s="4" t="s">
        <v>1325</v>
      </c>
      <c r="F412" s="4" t="s">
        <v>1069</v>
      </c>
      <c r="G412" s="60" t="s">
        <v>1103</v>
      </c>
      <c r="H412" s="1" t="s">
        <v>476</v>
      </c>
      <c r="I412" s="1" t="str">
        <f>IFERROR(CONCATENATE(VLOOKUP(C412,PARAM!D:E,2,0),VLOOKUP(D412,PARAM!J:K,2,0),VLOOKUP(E412,PARAM!G:H,2,0),VLOOKUP(G412,PARAM!P:Q,2,0)),"")</f>
        <v>11117030</v>
      </c>
      <c r="J412" s="1" t="str">
        <f>IFERROR(CONCATENATE("*",VLOOKUP(C412,PARAM!D:E,2,0),VLOOKUP(D412,PARAM!J:K,2,0),VLOOKUP(E412,PARAM!G:H,2,0),VLOOKUP(G412,PARAM!P:Q,2,0),"*"),"")</f>
        <v>*11117030*</v>
      </c>
      <c r="K412" s="1" t="str">
        <f t="shared" si="1"/>
        <v>CAMISETAS DAMA LICRADA MANGA CORTA TALLA UN</v>
      </c>
      <c r="L412" s="1"/>
    </row>
    <row r="413">
      <c r="A413" s="55">
        <v>46186.0</v>
      </c>
      <c r="B413" s="4" t="s">
        <v>1058</v>
      </c>
      <c r="C413" s="4" t="s">
        <v>1194</v>
      </c>
      <c r="D413" s="4" t="s">
        <v>1060</v>
      </c>
      <c r="E413" s="4" t="s">
        <v>1326</v>
      </c>
      <c r="F413" s="4" t="s">
        <v>1069</v>
      </c>
      <c r="G413" s="60" t="s">
        <v>1103</v>
      </c>
      <c r="H413" s="1" t="s">
        <v>476</v>
      </c>
      <c r="I413" s="1" t="str">
        <f>IFERROR(CONCATENATE(VLOOKUP(C413,PARAM!D:E,2,0),VLOOKUP(D413,PARAM!J:K,2,0),VLOOKUP(E413,PARAM!G:H,2,0),VLOOKUP(G413,PARAM!P:Q,2,0)),"")</f>
        <v>26117130</v>
      </c>
      <c r="J413" s="1" t="str">
        <f>IFERROR(CONCATENATE("*",VLOOKUP(C413,PARAM!D:E,2,0),VLOOKUP(D413,PARAM!J:K,2,0),VLOOKUP(E413,PARAM!G:H,2,0),VLOOKUP(G413,PARAM!P:Q,2,0),"*"),"")</f>
        <v>*26117130*</v>
      </c>
      <c r="K413" s="1" t="str">
        <f t="shared" si="1"/>
        <v>BUSOS DAMA LICRADA MANGA LARGA TALLA UN</v>
      </c>
      <c r="L413" s="1"/>
    </row>
    <row r="414">
      <c r="A414" s="55">
        <v>46186.0</v>
      </c>
      <c r="B414" s="4" t="s">
        <v>1058</v>
      </c>
      <c r="C414" s="4" t="s">
        <v>1171</v>
      </c>
      <c r="D414" s="4" t="s">
        <v>1060</v>
      </c>
      <c r="E414" s="1" t="s">
        <v>1327</v>
      </c>
      <c r="F414" s="4" t="s">
        <v>1069</v>
      </c>
      <c r="G414" s="60" t="s">
        <v>1103</v>
      </c>
      <c r="H414" s="1" t="s">
        <v>476</v>
      </c>
      <c r="I414" s="1" t="str">
        <f>IFERROR(CONCATENATE(VLOOKUP(C414,PARAM!D:E,2,0),VLOOKUP(D414,PARAM!J:K,2,0),VLOOKUP(E414,PARAM!G:H,2,0),VLOOKUP(G414,PARAM!P:Q,2,0)),"")</f>
        <v>11126230</v>
      </c>
      <c r="J414" s="1" t="str">
        <f>IFERROR(CONCATENATE("*",VLOOKUP(C414,PARAM!D:E,2,0),VLOOKUP(D414,PARAM!J:K,2,0),VLOOKUP(E414,PARAM!G:H,2,0),VLOOKUP(G414,PARAM!P:Q,2,0),"*"),"")</f>
        <v>*11126230*</v>
      </c>
      <c r="K414" s="1" t="str">
        <f t="shared" si="1"/>
        <v>CAMISETAS DAMA TIPO GALLETA TALLA UN</v>
      </c>
      <c r="L414" s="1"/>
    </row>
    <row r="415">
      <c r="A415" s="55">
        <v>46186.0</v>
      </c>
      <c r="B415" s="4" t="s">
        <v>1058</v>
      </c>
      <c r="C415" s="4" t="s">
        <v>1171</v>
      </c>
      <c r="D415" s="4" t="s">
        <v>1060</v>
      </c>
      <c r="E415" s="4" t="s">
        <v>1328</v>
      </c>
      <c r="F415" s="4" t="s">
        <v>1069</v>
      </c>
      <c r="G415" s="60" t="s">
        <v>1103</v>
      </c>
      <c r="H415" s="1" t="s">
        <v>476</v>
      </c>
      <c r="I415" s="1" t="str">
        <f>IFERROR(CONCATENATE(VLOOKUP(C415,PARAM!D:E,2,0),VLOOKUP(D415,PARAM!J:K,2,0),VLOOKUP(E415,PARAM!G:H,2,0),VLOOKUP(G415,PARAM!P:Q,2,0)),"")</f>
        <v>1116430</v>
      </c>
      <c r="J415" s="1" t="str">
        <f>IFERROR(CONCATENATE("*",VLOOKUP(C415,PARAM!D:E,2,0),VLOOKUP(D415,PARAM!J:K,2,0),VLOOKUP(E415,PARAM!G:H,2,0),VLOOKUP(G415,PARAM!P:Q,2,0),"*"),"")</f>
        <v>*1116430*</v>
      </c>
      <c r="K415" s="1" t="str">
        <f t="shared" si="1"/>
        <v>CAMISETAS DAMA CAMISETA ESTAMPADO ALGODON LARGA TALLA UN</v>
      </c>
      <c r="L415" s="1"/>
    </row>
    <row r="416">
      <c r="A416" s="55">
        <v>46186.0</v>
      </c>
      <c r="B416" s="4" t="s">
        <v>1058</v>
      </c>
      <c r="C416" s="4" t="s">
        <v>1171</v>
      </c>
      <c r="D416" s="4" t="s">
        <v>1060</v>
      </c>
      <c r="E416" s="4" t="s">
        <v>1329</v>
      </c>
      <c r="F416" s="4" t="s">
        <v>1069</v>
      </c>
      <c r="G416" s="60" t="s">
        <v>1103</v>
      </c>
      <c r="H416" s="1" t="s">
        <v>476</v>
      </c>
      <c r="I416" s="1" t="str">
        <f>IFERROR(CONCATENATE(VLOOKUP(C416,PARAM!D:E,2,0),VLOOKUP(D416,PARAM!J:K,2,0),VLOOKUP(E416,PARAM!G:H,2,0),VLOOKUP(G416,PARAM!P:Q,2,0)),"")</f>
        <v>1112030</v>
      </c>
      <c r="J416" s="1" t="str">
        <f>IFERROR(CONCATENATE("*",VLOOKUP(C416,PARAM!D:E,2,0),VLOOKUP(D416,PARAM!J:K,2,0),VLOOKUP(E416,PARAM!G:H,2,0),VLOOKUP(G416,PARAM!P:Q,2,0),"*"),"")</f>
        <v>*1112030*</v>
      </c>
      <c r="K416" s="1" t="str">
        <f t="shared" si="1"/>
        <v>CAMISETAS DAMA ALGODON CORTA E U TALLA UN</v>
      </c>
      <c r="L416" s="1"/>
    </row>
    <row r="417">
      <c r="A417" s="55">
        <v>46186.0</v>
      </c>
      <c r="B417" s="4" t="s">
        <v>1058</v>
      </c>
      <c r="C417" s="4" t="s">
        <v>1175</v>
      </c>
      <c r="D417" s="4" t="s">
        <v>1060</v>
      </c>
      <c r="E417" s="4" t="s">
        <v>1330</v>
      </c>
      <c r="F417" s="4" t="s">
        <v>1062</v>
      </c>
      <c r="G417" s="60" t="s">
        <v>1103</v>
      </c>
      <c r="H417" s="1" t="s">
        <v>476</v>
      </c>
      <c r="I417" s="1" t="str">
        <f>IFERROR(CONCATENATE(VLOOKUP(C417,PARAM!D:E,2,0),VLOOKUP(D417,PARAM!J:K,2,0),VLOOKUP(E417,PARAM!G:H,2,0),VLOOKUP(G417,PARAM!P:Q,2,0)),"")</f>
        <v>38117230</v>
      </c>
      <c r="J417" s="1" t="str">
        <f>IFERROR(CONCATENATE("*",VLOOKUP(C417,PARAM!D:E,2,0),VLOOKUP(D417,PARAM!J:K,2,0),VLOOKUP(E417,PARAM!G:H,2,0),VLOOKUP(G417,PARAM!P:Q,2,0),"*"),"")</f>
        <v>*38117230*</v>
      </c>
      <c r="K417" s="1" t="str">
        <f t="shared" si="1"/>
        <v>BODY DAMA LICRADO TALLA UN</v>
      </c>
      <c r="L417" s="1"/>
    </row>
    <row r="418">
      <c r="A418" s="55">
        <v>46186.0</v>
      </c>
      <c r="B418" s="4" t="s">
        <v>1058</v>
      </c>
      <c r="C418" s="4" t="s">
        <v>1234</v>
      </c>
      <c r="D418" s="4" t="s">
        <v>1060</v>
      </c>
      <c r="E418" s="1" t="s">
        <v>1331</v>
      </c>
      <c r="F418" s="4" t="s">
        <v>1069</v>
      </c>
      <c r="G418" s="60" t="s">
        <v>1103</v>
      </c>
      <c r="H418" s="1" t="s">
        <v>476</v>
      </c>
      <c r="I418" s="1" t="str">
        <f>IFERROR(CONCATENATE(VLOOKUP(C418,PARAM!D:E,2,0),VLOOKUP(D418,PARAM!J:K,2,0),VLOOKUP(E418,PARAM!G:H,2,0),VLOOKUP(G418,PARAM!P:Q,2,0)),"")</f>
        <v>37117430</v>
      </c>
      <c r="J418" s="1" t="str">
        <f>IFERROR(CONCATENATE("*",VLOOKUP(C418,PARAM!D:E,2,0),VLOOKUP(D418,PARAM!J:K,2,0),VLOOKUP(E418,PARAM!G:H,2,0),VLOOKUP(G418,PARAM!P:Q,2,0),"*"),"")</f>
        <v>*37117430*</v>
      </c>
      <c r="K418" s="1" t="str">
        <f t="shared" si="1"/>
        <v>ESQUELETO DAMA LICRADO LARGO TALLA UN</v>
      </c>
      <c r="L418" s="1"/>
    </row>
    <row r="419">
      <c r="A419" s="55">
        <v>46186.0</v>
      </c>
      <c r="B419" s="4" t="s">
        <v>1058</v>
      </c>
      <c r="C419" s="4" t="s">
        <v>1234</v>
      </c>
      <c r="D419" s="4" t="s">
        <v>1060</v>
      </c>
      <c r="E419" s="1" t="s">
        <v>1332</v>
      </c>
      <c r="F419" s="4" t="s">
        <v>1069</v>
      </c>
      <c r="G419" s="60" t="s">
        <v>1103</v>
      </c>
      <c r="H419" s="1" t="s">
        <v>476</v>
      </c>
      <c r="I419" s="1" t="str">
        <f>IFERROR(CONCATENATE(VLOOKUP(C419,PARAM!D:E,2,0),VLOOKUP(D419,PARAM!J:K,2,0),VLOOKUP(E419,PARAM!G:H,2,0),VLOOKUP(G419,PARAM!P:Q,2,0)),"")</f>
        <v>37117330</v>
      </c>
      <c r="J419" s="1" t="str">
        <f>IFERROR(CONCATENATE("*",VLOOKUP(C419,PARAM!D:E,2,0),VLOOKUP(D419,PARAM!J:K,2,0),VLOOKUP(E419,PARAM!G:H,2,0),VLOOKUP(G419,PARAM!P:Q,2,0),"*"),"")</f>
        <v>*37117330*</v>
      </c>
      <c r="K419" s="1" t="str">
        <f t="shared" si="1"/>
        <v>ESQUELETO DAMA LICRADO CORTOS TALLA UN</v>
      </c>
      <c r="L419" s="1"/>
    </row>
    <row r="420">
      <c r="A420" s="55">
        <v>46186.0</v>
      </c>
      <c r="B420" s="4" t="s">
        <v>1058</v>
      </c>
      <c r="C420" s="4" t="s">
        <v>1234</v>
      </c>
      <c r="D420" s="4" t="s">
        <v>1060</v>
      </c>
      <c r="E420" s="1" t="s">
        <v>1333</v>
      </c>
      <c r="F420" s="4" t="s">
        <v>1069</v>
      </c>
      <c r="G420" s="60" t="s">
        <v>1103</v>
      </c>
      <c r="H420" s="1" t="s">
        <v>476</v>
      </c>
      <c r="I420" s="1" t="str">
        <f>IFERROR(CONCATENATE(VLOOKUP(C420,PARAM!D:E,2,0),VLOOKUP(D420,PARAM!J:K,2,0),VLOOKUP(E420,PARAM!G:H,2,0),VLOOKUP(G420,PARAM!P:Q,2,0)),"")</f>
        <v>37127330</v>
      </c>
      <c r="J420" s="1" t="str">
        <f>IFERROR(CONCATENATE("*",VLOOKUP(C420,PARAM!D:E,2,0),VLOOKUP(D420,PARAM!J:K,2,0),VLOOKUP(E420,PARAM!G:H,2,0),VLOOKUP(G420,PARAM!P:Q,2,0),"*"),"")</f>
        <v>*37127330*</v>
      </c>
      <c r="K420" s="1" t="str">
        <f t="shared" si="1"/>
        <v>ESQUELETO DAMA UN SOLO HOMBRO TALLA UN</v>
      </c>
      <c r="L420" s="1"/>
    </row>
    <row r="421">
      <c r="A421" s="55">
        <v>46186.0</v>
      </c>
      <c r="B421" s="4" t="s">
        <v>1187</v>
      </c>
      <c r="C421" s="4" t="s">
        <v>1194</v>
      </c>
      <c r="D421" s="4" t="s">
        <v>1101</v>
      </c>
      <c r="E421" s="1" t="s">
        <v>1334</v>
      </c>
      <c r="F421" s="4" t="s">
        <v>1082</v>
      </c>
      <c r="G421" s="60" t="s">
        <v>1168</v>
      </c>
      <c r="H421" s="1" t="s">
        <v>879</v>
      </c>
      <c r="I421" s="1" t="str">
        <f>IFERROR(CONCATENATE(VLOOKUP(C421,PARAM!D:E,2,0),VLOOKUP(D421,PARAM!J:K,2,0),VLOOKUP(E421,PARAM!G:H,2,0),VLOOKUP(G421,PARAM!P:Q,2,0)),"")</f>
        <v>26319427</v>
      </c>
      <c r="J421" s="1" t="str">
        <f>IFERROR(CONCATENATE("*",VLOOKUP(C421,PARAM!D:E,2,0),VLOOKUP(D421,PARAM!J:K,2,0),VLOOKUP(E421,PARAM!G:H,2,0),VLOOKUP(G421,PARAM!P:Q,2,0),"*"),"")</f>
        <v>*26319427*</v>
      </c>
      <c r="K421" s="1" t="str">
        <f t="shared" si="1"/>
        <v>BUSOS UNISEX MUNDIAL 2026 TALLA S</v>
      </c>
      <c r="L421" s="1"/>
    </row>
    <row r="422">
      <c r="A422" s="55">
        <v>46186.0</v>
      </c>
      <c r="B422" s="4" t="s">
        <v>1187</v>
      </c>
      <c r="C422" s="4" t="s">
        <v>1194</v>
      </c>
      <c r="D422" s="4" t="s">
        <v>1101</v>
      </c>
      <c r="E422" s="1" t="s">
        <v>1334</v>
      </c>
      <c r="F422" s="4" t="s">
        <v>1082</v>
      </c>
      <c r="G422" s="60" t="s">
        <v>1164</v>
      </c>
      <c r="H422" s="1" t="s">
        <v>879</v>
      </c>
      <c r="I422" s="1" t="str">
        <f>IFERROR(CONCATENATE(VLOOKUP(C422,PARAM!D:E,2,0),VLOOKUP(D422,PARAM!J:K,2,0),VLOOKUP(E422,PARAM!G:H,2,0),VLOOKUP(G422,PARAM!P:Q,2,0)),"")</f>
        <v>26319425</v>
      </c>
      <c r="J422" s="1" t="str">
        <f>IFERROR(CONCATENATE("*",VLOOKUP(C422,PARAM!D:E,2,0),VLOOKUP(D422,PARAM!J:K,2,0),VLOOKUP(E422,PARAM!G:H,2,0),VLOOKUP(G422,PARAM!P:Q,2,0),"*"),"")</f>
        <v>*26319425*</v>
      </c>
      <c r="K422" s="1" t="str">
        <f t="shared" si="1"/>
        <v>BUSOS UNISEX MUNDIAL 2026 TALLA M</v>
      </c>
      <c r="L422" s="1"/>
    </row>
    <row r="423">
      <c r="A423" s="55">
        <v>46186.0</v>
      </c>
      <c r="B423" s="4" t="s">
        <v>1187</v>
      </c>
      <c r="C423" s="4" t="s">
        <v>1194</v>
      </c>
      <c r="D423" s="4" t="s">
        <v>1101</v>
      </c>
      <c r="E423" s="1" t="s">
        <v>1334</v>
      </c>
      <c r="F423" s="4" t="s">
        <v>1082</v>
      </c>
      <c r="G423" s="60" t="s">
        <v>1165</v>
      </c>
      <c r="H423" s="1" t="s">
        <v>879</v>
      </c>
      <c r="I423" s="1" t="str">
        <f>IFERROR(CONCATENATE(VLOOKUP(C423,PARAM!D:E,2,0),VLOOKUP(D423,PARAM!J:K,2,0),VLOOKUP(E423,PARAM!G:H,2,0),VLOOKUP(G423,PARAM!P:Q,2,0)),"")</f>
        <v>26319423</v>
      </c>
      <c r="J423" s="1" t="str">
        <f>IFERROR(CONCATENATE("*",VLOOKUP(C423,PARAM!D:E,2,0),VLOOKUP(D423,PARAM!J:K,2,0),VLOOKUP(E423,PARAM!G:H,2,0),VLOOKUP(G423,PARAM!P:Q,2,0),"*"),"")</f>
        <v>*26319423*</v>
      </c>
      <c r="K423" s="1" t="str">
        <f t="shared" si="1"/>
        <v>BUSOS UNISEX MUNDIAL 2026 TALLA L</v>
      </c>
      <c r="L423" s="1"/>
    </row>
    <row r="424">
      <c r="A424" s="55">
        <v>46186.0</v>
      </c>
      <c r="B424" s="4" t="s">
        <v>1187</v>
      </c>
      <c r="C424" s="4" t="s">
        <v>1194</v>
      </c>
      <c r="D424" s="4" t="s">
        <v>1101</v>
      </c>
      <c r="E424" s="1" t="s">
        <v>1334</v>
      </c>
      <c r="F424" s="4" t="s">
        <v>1082</v>
      </c>
      <c r="G424" s="60" t="s">
        <v>1077</v>
      </c>
      <c r="H424" s="1" t="s">
        <v>879</v>
      </c>
      <c r="I424" s="1" t="str">
        <f>IFERROR(CONCATENATE(VLOOKUP(C424,PARAM!D:E,2,0),VLOOKUP(D424,PARAM!J:K,2,0),VLOOKUP(E424,PARAM!G:H,2,0),VLOOKUP(G424,PARAM!P:Q,2,0)),"")</f>
        <v>26319432</v>
      </c>
      <c r="J424" s="1" t="str">
        <f>IFERROR(CONCATENATE("*",VLOOKUP(C424,PARAM!D:E,2,0),VLOOKUP(D424,PARAM!J:K,2,0),VLOOKUP(E424,PARAM!G:H,2,0),VLOOKUP(G424,PARAM!P:Q,2,0),"*"),"")</f>
        <v>*26319432*</v>
      </c>
      <c r="K424" s="1" t="str">
        <f t="shared" si="1"/>
        <v>BUSOS UNISEX MUNDIAL 2026 TALLA XL</v>
      </c>
      <c r="L424" s="1"/>
    </row>
    <row r="425">
      <c r="A425" s="55">
        <v>46186.0</v>
      </c>
      <c r="B425" s="4" t="s">
        <v>1058</v>
      </c>
      <c r="C425" s="4" t="s">
        <v>1227</v>
      </c>
      <c r="D425" s="4" t="s">
        <v>1060</v>
      </c>
      <c r="E425" s="1" t="s">
        <v>1335</v>
      </c>
      <c r="F425" s="4" t="s">
        <v>1069</v>
      </c>
      <c r="G425" s="60" t="s">
        <v>1103</v>
      </c>
      <c r="H425" s="1" t="s">
        <v>884</v>
      </c>
      <c r="I425" s="1" t="str">
        <f>IFERROR(CONCATENATE(VLOOKUP(C425,PARAM!D:E,2,0),VLOOKUP(D425,PARAM!J:K,2,0),VLOOKUP(E425,PARAM!G:H,2,0),VLOOKUP(G425,PARAM!P:Q,2,0)),"")</f>
        <v>39124730</v>
      </c>
      <c r="J425" s="1" t="str">
        <f>IFERROR(CONCATENATE("*",VLOOKUP(C425,PARAM!D:E,2,0),VLOOKUP(D425,PARAM!J:K,2,0),VLOOKUP(E425,PARAM!G:H,2,0),VLOOKUP(G425,PARAM!P:Q,2,0),"*"),"")</f>
        <v>*39124730*</v>
      </c>
      <c r="K425" s="1" t="str">
        <f t="shared" si="1"/>
        <v>SACO DAMA SACO ABIERTO TALLA UN</v>
      </c>
      <c r="L425" s="1"/>
    </row>
    <row r="426">
      <c r="A426" s="55">
        <v>46186.0</v>
      </c>
      <c r="B426" s="4" t="s">
        <v>1058</v>
      </c>
      <c r="C426" s="4" t="s">
        <v>1194</v>
      </c>
      <c r="D426" s="4" t="s">
        <v>1060</v>
      </c>
      <c r="E426" s="1" t="s">
        <v>1336</v>
      </c>
      <c r="F426" s="4" t="s">
        <v>1069</v>
      </c>
      <c r="G426" s="60" t="s">
        <v>1103</v>
      </c>
      <c r="H426" s="1" t="s">
        <v>884</v>
      </c>
      <c r="I426" s="1" t="str">
        <f>IFERROR(CONCATENATE(VLOOKUP(C426,PARAM!D:E,2,0),VLOOKUP(D426,PARAM!J:K,2,0),VLOOKUP(E426,PARAM!G:H,2,0),VLOOKUP(G426,PARAM!P:Q,2,0)),"")</f>
        <v>26120730</v>
      </c>
      <c r="J426" s="1" t="str">
        <f>IFERROR(CONCATENATE("*",VLOOKUP(C426,PARAM!D:E,2,0),VLOOKUP(D426,PARAM!J:K,2,0),VLOOKUP(E426,PARAM!G:H,2,0),VLOOKUP(G426,PARAM!P:Q,2,0),"*"),"")</f>
        <v>*26120730*</v>
      </c>
      <c r="K426" s="1" t="str">
        <f t="shared" si="1"/>
        <v>BUSOS DAMA PEPAS CHINILLO TALLA UN</v>
      </c>
      <c r="L426" s="1"/>
    </row>
    <row r="427">
      <c r="A427" s="55">
        <v>46186.0</v>
      </c>
      <c r="B427" s="4" t="s">
        <v>1058</v>
      </c>
      <c r="C427" s="4" t="s">
        <v>421</v>
      </c>
      <c r="D427" s="4" t="s">
        <v>1060</v>
      </c>
      <c r="E427" s="4" t="s">
        <v>1337</v>
      </c>
      <c r="F427" s="4" t="s">
        <v>1069</v>
      </c>
      <c r="G427" s="60" t="s">
        <v>1103</v>
      </c>
      <c r="H427" s="1" t="s">
        <v>884</v>
      </c>
      <c r="I427" s="1" t="str">
        <f>IFERROR(CONCATENATE(VLOOKUP(C427,PARAM!D:E,2,0),VLOOKUP(D427,PARAM!J:K,2,0),VLOOKUP(E427,PARAM!G:H,2,0),VLOOKUP(G427,PARAM!P:Q,2,0)),"")</f>
        <v>6112530</v>
      </c>
      <c r="J427" s="1" t="str">
        <f>IFERROR(CONCATENATE("*",VLOOKUP(C427,PARAM!D:E,2,0),VLOOKUP(D427,PARAM!J:K,2,0),VLOOKUP(E427,PARAM!G:H,2,0),VLOOKUP(G427,PARAM!P:Q,2,0),"*"),"")</f>
        <v>*6112530*</v>
      </c>
      <c r="K427" s="1" t="str">
        <f t="shared" si="1"/>
        <v>BLUSAS DAMA ELEGANTE TALLA UN</v>
      </c>
      <c r="L427" s="1"/>
    </row>
    <row r="428">
      <c r="A428" s="55">
        <v>46186.0</v>
      </c>
      <c r="B428" s="4" t="s">
        <v>1058</v>
      </c>
      <c r="C428" s="4" t="s">
        <v>421</v>
      </c>
      <c r="D428" s="4" t="s">
        <v>1060</v>
      </c>
      <c r="E428" s="1" t="s">
        <v>1338</v>
      </c>
      <c r="F428" s="4" t="s">
        <v>1069</v>
      </c>
      <c r="G428" s="60" t="s">
        <v>1103</v>
      </c>
      <c r="H428" s="1" t="s">
        <v>884</v>
      </c>
      <c r="I428" s="1" t="str">
        <f>IFERROR(CONCATENATE(VLOOKUP(C428,PARAM!D:E,2,0),VLOOKUP(D428,PARAM!J:K,2,0),VLOOKUP(E428,PARAM!G:H,2,0),VLOOKUP(G428,PARAM!P:Q,2,0)),"")</f>
        <v>619430</v>
      </c>
      <c r="J428" s="1" t="str">
        <f>IFERROR(CONCATENATE("*",VLOOKUP(C428,PARAM!D:E,2,0),VLOOKUP(D428,PARAM!J:K,2,0),VLOOKUP(E428,PARAM!G:H,2,0),VLOOKUP(G428,PARAM!P:Q,2,0),"*"),"")</f>
        <v>*619430*</v>
      </c>
      <c r="K428" s="1" t="str">
        <f t="shared" si="1"/>
        <v>BLUSAS DAMA CON PEPAS TALLA UN</v>
      </c>
      <c r="L428" s="1"/>
    </row>
    <row r="429">
      <c r="A429" s="55">
        <v>46186.0</v>
      </c>
      <c r="B429" s="4" t="s">
        <v>1058</v>
      </c>
      <c r="C429" s="4" t="s">
        <v>1194</v>
      </c>
      <c r="D429" s="4" t="s">
        <v>1060</v>
      </c>
      <c r="E429" s="1" t="s">
        <v>1339</v>
      </c>
      <c r="F429" s="4" t="s">
        <v>1069</v>
      </c>
      <c r="G429" s="60" t="s">
        <v>1103</v>
      </c>
      <c r="H429" s="1" t="s">
        <v>884</v>
      </c>
      <c r="I429" s="1" t="str">
        <f>IFERROR(CONCATENATE(VLOOKUP(C429,PARAM!D:E,2,0),VLOOKUP(D429,PARAM!J:K,2,0),VLOOKUP(E429,PARAM!G:H,2,0),VLOOKUP(G429,PARAM!P:Q,2,0)),"")</f>
        <v>2619030</v>
      </c>
      <c r="J429" s="1" t="str">
        <f>IFERROR(CONCATENATE("*",VLOOKUP(C429,PARAM!D:E,2,0),VLOOKUP(D429,PARAM!J:K,2,0),VLOOKUP(E429,PARAM!G:H,2,0),VLOOKUP(G429,PARAM!P:Q,2,0),"*"),"")</f>
        <v>*2619030*</v>
      </c>
      <c r="K429" s="1" t="str">
        <f t="shared" si="1"/>
        <v>BUSOS DAMA CON BORDADOS TALLA UN</v>
      </c>
      <c r="L429" s="1"/>
    </row>
    <row r="430">
      <c r="A430" s="55">
        <v>46186.0</v>
      </c>
      <c r="B430" s="4" t="s">
        <v>1058</v>
      </c>
      <c r="C430" s="4" t="s">
        <v>1194</v>
      </c>
      <c r="D430" s="4" t="s">
        <v>1060</v>
      </c>
      <c r="E430" s="1" t="s">
        <v>1340</v>
      </c>
      <c r="F430" s="4" t="s">
        <v>1069</v>
      </c>
      <c r="G430" s="60" t="s">
        <v>1103</v>
      </c>
      <c r="H430" s="1" t="s">
        <v>884</v>
      </c>
      <c r="I430" s="1" t="str">
        <f>IFERROR(CONCATENATE(VLOOKUP(C430,PARAM!D:E,2,0),VLOOKUP(D430,PARAM!J:K,2,0),VLOOKUP(E430,PARAM!G:H,2,0),VLOOKUP(G430,PARAM!P:Q,2,0)),"")</f>
        <v>2617030</v>
      </c>
      <c r="J430" s="1" t="str">
        <f>IFERROR(CONCATENATE("*",VLOOKUP(C430,PARAM!D:E,2,0),VLOOKUP(D430,PARAM!J:K,2,0),VLOOKUP(E430,PARAM!G:H,2,0),VLOOKUP(G430,PARAM!P:Q,2,0),"*"),"")</f>
        <v>*2617030*</v>
      </c>
      <c r="K430" s="1" t="str">
        <f t="shared" si="1"/>
        <v>BUSOS DAMA CAPOTA LANA TALLA UN</v>
      </c>
      <c r="L430" s="1"/>
    </row>
    <row r="431">
      <c r="A431" s="55">
        <v>46186.0</v>
      </c>
      <c r="B431" s="4" t="s">
        <v>1058</v>
      </c>
      <c r="C431" s="4" t="s">
        <v>1171</v>
      </c>
      <c r="D431" s="4" t="s">
        <v>1060</v>
      </c>
      <c r="E431" s="4" t="s">
        <v>1341</v>
      </c>
      <c r="F431" s="4" t="s">
        <v>1069</v>
      </c>
      <c r="G431" s="60" t="s">
        <v>1168</v>
      </c>
      <c r="H431" s="1" t="s">
        <v>891</v>
      </c>
      <c r="I431" s="1" t="str">
        <f>IFERROR(CONCATENATE(VLOOKUP(C431,PARAM!D:E,2,0),VLOOKUP(D431,PARAM!J:K,2,0),VLOOKUP(E431,PARAM!G:H,2,0),VLOOKUP(G431,PARAM!P:Q,2,0)),"")</f>
        <v>1112227</v>
      </c>
      <c r="J431" s="1" t="str">
        <f>IFERROR(CONCATENATE("*",VLOOKUP(C431,PARAM!D:E,2,0),VLOOKUP(D431,PARAM!J:K,2,0),VLOOKUP(E431,PARAM!G:H,2,0),VLOOKUP(G431,PARAM!P:Q,2,0),"*"),"")</f>
        <v>*1112227*</v>
      </c>
      <c r="K431" s="1" t="str">
        <f t="shared" si="1"/>
        <v>CAMISETAS DAMA ALGODON OLGADA TALLA S</v>
      </c>
      <c r="L431" s="1"/>
    </row>
    <row r="432">
      <c r="A432" s="55">
        <v>46186.0</v>
      </c>
      <c r="B432" s="4" t="s">
        <v>1058</v>
      </c>
      <c r="C432" s="4" t="s">
        <v>1171</v>
      </c>
      <c r="D432" s="4" t="s">
        <v>1060</v>
      </c>
      <c r="E432" s="4" t="s">
        <v>1341</v>
      </c>
      <c r="F432" s="4" t="s">
        <v>1069</v>
      </c>
      <c r="G432" s="60" t="s">
        <v>1164</v>
      </c>
      <c r="H432" s="1" t="s">
        <v>891</v>
      </c>
      <c r="I432" s="1" t="str">
        <f>IFERROR(CONCATENATE(VLOOKUP(C432,PARAM!D:E,2,0),VLOOKUP(D432,PARAM!J:K,2,0),VLOOKUP(E432,PARAM!G:H,2,0),VLOOKUP(G432,PARAM!P:Q,2,0)),"")</f>
        <v>1112225</v>
      </c>
      <c r="J432" s="1" t="str">
        <f>IFERROR(CONCATENATE("*",VLOOKUP(C432,PARAM!D:E,2,0),VLOOKUP(D432,PARAM!J:K,2,0),VLOOKUP(E432,PARAM!G:H,2,0),VLOOKUP(G432,PARAM!P:Q,2,0),"*"),"")</f>
        <v>*1112225*</v>
      </c>
      <c r="K432" s="1" t="str">
        <f t="shared" si="1"/>
        <v>CAMISETAS DAMA ALGODON OLGADA TALLA M</v>
      </c>
      <c r="L432" s="1"/>
    </row>
    <row r="433">
      <c r="A433" s="55">
        <v>46186.0</v>
      </c>
      <c r="B433" s="4" t="s">
        <v>1058</v>
      </c>
      <c r="C433" s="4" t="s">
        <v>1171</v>
      </c>
      <c r="D433" s="4" t="s">
        <v>1060</v>
      </c>
      <c r="E433" s="4" t="s">
        <v>1341</v>
      </c>
      <c r="F433" s="4" t="s">
        <v>1069</v>
      </c>
      <c r="G433" s="60" t="s">
        <v>1165</v>
      </c>
      <c r="H433" s="1" t="s">
        <v>891</v>
      </c>
      <c r="I433" s="1" t="str">
        <f>IFERROR(CONCATENATE(VLOOKUP(C433,PARAM!D:E,2,0),VLOOKUP(D433,PARAM!J:K,2,0),VLOOKUP(E433,PARAM!G:H,2,0),VLOOKUP(G433,PARAM!P:Q,2,0)),"")</f>
        <v>1112223</v>
      </c>
      <c r="J433" s="1" t="str">
        <f>IFERROR(CONCATENATE("*",VLOOKUP(C433,PARAM!D:E,2,0),VLOOKUP(D433,PARAM!J:K,2,0),VLOOKUP(E433,PARAM!G:H,2,0),VLOOKUP(G433,PARAM!P:Q,2,0),"*"),"")</f>
        <v>*1112223*</v>
      </c>
      <c r="K433" s="1" t="str">
        <f t="shared" si="1"/>
        <v>CAMISETAS DAMA ALGODON OLGADA TALLA L</v>
      </c>
      <c r="L433" s="1"/>
    </row>
    <row r="434">
      <c r="A434" s="55">
        <v>46186.0</v>
      </c>
      <c r="B434" s="4" t="s">
        <v>1058</v>
      </c>
      <c r="C434" s="4" t="s">
        <v>1171</v>
      </c>
      <c r="D434" s="4" t="s">
        <v>1060</v>
      </c>
      <c r="E434" s="4" t="s">
        <v>1341</v>
      </c>
      <c r="F434" s="4" t="s">
        <v>1069</v>
      </c>
      <c r="G434" s="60" t="s">
        <v>1077</v>
      </c>
      <c r="H434" s="1" t="s">
        <v>891</v>
      </c>
      <c r="I434" s="1" t="str">
        <f>IFERROR(CONCATENATE(VLOOKUP(C434,PARAM!D:E,2,0),VLOOKUP(D434,PARAM!J:K,2,0),VLOOKUP(E434,PARAM!G:H,2,0),VLOOKUP(G434,PARAM!P:Q,2,0)),"")</f>
        <v>1112232</v>
      </c>
      <c r="J434" s="1" t="str">
        <f>IFERROR(CONCATENATE("*",VLOOKUP(C434,PARAM!D:E,2,0),VLOOKUP(D434,PARAM!J:K,2,0),VLOOKUP(E434,PARAM!G:H,2,0),VLOOKUP(G434,PARAM!P:Q,2,0),"*"),"")</f>
        <v>*1112232*</v>
      </c>
      <c r="K434" s="1" t="str">
        <f t="shared" si="1"/>
        <v>CAMISETAS DAMA ALGODON OLGADA TALLA XL</v>
      </c>
      <c r="L434" s="1"/>
    </row>
    <row r="435">
      <c r="A435" s="55">
        <v>46186.0</v>
      </c>
      <c r="B435" s="4" t="s">
        <v>1058</v>
      </c>
      <c r="C435" s="4" t="s">
        <v>1171</v>
      </c>
      <c r="D435" s="4" t="s">
        <v>1060</v>
      </c>
      <c r="E435" s="4" t="s">
        <v>1342</v>
      </c>
      <c r="F435" s="4" t="s">
        <v>1069</v>
      </c>
      <c r="G435" s="60" t="s">
        <v>1168</v>
      </c>
      <c r="H435" s="1" t="s">
        <v>891</v>
      </c>
      <c r="I435" s="1" t="str">
        <f>IFERROR(CONCATENATE(VLOOKUP(C435,PARAM!D:E,2,0),VLOOKUP(D435,PARAM!J:K,2,0),VLOOKUP(E435,PARAM!G:H,2,0),VLOOKUP(G435,PARAM!P:Q,2,0)),"")</f>
        <v>1111727</v>
      </c>
      <c r="J435" s="1" t="str">
        <f>IFERROR(CONCATENATE("*",VLOOKUP(C435,PARAM!D:E,2,0),VLOOKUP(D435,PARAM!J:K,2,0),VLOOKUP(E435,PARAM!G:H,2,0),VLOOKUP(G435,PARAM!P:Q,2,0),"*"),"")</f>
        <v>*1111727*</v>
      </c>
      <c r="K435" s="1" t="str">
        <f t="shared" si="1"/>
        <v>CAMISETAS DAMA ALGODON AJUSTADA TALLA S</v>
      </c>
      <c r="L435" s="1"/>
    </row>
    <row r="436">
      <c r="A436" s="55">
        <v>46186.0</v>
      </c>
      <c r="B436" s="4" t="s">
        <v>1058</v>
      </c>
      <c r="C436" s="4" t="s">
        <v>1171</v>
      </c>
      <c r="D436" s="4" t="s">
        <v>1060</v>
      </c>
      <c r="E436" s="4" t="s">
        <v>1342</v>
      </c>
      <c r="F436" s="4" t="s">
        <v>1069</v>
      </c>
      <c r="G436" s="60" t="s">
        <v>1164</v>
      </c>
      <c r="H436" s="1" t="s">
        <v>891</v>
      </c>
      <c r="I436" s="1" t="str">
        <f>IFERROR(CONCATENATE(VLOOKUP(C436,PARAM!D:E,2,0),VLOOKUP(D436,PARAM!J:K,2,0),VLOOKUP(E436,PARAM!G:H,2,0),VLOOKUP(G436,PARAM!P:Q,2,0)),"")</f>
        <v>1111725</v>
      </c>
      <c r="J436" s="1" t="str">
        <f>IFERROR(CONCATENATE("*",VLOOKUP(C436,PARAM!D:E,2,0),VLOOKUP(D436,PARAM!J:K,2,0),VLOOKUP(E436,PARAM!G:H,2,0),VLOOKUP(G436,PARAM!P:Q,2,0),"*"),"")</f>
        <v>*1111725*</v>
      </c>
      <c r="K436" s="1" t="str">
        <f t="shared" si="1"/>
        <v>CAMISETAS DAMA ALGODON AJUSTADA TALLA M</v>
      </c>
      <c r="L436" s="1"/>
    </row>
    <row r="437">
      <c r="A437" s="55">
        <v>46186.0</v>
      </c>
      <c r="B437" s="4" t="s">
        <v>1058</v>
      </c>
      <c r="C437" s="4" t="s">
        <v>1171</v>
      </c>
      <c r="D437" s="4" t="s">
        <v>1060</v>
      </c>
      <c r="E437" s="4" t="s">
        <v>1342</v>
      </c>
      <c r="F437" s="4" t="s">
        <v>1069</v>
      </c>
      <c r="G437" s="60" t="s">
        <v>1165</v>
      </c>
      <c r="H437" s="1" t="s">
        <v>891</v>
      </c>
      <c r="I437" s="1" t="str">
        <f>IFERROR(CONCATENATE(VLOOKUP(C437,PARAM!D:E,2,0),VLOOKUP(D437,PARAM!J:K,2,0),VLOOKUP(E437,PARAM!G:H,2,0),VLOOKUP(G437,PARAM!P:Q,2,0)),"")</f>
        <v>1111723</v>
      </c>
      <c r="J437" s="1" t="str">
        <f>IFERROR(CONCATENATE("*",VLOOKUP(C437,PARAM!D:E,2,0),VLOOKUP(D437,PARAM!J:K,2,0),VLOOKUP(E437,PARAM!G:H,2,0),VLOOKUP(G437,PARAM!P:Q,2,0),"*"),"")</f>
        <v>*1111723*</v>
      </c>
      <c r="K437" s="1" t="str">
        <f t="shared" si="1"/>
        <v>CAMISETAS DAMA ALGODON AJUSTADA TALLA L</v>
      </c>
      <c r="L437" s="1"/>
    </row>
    <row r="438">
      <c r="A438" s="55">
        <v>46186.0</v>
      </c>
      <c r="B438" s="4" t="s">
        <v>1058</v>
      </c>
      <c r="C438" s="4" t="s">
        <v>1171</v>
      </c>
      <c r="D438" s="4" t="s">
        <v>1060</v>
      </c>
      <c r="E438" s="4" t="s">
        <v>1342</v>
      </c>
      <c r="F438" s="4" t="s">
        <v>1069</v>
      </c>
      <c r="G438" s="60" t="s">
        <v>1077</v>
      </c>
      <c r="H438" s="1" t="s">
        <v>891</v>
      </c>
      <c r="I438" s="1" t="str">
        <f>IFERROR(CONCATENATE(VLOOKUP(C438,PARAM!D:E,2,0),VLOOKUP(D438,PARAM!J:K,2,0),VLOOKUP(E438,PARAM!G:H,2,0),VLOOKUP(G438,PARAM!P:Q,2,0)),"")</f>
        <v>1111732</v>
      </c>
      <c r="J438" s="1" t="str">
        <f>IFERROR(CONCATENATE("*",VLOOKUP(C438,PARAM!D:E,2,0),VLOOKUP(D438,PARAM!J:K,2,0),VLOOKUP(E438,PARAM!G:H,2,0),VLOOKUP(G438,PARAM!P:Q,2,0),"*"),"")</f>
        <v>*1111732*</v>
      </c>
      <c r="K438" s="1" t="str">
        <f t="shared" si="1"/>
        <v>CAMISETAS DAMA ALGODON AJUSTADA TALLA XL</v>
      </c>
      <c r="L438" s="1"/>
    </row>
    <row r="439">
      <c r="A439" s="55">
        <v>46186.0</v>
      </c>
      <c r="B439" s="4" t="s">
        <v>1078</v>
      </c>
      <c r="C439" s="4" t="s">
        <v>1171</v>
      </c>
      <c r="D439" s="4" t="s">
        <v>1080</v>
      </c>
      <c r="E439" s="1" t="s">
        <v>1237</v>
      </c>
      <c r="F439" s="4" t="s">
        <v>1069</v>
      </c>
      <c r="G439" s="60" t="s">
        <v>1168</v>
      </c>
      <c r="H439" s="1" t="s">
        <v>891</v>
      </c>
      <c r="I439" s="1" t="str">
        <f>IFERROR(CONCATENATE(VLOOKUP(C439,PARAM!D:E,2,0),VLOOKUP(D439,PARAM!J:K,2,0),VLOOKUP(E439,PARAM!G:H,2,0),VLOOKUP(G439,PARAM!P:Q,2,0)),"")</f>
        <v>11224827</v>
      </c>
      <c r="J439" s="1" t="str">
        <f>IFERROR(CONCATENATE("*",VLOOKUP(C439,PARAM!D:E,2,0),VLOOKUP(D439,PARAM!J:K,2,0),VLOOKUP(E439,PARAM!G:H,2,0),VLOOKUP(G439,PARAM!P:Q,2,0),"*"),"")</f>
        <v>*11224827*</v>
      </c>
      <c r="K439" s="1" t="str">
        <f t="shared" si="1"/>
        <v>CAMISETAS CABALLERO SEDA FRIA TALLA S</v>
      </c>
      <c r="L439" s="1"/>
    </row>
    <row r="440">
      <c r="A440" s="55">
        <v>46186.0</v>
      </c>
      <c r="B440" s="4" t="s">
        <v>1078</v>
      </c>
      <c r="C440" s="4" t="s">
        <v>1171</v>
      </c>
      <c r="D440" s="4" t="s">
        <v>1080</v>
      </c>
      <c r="E440" s="1" t="s">
        <v>1237</v>
      </c>
      <c r="F440" s="4" t="s">
        <v>1069</v>
      </c>
      <c r="G440" s="60" t="s">
        <v>1164</v>
      </c>
      <c r="H440" s="1" t="s">
        <v>891</v>
      </c>
      <c r="I440" s="1" t="str">
        <f>IFERROR(CONCATENATE(VLOOKUP(C440,PARAM!D:E,2,0),VLOOKUP(D440,PARAM!J:K,2,0),VLOOKUP(E440,PARAM!G:H,2,0),VLOOKUP(G440,PARAM!P:Q,2,0)),"")</f>
        <v>11224825</v>
      </c>
      <c r="J440" s="1" t="str">
        <f>IFERROR(CONCATENATE("*",VLOOKUP(C440,PARAM!D:E,2,0),VLOOKUP(D440,PARAM!J:K,2,0),VLOOKUP(E440,PARAM!G:H,2,0),VLOOKUP(G440,PARAM!P:Q,2,0),"*"),"")</f>
        <v>*11224825*</v>
      </c>
      <c r="K440" s="1" t="str">
        <f t="shared" si="1"/>
        <v>CAMISETAS CABALLERO SEDA FRIA TALLA M</v>
      </c>
      <c r="L440" s="1"/>
    </row>
    <row r="441">
      <c r="A441" s="55">
        <v>46186.0</v>
      </c>
      <c r="B441" s="4" t="s">
        <v>1078</v>
      </c>
      <c r="C441" s="4" t="s">
        <v>1171</v>
      </c>
      <c r="D441" s="4" t="s">
        <v>1080</v>
      </c>
      <c r="E441" s="1" t="s">
        <v>1237</v>
      </c>
      <c r="F441" s="4" t="s">
        <v>1069</v>
      </c>
      <c r="G441" s="60" t="s">
        <v>1165</v>
      </c>
      <c r="H441" s="1" t="s">
        <v>891</v>
      </c>
      <c r="I441" s="1" t="str">
        <f>IFERROR(CONCATENATE(VLOOKUP(C441,PARAM!D:E,2,0),VLOOKUP(D441,PARAM!J:K,2,0),VLOOKUP(E441,PARAM!G:H,2,0),VLOOKUP(G441,PARAM!P:Q,2,0)),"")</f>
        <v>11224823</v>
      </c>
      <c r="J441" s="1" t="str">
        <f>IFERROR(CONCATENATE("*",VLOOKUP(C441,PARAM!D:E,2,0),VLOOKUP(D441,PARAM!J:K,2,0),VLOOKUP(E441,PARAM!G:H,2,0),VLOOKUP(G441,PARAM!P:Q,2,0),"*"),"")</f>
        <v>*11224823*</v>
      </c>
      <c r="K441" s="1" t="str">
        <f t="shared" si="1"/>
        <v>CAMISETAS CABALLERO SEDA FRIA TALLA L</v>
      </c>
      <c r="L441" s="1"/>
    </row>
    <row r="442">
      <c r="A442" s="55">
        <v>46186.0</v>
      </c>
      <c r="B442" s="4" t="s">
        <v>1078</v>
      </c>
      <c r="C442" s="4" t="s">
        <v>1171</v>
      </c>
      <c r="D442" s="4" t="s">
        <v>1080</v>
      </c>
      <c r="E442" s="1" t="s">
        <v>1237</v>
      </c>
      <c r="F442" s="4" t="s">
        <v>1069</v>
      </c>
      <c r="G442" s="60" t="s">
        <v>1077</v>
      </c>
      <c r="H442" s="1" t="s">
        <v>891</v>
      </c>
      <c r="I442" s="1" t="str">
        <f>IFERROR(CONCATENATE(VLOOKUP(C442,PARAM!D:E,2,0),VLOOKUP(D442,PARAM!J:K,2,0),VLOOKUP(E442,PARAM!G:H,2,0),VLOOKUP(G442,PARAM!P:Q,2,0)),"")</f>
        <v>11224832</v>
      </c>
      <c r="J442" s="1" t="str">
        <f>IFERROR(CONCATENATE("*",VLOOKUP(C442,PARAM!D:E,2,0),VLOOKUP(D442,PARAM!J:K,2,0),VLOOKUP(E442,PARAM!G:H,2,0),VLOOKUP(G442,PARAM!P:Q,2,0),"*"),"")</f>
        <v>*11224832*</v>
      </c>
      <c r="K442" s="1" t="str">
        <f t="shared" si="1"/>
        <v>CAMISETAS CABALLERO SEDA FRIA TALLA XL</v>
      </c>
      <c r="L442" s="1"/>
    </row>
    <row r="443">
      <c r="A443" s="55">
        <v>46186.0</v>
      </c>
      <c r="B443" s="4" t="s">
        <v>1058</v>
      </c>
      <c r="C443" s="4" t="s">
        <v>1343</v>
      </c>
      <c r="D443" s="4" t="s">
        <v>1060</v>
      </c>
      <c r="E443" s="4" t="s">
        <v>1344</v>
      </c>
      <c r="F443" s="4" t="s">
        <v>1069</v>
      </c>
      <c r="G443" s="60" t="s">
        <v>1168</v>
      </c>
      <c r="H443" s="1" t="s">
        <v>891</v>
      </c>
      <c r="I443" s="1" t="str">
        <f>IFERROR(CONCATENATE(VLOOKUP(C443,PARAM!D:E,2,0),VLOOKUP(D443,PARAM!J:K,2,0),VLOOKUP(E443,PARAM!G:H,2,0),VLOOKUP(G443,PARAM!P:Q,2,0)),"")</f>
        <v>55120327</v>
      </c>
      <c r="J443" s="1" t="str">
        <f>IFERROR(CONCATENATE("*",VLOOKUP(C443,PARAM!D:E,2,0),VLOOKUP(D443,PARAM!J:K,2,0),VLOOKUP(E443,PARAM!G:H,2,0),VLOOKUP(G443,PARAM!P:Q,2,0),"*"),"")</f>
        <v>*55120327*</v>
      </c>
      <c r="K443" s="1" t="str">
        <f t="shared" si="1"/>
        <v>CROPTOP DAMA OVERSIZE DOS ESTAMPADOS TALLA S</v>
      </c>
      <c r="L443" s="1"/>
    </row>
    <row r="444">
      <c r="A444" s="55">
        <v>46186.0</v>
      </c>
      <c r="B444" s="4" t="s">
        <v>1058</v>
      </c>
      <c r="C444" s="4" t="s">
        <v>1343</v>
      </c>
      <c r="D444" s="4" t="s">
        <v>1060</v>
      </c>
      <c r="E444" s="4" t="s">
        <v>1344</v>
      </c>
      <c r="F444" s="4" t="s">
        <v>1069</v>
      </c>
      <c r="G444" s="60" t="s">
        <v>1164</v>
      </c>
      <c r="H444" s="1" t="s">
        <v>891</v>
      </c>
      <c r="I444" s="1" t="str">
        <f>IFERROR(CONCATENATE(VLOOKUP(C444,PARAM!D:E,2,0),VLOOKUP(D444,PARAM!J:K,2,0),VLOOKUP(E444,PARAM!G:H,2,0),VLOOKUP(G444,PARAM!P:Q,2,0)),"")</f>
        <v>55120325</v>
      </c>
      <c r="J444" s="1" t="str">
        <f>IFERROR(CONCATENATE("*",VLOOKUP(C444,PARAM!D:E,2,0),VLOOKUP(D444,PARAM!J:K,2,0),VLOOKUP(E444,PARAM!G:H,2,0),VLOOKUP(G444,PARAM!P:Q,2,0),"*"),"")</f>
        <v>*55120325*</v>
      </c>
      <c r="K444" s="1" t="str">
        <f t="shared" si="1"/>
        <v>CROPTOP DAMA OVERSIZE DOS ESTAMPADOS TALLA M</v>
      </c>
      <c r="L444" s="1"/>
    </row>
    <row r="445">
      <c r="A445" s="55">
        <v>46186.0</v>
      </c>
      <c r="B445" s="4" t="s">
        <v>1058</v>
      </c>
      <c r="C445" s="4" t="s">
        <v>1343</v>
      </c>
      <c r="D445" s="4" t="s">
        <v>1060</v>
      </c>
      <c r="E445" s="4" t="s">
        <v>1344</v>
      </c>
      <c r="F445" s="4" t="s">
        <v>1069</v>
      </c>
      <c r="G445" s="60" t="s">
        <v>1165</v>
      </c>
      <c r="H445" s="1" t="s">
        <v>891</v>
      </c>
      <c r="I445" s="1" t="str">
        <f>IFERROR(CONCATENATE(VLOOKUP(C445,PARAM!D:E,2,0),VLOOKUP(D445,PARAM!J:K,2,0),VLOOKUP(E445,PARAM!G:H,2,0),VLOOKUP(G445,PARAM!P:Q,2,0)),"")</f>
        <v>55120323</v>
      </c>
      <c r="J445" s="1" t="str">
        <f>IFERROR(CONCATENATE("*",VLOOKUP(C445,PARAM!D:E,2,0),VLOOKUP(D445,PARAM!J:K,2,0),VLOOKUP(E445,PARAM!G:H,2,0),VLOOKUP(G445,PARAM!P:Q,2,0),"*"),"")</f>
        <v>*55120323*</v>
      </c>
      <c r="K445" s="1" t="str">
        <f t="shared" si="1"/>
        <v>CROPTOP DAMA OVERSIZE DOS ESTAMPADOS TALLA L</v>
      </c>
      <c r="L445" s="1"/>
    </row>
    <row r="446">
      <c r="A446" s="55">
        <v>46186.0</v>
      </c>
      <c r="B446" s="4" t="s">
        <v>1058</v>
      </c>
      <c r="C446" s="4" t="s">
        <v>1343</v>
      </c>
      <c r="D446" s="4" t="s">
        <v>1060</v>
      </c>
      <c r="E446" s="4" t="s">
        <v>1345</v>
      </c>
      <c r="F446" s="4" t="s">
        <v>1069</v>
      </c>
      <c r="G446" s="60" t="s">
        <v>1168</v>
      </c>
      <c r="H446" s="1" t="s">
        <v>891</v>
      </c>
      <c r="I446" s="1" t="str">
        <f>IFERROR(CONCATENATE(VLOOKUP(C446,PARAM!D:E,2,0),VLOOKUP(D446,PARAM!J:K,2,0),VLOOKUP(E446,PARAM!G:H,2,0),VLOOKUP(G446,PARAM!P:Q,2,0)),"")</f>
        <v>55127227</v>
      </c>
      <c r="J446" s="1" t="str">
        <f>IFERROR(CONCATENATE("*",VLOOKUP(C446,PARAM!D:E,2,0),VLOOKUP(D446,PARAM!J:K,2,0),VLOOKUP(E446,PARAM!G:H,2,0),VLOOKUP(G446,PARAM!P:Q,2,0),"*"),"")</f>
        <v>*55127227*</v>
      </c>
      <c r="K446" s="1" t="str">
        <f t="shared" si="1"/>
        <v>CROPTOP DAMA UN ESTAMPADO TALLA S</v>
      </c>
      <c r="L446" s="1"/>
    </row>
    <row r="447">
      <c r="A447" s="55">
        <v>46186.0</v>
      </c>
      <c r="B447" s="4" t="s">
        <v>1058</v>
      </c>
      <c r="C447" s="4" t="s">
        <v>1343</v>
      </c>
      <c r="D447" s="4" t="s">
        <v>1060</v>
      </c>
      <c r="E447" s="4" t="s">
        <v>1345</v>
      </c>
      <c r="F447" s="4" t="s">
        <v>1069</v>
      </c>
      <c r="G447" s="60" t="s">
        <v>1164</v>
      </c>
      <c r="H447" s="1" t="s">
        <v>891</v>
      </c>
      <c r="I447" s="1" t="str">
        <f>IFERROR(CONCATENATE(VLOOKUP(C447,PARAM!D:E,2,0),VLOOKUP(D447,PARAM!J:K,2,0),VLOOKUP(E447,PARAM!G:H,2,0),VLOOKUP(G447,PARAM!P:Q,2,0)),"")</f>
        <v>55127225</v>
      </c>
      <c r="J447" s="1" t="str">
        <f>IFERROR(CONCATENATE("*",VLOOKUP(C447,PARAM!D:E,2,0),VLOOKUP(D447,PARAM!J:K,2,0),VLOOKUP(E447,PARAM!G:H,2,0),VLOOKUP(G447,PARAM!P:Q,2,0),"*"),"")</f>
        <v>*55127225*</v>
      </c>
      <c r="K447" s="1" t="str">
        <f t="shared" si="1"/>
        <v>CROPTOP DAMA UN ESTAMPADO TALLA M</v>
      </c>
      <c r="L447" s="1"/>
    </row>
    <row r="448">
      <c r="A448" s="55">
        <v>46186.0</v>
      </c>
      <c r="B448" s="4" t="s">
        <v>1058</v>
      </c>
      <c r="C448" s="4" t="s">
        <v>1343</v>
      </c>
      <c r="D448" s="4" t="s">
        <v>1060</v>
      </c>
      <c r="E448" s="4" t="s">
        <v>1345</v>
      </c>
      <c r="F448" s="4" t="s">
        <v>1069</v>
      </c>
      <c r="G448" s="60" t="s">
        <v>1165</v>
      </c>
      <c r="H448" s="1" t="s">
        <v>891</v>
      </c>
      <c r="I448" s="1" t="str">
        <f>IFERROR(CONCATENATE(VLOOKUP(C448,PARAM!D:E,2,0),VLOOKUP(D448,PARAM!J:K,2,0),VLOOKUP(E448,PARAM!G:H,2,0),VLOOKUP(G448,PARAM!P:Q,2,0)),"")</f>
        <v>55127223</v>
      </c>
      <c r="J448" s="1" t="str">
        <f>IFERROR(CONCATENATE("*",VLOOKUP(C448,PARAM!D:E,2,0),VLOOKUP(D448,PARAM!J:K,2,0),VLOOKUP(E448,PARAM!G:H,2,0),VLOOKUP(G448,PARAM!P:Q,2,0),"*"),"")</f>
        <v>*55127223*</v>
      </c>
      <c r="K448" s="1" t="str">
        <f t="shared" si="1"/>
        <v>CROPTOP DAMA UN ESTAMPADO TALLA L</v>
      </c>
      <c r="L448" s="1"/>
    </row>
    <row r="449">
      <c r="A449" s="55">
        <v>46186.0</v>
      </c>
      <c r="B449" s="4" t="s">
        <v>1187</v>
      </c>
      <c r="C449" s="4" t="s">
        <v>1171</v>
      </c>
      <c r="D449" s="4" t="s">
        <v>1080</v>
      </c>
      <c r="E449" s="4" t="s">
        <v>1312</v>
      </c>
      <c r="F449" s="4" t="s">
        <v>1311</v>
      </c>
      <c r="G449" s="60" t="s">
        <v>1165</v>
      </c>
      <c r="H449" s="1" t="s">
        <v>806</v>
      </c>
      <c r="I449" s="1" t="str">
        <f>IFERROR(CONCATENATE(VLOOKUP(C449,PARAM!D:E,2,0),VLOOKUP(D449,PARAM!J:K,2,0),VLOOKUP(E449,PARAM!G:H,2,0),VLOOKUP(G449,PARAM!P:Q,2,0)),"")</f>
        <v>1128823</v>
      </c>
      <c r="J449" s="1" t="str">
        <f>IFERROR(CONCATENATE("*",VLOOKUP(C449,PARAM!D:E,2,0),VLOOKUP(D449,PARAM!J:K,2,0),VLOOKUP(E449,PARAM!G:H,2,0),VLOOKUP(G449,PARAM!P:Q,2,0),"*"),"")</f>
        <v>*1128823*</v>
      </c>
      <c r="K449" s="1" t="str">
        <f t="shared" si="1"/>
        <v>CAMISETAS CABALLERO COLOMBIA AAA TALLA L</v>
      </c>
      <c r="L449" s="1"/>
    </row>
    <row r="450">
      <c r="A450" s="55">
        <v>46186.0</v>
      </c>
      <c r="B450" s="4" t="s">
        <v>1187</v>
      </c>
      <c r="C450" s="4" t="s">
        <v>1171</v>
      </c>
      <c r="D450" s="4" t="s">
        <v>1080</v>
      </c>
      <c r="E450" s="4" t="s">
        <v>1312</v>
      </c>
      <c r="F450" s="4" t="s">
        <v>1311</v>
      </c>
      <c r="G450" s="60" t="s">
        <v>1168</v>
      </c>
      <c r="H450" s="1" t="s">
        <v>806</v>
      </c>
      <c r="I450" s="1" t="str">
        <f>IFERROR(CONCATENATE(VLOOKUP(C450,PARAM!D:E,2,0),VLOOKUP(D450,PARAM!J:K,2,0),VLOOKUP(E450,PARAM!G:H,2,0),VLOOKUP(G450,PARAM!P:Q,2,0)),"")</f>
        <v>1128827</v>
      </c>
      <c r="J450" s="1" t="str">
        <f>IFERROR(CONCATENATE("*",VLOOKUP(C450,PARAM!D:E,2,0),VLOOKUP(D450,PARAM!J:K,2,0),VLOOKUP(E450,PARAM!G:H,2,0),VLOOKUP(G450,PARAM!P:Q,2,0),"*"),"")</f>
        <v>*1128827*</v>
      </c>
      <c r="K450" s="1" t="str">
        <f t="shared" si="1"/>
        <v>CAMISETAS CABALLERO COLOMBIA AAA TALLA S</v>
      </c>
      <c r="L450" s="1"/>
    </row>
    <row r="451">
      <c r="A451" s="55">
        <v>46186.0</v>
      </c>
      <c r="B451" s="4" t="s">
        <v>1187</v>
      </c>
      <c r="C451" s="4" t="s">
        <v>1171</v>
      </c>
      <c r="D451" s="4" t="s">
        <v>1080</v>
      </c>
      <c r="E451" s="4" t="s">
        <v>1312</v>
      </c>
      <c r="F451" s="4" t="s">
        <v>1311</v>
      </c>
      <c r="G451" s="60" t="s">
        <v>1164</v>
      </c>
      <c r="H451" s="1" t="s">
        <v>806</v>
      </c>
      <c r="I451" s="1" t="str">
        <f>IFERROR(CONCATENATE(VLOOKUP(C451,PARAM!D:E,2,0),VLOOKUP(D451,PARAM!J:K,2,0),VLOOKUP(E451,PARAM!G:H,2,0),VLOOKUP(G451,PARAM!P:Q,2,0)),"")</f>
        <v>1128825</v>
      </c>
      <c r="J451" s="1" t="str">
        <f>IFERROR(CONCATENATE("*",VLOOKUP(C451,PARAM!D:E,2,0),VLOOKUP(D451,PARAM!J:K,2,0),VLOOKUP(E451,PARAM!G:H,2,0),VLOOKUP(G451,PARAM!P:Q,2,0),"*"),"")</f>
        <v>*1128825*</v>
      </c>
      <c r="K451" s="1" t="str">
        <f t="shared" si="1"/>
        <v>CAMISETAS CABALLERO COLOMBIA AAA TALLA M</v>
      </c>
      <c r="L451" s="1"/>
    </row>
    <row r="452">
      <c r="A452" s="55">
        <v>46186.0</v>
      </c>
      <c r="B452" s="4" t="s">
        <v>1187</v>
      </c>
      <c r="C452" s="4" t="s">
        <v>1171</v>
      </c>
      <c r="D452" s="4" t="s">
        <v>1080</v>
      </c>
      <c r="E452" s="4" t="s">
        <v>1312</v>
      </c>
      <c r="F452" s="4" t="s">
        <v>1311</v>
      </c>
      <c r="G452" s="60" t="s">
        <v>1077</v>
      </c>
      <c r="H452" s="1" t="s">
        <v>806</v>
      </c>
      <c r="I452" s="1" t="str">
        <f>IFERROR(CONCATENATE(VLOOKUP(C452,PARAM!D:E,2,0),VLOOKUP(D452,PARAM!J:K,2,0),VLOOKUP(E452,PARAM!G:H,2,0),VLOOKUP(G452,PARAM!P:Q,2,0)),"")</f>
        <v>1128832</v>
      </c>
      <c r="J452" s="1" t="str">
        <f>IFERROR(CONCATENATE("*",VLOOKUP(C452,PARAM!D:E,2,0),VLOOKUP(D452,PARAM!J:K,2,0),VLOOKUP(E452,PARAM!G:H,2,0),VLOOKUP(G452,PARAM!P:Q,2,0),"*"),"")</f>
        <v>*1128832*</v>
      </c>
      <c r="K452" s="1" t="str">
        <f t="shared" si="1"/>
        <v>CAMISETAS CABALLERO COLOMBIA AAA TALLA XL</v>
      </c>
      <c r="L452" s="1"/>
    </row>
    <row r="453">
      <c r="A453" s="55">
        <v>46186.0</v>
      </c>
      <c r="B453" s="4" t="s">
        <v>1187</v>
      </c>
      <c r="C453" s="4" t="s">
        <v>1171</v>
      </c>
      <c r="D453" s="4" t="s">
        <v>1080</v>
      </c>
      <c r="E453" s="4" t="s">
        <v>1346</v>
      </c>
      <c r="F453" s="4" t="s">
        <v>1122</v>
      </c>
      <c r="G453" s="60" t="s">
        <v>1168</v>
      </c>
      <c r="H453" s="1" t="s">
        <v>806</v>
      </c>
      <c r="I453" s="1" t="str">
        <f>IFERROR(CONCATENATE(VLOOKUP(C453,PARAM!D:E,2,0),VLOOKUP(D453,PARAM!J:K,2,0),VLOOKUP(E453,PARAM!G:H,2,0),VLOOKUP(G453,PARAM!P:Q,2,0)),"")</f>
        <v>11212827</v>
      </c>
      <c r="J453" s="1" t="str">
        <f>IFERROR(CONCATENATE("*",VLOOKUP(C453,PARAM!D:E,2,0),VLOOKUP(D453,PARAM!J:K,2,0),VLOOKUP(E453,PARAM!G:H,2,0),VLOOKUP(G453,PARAM!P:Q,2,0),"*"),"")</f>
        <v>*11212827*</v>
      </c>
      <c r="K453" s="1" t="str">
        <f t="shared" si="1"/>
        <v>CAMISETAS CABALLERO ESPAÑA 1.1 LOCAL TALLA S</v>
      </c>
      <c r="L453" s="1"/>
    </row>
    <row r="454">
      <c r="A454" s="55">
        <v>46186.0</v>
      </c>
      <c r="B454" s="4" t="s">
        <v>1187</v>
      </c>
      <c r="C454" s="4" t="s">
        <v>1171</v>
      </c>
      <c r="D454" s="4" t="s">
        <v>1080</v>
      </c>
      <c r="E454" s="4" t="s">
        <v>1346</v>
      </c>
      <c r="F454" s="4" t="s">
        <v>1122</v>
      </c>
      <c r="G454" s="60" t="s">
        <v>1165</v>
      </c>
      <c r="H454" s="1" t="s">
        <v>806</v>
      </c>
      <c r="I454" s="1" t="str">
        <f>IFERROR(CONCATENATE(VLOOKUP(C454,PARAM!D:E,2,0),VLOOKUP(D454,PARAM!J:K,2,0),VLOOKUP(E454,PARAM!G:H,2,0),VLOOKUP(G454,PARAM!P:Q,2,0)),"")</f>
        <v>11212823</v>
      </c>
      <c r="J454" s="1" t="str">
        <f>IFERROR(CONCATENATE("*",VLOOKUP(C454,PARAM!D:E,2,0),VLOOKUP(D454,PARAM!J:K,2,0),VLOOKUP(E454,PARAM!G:H,2,0),VLOOKUP(G454,PARAM!P:Q,2,0),"*"),"")</f>
        <v>*11212823*</v>
      </c>
      <c r="K454" s="1" t="str">
        <f t="shared" si="1"/>
        <v>CAMISETAS CABALLERO ESPAÑA 1.1 LOCAL TALLA L</v>
      </c>
      <c r="L454" s="1"/>
    </row>
    <row r="455">
      <c r="A455" s="55">
        <v>46186.0</v>
      </c>
      <c r="B455" s="4" t="s">
        <v>1187</v>
      </c>
      <c r="C455" s="4" t="s">
        <v>1171</v>
      </c>
      <c r="D455" s="4" t="s">
        <v>1080</v>
      </c>
      <c r="E455" s="4" t="s">
        <v>1346</v>
      </c>
      <c r="F455" s="4" t="s">
        <v>1122</v>
      </c>
      <c r="G455" s="60" t="s">
        <v>1164</v>
      </c>
      <c r="H455" s="1" t="s">
        <v>806</v>
      </c>
      <c r="I455" s="1" t="str">
        <f>IFERROR(CONCATENATE(VLOOKUP(C455,PARAM!D:E,2,0),VLOOKUP(D455,PARAM!J:K,2,0),VLOOKUP(E455,PARAM!G:H,2,0),VLOOKUP(G455,PARAM!P:Q,2,0)),"")</f>
        <v>11212825</v>
      </c>
      <c r="J455" s="1" t="str">
        <f>IFERROR(CONCATENATE("*",VLOOKUP(C455,PARAM!D:E,2,0),VLOOKUP(D455,PARAM!J:K,2,0),VLOOKUP(E455,PARAM!G:H,2,0),VLOOKUP(G455,PARAM!P:Q,2,0),"*"),"")</f>
        <v>*11212825*</v>
      </c>
      <c r="K455" s="1" t="str">
        <f t="shared" si="1"/>
        <v>CAMISETAS CABALLERO ESPAÑA 1.1 LOCAL TALLA M</v>
      </c>
      <c r="L455" s="1"/>
    </row>
    <row r="456">
      <c r="A456" s="55">
        <v>46186.0</v>
      </c>
      <c r="B456" s="4" t="s">
        <v>1187</v>
      </c>
      <c r="C456" s="4" t="s">
        <v>1171</v>
      </c>
      <c r="D456" s="4" t="s">
        <v>1080</v>
      </c>
      <c r="E456" s="4" t="s">
        <v>1346</v>
      </c>
      <c r="F456" s="4" t="s">
        <v>1122</v>
      </c>
      <c r="G456" s="60" t="s">
        <v>1077</v>
      </c>
      <c r="H456" s="1" t="s">
        <v>806</v>
      </c>
      <c r="I456" s="1" t="str">
        <f>IFERROR(CONCATENATE(VLOOKUP(C456,PARAM!D:E,2,0),VLOOKUP(D456,PARAM!J:K,2,0),VLOOKUP(E456,PARAM!G:H,2,0),VLOOKUP(G456,PARAM!P:Q,2,0)),"")</f>
        <v>11212832</v>
      </c>
      <c r="J456" s="1" t="str">
        <f>IFERROR(CONCATENATE("*",VLOOKUP(C456,PARAM!D:E,2,0),VLOOKUP(D456,PARAM!J:K,2,0),VLOOKUP(E456,PARAM!G:H,2,0),VLOOKUP(G456,PARAM!P:Q,2,0),"*"),"")</f>
        <v>*11212832*</v>
      </c>
      <c r="K456" s="1" t="str">
        <f t="shared" si="1"/>
        <v>CAMISETAS CABALLERO ESPAÑA 1.1 LOCAL TALLA XL</v>
      </c>
      <c r="L456" s="1"/>
    </row>
    <row r="457">
      <c r="A457" s="55">
        <v>46186.0</v>
      </c>
      <c r="B457" s="4" t="s">
        <v>1187</v>
      </c>
      <c r="C457" s="4" t="s">
        <v>1314</v>
      </c>
      <c r="D457" s="4" t="s">
        <v>1080</v>
      </c>
      <c r="E457" s="4" t="s">
        <v>1347</v>
      </c>
      <c r="F457" s="4" t="s">
        <v>1122</v>
      </c>
      <c r="G457" s="60" t="s">
        <v>1077</v>
      </c>
      <c r="H457" s="1" t="s">
        <v>806</v>
      </c>
      <c r="I457" s="1" t="str">
        <f>IFERROR(CONCATENATE(VLOOKUP(C457,PARAM!D:E,2,0),VLOOKUP(D457,PARAM!J:K,2,0),VLOOKUP(E457,PARAM!G:H,2,0),VLOOKUP(G457,PARAM!P:Q,2,0)),"")</f>
        <v>40212932</v>
      </c>
      <c r="J457" s="1" t="str">
        <f>IFERROR(CONCATENATE("*",VLOOKUP(C457,PARAM!D:E,2,0),VLOOKUP(D457,PARAM!J:K,2,0),VLOOKUP(E457,PARAM!G:H,2,0),VLOOKUP(G457,PARAM!P:Q,2,0),"*"),"")</f>
        <v>*40212932*</v>
      </c>
      <c r="K457" s="1" t="str">
        <f t="shared" si="1"/>
        <v>CONJUNTO CABALLERO ESPAÑA AAA LOCAL TALLA XL</v>
      </c>
      <c r="L457" s="1"/>
    </row>
    <row r="458">
      <c r="A458" s="55">
        <v>46186.0</v>
      </c>
      <c r="B458" s="4" t="s">
        <v>1187</v>
      </c>
      <c r="C458" s="4" t="s">
        <v>1314</v>
      </c>
      <c r="D458" s="4" t="s">
        <v>1080</v>
      </c>
      <c r="E458" s="4" t="s">
        <v>1347</v>
      </c>
      <c r="F458" s="4" t="s">
        <v>1122</v>
      </c>
      <c r="G458" s="60" t="s">
        <v>1165</v>
      </c>
      <c r="H458" s="1" t="s">
        <v>806</v>
      </c>
      <c r="I458" s="1" t="str">
        <f>IFERROR(CONCATENATE(VLOOKUP(C458,PARAM!D:E,2,0),VLOOKUP(D458,PARAM!J:K,2,0),VLOOKUP(E458,PARAM!G:H,2,0),VLOOKUP(G458,PARAM!P:Q,2,0)),"")</f>
        <v>40212923</v>
      </c>
      <c r="J458" s="1" t="str">
        <f>IFERROR(CONCATENATE("*",VLOOKUP(C458,PARAM!D:E,2,0),VLOOKUP(D458,PARAM!J:K,2,0),VLOOKUP(E458,PARAM!G:H,2,0),VLOOKUP(G458,PARAM!P:Q,2,0),"*"),"")</f>
        <v>*40212923*</v>
      </c>
      <c r="K458" s="1" t="str">
        <f t="shared" si="1"/>
        <v>CONJUNTO CABALLERO ESPAÑA AAA LOCAL TALLA L</v>
      </c>
      <c r="L458" s="1"/>
    </row>
    <row r="459">
      <c r="A459" s="55">
        <v>46186.0</v>
      </c>
      <c r="B459" s="4" t="s">
        <v>1187</v>
      </c>
      <c r="C459" s="4" t="s">
        <v>1314</v>
      </c>
      <c r="D459" s="4" t="s">
        <v>1080</v>
      </c>
      <c r="E459" s="4" t="s">
        <v>1347</v>
      </c>
      <c r="F459" s="4" t="s">
        <v>1122</v>
      </c>
      <c r="G459" s="60" t="s">
        <v>1164</v>
      </c>
      <c r="H459" s="1" t="s">
        <v>806</v>
      </c>
      <c r="I459" s="1" t="str">
        <f>IFERROR(CONCATENATE(VLOOKUP(C459,PARAM!D:E,2,0),VLOOKUP(D459,PARAM!J:K,2,0),VLOOKUP(E459,PARAM!G:H,2,0),VLOOKUP(G459,PARAM!P:Q,2,0)),"")</f>
        <v>40212925</v>
      </c>
      <c r="J459" s="1" t="str">
        <f>IFERROR(CONCATENATE("*",VLOOKUP(C459,PARAM!D:E,2,0),VLOOKUP(D459,PARAM!J:K,2,0),VLOOKUP(E459,PARAM!G:H,2,0),VLOOKUP(G459,PARAM!P:Q,2,0),"*"),"")</f>
        <v>*40212925*</v>
      </c>
      <c r="K459" s="1" t="str">
        <f t="shared" si="1"/>
        <v>CONJUNTO CABALLERO ESPAÑA AAA LOCAL TALLA M</v>
      </c>
      <c r="L459" s="1"/>
    </row>
    <row r="460">
      <c r="A460" s="55">
        <v>46186.0</v>
      </c>
      <c r="B460" s="4" t="s">
        <v>1187</v>
      </c>
      <c r="C460" s="4" t="s">
        <v>1314</v>
      </c>
      <c r="D460" s="4" t="s">
        <v>1080</v>
      </c>
      <c r="E460" s="4" t="s">
        <v>1347</v>
      </c>
      <c r="F460" s="4" t="s">
        <v>1122</v>
      </c>
      <c r="G460" s="60" t="s">
        <v>1168</v>
      </c>
      <c r="H460" s="1" t="s">
        <v>806</v>
      </c>
      <c r="I460" s="1" t="str">
        <f>IFERROR(CONCATENATE(VLOOKUP(C460,PARAM!D:E,2,0),VLOOKUP(D460,PARAM!J:K,2,0),VLOOKUP(E460,PARAM!G:H,2,0),VLOOKUP(G460,PARAM!P:Q,2,0)),"")</f>
        <v>40212927</v>
      </c>
      <c r="J460" s="1" t="str">
        <f>IFERROR(CONCATENATE("*",VLOOKUP(C460,PARAM!D:E,2,0),VLOOKUP(D460,PARAM!J:K,2,0),VLOOKUP(E460,PARAM!G:H,2,0),VLOOKUP(G460,PARAM!P:Q,2,0),"*"),"")</f>
        <v>*40212927*</v>
      </c>
      <c r="K460" s="1" t="str">
        <f t="shared" si="1"/>
        <v>CONJUNTO CABALLERO ESPAÑA AAA LOCAL TALLA S</v>
      </c>
      <c r="L460" s="1"/>
    </row>
    <row r="461">
      <c r="A461" s="55">
        <v>46186.0</v>
      </c>
      <c r="B461" s="4" t="s">
        <v>1187</v>
      </c>
      <c r="C461" s="4" t="s">
        <v>1314</v>
      </c>
      <c r="D461" s="4" t="s">
        <v>1080</v>
      </c>
      <c r="E461" s="4" t="s">
        <v>1322</v>
      </c>
      <c r="F461" s="4" t="s">
        <v>1320</v>
      </c>
      <c r="G461" s="60" t="s">
        <v>1077</v>
      </c>
      <c r="H461" s="1" t="s">
        <v>806</v>
      </c>
      <c r="I461" s="1" t="str">
        <f>IFERROR(CONCATENATE(VLOOKUP(C461,PARAM!D:E,2,0),VLOOKUP(D461,PARAM!J:K,2,0),VLOOKUP(E461,PARAM!G:H,2,0),VLOOKUP(G461,PARAM!P:Q,2,0)),"")</f>
        <v>4021532</v>
      </c>
      <c r="J461" s="1" t="str">
        <f>IFERROR(CONCATENATE("*",VLOOKUP(C461,PARAM!D:E,2,0),VLOOKUP(D461,PARAM!J:K,2,0),VLOOKUP(E461,PARAM!G:H,2,0),VLOOKUP(G461,PARAM!P:Q,2,0),"*"),"")</f>
        <v>*4021532*</v>
      </c>
      <c r="K461" s="1" t="str">
        <f t="shared" si="1"/>
        <v>CONJUNTO CABALLERO ALEMANIA AAA LOCAL TALLA XL</v>
      </c>
      <c r="L461" s="1"/>
    </row>
    <row r="462">
      <c r="A462" s="55">
        <v>46186.0</v>
      </c>
      <c r="B462" s="4" t="s">
        <v>1187</v>
      </c>
      <c r="C462" s="4" t="s">
        <v>1314</v>
      </c>
      <c r="D462" s="4" t="s">
        <v>1080</v>
      </c>
      <c r="E462" s="4" t="s">
        <v>1322</v>
      </c>
      <c r="F462" s="4" t="s">
        <v>1320</v>
      </c>
      <c r="G462" s="60" t="s">
        <v>1165</v>
      </c>
      <c r="H462" s="1" t="s">
        <v>806</v>
      </c>
      <c r="I462" s="1" t="str">
        <f>IFERROR(CONCATENATE(VLOOKUP(C462,PARAM!D:E,2,0),VLOOKUP(D462,PARAM!J:K,2,0),VLOOKUP(E462,PARAM!G:H,2,0),VLOOKUP(G462,PARAM!P:Q,2,0)),"")</f>
        <v>4021523</v>
      </c>
      <c r="J462" s="1" t="str">
        <f>IFERROR(CONCATENATE("*",VLOOKUP(C462,PARAM!D:E,2,0),VLOOKUP(D462,PARAM!J:K,2,0),VLOOKUP(E462,PARAM!G:H,2,0),VLOOKUP(G462,PARAM!P:Q,2,0),"*"),"")</f>
        <v>*4021523*</v>
      </c>
      <c r="K462" s="1" t="str">
        <f t="shared" si="1"/>
        <v>CONJUNTO CABALLERO ALEMANIA AAA LOCAL TALLA L</v>
      </c>
      <c r="L462" s="1"/>
    </row>
    <row r="463">
      <c r="A463" s="55">
        <v>46186.0</v>
      </c>
      <c r="B463" s="4" t="s">
        <v>1187</v>
      </c>
      <c r="C463" s="4" t="s">
        <v>1314</v>
      </c>
      <c r="D463" s="4" t="s">
        <v>1080</v>
      </c>
      <c r="E463" s="4" t="s">
        <v>1322</v>
      </c>
      <c r="F463" s="4" t="s">
        <v>1320</v>
      </c>
      <c r="G463" s="60" t="s">
        <v>1164</v>
      </c>
      <c r="H463" s="1" t="s">
        <v>806</v>
      </c>
      <c r="I463" s="1" t="str">
        <f>IFERROR(CONCATENATE(VLOOKUP(C463,PARAM!D:E,2,0),VLOOKUP(D463,PARAM!J:K,2,0),VLOOKUP(E463,PARAM!G:H,2,0),VLOOKUP(G463,PARAM!P:Q,2,0)),"")</f>
        <v>4021525</v>
      </c>
      <c r="J463" s="1" t="str">
        <f>IFERROR(CONCATENATE("*",VLOOKUP(C463,PARAM!D:E,2,0),VLOOKUP(D463,PARAM!J:K,2,0),VLOOKUP(E463,PARAM!G:H,2,0),VLOOKUP(G463,PARAM!P:Q,2,0),"*"),"")</f>
        <v>*4021525*</v>
      </c>
      <c r="K463" s="1" t="str">
        <f t="shared" si="1"/>
        <v>CONJUNTO CABALLERO ALEMANIA AAA LOCAL TALLA M</v>
      </c>
      <c r="L463" s="1"/>
    </row>
    <row r="464">
      <c r="A464" s="55">
        <v>46186.0</v>
      </c>
      <c r="B464" s="4" t="s">
        <v>1187</v>
      </c>
      <c r="C464" s="4" t="s">
        <v>1314</v>
      </c>
      <c r="D464" s="4" t="s">
        <v>1080</v>
      </c>
      <c r="E464" s="4" t="s">
        <v>1322</v>
      </c>
      <c r="F464" s="4" t="s">
        <v>1320</v>
      </c>
      <c r="G464" s="60" t="s">
        <v>1168</v>
      </c>
      <c r="H464" s="1" t="s">
        <v>806</v>
      </c>
      <c r="I464" s="1" t="str">
        <f>IFERROR(CONCATENATE(VLOOKUP(C464,PARAM!D:E,2,0),VLOOKUP(D464,PARAM!J:K,2,0),VLOOKUP(E464,PARAM!G:H,2,0),VLOOKUP(G464,PARAM!P:Q,2,0)),"")</f>
        <v>4021527</v>
      </c>
      <c r="J464" s="1" t="str">
        <f>IFERROR(CONCATENATE("*",VLOOKUP(C464,PARAM!D:E,2,0),VLOOKUP(D464,PARAM!J:K,2,0),VLOOKUP(E464,PARAM!G:H,2,0),VLOOKUP(G464,PARAM!P:Q,2,0),"*"),"")</f>
        <v>*4021527*</v>
      </c>
      <c r="K464" s="1" t="str">
        <f t="shared" si="1"/>
        <v>CONJUNTO CABALLERO ALEMANIA AAA LOCAL TALLA S</v>
      </c>
      <c r="L464" s="1"/>
    </row>
    <row r="465">
      <c r="A465" s="55">
        <v>46186.0</v>
      </c>
      <c r="B465" s="4" t="s">
        <v>1187</v>
      </c>
      <c r="C465" s="4" t="s">
        <v>1314</v>
      </c>
      <c r="D465" s="4" t="s">
        <v>1080</v>
      </c>
      <c r="E465" s="4" t="s">
        <v>1348</v>
      </c>
      <c r="F465" s="4" t="s">
        <v>1320</v>
      </c>
      <c r="G465" s="60" t="s">
        <v>1077</v>
      </c>
      <c r="H465" s="1" t="s">
        <v>842</v>
      </c>
      <c r="I465" s="1" t="str">
        <f>IFERROR(CONCATENATE(VLOOKUP(C465,PARAM!D:E,2,0),VLOOKUP(D465,PARAM!J:K,2,0),VLOOKUP(E465,PARAM!G:H,2,0),VLOOKUP(G465,PARAM!P:Q,2,0)),"")</f>
        <v>40214732</v>
      </c>
      <c r="J465" s="1" t="str">
        <f>IFERROR(CONCATENATE("*",VLOOKUP(C465,PARAM!D:E,2,0),VLOOKUP(D465,PARAM!J:K,2,0),VLOOKUP(E465,PARAM!G:H,2,0),VLOOKUP(G465,PARAM!P:Q,2,0),"*"),"")</f>
        <v>*40214732*</v>
      </c>
      <c r="K465" s="1" t="str">
        <f t="shared" si="1"/>
        <v>CONJUNTO CABALLERO INGLATERRA AAA LOCAL TALLA XL</v>
      </c>
      <c r="L465" s="1"/>
    </row>
    <row r="466">
      <c r="A466" s="55">
        <v>46186.0</v>
      </c>
      <c r="B466" s="4" t="s">
        <v>1187</v>
      </c>
      <c r="C466" s="4" t="s">
        <v>1314</v>
      </c>
      <c r="D466" s="4" t="s">
        <v>1080</v>
      </c>
      <c r="E466" s="4" t="s">
        <v>1348</v>
      </c>
      <c r="F466" s="4" t="s">
        <v>1320</v>
      </c>
      <c r="G466" s="60" t="s">
        <v>1165</v>
      </c>
      <c r="H466" s="1" t="s">
        <v>842</v>
      </c>
      <c r="I466" s="1" t="str">
        <f>IFERROR(CONCATENATE(VLOOKUP(C466,PARAM!D:E,2,0),VLOOKUP(D466,PARAM!J:K,2,0),VLOOKUP(E466,PARAM!G:H,2,0),VLOOKUP(G466,PARAM!P:Q,2,0)),"")</f>
        <v>40214723</v>
      </c>
      <c r="J466" s="1" t="str">
        <f>IFERROR(CONCATENATE("*",VLOOKUP(C466,PARAM!D:E,2,0),VLOOKUP(D466,PARAM!J:K,2,0),VLOOKUP(E466,PARAM!G:H,2,0),VLOOKUP(G466,PARAM!P:Q,2,0),"*"),"")</f>
        <v>*40214723*</v>
      </c>
      <c r="K466" s="1" t="str">
        <f t="shared" si="1"/>
        <v>CONJUNTO CABALLERO INGLATERRA AAA LOCAL TALLA L</v>
      </c>
      <c r="L466" s="1"/>
    </row>
    <row r="467">
      <c r="A467" s="55">
        <v>46186.0</v>
      </c>
      <c r="B467" s="4" t="s">
        <v>1187</v>
      </c>
      <c r="C467" s="4" t="s">
        <v>1314</v>
      </c>
      <c r="D467" s="4" t="s">
        <v>1080</v>
      </c>
      <c r="E467" s="4" t="s">
        <v>1348</v>
      </c>
      <c r="F467" s="4" t="s">
        <v>1320</v>
      </c>
      <c r="G467" s="60" t="s">
        <v>1164</v>
      </c>
      <c r="H467" s="1" t="s">
        <v>842</v>
      </c>
      <c r="I467" s="1" t="str">
        <f>IFERROR(CONCATENATE(VLOOKUP(C467,PARAM!D:E,2,0),VLOOKUP(D467,PARAM!J:K,2,0),VLOOKUP(E467,PARAM!G:H,2,0),VLOOKUP(G467,PARAM!P:Q,2,0)),"")</f>
        <v>40214725</v>
      </c>
      <c r="J467" s="1" t="str">
        <f>IFERROR(CONCATENATE("*",VLOOKUP(C467,PARAM!D:E,2,0),VLOOKUP(D467,PARAM!J:K,2,0),VLOOKUP(E467,PARAM!G:H,2,0),VLOOKUP(G467,PARAM!P:Q,2,0),"*"),"")</f>
        <v>*40214725*</v>
      </c>
      <c r="K467" s="1" t="str">
        <f t="shared" si="1"/>
        <v>CONJUNTO CABALLERO INGLATERRA AAA LOCAL TALLA M</v>
      </c>
      <c r="L467" s="1"/>
    </row>
    <row r="468">
      <c r="A468" s="55">
        <v>46186.0</v>
      </c>
      <c r="B468" s="4" t="s">
        <v>1187</v>
      </c>
      <c r="C468" s="4" t="s">
        <v>1314</v>
      </c>
      <c r="D468" s="4" t="s">
        <v>1080</v>
      </c>
      <c r="E468" s="4" t="s">
        <v>1348</v>
      </c>
      <c r="F468" s="4" t="s">
        <v>1320</v>
      </c>
      <c r="G468" s="60" t="s">
        <v>1168</v>
      </c>
      <c r="H468" s="1" t="s">
        <v>842</v>
      </c>
      <c r="I468" s="1" t="str">
        <f>IFERROR(CONCATENATE(VLOOKUP(C468,PARAM!D:E,2,0),VLOOKUP(D468,PARAM!J:K,2,0),VLOOKUP(E468,PARAM!G:H,2,0),VLOOKUP(G468,PARAM!P:Q,2,0)),"")</f>
        <v>40214727</v>
      </c>
      <c r="J468" s="1" t="str">
        <f>IFERROR(CONCATENATE("*",VLOOKUP(C468,PARAM!D:E,2,0),VLOOKUP(D468,PARAM!J:K,2,0),VLOOKUP(E468,PARAM!G:H,2,0),VLOOKUP(G468,PARAM!P:Q,2,0),"*"),"")</f>
        <v>*40214727*</v>
      </c>
      <c r="K468" s="1" t="str">
        <f t="shared" si="1"/>
        <v>CONJUNTO CABALLERO INGLATERRA AAA LOCAL TALLA S</v>
      </c>
      <c r="L468" s="1"/>
    </row>
    <row r="469">
      <c r="A469" s="55">
        <v>46186.0</v>
      </c>
      <c r="B469" s="4" t="s">
        <v>1187</v>
      </c>
      <c r="C469" s="4" t="s">
        <v>1314</v>
      </c>
      <c r="D469" s="4" t="s">
        <v>1080</v>
      </c>
      <c r="E469" s="4" t="s">
        <v>1349</v>
      </c>
      <c r="F469" s="4" t="s">
        <v>1087</v>
      </c>
      <c r="G469" s="60" t="s">
        <v>1077</v>
      </c>
      <c r="H469" s="1" t="s">
        <v>806</v>
      </c>
      <c r="I469" s="1" t="str">
        <f>IFERROR(CONCATENATE(VLOOKUP(C469,PARAM!D:E,2,0),VLOOKUP(D469,PARAM!J:K,2,0),VLOOKUP(E469,PARAM!G:H,2,0),VLOOKUP(G469,PARAM!P:Q,2,0)),"")</f>
        <v>4023332</v>
      </c>
      <c r="J469" s="1" t="str">
        <f>IFERROR(CONCATENATE("*",VLOOKUP(C469,PARAM!D:E,2,0),VLOOKUP(D469,PARAM!J:K,2,0),VLOOKUP(E469,PARAM!G:H,2,0),VLOOKUP(G469,PARAM!P:Q,2,0),"*"),"")</f>
        <v>*4023332*</v>
      </c>
      <c r="K469" s="1" t="str">
        <f t="shared" si="1"/>
        <v>CONJUNTO CABALLERO ARGENTINA AAA LOCAL TALLA XL</v>
      </c>
      <c r="L469" s="1"/>
    </row>
    <row r="470">
      <c r="A470" s="55">
        <v>46186.0</v>
      </c>
      <c r="B470" s="4" t="s">
        <v>1187</v>
      </c>
      <c r="C470" s="4" t="s">
        <v>1314</v>
      </c>
      <c r="D470" s="4" t="s">
        <v>1080</v>
      </c>
      <c r="E470" s="4" t="s">
        <v>1349</v>
      </c>
      <c r="F470" s="4" t="s">
        <v>1087</v>
      </c>
      <c r="G470" s="60" t="s">
        <v>1165</v>
      </c>
      <c r="H470" s="1" t="s">
        <v>806</v>
      </c>
      <c r="I470" s="1" t="str">
        <f>IFERROR(CONCATENATE(VLOOKUP(C470,PARAM!D:E,2,0),VLOOKUP(D470,PARAM!J:K,2,0),VLOOKUP(E470,PARAM!G:H,2,0),VLOOKUP(G470,PARAM!P:Q,2,0)),"")</f>
        <v>4023323</v>
      </c>
      <c r="J470" s="1" t="str">
        <f>IFERROR(CONCATENATE("*",VLOOKUP(C470,PARAM!D:E,2,0),VLOOKUP(D470,PARAM!J:K,2,0),VLOOKUP(E470,PARAM!G:H,2,0),VLOOKUP(G470,PARAM!P:Q,2,0),"*"),"")</f>
        <v>*4023323*</v>
      </c>
      <c r="K470" s="1" t="str">
        <f t="shared" si="1"/>
        <v>CONJUNTO CABALLERO ARGENTINA AAA LOCAL TALLA L</v>
      </c>
      <c r="L470" s="1"/>
    </row>
    <row r="471">
      <c r="A471" s="55">
        <v>46186.0</v>
      </c>
      <c r="B471" s="4" t="s">
        <v>1187</v>
      </c>
      <c r="C471" s="4" t="s">
        <v>1314</v>
      </c>
      <c r="D471" s="4" t="s">
        <v>1080</v>
      </c>
      <c r="E471" s="4" t="s">
        <v>1349</v>
      </c>
      <c r="F471" s="4" t="s">
        <v>1087</v>
      </c>
      <c r="G471" s="60" t="s">
        <v>1164</v>
      </c>
      <c r="H471" s="1" t="s">
        <v>806</v>
      </c>
      <c r="I471" s="1" t="str">
        <f>IFERROR(CONCATENATE(VLOOKUP(C471,PARAM!D:E,2,0),VLOOKUP(D471,PARAM!J:K,2,0),VLOOKUP(E471,PARAM!G:H,2,0),VLOOKUP(G471,PARAM!P:Q,2,0)),"")</f>
        <v>4023325</v>
      </c>
      <c r="J471" s="1" t="str">
        <f>IFERROR(CONCATENATE("*",VLOOKUP(C471,PARAM!D:E,2,0),VLOOKUP(D471,PARAM!J:K,2,0),VLOOKUP(E471,PARAM!G:H,2,0),VLOOKUP(G471,PARAM!P:Q,2,0),"*"),"")</f>
        <v>*4023325*</v>
      </c>
      <c r="K471" s="1" t="str">
        <f t="shared" si="1"/>
        <v>CONJUNTO CABALLERO ARGENTINA AAA LOCAL TALLA M</v>
      </c>
      <c r="L471" s="1"/>
    </row>
    <row r="472">
      <c r="A472" s="55">
        <v>46186.0</v>
      </c>
      <c r="B472" s="4" t="s">
        <v>1187</v>
      </c>
      <c r="C472" s="4" t="s">
        <v>1314</v>
      </c>
      <c r="D472" s="4" t="s">
        <v>1080</v>
      </c>
      <c r="E472" s="4" t="s">
        <v>1349</v>
      </c>
      <c r="F472" s="4" t="s">
        <v>1087</v>
      </c>
      <c r="G472" s="60" t="s">
        <v>1168</v>
      </c>
      <c r="H472" s="1" t="s">
        <v>806</v>
      </c>
      <c r="I472" s="1" t="str">
        <f>IFERROR(CONCATENATE(VLOOKUP(C472,PARAM!D:E,2,0),VLOOKUP(D472,PARAM!J:K,2,0),VLOOKUP(E472,PARAM!G:H,2,0),VLOOKUP(G472,PARAM!P:Q,2,0)),"")</f>
        <v>4023327</v>
      </c>
      <c r="J472" s="1" t="str">
        <f>IFERROR(CONCATENATE("*",VLOOKUP(C472,PARAM!D:E,2,0),VLOOKUP(D472,PARAM!J:K,2,0),VLOOKUP(E472,PARAM!G:H,2,0),VLOOKUP(G472,PARAM!P:Q,2,0),"*"),"")</f>
        <v>*4023327*</v>
      </c>
      <c r="K472" s="1" t="str">
        <f t="shared" si="1"/>
        <v>CONJUNTO CABALLERO ARGENTINA AAA LOCAL TALLA S</v>
      </c>
      <c r="L472" s="1"/>
    </row>
    <row r="473">
      <c r="A473" s="55">
        <v>46186.0</v>
      </c>
      <c r="B473" s="4" t="s">
        <v>1078</v>
      </c>
      <c r="C473" s="4" t="s">
        <v>1162</v>
      </c>
      <c r="D473" s="4" t="s">
        <v>1080</v>
      </c>
      <c r="E473" s="1" t="s">
        <v>1350</v>
      </c>
      <c r="F473" s="4" t="s">
        <v>1085</v>
      </c>
      <c r="G473" s="60" t="s">
        <v>1189</v>
      </c>
      <c r="H473" s="1" t="s">
        <v>926</v>
      </c>
      <c r="I473" s="1" t="str">
        <f>IFERROR(CONCATENATE(VLOOKUP(C473,PARAM!D:E,2,0),VLOOKUP(D473,PARAM!J:K,2,0),VLOOKUP(E473,PARAM!G:H,2,0),VLOOKUP(G473,PARAM!P:Q,2,0)),"")</f>
        <v>2529234</v>
      </c>
      <c r="J473" s="1" t="str">
        <f>IFERROR(CONCATENATE("*",VLOOKUP(C473,PARAM!D:E,2,0),VLOOKUP(D473,PARAM!J:K,2,0),VLOOKUP(E473,PARAM!G:H,2,0),VLOOKUP(G473,PARAM!P:Q,2,0),"*"),"")</f>
        <v>*2529234*</v>
      </c>
      <c r="K473" s="1" t="str">
        <f t="shared" si="1"/>
        <v>CHAQUETAS CABALLERO CON CAPOTA TALLA XXL</v>
      </c>
      <c r="L473" s="1"/>
    </row>
    <row r="474">
      <c r="A474" s="55">
        <v>46186.0</v>
      </c>
      <c r="B474" s="4" t="s">
        <v>1078</v>
      </c>
      <c r="C474" s="4" t="s">
        <v>1162</v>
      </c>
      <c r="D474" s="4" t="s">
        <v>1080</v>
      </c>
      <c r="E474" s="1" t="s">
        <v>1351</v>
      </c>
      <c r="F474" s="4" t="s">
        <v>1352</v>
      </c>
      <c r="G474" s="60" t="s">
        <v>1353</v>
      </c>
      <c r="H474" s="1" t="s">
        <v>926</v>
      </c>
      <c r="I474" s="1" t="str">
        <f>IFERROR(CONCATENATE(VLOOKUP(C474,PARAM!D:E,2,0),VLOOKUP(D474,PARAM!J:K,2,0),VLOOKUP(E474,PARAM!G:H,2,0),VLOOKUP(G474,PARAM!P:Q,2,0)),"")</f>
        <v>25214021</v>
      </c>
      <c r="J474" s="1" t="str">
        <f>IFERROR(CONCATENATE("*",VLOOKUP(C474,PARAM!D:E,2,0),VLOOKUP(D474,PARAM!J:K,2,0),VLOOKUP(E474,PARAM!G:H,2,0),VLOOKUP(G474,PARAM!P:Q,2,0),"*"),"")</f>
        <v>*25214021*</v>
      </c>
      <c r="K474" s="1" t="str">
        <f t="shared" si="1"/>
        <v>CHAQUETAS CABALLERO H M LUN SIN CAPOTA TALLA 4XL</v>
      </c>
      <c r="L474" s="1"/>
    </row>
    <row r="475">
      <c r="A475" s="55">
        <v>46186.0</v>
      </c>
      <c r="B475" s="4" t="s">
        <v>1078</v>
      </c>
      <c r="C475" s="4" t="s">
        <v>1162</v>
      </c>
      <c r="D475" s="4" t="s">
        <v>1080</v>
      </c>
      <c r="E475" s="1" t="s">
        <v>1351</v>
      </c>
      <c r="F475" s="4" t="s">
        <v>1352</v>
      </c>
      <c r="G475" s="60" t="s">
        <v>1354</v>
      </c>
      <c r="H475" s="1" t="s">
        <v>926</v>
      </c>
      <c r="I475" s="1" t="str">
        <f>IFERROR(CONCATENATE(VLOOKUP(C475,PARAM!D:E,2,0),VLOOKUP(D475,PARAM!J:K,2,0),VLOOKUP(E475,PARAM!G:H,2,0),VLOOKUP(G475,PARAM!P:Q,2,0)),"")</f>
        <v>25214022</v>
      </c>
      <c r="J475" s="1" t="str">
        <f>IFERROR(CONCATENATE("*",VLOOKUP(C475,PARAM!D:E,2,0),VLOOKUP(D475,PARAM!J:K,2,0),VLOOKUP(E475,PARAM!G:H,2,0),VLOOKUP(G475,PARAM!P:Q,2,0),"*"),"")</f>
        <v>*25214022*</v>
      </c>
      <c r="K475" s="1" t="str">
        <f t="shared" si="1"/>
        <v>CHAQUETAS CABALLERO H M LUN SIN CAPOTA TALLA 6XL</v>
      </c>
      <c r="L475" s="1"/>
    </row>
    <row r="476">
      <c r="A476" s="55">
        <v>46186.0</v>
      </c>
      <c r="B476" s="4" t="s">
        <v>1078</v>
      </c>
      <c r="C476" s="4" t="s">
        <v>1162</v>
      </c>
      <c r="D476" s="4" t="s">
        <v>1080</v>
      </c>
      <c r="E476" s="1" t="s">
        <v>1355</v>
      </c>
      <c r="F476" s="4" t="s">
        <v>1088</v>
      </c>
      <c r="G476" s="60" t="s">
        <v>1077</v>
      </c>
      <c r="H476" s="1" t="s">
        <v>926</v>
      </c>
      <c r="I476" s="1" t="str">
        <f>IFERROR(CONCATENATE(VLOOKUP(C476,PARAM!D:E,2,0),VLOOKUP(D476,PARAM!J:K,2,0),VLOOKUP(E476,PARAM!G:H,2,0),VLOOKUP(G476,PARAM!P:Q,2,0)),"")</f>
        <v>25215932</v>
      </c>
      <c r="J476" s="1" t="str">
        <f>IFERROR(CONCATENATE("*",VLOOKUP(C476,PARAM!D:E,2,0),VLOOKUP(D476,PARAM!J:K,2,0),VLOOKUP(E476,PARAM!G:H,2,0),VLOOKUP(G476,PARAM!P:Q,2,0),"*"),"")</f>
        <v>*25215932*</v>
      </c>
      <c r="K476" s="1" t="str">
        <f t="shared" si="1"/>
        <v>CHAQUETAS CABALLERO KAIZHELUN, CON CAPOTA TALLA XL</v>
      </c>
      <c r="L476" s="1"/>
    </row>
    <row r="477">
      <c r="A477" s="55">
        <v>46186.0</v>
      </c>
      <c r="B477" s="4" t="s">
        <v>1078</v>
      </c>
      <c r="C477" s="4" t="s">
        <v>1162</v>
      </c>
      <c r="D477" s="4" t="s">
        <v>1080</v>
      </c>
      <c r="E477" s="1" t="s">
        <v>1356</v>
      </c>
      <c r="F477" s="4" t="s">
        <v>1088</v>
      </c>
      <c r="G477" s="60" t="s">
        <v>1189</v>
      </c>
      <c r="H477" s="1" t="s">
        <v>926</v>
      </c>
      <c r="I477" s="1" t="str">
        <f>IFERROR(CONCATENATE(VLOOKUP(C477,PARAM!D:E,2,0),VLOOKUP(D477,PARAM!J:K,2,0),VLOOKUP(E477,PARAM!G:H,2,0),VLOOKUP(G477,PARAM!P:Q,2,0)),"")</f>
        <v>25220134</v>
      </c>
      <c r="J477" s="1" t="str">
        <f>IFERROR(CONCATENATE("*",VLOOKUP(C477,PARAM!D:E,2,0),VLOOKUP(D477,PARAM!J:K,2,0),VLOOKUP(E477,PARAM!G:H,2,0),VLOOKUP(G477,PARAM!P:Q,2,0),"*"),"")</f>
        <v>*25220134*</v>
      </c>
      <c r="K477" s="1" t="str">
        <f t="shared" si="1"/>
        <v>CHAQUETAS CABALLERO OVEJERA HAN CHENG TALLA XXL</v>
      </c>
      <c r="L477" s="1"/>
    </row>
    <row r="478">
      <c r="A478" s="55">
        <v>46186.0</v>
      </c>
      <c r="B478" s="4" t="s">
        <v>1078</v>
      </c>
      <c r="C478" s="4" t="s">
        <v>1162</v>
      </c>
      <c r="D478" s="4" t="s">
        <v>1080</v>
      </c>
      <c r="E478" s="4" t="s">
        <v>1357</v>
      </c>
      <c r="F478" s="4" t="s">
        <v>1088</v>
      </c>
      <c r="G478" s="60" t="s">
        <v>1165</v>
      </c>
      <c r="H478" s="1" t="s">
        <v>932</v>
      </c>
      <c r="I478" s="1" t="str">
        <f>IFERROR(CONCATENATE(VLOOKUP(C478,PARAM!D:E,2,0),VLOOKUP(D478,PARAM!J:K,2,0),VLOOKUP(E478,PARAM!G:H,2,0),VLOOKUP(G478,PARAM!P:Q,2,0)),"")</f>
        <v>25226023</v>
      </c>
      <c r="J478" s="1" t="str">
        <f>IFERROR(CONCATENATE("*",VLOOKUP(C478,PARAM!D:E,2,0),VLOOKUP(D478,PARAM!J:K,2,0),VLOOKUP(E478,PARAM!G:H,2,0),VLOOKUP(G478,PARAM!P:Q,2,0),"*"),"")</f>
        <v>*25226023*</v>
      </c>
      <c r="K478" s="1" t="str">
        <f t="shared" si="1"/>
        <v>CHAQUETAS CABALLERO THE NORTH FACE CON CAPOTA TALLA L</v>
      </c>
      <c r="L478" s="1"/>
    </row>
    <row r="479">
      <c r="A479" s="55">
        <v>46186.0</v>
      </c>
      <c r="B479" s="4" t="s">
        <v>1058</v>
      </c>
      <c r="C479" s="4" t="s">
        <v>1162</v>
      </c>
      <c r="D479" s="4" t="s">
        <v>1060</v>
      </c>
      <c r="E479" s="4" t="s">
        <v>1358</v>
      </c>
      <c r="F479" s="4" t="s">
        <v>1359</v>
      </c>
      <c r="G479" s="60" t="s">
        <v>1189</v>
      </c>
      <c r="H479" s="1" t="s">
        <v>934</v>
      </c>
      <c r="I479" s="1" t="str">
        <f>IFERROR(CONCATENATE(VLOOKUP(C479,PARAM!D:E,2,0),VLOOKUP(D479,PARAM!J:K,2,0),VLOOKUP(E479,PARAM!G:H,2,0),VLOOKUP(G479,PARAM!P:Q,2,0)),"")</f>
        <v>2511134</v>
      </c>
      <c r="J479" s="1" t="str">
        <f>IFERROR(CONCATENATE("*",VLOOKUP(C479,PARAM!D:E,2,0),VLOOKUP(D479,PARAM!J:K,2,0),VLOOKUP(E479,PARAM!G:H,2,0),VLOOKUP(G479,PARAM!P:Q,2,0),"*"),"")</f>
        <v>*2511134*</v>
      </c>
      <c r="K479" s="1" t="str">
        <f t="shared" si="1"/>
        <v>CHAQUETAS DAMA ACOLCHADA TALLA XXL</v>
      </c>
      <c r="L479" s="1"/>
    </row>
    <row r="480">
      <c r="A480" s="55">
        <v>46186.0</v>
      </c>
      <c r="B480" s="4" t="s">
        <v>1058</v>
      </c>
      <c r="C480" s="4" t="s">
        <v>1162</v>
      </c>
      <c r="D480" s="4" t="s">
        <v>1060</v>
      </c>
      <c r="E480" s="4" t="s">
        <v>1360</v>
      </c>
      <c r="F480" s="4" t="s">
        <v>1359</v>
      </c>
      <c r="G480" s="60" t="s">
        <v>1361</v>
      </c>
      <c r="H480" s="1" t="s">
        <v>926</v>
      </c>
      <c r="I480" s="1" t="str">
        <f>IFERROR(CONCATENATE(VLOOKUP(C480,PARAM!D:E,2,0),VLOOKUP(D480,PARAM!J:K,2,0),VLOOKUP(E480,PARAM!G:H,2,0),VLOOKUP(G480,PARAM!P:Q,2,0)),"")</f>
        <v>2511220</v>
      </c>
      <c r="J480" s="1" t="str">
        <f>IFERROR(CONCATENATE("*",VLOOKUP(C480,PARAM!D:E,2,0),VLOOKUP(D480,PARAM!J:K,2,0),VLOOKUP(E480,PARAM!G:H,2,0),VLOOKUP(G480,PARAM!P:Q,2,0),"*"),"")</f>
        <v>*2511220*</v>
      </c>
      <c r="K480" s="1" t="str">
        <f t="shared" si="1"/>
        <v>CHAQUETAS DAMA ACOLCHADA LARGA TALLA 3XL</v>
      </c>
      <c r="L480" s="1"/>
    </row>
    <row r="481">
      <c r="A481" s="55">
        <v>46186.0</v>
      </c>
      <c r="B481" s="4" t="s">
        <v>1187</v>
      </c>
      <c r="C481" s="4" t="s">
        <v>1314</v>
      </c>
      <c r="D481" s="4" t="s">
        <v>1080</v>
      </c>
      <c r="E481" s="4" t="s">
        <v>1362</v>
      </c>
      <c r="F481" s="4" t="s">
        <v>1087</v>
      </c>
      <c r="G481" s="60" t="s">
        <v>1164</v>
      </c>
      <c r="H481" s="1" t="s">
        <v>937</v>
      </c>
      <c r="I481" s="1" t="str">
        <f>IFERROR(CONCATENATE(VLOOKUP(C481,PARAM!D:E,2,0),VLOOKUP(D481,PARAM!J:K,2,0),VLOOKUP(E481,PARAM!G:H,2,0),VLOOKUP(G481,PARAM!P:Q,2,0)),"")</f>
        <v>40217925</v>
      </c>
      <c r="J481" s="1" t="str">
        <f>IFERROR(CONCATENATE("*",VLOOKUP(C481,PARAM!D:E,2,0),VLOOKUP(D481,PARAM!J:K,2,0),VLOOKUP(E481,PARAM!G:H,2,0),VLOOKUP(G481,PARAM!P:Q,2,0),"*"),"")</f>
        <v>*40217925*</v>
      </c>
      <c r="K481" s="1" t="str">
        <f t="shared" si="1"/>
        <v>CONJUNTO CABALLERO MANCHESTER CITY AAA LOCAL 2025 TALLA M</v>
      </c>
      <c r="L481" s="1"/>
    </row>
    <row r="482">
      <c r="A482" s="55">
        <v>46186.0</v>
      </c>
      <c r="B482" s="4" t="s">
        <v>1187</v>
      </c>
      <c r="C482" s="4" t="s">
        <v>1314</v>
      </c>
      <c r="D482" s="4" t="s">
        <v>1080</v>
      </c>
      <c r="E482" s="4" t="s">
        <v>1362</v>
      </c>
      <c r="F482" s="4" t="s">
        <v>1087</v>
      </c>
      <c r="G482" s="60" t="s">
        <v>1164</v>
      </c>
      <c r="H482" s="1" t="s">
        <v>937</v>
      </c>
      <c r="I482" s="1" t="str">
        <f>IFERROR(CONCATENATE(VLOOKUP(C482,PARAM!D:E,2,0),VLOOKUP(D482,PARAM!J:K,2,0),VLOOKUP(E482,PARAM!G:H,2,0),VLOOKUP(G482,PARAM!P:Q,2,0)),"")</f>
        <v>40217925</v>
      </c>
      <c r="J482" s="1" t="str">
        <f>IFERROR(CONCATENATE("*",VLOOKUP(C482,PARAM!D:E,2,0),VLOOKUP(D482,PARAM!J:K,2,0),VLOOKUP(E482,PARAM!G:H,2,0),VLOOKUP(G482,PARAM!P:Q,2,0),"*"),"")</f>
        <v>*40217925*</v>
      </c>
      <c r="K482" s="1" t="str">
        <f t="shared" si="1"/>
        <v>CONJUNTO CABALLERO MANCHESTER CITY AAA LOCAL 2025 TALLA M</v>
      </c>
      <c r="L482" s="1"/>
    </row>
    <row r="483">
      <c r="A483" s="55">
        <v>46186.0</v>
      </c>
      <c r="B483" s="4" t="s">
        <v>1187</v>
      </c>
      <c r="C483" s="4" t="s">
        <v>1314</v>
      </c>
      <c r="D483" s="4" t="s">
        <v>1080</v>
      </c>
      <c r="E483" s="4" t="s">
        <v>1362</v>
      </c>
      <c r="F483" s="4" t="s">
        <v>1087</v>
      </c>
      <c r="G483" s="60" t="s">
        <v>1165</v>
      </c>
      <c r="H483" s="1" t="s">
        <v>937</v>
      </c>
      <c r="I483" s="1" t="str">
        <f>IFERROR(CONCATENATE(VLOOKUP(C483,PARAM!D:E,2,0),VLOOKUP(D483,PARAM!J:K,2,0),VLOOKUP(E483,PARAM!G:H,2,0),VLOOKUP(G483,PARAM!P:Q,2,0)),"")</f>
        <v>40217923</v>
      </c>
      <c r="J483" s="1" t="str">
        <f>IFERROR(CONCATENATE("*",VLOOKUP(C483,PARAM!D:E,2,0),VLOOKUP(D483,PARAM!J:K,2,0),VLOOKUP(E483,PARAM!G:H,2,0),VLOOKUP(G483,PARAM!P:Q,2,0),"*"),"")</f>
        <v>*40217923*</v>
      </c>
      <c r="K483" s="1" t="str">
        <f t="shared" si="1"/>
        <v>CONJUNTO CABALLERO MANCHESTER CITY AAA LOCAL 2025 TALLA L</v>
      </c>
      <c r="L483" s="1"/>
    </row>
    <row r="484">
      <c r="A484" s="55">
        <v>46186.0</v>
      </c>
      <c r="B484" s="4" t="s">
        <v>1187</v>
      </c>
      <c r="C484" s="4" t="s">
        <v>1314</v>
      </c>
      <c r="D484" s="4" t="s">
        <v>1080</v>
      </c>
      <c r="E484" s="4" t="s">
        <v>1363</v>
      </c>
      <c r="F484" s="4" t="s">
        <v>1364</v>
      </c>
      <c r="G484" s="60" t="s">
        <v>1077</v>
      </c>
      <c r="H484" s="1" t="s">
        <v>940</v>
      </c>
      <c r="I484" s="1" t="str">
        <f>IFERROR(CONCATENATE(VLOOKUP(C484,PARAM!D:E,2,0),VLOOKUP(D484,PARAM!J:K,2,0),VLOOKUP(E484,PARAM!G:H,2,0),VLOOKUP(G484,PARAM!P:Q,2,0)),"")</f>
        <v>4024432</v>
      </c>
      <c r="J484" s="1" t="str">
        <f>IFERROR(CONCATENATE("*",VLOOKUP(C484,PARAM!D:E,2,0),VLOOKUP(D484,PARAM!J:K,2,0),VLOOKUP(E484,PARAM!G:H,2,0),VLOOKUP(G484,PARAM!P:Q,2,0),"*"),"")</f>
        <v>*4024432*</v>
      </c>
      <c r="K484" s="1" t="str">
        <f t="shared" si="1"/>
        <v>CONJUNTO CABALLERO BARCELONA AAA VISITANTE 2025 TALLA XL</v>
      </c>
      <c r="L484" s="1"/>
    </row>
    <row r="485">
      <c r="A485" s="55">
        <v>46186.0</v>
      </c>
      <c r="B485" s="4" t="s">
        <v>1187</v>
      </c>
      <c r="C485" s="4" t="s">
        <v>1314</v>
      </c>
      <c r="D485" s="4" t="s">
        <v>1080</v>
      </c>
      <c r="E485" s="4" t="s">
        <v>1363</v>
      </c>
      <c r="F485" s="4" t="s">
        <v>1364</v>
      </c>
      <c r="G485" s="60" t="s">
        <v>1164</v>
      </c>
      <c r="H485" s="1" t="s">
        <v>940</v>
      </c>
      <c r="I485" s="1" t="str">
        <f>IFERROR(CONCATENATE(VLOOKUP(C485,PARAM!D:E,2,0),VLOOKUP(D485,PARAM!J:K,2,0),VLOOKUP(E485,PARAM!G:H,2,0),VLOOKUP(G485,PARAM!P:Q,2,0)),"")</f>
        <v>4024425</v>
      </c>
      <c r="J485" s="1" t="str">
        <f>IFERROR(CONCATENATE("*",VLOOKUP(C485,PARAM!D:E,2,0),VLOOKUP(D485,PARAM!J:K,2,0),VLOOKUP(E485,PARAM!G:H,2,0),VLOOKUP(G485,PARAM!P:Q,2,0),"*"),"")</f>
        <v>*4024425*</v>
      </c>
      <c r="K485" s="1" t="str">
        <f t="shared" si="1"/>
        <v>CONJUNTO CABALLERO BARCELONA AAA VISITANTE 2025 TALLA M</v>
      </c>
      <c r="L485" s="1"/>
    </row>
    <row r="486">
      <c r="A486" s="55">
        <v>46186.0</v>
      </c>
      <c r="B486" s="4" t="s">
        <v>1187</v>
      </c>
      <c r="C486" s="4" t="s">
        <v>1314</v>
      </c>
      <c r="D486" s="4" t="s">
        <v>1080</v>
      </c>
      <c r="E486" s="4" t="s">
        <v>1363</v>
      </c>
      <c r="F486" s="4" t="s">
        <v>1364</v>
      </c>
      <c r="G486" s="60" t="s">
        <v>1168</v>
      </c>
      <c r="H486" s="1" t="s">
        <v>940</v>
      </c>
      <c r="I486" s="1" t="str">
        <f>IFERROR(CONCATENATE(VLOOKUP(C486,PARAM!D:E,2,0),VLOOKUP(D486,PARAM!J:K,2,0),VLOOKUP(E486,PARAM!G:H,2,0),VLOOKUP(G486,PARAM!P:Q,2,0)),"")</f>
        <v>4024427</v>
      </c>
      <c r="J486" s="1" t="str">
        <f>IFERROR(CONCATENATE("*",VLOOKUP(C486,PARAM!D:E,2,0),VLOOKUP(D486,PARAM!J:K,2,0),VLOOKUP(E486,PARAM!G:H,2,0),VLOOKUP(G486,PARAM!P:Q,2,0),"*"),"")</f>
        <v>*4024427*</v>
      </c>
      <c r="K486" s="1" t="str">
        <f t="shared" si="1"/>
        <v>CONJUNTO CABALLERO BARCELONA AAA VISITANTE 2025 TALLA S</v>
      </c>
      <c r="L486" s="1"/>
    </row>
    <row r="487">
      <c r="A487" s="55">
        <v>46186.0</v>
      </c>
      <c r="B487" s="4" t="s">
        <v>1187</v>
      </c>
      <c r="C487" s="4" t="s">
        <v>1314</v>
      </c>
      <c r="D487" s="4" t="s">
        <v>1080</v>
      </c>
      <c r="E487" s="4" t="s">
        <v>1363</v>
      </c>
      <c r="F487" s="4" t="s">
        <v>1364</v>
      </c>
      <c r="G487" s="60" t="s">
        <v>1189</v>
      </c>
      <c r="H487" s="1" t="s">
        <v>940</v>
      </c>
      <c r="I487" s="1" t="str">
        <f>IFERROR(CONCATENATE(VLOOKUP(C487,PARAM!D:E,2,0),VLOOKUP(D487,PARAM!J:K,2,0),VLOOKUP(E487,PARAM!G:H,2,0),VLOOKUP(G487,PARAM!P:Q,2,0)),"")</f>
        <v>4024434</v>
      </c>
      <c r="J487" s="1" t="str">
        <f>IFERROR(CONCATENATE("*",VLOOKUP(C487,PARAM!D:E,2,0),VLOOKUP(D487,PARAM!J:K,2,0),VLOOKUP(E487,PARAM!G:H,2,0),VLOOKUP(G487,PARAM!P:Q,2,0),"*"),"")</f>
        <v>*4024434*</v>
      </c>
      <c r="K487" s="1" t="str">
        <f t="shared" si="1"/>
        <v>CONJUNTO CABALLERO BARCELONA AAA VISITANTE 2025 TALLA XXL</v>
      </c>
      <c r="L487" s="1"/>
    </row>
    <row r="488">
      <c r="A488" s="55">
        <v>46186.0</v>
      </c>
      <c r="B488" s="4" t="s">
        <v>1187</v>
      </c>
      <c r="C488" s="4" t="s">
        <v>1314</v>
      </c>
      <c r="D488" s="4" t="s">
        <v>1080</v>
      </c>
      <c r="E488" s="4" t="s">
        <v>1365</v>
      </c>
      <c r="F488" s="4" t="s">
        <v>1122</v>
      </c>
      <c r="G488" s="60" t="s">
        <v>1077</v>
      </c>
      <c r="H488" s="1" t="s">
        <v>940</v>
      </c>
      <c r="I488" s="1" t="str">
        <f>IFERROR(CONCATENATE(VLOOKUP(C488,PARAM!D:E,2,0),VLOOKUP(D488,PARAM!J:K,2,0),VLOOKUP(E488,PARAM!G:H,2,0),VLOOKUP(G488,PARAM!P:Q,2,0)),"")</f>
        <v>4023532</v>
      </c>
      <c r="J488" s="1" t="str">
        <f>IFERROR(CONCATENATE("*",VLOOKUP(C488,PARAM!D:E,2,0),VLOOKUP(D488,PARAM!J:K,2,0),VLOOKUP(E488,PARAM!G:H,2,0),VLOOKUP(G488,PARAM!P:Q,2,0),"*"),"")</f>
        <v>*4023532*</v>
      </c>
      <c r="K488" s="1" t="str">
        <f t="shared" si="1"/>
        <v>CONJUNTO CABALLERO ATLETICO MADRID AAA LOCAL 2025 TALLA XL</v>
      </c>
      <c r="L488" s="1"/>
    </row>
    <row r="489">
      <c r="A489" s="55">
        <v>46186.0</v>
      </c>
      <c r="B489" s="4" t="s">
        <v>1187</v>
      </c>
      <c r="C489" s="4" t="s">
        <v>1314</v>
      </c>
      <c r="D489" s="4" t="s">
        <v>1080</v>
      </c>
      <c r="E489" s="4" t="s">
        <v>1365</v>
      </c>
      <c r="F489" s="4" t="s">
        <v>1122</v>
      </c>
      <c r="G489" s="60" t="s">
        <v>1165</v>
      </c>
      <c r="H489" s="1" t="s">
        <v>940</v>
      </c>
      <c r="I489" s="1" t="str">
        <f>IFERROR(CONCATENATE(VLOOKUP(C489,PARAM!D:E,2,0),VLOOKUP(D489,PARAM!J:K,2,0),VLOOKUP(E489,PARAM!G:H,2,0),VLOOKUP(G489,PARAM!P:Q,2,0)),"")</f>
        <v>4023523</v>
      </c>
      <c r="J489" s="1" t="str">
        <f>IFERROR(CONCATENATE("*",VLOOKUP(C489,PARAM!D:E,2,0),VLOOKUP(D489,PARAM!J:K,2,0),VLOOKUP(E489,PARAM!G:H,2,0),VLOOKUP(G489,PARAM!P:Q,2,0),"*"),"")</f>
        <v>*4023523*</v>
      </c>
      <c r="K489" s="1" t="str">
        <f t="shared" si="1"/>
        <v>CONJUNTO CABALLERO ATLETICO MADRID AAA LOCAL 2025 TALLA L</v>
      </c>
      <c r="L489" s="1"/>
    </row>
    <row r="490">
      <c r="A490" s="55">
        <v>46186.0</v>
      </c>
      <c r="B490" s="4" t="s">
        <v>1187</v>
      </c>
      <c r="C490" s="4" t="s">
        <v>1314</v>
      </c>
      <c r="D490" s="4" t="s">
        <v>1080</v>
      </c>
      <c r="E490" s="4" t="s">
        <v>1365</v>
      </c>
      <c r="F490" s="4" t="s">
        <v>1122</v>
      </c>
      <c r="G490" s="60" t="s">
        <v>1164</v>
      </c>
      <c r="H490" s="1" t="s">
        <v>940</v>
      </c>
      <c r="I490" s="1" t="str">
        <f>IFERROR(CONCATENATE(VLOOKUP(C490,PARAM!D:E,2,0),VLOOKUP(D490,PARAM!J:K,2,0),VLOOKUP(E490,PARAM!G:H,2,0),VLOOKUP(G490,PARAM!P:Q,2,0)),"")</f>
        <v>4023525</v>
      </c>
      <c r="J490" s="1" t="str">
        <f>IFERROR(CONCATENATE("*",VLOOKUP(C490,PARAM!D:E,2,0),VLOOKUP(D490,PARAM!J:K,2,0),VLOOKUP(E490,PARAM!G:H,2,0),VLOOKUP(G490,PARAM!P:Q,2,0),"*"),"")</f>
        <v>*4023525*</v>
      </c>
      <c r="K490" s="1" t="str">
        <f t="shared" si="1"/>
        <v>CONJUNTO CABALLERO ATLETICO MADRID AAA LOCAL 2025 TALLA M</v>
      </c>
      <c r="L490" s="1"/>
    </row>
    <row r="491">
      <c r="A491" s="55">
        <v>46186.0</v>
      </c>
      <c r="B491" s="4" t="s">
        <v>1187</v>
      </c>
      <c r="C491" s="4" t="s">
        <v>1314</v>
      </c>
      <c r="D491" s="4" t="s">
        <v>1080</v>
      </c>
      <c r="E491" s="4" t="s">
        <v>1365</v>
      </c>
      <c r="F491" s="4" t="s">
        <v>1122</v>
      </c>
      <c r="G491" s="60" t="s">
        <v>1168</v>
      </c>
      <c r="H491" s="1" t="s">
        <v>940</v>
      </c>
      <c r="I491" s="1" t="str">
        <f>IFERROR(CONCATENATE(VLOOKUP(C491,PARAM!D:E,2,0),VLOOKUP(D491,PARAM!J:K,2,0),VLOOKUP(E491,PARAM!G:H,2,0),VLOOKUP(G491,PARAM!P:Q,2,0)),"")</f>
        <v>4023527</v>
      </c>
      <c r="J491" s="1" t="str">
        <f>IFERROR(CONCATENATE("*",VLOOKUP(C491,PARAM!D:E,2,0),VLOOKUP(D491,PARAM!J:K,2,0),VLOOKUP(E491,PARAM!G:H,2,0),VLOOKUP(G491,PARAM!P:Q,2,0),"*"),"")</f>
        <v>*4023527*</v>
      </c>
      <c r="K491" s="1" t="str">
        <f t="shared" si="1"/>
        <v>CONJUNTO CABALLERO ATLETICO MADRID AAA LOCAL 2025 TALLA S</v>
      </c>
      <c r="L491" s="1"/>
    </row>
    <row r="492">
      <c r="A492" s="55">
        <v>46186.0</v>
      </c>
      <c r="B492" s="4" t="s">
        <v>1187</v>
      </c>
      <c r="C492" s="4" t="s">
        <v>1314</v>
      </c>
      <c r="D492" s="4" t="s">
        <v>1080</v>
      </c>
      <c r="E492" s="4" t="s">
        <v>1366</v>
      </c>
      <c r="F492" s="4" t="s">
        <v>1320</v>
      </c>
      <c r="G492" s="60" t="s">
        <v>1353</v>
      </c>
      <c r="H492" s="1" t="s">
        <v>949</v>
      </c>
      <c r="I492" s="1" t="str">
        <f>IFERROR(CONCATENATE(VLOOKUP(C492,PARAM!D:E,2,0),VLOOKUP(D492,PARAM!J:K,2,0),VLOOKUP(E492,PARAM!G:H,2,0),VLOOKUP(G492,PARAM!P:Q,2,0)),"")</f>
        <v>40216321</v>
      </c>
      <c r="J492" s="1" t="str">
        <f>IFERROR(CONCATENATE("*",VLOOKUP(C492,PARAM!D:E,2,0),VLOOKUP(D492,PARAM!J:K,2,0),VLOOKUP(E492,PARAM!G:H,2,0),VLOOKUP(G492,PARAM!P:Q,2,0),"*"),"")</f>
        <v>*40216321*</v>
      </c>
      <c r="K492" s="1" t="str">
        <f t="shared" si="1"/>
        <v>CONJUNTO CABALLERO LAKERS TALLA 4XL</v>
      </c>
      <c r="L492" s="1"/>
    </row>
    <row r="493">
      <c r="A493" s="55">
        <v>46186.0</v>
      </c>
      <c r="B493" s="4" t="s">
        <v>1187</v>
      </c>
      <c r="C493" s="4" t="s">
        <v>1314</v>
      </c>
      <c r="D493" s="4" t="s">
        <v>1080</v>
      </c>
      <c r="E493" s="4" t="s">
        <v>1366</v>
      </c>
      <c r="F493" s="4" t="s">
        <v>1311</v>
      </c>
      <c r="G493" s="60" t="s">
        <v>1361</v>
      </c>
      <c r="H493" s="1" t="s">
        <v>949</v>
      </c>
      <c r="I493" s="1" t="str">
        <f>IFERROR(CONCATENATE(VLOOKUP(C493,PARAM!D:E,2,0),VLOOKUP(D493,PARAM!J:K,2,0),VLOOKUP(E493,PARAM!G:H,2,0),VLOOKUP(G493,PARAM!P:Q,2,0)),"")</f>
        <v>40216320</v>
      </c>
      <c r="J493" s="1" t="str">
        <f>IFERROR(CONCATENATE("*",VLOOKUP(C493,PARAM!D:E,2,0),VLOOKUP(D493,PARAM!J:K,2,0),VLOOKUP(E493,PARAM!G:H,2,0),VLOOKUP(G493,PARAM!P:Q,2,0),"*"),"")</f>
        <v>*40216320*</v>
      </c>
      <c r="K493" s="1" t="str">
        <f t="shared" si="1"/>
        <v>CONJUNTO CABALLERO LAKERS TALLA 3XL</v>
      </c>
      <c r="L493" s="1"/>
    </row>
    <row r="494">
      <c r="A494" s="55">
        <v>46186.0</v>
      </c>
      <c r="B494" s="4" t="s">
        <v>1187</v>
      </c>
      <c r="C494" s="4" t="s">
        <v>1314</v>
      </c>
      <c r="D494" s="4" t="s">
        <v>1080</v>
      </c>
      <c r="E494" s="4" t="s">
        <v>1366</v>
      </c>
      <c r="F494" s="4" t="s">
        <v>1311</v>
      </c>
      <c r="G494" s="60" t="s">
        <v>1353</v>
      </c>
      <c r="H494" s="1" t="s">
        <v>949</v>
      </c>
      <c r="I494" s="1" t="str">
        <f>IFERROR(CONCATENATE(VLOOKUP(C494,PARAM!D:E,2,0),VLOOKUP(D494,PARAM!J:K,2,0),VLOOKUP(E494,PARAM!G:H,2,0),VLOOKUP(G494,PARAM!P:Q,2,0)),"")</f>
        <v>40216321</v>
      </c>
      <c r="J494" s="1" t="str">
        <f>IFERROR(CONCATENATE("*",VLOOKUP(C494,PARAM!D:E,2,0),VLOOKUP(D494,PARAM!J:K,2,0),VLOOKUP(E494,PARAM!G:H,2,0),VLOOKUP(G494,PARAM!P:Q,2,0),"*"),"")</f>
        <v>*40216321*</v>
      </c>
      <c r="K494" s="1" t="str">
        <f t="shared" si="1"/>
        <v>CONJUNTO CABALLERO LAKERS TALLA 4XL</v>
      </c>
      <c r="L494" s="1"/>
    </row>
    <row r="495">
      <c r="A495" s="55">
        <v>46186.0</v>
      </c>
      <c r="B495" s="4" t="s">
        <v>1187</v>
      </c>
      <c r="C495" s="4" t="s">
        <v>1314</v>
      </c>
      <c r="D495" s="4" t="s">
        <v>1080</v>
      </c>
      <c r="E495" s="4" t="s">
        <v>1367</v>
      </c>
      <c r="F495" s="4" t="s">
        <v>1122</v>
      </c>
      <c r="G495" s="60" t="s">
        <v>1368</v>
      </c>
      <c r="H495" s="1" t="s">
        <v>949</v>
      </c>
      <c r="I495" s="1" t="str">
        <f>IFERROR(CONCATENATE(VLOOKUP(C495,PARAM!D:E,2,0),VLOOKUP(D495,PARAM!J:K,2,0),VLOOKUP(E495,PARAM!G:H,2,0),VLOOKUP(G495,PARAM!P:Q,2,0)),"")</f>
        <v>4025619</v>
      </c>
      <c r="J495" s="1" t="str">
        <f>IFERROR(CONCATENATE("*",VLOOKUP(C495,PARAM!D:E,2,0),VLOOKUP(D495,PARAM!J:K,2,0),VLOOKUP(E495,PARAM!G:H,2,0),VLOOKUP(G495,PARAM!P:Q,2,0),"*"),"")</f>
        <v>*4025619*</v>
      </c>
      <c r="K495" s="1" t="str">
        <f t="shared" si="1"/>
        <v>CONJUNTO CABALLERO BULLS TALLA 2XL</v>
      </c>
      <c r="L495" s="1"/>
    </row>
    <row r="496">
      <c r="A496" s="55">
        <v>46186.0</v>
      </c>
      <c r="B496" s="4" t="s">
        <v>1187</v>
      </c>
      <c r="C496" s="4" t="s">
        <v>1314</v>
      </c>
      <c r="D496" s="4" t="s">
        <v>1080</v>
      </c>
      <c r="E496" s="4" t="s">
        <v>1367</v>
      </c>
      <c r="F496" s="4" t="s">
        <v>1122</v>
      </c>
      <c r="G496" s="60" t="s">
        <v>1353</v>
      </c>
      <c r="H496" s="1" t="s">
        <v>949</v>
      </c>
      <c r="I496" s="1" t="str">
        <f>IFERROR(CONCATENATE(VLOOKUP(C496,PARAM!D:E,2,0),VLOOKUP(D496,PARAM!J:K,2,0),VLOOKUP(E496,PARAM!G:H,2,0),VLOOKUP(G496,PARAM!P:Q,2,0)),"")</f>
        <v>4025621</v>
      </c>
      <c r="J496" s="1" t="str">
        <f>IFERROR(CONCATENATE("*",VLOOKUP(C496,PARAM!D:E,2,0),VLOOKUP(D496,PARAM!J:K,2,0),VLOOKUP(E496,PARAM!G:H,2,0),VLOOKUP(G496,PARAM!P:Q,2,0),"*"),"")</f>
        <v>*4025621*</v>
      </c>
      <c r="K496" s="1" t="str">
        <f t="shared" si="1"/>
        <v>CONJUNTO CABALLERO BULLS TALLA 4XL</v>
      </c>
      <c r="L496" s="1"/>
    </row>
    <row r="497">
      <c r="A497" s="55">
        <v>46186.0</v>
      </c>
      <c r="B497" s="4" t="s">
        <v>1187</v>
      </c>
      <c r="C497" s="4" t="s">
        <v>1171</v>
      </c>
      <c r="D497" s="4" t="s">
        <v>1060</v>
      </c>
      <c r="E497" s="4" t="s">
        <v>1369</v>
      </c>
      <c r="F497" s="4" t="s">
        <v>1067</v>
      </c>
      <c r="G497" s="60" t="s">
        <v>1168</v>
      </c>
      <c r="H497" s="1" t="s">
        <v>954</v>
      </c>
      <c r="I497" s="1" t="str">
        <f>IFERROR(CONCATENATE(VLOOKUP(C497,PARAM!D:E,2,0),VLOOKUP(D497,PARAM!J:K,2,0),VLOOKUP(E497,PARAM!G:H,2,0),VLOOKUP(G497,PARAM!P:Q,2,0)),"")</f>
        <v>11115727</v>
      </c>
      <c r="J497" s="1" t="str">
        <f>IFERROR(CONCATENATE("*",VLOOKUP(C497,PARAM!D:E,2,0),VLOOKUP(D497,PARAM!J:K,2,0),VLOOKUP(E497,PARAM!G:H,2,0),VLOOKUP(G497,PARAM!P:Q,2,0),"*"),"")</f>
        <v>*11115727*</v>
      </c>
      <c r="K497" s="1" t="str">
        <f t="shared" si="1"/>
        <v>CAMISETAS DAMA JUNIOR AAA VISITANTE 2024 TALLA S</v>
      </c>
      <c r="L497" s="1"/>
    </row>
    <row r="498">
      <c r="A498" s="55">
        <v>46186.0</v>
      </c>
      <c r="B498" s="4" t="s">
        <v>1187</v>
      </c>
      <c r="C498" s="4" t="s">
        <v>1171</v>
      </c>
      <c r="D498" s="4" t="s">
        <v>1060</v>
      </c>
      <c r="E498" s="4" t="s">
        <v>1369</v>
      </c>
      <c r="F498" s="4" t="s">
        <v>1067</v>
      </c>
      <c r="G498" s="60" t="s">
        <v>1164</v>
      </c>
      <c r="H498" s="1" t="s">
        <v>954</v>
      </c>
      <c r="I498" s="1" t="str">
        <f>IFERROR(CONCATENATE(VLOOKUP(C498,PARAM!D:E,2,0),VLOOKUP(D498,PARAM!J:K,2,0),VLOOKUP(E498,PARAM!G:H,2,0),VLOOKUP(G498,PARAM!P:Q,2,0)),"")</f>
        <v>11115725</v>
      </c>
      <c r="J498" s="1" t="str">
        <f>IFERROR(CONCATENATE("*",VLOOKUP(C498,PARAM!D:E,2,0),VLOOKUP(D498,PARAM!J:K,2,0),VLOOKUP(E498,PARAM!G:H,2,0),VLOOKUP(G498,PARAM!P:Q,2,0),"*"),"")</f>
        <v>*11115725*</v>
      </c>
      <c r="K498" s="1" t="str">
        <f t="shared" si="1"/>
        <v>CAMISETAS DAMA JUNIOR AAA VISITANTE 2024 TALLA M</v>
      </c>
      <c r="L498" s="1"/>
    </row>
    <row r="499">
      <c r="A499" s="55">
        <v>46186.0</v>
      </c>
      <c r="B499" s="4" t="s">
        <v>1187</v>
      </c>
      <c r="C499" s="4" t="s">
        <v>1171</v>
      </c>
      <c r="D499" s="4" t="s">
        <v>1060</v>
      </c>
      <c r="E499" s="4" t="s">
        <v>1369</v>
      </c>
      <c r="F499" s="4" t="s">
        <v>1067</v>
      </c>
      <c r="G499" s="60" t="s">
        <v>1165</v>
      </c>
      <c r="H499" s="1" t="s">
        <v>954</v>
      </c>
      <c r="I499" s="1" t="str">
        <f>IFERROR(CONCATENATE(VLOOKUP(C499,PARAM!D:E,2,0),VLOOKUP(D499,PARAM!J:K,2,0),VLOOKUP(E499,PARAM!G:H,2,0),VLOOKUP(G499,PARAM!P:Q,2,0)),"")</f>
        <v>11115723</v>
      </c>
      <c r="J499" s="1" t="str">
        <f>IFERROR(CONCATENATE("*",VLOOKUP(C499,PARAM!D:E,2,0),VLOOKUP(D499,PARAM!J:K,2,0),VLOOKUP(E499,PARAM!G:H,2,0),VLOOKUP(G499,PARAM!P:Q,2,0),"*"),"")</f>
        <v>*11115723*</v>
      </c>
      <c r="K499" s="1" t="str">
        <f t="shared" si="1"/>
        <v>CAMISETAS DAMA JUNIOR AAA VISITANTE 2024 TALLA L</v>
      </c>
      <c r="L499" s="1"/>
    </row>
    <row r="500">
      <c r="A500" s="55">
        <v>46186.0</v>
      </c>
      <c r="B500" s="4" t="s">
        <v>1187</v>
      </c>
      <c r="C500" s="4" t="s">
        <v>1171</v>
      </c>
      <c r="D500" s="4" t="s">
        <v>1060</v>
      </c>
      <c r="E500" s="4" t="s">
        <v>1369</v>
      </c>
      <c r="F500" s="4" t="s">
        <v>1067</v>
      </c>
      <c r="G500" s="60" t="s">
        <v>1077</v>
      </c>
      <c r="H500" s="1" t="s">
        <v>954</v>
      </c>
      <c r="I500" s="1" t="str">
        <f>IFERROR(CONCATENATE(VLOOKUP(C500,PARAM!D:E,2,0),VLOOKUP(D500,PARAM!J:K,2,0),VLOOKUP(E500,PARAM!G:H,2,0),VLOOKUP(G500,PARAM!P:Q,2,0)),"")</f>
        <v>11115732</v>
      </c>
      <c r="J500" s="1" t="str">
        <f>IFERROR(CONCATENATE("*",VLOOKUP(C500,PARAM!D:E,2,0),VLOOKUP(D500,PARAM!J:K,2,0),VLOOKUP(E500,PARAM!G:H,2,0),VLOOKUP(G500,PARAM!P:Q,2,0),"*"),"")</f>
        <v>*11115732*</v>
      </c>
      <c r="K500" s="1" t="str">
        <f t="shared" si="1"/>
        <v>CAMISETAS DAMA JUNIOR AAA VISITANTE 2024 TALLA XL</v>
      </c>
      <c r="L500" s="1"/>
    </row>
    <row r="501">
      <c r="A501" s="55">
        <v>46186.0</v>
      </c>
      <c r="B501" s="4" t="s">
        <v>1187</v>
      </c>
      <c r="C501" s="4" t="s">
        <v>1171</v>
      </c>
      <c r="D501" s="4" t="s">
        <v>1080</v>
      </c>
      <c r="E501" s="4" t="s">
        <v>1370</v>
      </c>
      <c r="F501" s="4" t="s">
        <v>1087</v>
      </c>
      <c r="G501" s="60" t="s">
        <v>1168</v>
      </c>
      <c r="H501" s="1" t="s">
        <v>954</v>
      </c>
      <c r="I501" s="1" t="str">
        <f>IFERROR(CONCATENATE(VLOOKUP(C501,PARAM!D:E,2,0),VLOOKUP(D501,PARAM!J:K,2,0),VLOOKUP(E501,PARAM!G:H,2,0),VLOOKUP(G501,PARAM!P:Q,2,0)),"")</f>
        <v>11214927</v>
      </c>
      <c r="J501" s="1" t="str">
        <f>IFERROR(CONCATENATE("*",VLOOKUP(C501,PARAM!D:E,2,0),VLOOKUP(D501,PARAM!J:K,2,0),VLOOKUP(E501,PARAM!G:H,2,0),VLOOKUP(G501,PARAM!P:Q,2,0),"*"),"")</f>
        <v>*11214927*</v>
      </c>
      <c r="K501" s="1" t="str">
        <f t="shared" si="1"/>
        <v>CAMISETAS CABALLERO INTER MIAMI 1.1 VISITANTE MESSI TALLA S</v>
      </c>
      <c r="L501" s="1"/>
    </row>
    <row r="502">
      <c r="A502" s="55">
        <v>46186.0</v>
      </c>
      <c r="B502" s="4" t="s">
        <v>1187</v>
      </c>
      <c r="C502" s="4" t="s">
        <v>1171</v>
      </c>
      <c r="D502" s="4" t="s">
        <v>1080</v>
      </c>
      <c r="E502" s="4" t="s">
        <v>1370</v>
      </c>
      <c r="F502" s="4" t="s">
        <v>1087</v>
      </c>
      <c r="G502" s="60" t="s">
        <v>1164</v>
      </c>
      <c r="H502" s="1" t="s">
        <v>954</v>
      </c>
      <c r="I502" s="1" t="str">
        <f>IFERROR(CONCATENATE(VLOOKUP(C502,PARAM!D:E,2,0),VLOOKUP(D502,PARAM!J:K,2,0),VLOOKUP(E502,PARAM!G:H,2,0),VLOOKUP(G502,PARAM!P:Q,2,0)),"")</f>
        <v>11214925</v>
      </c>
      <c r="J502" s="1" t="str">
        <f>IFERROR(CONCATENATE("*",VLOOKUP(C502,PARAM!D:E,2,0),VLOOKUP(D502,PARAM!J:K,2,0),VLOOKUP(E502,PARAM!G:H,2,0),VLOOKUP(G502,PARAM!P:Q,2,0),"*"),"")</f>
        <v>*11214925*</v>
      </c>
      <c r="K502" s="1" t="str">
        <f t="shared" si="1"/>
        <v>CAMISETAS CABALLERO INTER MIAMI 1.1 VISITANTE MESSI TALLA M</v>
      </c>
      <c r="L502" s="1"/>
    </row>
    <row r="503">
      <c r="A503" s="55">
        <v>46186.0</v>
      </c>
      <c r="B503" s="4" t="s">
        <v>1187</v>
      </c>
      <c r="C503" s="4" t="s">
        <v>1314</v>
      </c>
      <c r="D503" s="4" t="s">
        <v>1080</v>
      </c>
      <c r="E503" s="4" t="s">
        <v>1371</v>
      </c>
      <c r="F503" s="4" t="s">
        <v>1320</v>
      </c>
      <c r="G503" s="60" t="s">
        <v>1077</v>
      </c>
      <c r="H503" s="1" t="s">
        <v>940</v>
      </c>
      <c r="I503" s="1" t="str">
        <f>IFERROR(CONCATENATE(VLOOKUP(C503,PARAM!D:E,2,0),VLOOKUP(D503,PARAM!J:K,2,0),VLOOKUP(E503,PARAM!G:H,2,0),VLOOKUP(G503,PARAM!P:Q,2,0)),"")</f>
        <v>40227032</v>
      </c>
      <c r="J503" s="1" t="str">
        <f>IFERROR(CONCATENATE("*",VLOOKUP(C503,PARAM!D:E,2,0),VLOOKUP(D503,PARAM!J:K,2,0),VLOOKUP(E503,PARAM!G:H,2,0),VLOOKUP(G503,PARAM!P:Q,2,0),"*"),"")</f>
        <v>*40227032*</v>
      </c>
      <c r="K503" s="1" t="str">
        <f t="shared" si="1"/>
        <v>CONJUNTO CABALLERO TOTTENHAM AAA LOCAL 2025 TALLA XL</v>
      </c>
      <c r="L503" s="1"/>
    </row>
    <row r="504">
      <c r="A504" s="55">
        <v>46186.0</v>
      </c>
      <c r="B504" s="4" t="s">
        <v>1187</v>
      </c>
      <c r="C504" s="4" t="s">
        <v>1314</v>
      </c>
      <c r="D504" s="4" t="s">
        <v>1080</v>
      </c>
      <c r="E504" s="4" t="s">
        <v>1371</v>
      </c>
      <c r="F504" s="4" t="s">
        <v>1320</v>
      </c>
      <c r="G504" s="60" t="s">
        <v>1168</v>
      </c>
      <c r="H504" s="1" t="s">
        <v>940</v>
      </c>
      <c r="I504" s="1" t="str">
        <f>IFERROR(CONCATENATE(VLOOKUP(C504,PARAM!D:E,2,0),VLOOKUP(D504,PARAM!J:K,2,0),VLOOKUP(E504,PARAM!G:H,2,0),VLOOKUP(G504,PARAM!P:Q,2,0)),"")</f>
        <v>40227027</v>
      </c>
      <c r="J504" s="1" t="str">
        <f>IFERROR(CONCATENATE("*",VLOOKUP(C504,PARAM!D:E,2,0),VLOOKUP(D504,PARAM!J:K,2,0),VLOOKUP(E504,PARAM!G:H,2,0),VLOOKUP(G504,PARAM!P:Q,2,0),"*"),"")</f>
        <v>*40227027*</v>
      </c>
      <c r="K504" s="1" t="str">
        <f t="shared" si="1"/>
        <v>CONJUNTO CABALLERO TOTTENHAM AAA LOCAL 2025 TALLA S</v>
      </c>
      <c r="L504" s="1"/>
    </row>
    <row r="505">
      <c r="A505" s="55">
        <v>46186.0</v>
      </c>
      <c r="B505" s="4" t="s">
        <v>1187</v>
      </c>
      <c r="C505" s="4" t="s">
        <v>1314</v>
      </c>
      <c r="D505" s="4" t="s">
        <v>1080</v>
      </c>
      <c r="E505" s="4" t="s">
        <v>1372</v>
      </c>
      <c r="F505" s="4" t="s">
        <v>1122</v>
      </c>
      <c r="G505" s="60" t="s">
        <v>1168</v>
      </c>
      <c r="H505" s="1" t="s">
        <v>954</v>
      </c>
      <c r="I505" s="1" t="str">
        <f>IFERROR(CONCATENATE(VLOOKUP(C505,PARAM!D:E,2,0),VLOOKUP(D505,PARAM!J:K,2,0),VLOOKUP(E505,PARAM!G:H,2,0),VLOOKUP(G505,PARAM!P:Q,2,0)),"")</f>
        <v>40223827</v>
      </c>
      <c r="J505" s="1" t="str">
        <f>IFERROR(CONCATENATE("*",VLOOKUP(C505,PARAM!D:E,2,0),VLOOKUP(D505,PARAM!J:K,2,0),VLOOKUP(E505,PARAM!G:H,2,0),VLOOKUP(G505,PARAM!P:Q,2,0),"*"),"")</f>
        <v>*40223827*</v>
      </c>
      <c r="K505" s="1" t="str">
        <f t="shared" si="1"/>
        <v>CONJUNTO CABALLERO RIVER PLATE AAA LOCAL 2025 TALLA S</v>
      </c>
      <c r="L505" s="1"/>
    </row>
    <row r="506">
      <c r="A506" s="55">
        <v>46186.0</v>
      </c>
      <c r="B506" s="4" t="s">
        <v>1187</v>
      </c>
      <c r="C506" s="4" t="s">
        <v>1314</v>
      </c>
      <c r="D506" s="4" t="s">
        <v>1080</v>
      </c>
      <c r="E506" s="4" t="s">
        <v>1373</v>
      </c>
      <c r="F506" s="4" t="s">
        <v>1084</v>
      </c>
      <c r="G506" s="60" t="s">
        <v>1165</v>
      </c>
      <c r="H506" s="1" t="s">
        <v>940</v>
      </c>
      <c r="I506" s="1" t="str">
        <f>IFERROR(CONCATENATE(VLOOKUP(C506,PARAM!D:E,2,0),VLOOKUP(D506,PARAM!J:K,2,0),VLOOKUP(E506,PARAM!G:H,2,0),VLOOKUP(G506,PARAM!P:Q,2,0)),"")</f>
        <v>40214823</v>
      </c>
      <c r="J506" s="1" t="str">
        <f>IFERROR(CONCATENATE("*",VLOOKUP(C506,PARAM!D:E,2,0),VLOOKUP(D506,PARAM!J:K,2,0),VLOOKUP(E506,PARAM!G:H,2,0),VLOOKUP(G506,PARAM!P:Q,2,0),"*"),"")</f>
        <v>*40214823*</v>
      </c>
      <c r="K506" s="1" t="str">
        <f t="shared" si="1"/>
        <v>CONJUNTO CABALLERO INTER DE MILAN AAA LOCAL 2025 TALLA L</v>
      </c>
      <c r="L506" s="1"/>
    </row>
    <row r="507">
      <c r="A507" s="55">
        <v>46186.0</v>
      </c>
      <c r="B507" s="4" t="s">
        <v>1187</v>
      </c>
      <c r="C507" s="4" t="s">
        <v>1314</v>
      </c>
      <c r="D507" s="4" t="s">
        <v>1080</v>
      </c>
      <c r="E507" s="4" t="s">
        <v>1373</v>
      </c>
      <c r="F507" s="4" t="s">
        <v>1084</v>
      </c>
      <c r="G507" s="60" t="s">
        <v>1164</v>
      </c>
      <c r="H507" s="1" t="s">
        <v>940</v>
      </c>
      <c r="I507" s="1" t="str">
        <f>IFERROR(CONCATENATE(VLOOKUP(C507,PARAM!D:E,2,0),VLOOKUP(D507,PARAM!J:K,2,0),VLOOKUP(E507,PARAM!G:H,2,0),VLOOKUP(G507,PARAM!P:Q,2,0)),"")</f>
        <v>40214825</v>
      </c>
      <c r="J507" s="1" t="str">
        <f>IFERROR(CONCATENATE("*",VLOOKUP(C507,PARAM!D:E,2,0),VLOOKUP(D507,PARAM!J:K,2,0),VLOOKUP(E507,PARAM!G:H,2,0),VLOOKUP(G507,PARAM!P:Q,2,0),"*"),"")</f>
        <v>*40214825*</v>
      </c>
      <c r="K507" s="1" t="str">
        <f t="shared" si="1"/>
        <v>CONJUNTO CABALLERO INTER DE MILAN AAA LOCAL 2025 TALLA M</v>
      </c>
      <c r="L507" s="1"/>
    </row>
    <row r="508">
      <c r="A508" s="55">
        <v>46186.0</v>
      </c>
      <c r="B508" s="4" t="s">
        <v>1187</v>
      </c>
      <c r="C508" s="4" t="s">
        <v>1314</v>
      </c>
      <c r="D508" s="4" t="s">
        <v>1080</v>
      </c>
      <c r="E508" s="4" t="s">
        <v>1374</v>
      </c>
      <c r="F508" s="4" t="s">
        <v>1122</v>
      </c>
      <c r="G508" s="60" t="s">
        <v>1168</v>
      </c>
      <c r="H508" s="1" t="s">
        <v>966</v>
      </c>
      <c r="I508" s="1" t="str">
        <f>IFERROR(CONCATENATE(VLOOKUP(C508,PARAM!D:E,2,0),VLOOKUP(D508,PARAM!J:K,2,0),VLOOKUP(E508,PARAM!G:H,2,0),VLOOKUP(G508,PARAM!P:Q,2,0)),"")</f>
        <v>40217627</v>
      </c>
      <c r="J508" s="1" t="str">
        <f>IFERROR(CONCATENATE("*",VLOOKUP(C508,PARAM!D:E,2,0),VLOOKUP(D508,PARAM!J:K,2,0),VLOOKUP(E508,PARAM!G:H,2,0),VLOOKUP(G508,PARAM!P:Q,2,0),"*"),"")</f>
        <v>*40217627*</v>
      </c>
      <c r="K508" s="1" t="str">
        <f t="shared" si="1"/>
        <v>CONJUNTO CABALLERO LIVERPOOL AAA LOCAL 2025 TALLA S</v>
      </c>
      <c r="L508" s="1"/>
    </row>
    <row r="509">
      <c r="A509" s="55">
        <v>46186.0</v>
      </c>
      <c r="B509" s="4" t="s">
        <v>1187</v>
      </c>
      <c r="C509" s="4" t="s">
        <v>1314</v>
      </c>
      <c r="D509" s="4" t="s">
        <v>1080</v>
      </c>
      <c r="E509" s="4" t="s">
        <v>1374</v>
      </c>
      <c r="F509" s="4" t="s">
        <v>1122</v>
      </c>
      <c r="G509" s="60" t="s">
        <v>1165</v>
      </c>
      <c r="H509" s="1" t="s">
        <v>954</v>
      </c>
      <c r="I509" s="1" t="str">
        <f>IFERROR(CONCATENATE(VLOOKUP(C509,PARAM!D:E,2,0),VLOOKUP(D509,PARAM!J:K,2,0),VLOOKUP(E509,PARAM!G:H,2,0),VLOOKUP(G509,PARAM!P:Q,2,0)),"")</f>
        <v>40217623</v>
      </c>
      <c r="J509" s="1" t="str">
        <f>IFERROR(CONCATENATE("*",VLOOKUP(C509,PARAM!D:E,2,0),VLOOKUP(D509,PARAM!J:K,2,0),VLOOKUP(E509,PARAM!G:H,2,0),VLOOKUP(G509,PARAM!P:Q,2,0),"*"),"")</f>
        <v>*40217623*</v>
      </c>
      <c r="K509" s="1" t="str">
        <f t="shared" si="1"/>
        <v>CONJUNTO CABALLERO LIVERPOOL AAA LOCAL 2025 TALLA L</v>
      </c>
      <c r="L509" s="1"/>
    </row>
    <row r="510">
      <c r="A510" s="55">
        <v>46186.0</v>
      </c>
      <c r="B510" s="4" t="s">
        <v>1187</v>
      </c>
      <c r="C510" s="4" t="s">
        <v>1314</v>
      </c>
      <c r="D510" s="4" t="s">
        <v>1080</v>
      </c>
      <c r="E510" s="4" t="s">
        <v>1375</v>
      </c>
      <c r="F510" s="4" t="s">
        <v>1085</v>
      </c>
      <c r="G510" s="60" t="s">
        <v>1168</v>
      </c>
      <c r="H510" s="1" t="s">
        <v>954</v>
      </c>
      <c r="I510" s="1" t="str">
        <f>IFERROR(CONCATENATE(VLOOKUP(C510,PARAM!D:E,2,0),VLOOKUP(D510,PARAM!J:K,2,0),VLOOKUP(E510,PARAM!G:H,2,0),VLOOKUP(G510,PARAM!P:Q,2,0)),"")</f>
        <v>40217727</v>
      </c>
      <c r="J510" s="1" t="str">
        <f>IFERROR(CONCATENATE("*",VLOOKUP(C510,PARAM!D:E,2,0),VLOOKUP(D510,PARAM!J:K,2,0),VLOOKUP(E510,PARAM!G:H,2,0),VLOOKUP(G510,PARAM!P:Q,2,0),"*"),"")</f>
        <v>*40217727*</v>
      </c>
      <c r="K510" s="1" t="str">
        <f t="shared" si="1"/>
        <v>CONJUNTO CABALLERO LIVERPOOL AAA VISITANTE 2025 TALLA S</v>
      </c>
      <c r="L510" s="1"/>
    </row>
    <row r="511">
      <c r="A511" s="55">
        <v>46186.0</v>
      </c>
      <c r="B511" s="4" t="s">
        <v>1187</v>
      </c>
      <c r="C511" s="4" t="s">
        <v>1314</v>
      </c>
      <c r="D511" s="4" t="s">
        <v>1080</v>
      </c>
      <c r="E511" s="4" t="s">
        <v>1375</v>
      </c>
      <c r="F511" s="4" t="s">
        <v>1085</v>
      </c>
      <c r="G511" s="60" t="s">
        <v>1165</v>
      </c>
      <c r="H511" s="1" t="s">
        <v>954</v>
      </c>
      <c r="I511" s="1" t="str">
        <f>IFERROR(CONCATENATE(VLOOKUP(C511,PARAM!D:E,2,0),VLOOKUP(D511,PARAM!J:K,2,0),VLOOKUP(E511,PARAM!G:H,2,0),VLOOKUP(G511,PARAM!P:Q,2,0)),"")</f>
        <v>40217723</v>
      </c>
      <c r="J511" s="1" t="str">
        <f>IFERROR(CONCATENATE("*",VLOOKUP(C511,PARAM!D:E,2,0),VLOOKUP(D511,PARAM!J:K,2,0),VLOOKUP(E511,PARAM!G:H,2,0),VLOOKUP(G511,PARAM!P:Q,2,0),"*"),"")</f>
        <v>*40217723*</v>
      </c>
      <c r="K511" s="1" t="str">
        <f t="shared" si="1"/>
        <v>CONJUNTO CABALLERO LIVERPOOL AAA VISITANTE 2025 TALLA L</v>
      </c>
      <c r="L511" s="1"/>
    </row>
    <row r="512">
      <c r="A512" s="55">
        <v>46186.0</v>
      </c>
      <c r="B512" s="4" t="s">
        <v>1187</v>
      </c>
      <c r="C512" s="4" t="s">
        <v>1171</v>
      </c>
      <c r="D512" s="4" t="s">
        <v>1080</v>
      </c>
      <c r="E512" s="4" t="s">
        <v>1376</v>
      </c>
      <c r="F512" s="4" t="s">
        <v>1085</v>
      </c>
      <c r="G512" s="60" t="s">
        <v>1077</v>
      </c>
      <c r="H512" s="1" t="s">
        <v>940</v>
      </c>
      <c r="I512" s="1" t="str">
        <f>IFERROR(CONCATENATE(VLOOKUP(C512,PARAM!D:E,2,0),VLOOKUP(D512,PARAM!J:K,2,0),VLOOKUP(E512,PARAM!G:H,2,0),VLOOKUP(G512,PARAM!P:Q,2,0)),"")</f>
        <v>1123632</v>
      </c>
      <c r="J512" s="1" t="str">
        <f>IFERROR(CONCATENATE("*",VLOOKUP(C512,PARAM!D:E,2,0),VLOOKUP(D512,PARAM!J:K,2,0),VLOOKUP(E512,PARAM!G:H,2,0),VLOOKUP(G512,PARAM!P:Q,2,0),"*"),"")</f>
        <v>*1123632*</v>
      </c>
      <c r="K512" s="1" t="str">
        <f t="shared" si="1"/>
        <v>CAMISETAS CABALLERO ATLETICO NACIONAL 1.1 LOCAL 2025 TALLA XL</v>
      </c>
      <c r="L512" s="1"/>
    </row>
    <row r="513">
      <c r="A513" s="55">
        <v>46186.0</v>
      </c>
      <c r="B513" s="4" t="s">
        <v>1187</v>
      </c>
      <c r="C513" s="4" t="s">
        <v>1171</v>
      </c>
      <c r="D513" s="4" t="s">
        <v>1080</v>
      </c>
      <c r="E513" s="4" t="s">
        <v>1377</v>
      </c>
      <c r="F513" s="4" t="s">
        <v>1067</v>
      </c>
      <c r="G513" s="60" t="s">
        <v>1077</v>
      </c>
      <c r="H513" s="1" t="s">
        <v>954</v>
      </c>
      <c r="I513" s="1" t="str">
        <f>IFERROR(CONCATENATE(VLOOKUP(C513,PARAM!D:E,2,0),VLOOKUP(D513,PARAM!J:K,2,0),VLOOKUP(E513,PARAM!G:H,2,0),VLOOKUP(G513,PARAM!P:Q,2,0)),"")</f>
        <v>11218832</v>
      </c>
      <c r="J513" s="1" t="str">
        <f>IFERROR(CONCATENATE("*",VLOOKUP(C513,PARAM!D:E,2,0),VLOOKUP(D513,PARAM!J:K,2,0),VLOOKUP(E513,PARAM!G:H,2,0),VLOOKUP(G513,PARAM!P:Q,2,0),"*"),"")</f>
        <v>*11218832*</v>
      </c>
      <c r="K513" s="1" t="str">
        <f t="shared" si="1"/>
        <v>CAMISETAS CABALLERO MILLONARIOS 1.1 LOCAL 2025 TALLA XL</v>
      </c>
      <c r="L513" s="1"/>
    </row>
    <row r="514">
      <c r="A514" s="55">
        <v>46186.0</v>
      </c>
      <c r="B514" s="4" t="s">
        <v>1187</v>
      </c>
      <c r="C514" s="4" t="s">
        <v>1171</v>
      </c>
      <c r="D514" s="4" t="s">
        <v>1080</v>
      </c>
      <c r="E514" s="4" t="s">
        <v>1377</v>
      </c>
      <c r="F514" s="4" t="s">
        <v>1067</v>
      </c>
      <c r="G514" s="60" t="s">
        <v>1165</v>
      </c>
      <c r="H514" s="1" t="s">
        <v>954</v>
      </c>
      <c r="I514" s="1" t="str">
        <f>IFERROR(CONCATENATE(VLOOKUP(C514,PARAM!D:E,2,0),VLOOKUP(D514,PARAM!J:K,2,0),VLOOKUP(E514,PARAM!G:H,2,0),VLOOKUP(G514,PARAM!P:Q,2,0)),"")</f>
        <v>11218823</v>
      </c>
      <c r="J514" s="1" t="str">
        <f>IFERROR(CONCATENATE("*",VLOOKUP(C514,PARAM!D:E,2,0),VLOOKUP(D514,PARAM!J:K,2,0),VLOOKUP(E514,PARAM!G:H,2,0),VLOOKUP(G514,PARAM!P:Q,2,0),"*"),"")</f>
        <v>*11218823*</v>
      </c>
      <c r="K514" s="1" t="str">
        <f t="shared" si="1"/>
        <v>CAMISETAS CABALLERO MILLONARIOS 1.1 LOCAL 2025 TALLA L</v>
      </c>
      <c r="L514" s="1"/>
    </row>
    <row r="515">
      <c r="A515" s="55">
        <v>46186.0</v>
      </c>
      <c r="B515" s="4" t="s">
        <v>1187</v>
      </c>
      <c r="C515" s="4" t="s">
        <v>1171</v>
      </c>
      <c r="D515" s="4" t="s">
        <v>1080</v>
      </c>
      <c r="E515" s="4" t="s">
        <v>1378</v>
      </c>
      <c r="F515" s="4" t="s">
        <v>1067</v>
      </c>
      <c r="G515" s="60" t="s">
        <v>1165</v>
      </c>
      <c r="H515" s="1" t="s">
        <v>954</v>
      </c>
      <c r="I515" s="1" t="str">
        <f>IFERROR(CONCATENATE(VLOOKUP(C515,PARAM!D:E,2,0),VLOOKUP(D515,PARAM!J:K,2,0),VLOOKUP(E515,PARAM!G:H,2,0),VLOOKUP(G515,PARAM!P:Q,2,0)),"")</f>
        <v>11218923</v>
      </c>
      <c r="J515" s="1" t="str">
        <f>IFERROR(CONCATENATE("*",VLOOKUP(C515,PARAM!D:E,2,0),VLOOKUP(D515,PARAM!J:K,2,0),VLOOKUP(E515,PARAM!G:H,2,0),VLOOKUP(G515,PARAM!P:Q,2,0),"*"),"")</f>
        <v>*11218923*</v>
      </c>
      <c r="K515" s="1" t="str">
        <f t="shared" si="1"/>
        <v>CAMISETAS CABALLERO MILLONARIOS AAA LOCAL 2025 TALLA L</v>
      </c>
      <c r="L515" s="1"/>
    </row>
    <row r="516">
      <c r="A516" s="55">
        <v>46186.0</v>
      </c>
      <c r="B516" s="4" t="s">
        <v>1187</v>
      </c>
      <c r="C516" s="4" t="s">
        <v>1171</v>
      </c>
      <c r="D516" s="4" t="s">
        <v>1080</v>
      </c>
      <c r="E516" s="1" t="s">
        <v>1379</v>
      </c>
      <c r="F516" s="4" t="s">
        <v>1067</v>
      </c>
      <c r="G516" s="60" t="s">
        <v>1077</v>
      </c>
      <c r="H516" s="1" t="s">
        <v>954</v>
      </c>
      <c r="I516" s="1" t="str">
        <f>IFERROR(CONCATENATE(VLOOKUP(C516,PARAM!D:E,2,0),VLOOKUP(D516,PARAM!J:K,2,0),VLOOKUP(E516,PARAM!G:H,2,0),VLOOKUP(G516,PARAM!P:Q,2,0)),"")</f>
        <v>11219032</v>
      </c>
      <c r="J516" s="1" t="str">
        <f>IFERROR(CONCATENATE("*",VLOOKUP(C516,PARAM!D:E,2,0),VLOOKUP(D516,PARAM!J:K,2,0),VLOOKUP(E516,PARAM!G:H,2,0),VLOOKUP(G516,PARAM!P:Q,2,0),"*"),"")</f>
        <v>*11219032*</v>
      </c>
      <c r="K516" s="1" t="str">
        <f t="shared" si="1"/>
        <v>CAMISETAS CABALLERO MILLONARIOS CAMISA TALLA XL</v>
      </c>
      <c r="L516" s="1"/>
    </row>
    <row r="517">
      <c r="A517" s="55">
        <v>46186.0</v>
      </c>
      <c r="B517" s="4" t="s">
        <v>1187</v>
      </c>
      <c r="C517" s="4" t="s">
        <v>1171</v>
      </c>
      <c r="D517" s="4" t="s">
        <v>1060</v>
      </c>
      <c r="E517" s="4" t="s">
        <v>1310</v>
      </c>
      <c r="F517" s="4" t="s">
        <v>1311</v>
      </c>
      <c r="G517" s="60" t="s">
        <v>1168</v>
      </c>
      <c r="H517" s="1" t="s">
        <v>954</v>
      </c>
      <c r="I517" s="1" t="str">
        <f>IFERROR(CONCATENATE(VLOOKUP(C517,PARAM!D:E,2,0),VLOOKUP(D517,PARAM!J:K,2,0),VLOOKUP(E517,PARAM!G:H,2,0),VLOOKUP(G517,PARAM!P:Q,2,0)),"")</f>
        <v>1118727</v>
      </c>
      <c r="J517" s="1" t="str">
        <f>IFERROR(CONCATENATE("*",VLOOKUP(C517,PARAM!D:E,2,0),VLOOKUP(D517,PARAM!J:K,2,0),VLOOKUP(E517,PARAM!G:H,2,0),VLOOKUP(G517,PARAM!P:Q,2,0),"*"),"")</f>
        <v>*1118727*</v>
      </c>
      <c r="K517" s="1" t="str">
        <f t="shared" si="1"/>
        <v>CAMISETAS DAMA COLOMBIA 1.1 LOCAL TALLA S</v>
      </c>
      <c r="L517" s="1"/>
    </row>
    <row r="518">
      <c r="A518" s="55">
        <v>46186.0</v>
      </c>
      <c r="B518" s="4" t="s">
        <v>1187</v>
      </c>
      <c r="C518" s="4" t="s">
        <v>1171</v>
      </c>
      <c r="D518" s="4" t="s">
        <v>1060</v>
      </c>
      <c r="E518" s="4" t="s">
        <v>1310</v>
      </c>
      <c r="F518" s="4" t="s">
        <v>1311</v>
      </c>
      <c r="G518" s="60" t="s">
        <v>1165</v>
      </c>
      <c r="H518" s="1" t="s">
        <v>954</v>
      </c>
      <c r="I518" s="1" t="str">
        <f>IFERROR(CONCATENATE(VLOOKUP(C518,PARAM!D:E,2,0),VLOOKUP(D518,PARAM!J:K,2,0),VLOOKUP(E518,PARAM!G:H,2,0),VLOOKUP(G518,PARAM!P:Q,2,0)),"")</f>
        <v>1118723</v>
      </c>
      <c r="J518" s="1" t="str">
        <f>IFERROR(CONCATENATE("*",VLOOKUP(C518,PARAM!D:E,2,0),VLOOKUP(D518,PARAM!J:K,2,0),VLOOKUP(E518,PARAM!G:H,2,0),VLOOKUP(G518,PARAM!P:Q,2,0),"*"),"")</f>
        <v>*1118723*</v>
      </c>
      <c r="K518" s="1" t="str">
        <f t="shared" si="1"/>
        <v>CAMISETAS DAMA COLOMBIA 1.1 LOCAL TALLA L</v>
      </c>
      <c r="L518" s="1"/>
    </row>
    <row r="519">
      <c r="A519" s="55">
        <v>46186.0</v>
      </c>
      <c r="B519" s="4" t="s">
        <v>1187</v>
      </c>
      <c r="C519" s="4" t="s">
        <v>1171</v>
      </c>
      <c r="D519" s="4" t="s">
        <v>1060</v>
      </c>
      <c r="E519" s="4" t="s">
        <v>1310</v>
      </c>
      <c r="F519" s="4" t="s">
        <v>1311</v>
      </c>
      <c r="G519" s="60" t="s">
        <v>1077</v>
      </c>
      <c r="H519" s="1" t="s">
        <v>954</v>
      </c>
      <c r="I519" s="1" t="str">
        <f>IFERROR(CONCATENATE(VLOOKUP(C519,PARAM!D:E,2,0),VLOOKUP(D519,PARAM!J:K,2,0),VLOOKUP(E519,PARAM!G:H,2,0),VLOOKUP(G519,PARAM!P:Q,2,0)),"")</f>
        <v>1118732</v>
      </c>
      <c r="J519" s="1" t="str">
        <f>IFERROR(CONCATENATE("*",VLOOKUP(C519,PARAM!D:E,2,0),VLOOKUP(D519,PARAM!J:K,2,0),VLOOKUP(E519,PARAM!G:H,2,0),VLOOKUP(G519,PARAM!P:Q,2,0),"*"),"")</f>
        <v>*1118732*</v>
      </c>
      <c r="K519" s="1" t="str">
        <f t="shared" si="1"/>
        <v>CAMISETAS DAMA COLOMBIA 1.1 LOCAL TALLA XL</v>
      </c>
      <c r="L519" s="1"/>
    </row>
    <row r="520">
      <c r="A520" s="55">
        <v>46186.0</v>
      </c>
      <c r="B520" s="4" t="s">
        <v>1187</v>
      </c>
      <c r="C520" s="4" t="s">
        <v>1171</v>
      </c>
      <c r="D520" s="4" t="s">
        <v>1080</v>
      </c>
      <c r="E520" s="4" t="s">
        <v>1310</v>
      </c>
      <c r="F520" s="4" t="s">
        <v>1311</v>
      </c>
      <c r="G520" s="60" t="s">
        <v>1077</v>
      </c>
      <c r="H520" s="1" t="s">
        <v>954</v>
      </c>
      <c r="I520" s="1" t="str">
        <f>IFERROR(CONCATENATE(VLOOKUP(C520,PARAM!D:E,2,0),VLOOKUP(D520,PARAM!J:K,2,0),VLOOKUP(E520,PARAM!G:H,2,0),VLOOKUP(G520,PARAM!P:Q,2,0)),"")</f>
        <v>1128732</v>
      </c>
      <c r="J520" s="1" t="str">
        <f>IFERROR(CONCATENATE("*",VLOOKUP(C520,PARAM!D:E,2,0),VLOOKUP(D520,PARAM!J:K,2,0),VLOOKUP(E520,PARAM!G:H,2,0),VLOOKUP(G520,PARAM!P:Q,2,0),"*"),"")</f>
        <v>*1128732*</v>
      </c>
      <c r="K520" s="1" t="str">
        <f t="shared" si="1"/>
        <v>CAMISETAS CABALLERO COLOMBIA 1.1 LOCAL TALLA XL</v>
      </c>
      <c r="L520" s="1"/>
    </row>
    <row r="521">
      <c r="A521" s="55">
        <v>46186.0</v>
      </c>
      <c r="B521" s="4" t="s">
        <v>1187</v>
      </c>
      <c r="C521" s="4" t="s">
        <v>1171</v>
      </c>
      <c r="D521" s="4" t="s">
        <v>1080</v>
      </c>
      <c r="E521" s="4" t="s">
        <v>1310</v>
      </c>
      <c r="F521" s="4" t="s">
        <v>1311</v>
      </c>
      <c r="G521" s="60" t="s">
        <v>1165</v>
      </c>
      <c r="H521" s="1" t="s">
        <v>954</v>
      </c>
      <c r="I521" s="1" t="str">
        <f>IFERROR(CONCATENATE(VLOOKUP(C521,PARAM!D:E,2,0),VLOOKUP(D521,PARAM!J:K,2,0),VLOOKUP(E521,PARAM!G:H,2,0),VLOOKUP(G521,PARAM!P:Q,2,0)),"")</f>
        <v>1128723</v>
      </c>
      <c r="J521" s="1" t="str">
        <f>IFERROR(CONCATENATE("*",VLOOKUP(C521,PARAM!D:E,2,0),VLOOKUP(D521,PARAM!J:K,2,0),VLOOKUP(E521,PARAM!G:H,2,0),VLOOKUP(G521,PARAM!P:Q,2,0),"*"),"")</f>
        <v>*1128723*</v>
      </c>
      <c r="K521" s="1" t="str">
        <f t="shared" si="1"/>
        <v>CAMISETAS CABALLERO COLOMBIA 1.1 LOCAL TALLA L</v>
      </c>
      <c r="L521" s="1"/>
    </row>
    <row r="522">
      <c r="A522" s="55">
        <v>46186.0</v>
      </c>
      <c r="B522" s="4" t="s">
        <v>1187</v>
      </c>
      <c r="C522" s="4" t="s">
        <v>1192</v>
      </c>
      <c r="D522" s="4" t="s">
        <v>1080</v>
      </c>
      <c r="E522" s="4" t="s">
        <v>1380</v>
      </c>
      <c r="F522" s="4" t="s">
        <v>1122</v>
      </c>
      <c r="G522" s="60" t="s">
        <v>1164</v>
      </c>
      <c r="H522" s="1" t="s">
        <v>940</v>
      </c>
      <c r="I522" s="1" t="str">
        <f>IFERROR(CONCATENATE(VLOOKUP(C522,PARAM!D:E,2,0),VLOOKUP(D522,PARAM!J:K,2,0),VLOOKUP(E522,PARAM!G:H,2,0),VLOOKUP(G522,PARAM!P:Q,2,0)),"")</f>
        <v>4124325</v>
      </c>
      <c r="J522" s="1" t="str">
        <f>IFERROR(CONCATENATE("*",VLOOKUP(C522,PARAM!D:E,2,0),VLOOKUP(D522,PARAM!J:K,2,0),VLOOKUP(E522,PARAM!G:H,2,0),VLOOKUP(G522,PARAM!P:Q,2,0),"*"),"")</f>
        <v>*4124325*</v>
      </c>
      <c r="K522" s="1" t="str">
        <f t="shared" si="1"/>
        <v>SUDADERA CABALLERO BARCELONA TALLA M</v>
      </c>
      <c r="L522" s="1"/>
    </row>
    <row r="523">
      <c r="A523" s="55">
        <v>46186.0</v>
      </c>
      <c r="B523" s="4" t="s">
        <v>1187</v>
      </c>
      <c r="C523" s="4" t="s">
        <v>1192</v>
      </c>
      <c r="D523" s="4" t="s">
        <v>1080</v>
      </c>
      <c r="E523" s="4" t="s">
        <v>1380</v>
      </c>
      <c r="F523" s="4" t="s">
        <v>1067</v>
      </c>
      <c r="G523" s="60" t="s">
        <v>1077</v>
      </c>
      <c r="H523" s="1" t="s">
        <v>940</v>
      </c>
      <c r="I523" s="1" t="str">
        <f>IFERROR(CONCATENATE(VLOOKUP(C523,PARAM!D:E,2,0),VLOOKUP(D523,PARAM!J:K,2,0),VLOOKUP(E523,PARAM!G:H,2,0),VLOOKUP(G523,PARAM!P:Q,2,0)),"")</f>
        <v>4124332</v>
      </c>
      <c r="J523" s="1" t="str">
        <f>IFERROR(CONCATENATE("*",VLOOKUP(C523,PARAM!D:E,2,0),VLOOKUP(D523,PARAM!J:K,2,0),VLOOKUP(E523,PARAM!G:H,2,0),VLOOKUP(G523,PARAM!P:Q,2,0),"*"),"")</f>
        <v>*4124332*</v>
      </c>
      <c r="K523" s="1" t="str">
        <f t="shared" si="1"/>
        <v>SUDADERA CABALLERO BARCELONA TALLA XL</v>
      </c>
      <c r="L523" s="1"/>
    </row>
    <row r="524">
      <c r="A524" s="55">
        <v>46186.0</v>
      </c>
      <c r="B524" s="4" t="s">
        <v>1187</v>
      </c>
      <c r="C524" s="4" t="s">
        <v>1192</v>
      </c>
      <c r="D524" s="4" t="s">
        <v>1080</v>
      </c>
      <c r="E524" s="4" t="s">
        <v>1381</v>
      </c>
      <c r="F524" s="4" t="s">
        <v>1084</v>
      </c>
      <c r="G524" s="60" t="s">
        <v>1164</v>
      </c>
      <c r="H524" s="1" t="s">
        <v>954</v>
      </c>
      <c r="I524" s="1" t="str">
        <f>IFERROR(CONCATENATE(VLOOKUP(C524,PARAM!D:E,2,0),VLOOKUP(D524,PARAM!J:K,2,0),VLOOKUP(E524,PARAM!G:H,2,0),VLOOKUP(G524,PARAM!P:Q,2,0)),"")</f>
        <v>41223225</v>
      </c>
      <c r="J524" s="1" t="str">
        <f>IFERROR(CONCATENATE("*",VLOOKUP(C524,PARAM!D:E,2,0),VLOOKUP(D524,PARAM!J:K,2,0),VLOOKUP(E524,PARAM!G:H,2,0),VLOOKUP(G524,PARAM!P:Q,2,0),"*"),"")</f>
        <v>*41223225*</v>
      </c>
      <c r="K524" s="1" t="str">
        <f t="shared" si="1"/>
        <v>SUDADERA CABALLERO REAL MADRID TALLA M</v>
      </c>
      <c r="L524" s="1"/>
    </row>
    <row r="525">
      <c r="A525" s="55">
        <v>46186.0</v>
      </c>
      <c r="B525" s="4" t="s">
        <v>1187</v>
      </c>
      <c r="C525" s="4" t="s">
        <v>1192</v>
      </c>
      <c r="D525" s="4" t="s">
        <v>1080</v>
      </c>
      <c r="E525" s="4" t="s">
        <v>1381</v>
      </c>
      <c r="F525" s="4" t="s">
        <v>1084</v>
      </c>
      <c r="G525" s="60" t="s">
        <v>1165</v>
      </c>
      <c r="H525" s="1" t="s">
        <v>954</v>
      </c>
      <c r="I525" s="1" t="str">
        <f>IFERROR(CONCATENATE(VLOOKUP(C525,PARAM!D:E,2,0),VLOOKUP(D525,PARAM!J:K,2,0),VLOOKUP(E525,PARAM!G:H,2,0),VLOOKUP(G525,PARAM!P:Q,2,0)),"")</f>
        <v>41223223</v>
      </c>
      <c r="J525" s="1" t="str">
        <f>IFERROR(CONCATENATE("*",VLOOKUP(C525,PARAM!D:E,2,0),VLOOKUP(D525,PARAM!J:K,2,0),VLOOKUP(E525,PARAM!G:H,2,0),VLOOKUP(G525,PARAM!P:Q,2,0),"*"),"")</f>
        <v>*41223223*</v>
      </c>
      <c r="K525" s="1" t="str">
        <f t="shared" si="1"/>
        <v>SUDADERA CABALLERO REAL MADRID TALLA L</v>
      </c>
      <c r="L525" s="1"/>
    </row>
    <row r="526">
      <c r="A526" s="55">
        <v>46186.0</v>
      </c>
      <c r="B526" s="4" t="s">
        <v>1187</v>
      </c>
      <c r="C526" s="4" t="s">
        <v>1192</v>
      </c>
      <c r="D526" s="4" t="s">
        <v>1080</v>
      </c>
      <c r="E526" s="4" t="s">
        <v>1382</v>
      </c>
      <c r="F526" s="4" t="s">
        <v>1066</v>
      </c>
      <c r="G526" s="60" t="s">
        <v>1164</v>
      </c>
      <c r="H526" s="1" t="s">
        <v>954</v>
      </c>
      <c r="I526" s="1" t="str">
        <f>IFERROR(CONCATENATE(VLOOKUP(C526,PARAM!D:E,2,0),VLOOKUP(D526,PARAM!J:K,2,0),VLOOKUP(E526,PARAM!G:H,2,0),VLOOKUP(G526,PARAM!P:Q,2,0)),"")</f>
        <v>4128925</v>
      </c>
      <c r="J526" s="1" t="str">
        <f>IFERROR(CONCATENATE("*",VLOOKUP(C526,PARAM!D:E,2,0),VLOOKUP(D526,PARAM!J:K,2,0),VLOOKUP(E526,PARAM!G:H,2,0),VLOOKUP(G526,PARAM!P:Q,2,0),"*"),"")</f>
        <v>*4128925*</v>
      </c>
      <c r="K526" s="1" t="str">
        <f t="shared" si="1"/>
        <v>SUDADERA CABALLERO COLOMBIA CENTENARIO TALLA M</v>
      </c>
      <c r="L526" s="1"/>
    </row>
    <row r="527">
      <c r="A527" s="55">
        <v>46186.0</v>
      </c>
      <c r="B527" s="4" t="s">
        <v>1078</v>
      </c>
      <c r="C527" s="4" t="s">
        <v>1059</v>
      </c>
      <c r="D527" s="4" t="s">
        <v>1080</v>
      </c>
      <c r="E527" s="4" t="s">
        <v>1383</v>
      </c>
      <c r="F527" s="4" t="s">
        <v>1067</v>
      </c>
      <c r="G527" s="60">
        <v>28.0</v>
      </c>
      <c r="H527" s="1" t="s">
        <v>476</v>
      </c>
      <c r="I527" s="1" t="str">
        <f>IFERROR(CONCATENATE(VLOOKUP(C527,PARAM!D:E,2,0),VLOOKUP(D527,PARAM!J:K,2,0),VLOOKUP(E527,PARAM!G:H,2,0),VLOOKUP(G527,PARAM!P:Q,2,0)),"")</f>
        <v>1215612</v>
      </c>
      <c r="J527" s="1" t="str">
        <f>IFERROR(CONCATENATE("*",VLOOKUP(C527,PARAM!D:E,2,0),VLOOKUP(D527,PARAM!J:K,2,0),VLOOKUP(E527,PARAM!G:H,2,0),VLOOKUP(G527,PARAM!P:Q,2,0),"*"),"")</f>
        <v>*1215612*</v>
      </c>
      <c r="K527" s="1" t="str">
        <f t="shared" si="1"/>
        <v>JEANS CABALLERO JOGGER TALLA 28</v>
      </c>
      <c r="L527" s="1"/>
    </row>
    <row r="528">
      <c r="A528" s="55">
        <v>46186.0</v>
      </c>
      <c r="B528" s="4" t="s">
        <v>1078</v>
      </c>
      <c r="C528" s="4" t="s">
        <v>1059</v>
      </c>
      <c r="D528" s="4" t="s">
        <v>1080</v>
      </c>
      <c r="E528" s="4" t="s">
        <v>1383</v>
      </c>
      <c r="F528" s="4" t="s">
        <v>1067</v>
      </c>
      <c r="G528" s="60">
        <v>30.0</v>
      </c>
      <c r="H528" s="1" t="s">
        <v>476</v>
      </c>
      <c r="I528" s="1" t="str">
        <f>IFERROR(CONCATENATE(VLOOKUP(C528,PARAM!D:E,2,0),VLOOKUP(D528,PARAM!J:K,2,0),VLOOKUP(E528,PARAM!G:H,2,0),VLOOKUP(G528,PARAM!P:Q,2,0)),"")</f>
        <v>1215613</v>
      </c>
      <c r="J528" s="1" t="str">
        <f>IFERROR(CONCATENATE("*",VLOOKUP(C528,PARAM!D:E,2,0),VLOOKUP(D528,PARAM!J:K,2,0),VLOOKUP(E528,PARAM!G:H,2,0),VLOOKUP(G528,PARAM!P:Q,2,0),"*"),"")</f>
        <v>*1215613*</v>
      </c>
      <c r="K528" s="1" t="str">
        <f t="shared" si="1"/>
        <v>JEANS CABALLERO JOGGER TALLA 30</v>
      </c>
      <c r="L528" s="1"/>
    </row>
    <row r="529">
      <c r="A529" s="55">
        <v>46186.0</v>
      </c>
      <c r="B529" s="4" t="s">
        <v>1078</v>
      </c>
      <c r="C529" s="4" t="s">
        <v>1059</v>
      </c>
      <c r="D529" s="4" t="s">
        <v>1080</v>
      </c>
      <c r="E529" s="4" t="s">
        <v>1383</v>
      </c>
      <c r="F529" s="4" t="s">
        <v>1067</v>
      </c>
      <c r="G529" s="60">
        <v>32.0</v>
      </c>
      <c r="H529" s="1" t="s">
        <v>476</v>
      </c>
      <c r="I529" s="1" t="str">
        <f>IFERROR(CONCATENATE(VLOOKUP(C529,PARAM!D:E,2,0),VLOOKUP(D529,PARAM!J:K,2,0),VLOOKUP(E529,PARAM!G:H,2,0),VLOOKUP(G529,PARAM!P:Q,2,0)),"")</f>
        <v>1215614</v>
      </c>
      <c r="J529" s="1" t="str">
        <f>IFERROR(CONCATENATE("*",VLOOKUP(C529,PARAM!D:E,2,0),VLOOKUP(D529,PARAM!J:K,2,0),VLOOKUP(E529,PARAM!G:H,2,0),VLOOKUP(G529,PARAM!P:Q,2,0),"*"),"")</f>
        <v>*1215614*</v>
      </c>
      <c r="K529" s="1" t="str">
        <f t="shared" si="1"/>
        <v>JEANS CABALLERO JOGGER TALLA 32</v>
      </c>
      <c r="L529" s="1"/>
    </row>
    <row r="530">
      <c r="A530" s="55">
        <v>46186.0</v>
      </c>
      <c r="B530" s="4" t="s">
        <v>1078</v>
      </c>
      <c r="C530" s="4" t="s">
        <v>1059</v>
      </c>
      <c r="D530" s="4" t="s">
        <v>1080</v>
      </c>
      <c r="E530" s="4" t="s">
        <v>1383</v>
      </c>
      <c r="F530" s="4" t="s">
        <v>1067</v>
      </c>
      <c r="G530" s="60">
        <v>34.0</v>
      </c>
      <c r="H530" s="1" t="s">
        <v>476</v>
      </c>
      <c r="I530" s="1" t="str">
        <f>IFERROR(CONCATENATE(VLOOKUP(C530,PARAM!D:E,2,0),VLOOKUP(D530,PARAM!J:K,2,0),VLOOKUP(E530,PARAM!G:H,2,0),VLOOKUP(G530,PARAM!P:Q,2,0)),"")</f>
        <v>1215615</v>
      </c>
      <c r="J530" s="1" t="str">
        <f>IFERROR(CONCATENATE("*",VLOOKUP(C530,PARAM!D:E,2,0),VLOOKUP(D530,PARAM!J:K,2,0),VLOOKUP(E530,PARAM!G:H,2,0),VLOOKUP(G530,PARAM!P:Q,2,0),"*"),"")</f>
        <v>*1215615*</v>
      </c>
      <c r="K530" s="1" t="str">
        <f t="shared" si="1"/>
        <v>JEANS CABALLERO JOGGER TALLA 34</v>
      </c>
      <c r="L530" s="1"/>
    </row>
    <row r="531">
      <c r="A531" s="55">
        <v>46186.0</v>
      </c>
      <c r="B531" s="4" t="s">
        <v>1078</v>
      </c>
      <c r="C531" s="4" t="s">
        <v>1059</v>
      </c>
      <c r="D531" s="4" t="s">
        <v>1080</v>
      </c>
      <c r="E531" s="4" t="s">
        <v>1383</v>
      </c>
      <c r="F531" s="4" t="s">
        <v>1067</v>
      </c>
      <c r="G531" s="60">
        <v>36.0</v>
      </c>
      <c r="H531" s="1" t="s">
        <v>476</v>
      </c>
      <c r="I531" s="1" t="str">
        <f>IFERROR(CONCATENATE(VLOOKUP(C531,PARAM!D:E,2,0),VLOOKUP(D531,PARAM!J:K,2,0),VLOOKUP(E531,PARAM!G:H,2,0),VLOOKUP(G531,PARAM!P:Q,2,0)),"")</f>
        <v>1215616</v>
      </c>
      <c r="J531" s="1" t="str">
        <f>IFERROR(CONCATENATE("*",VLOOKUP(C531,PARAM!D:E,2,0),VLOOKUP(D531,PARAM!J:K,2,0),VLOOKUP(E531,PARAM!G:H,2,0),VLOOKUP(G531,PARAM!P:Q,2,0),"*"),"")</f>
        <v>*1215616*</v>
      </c>
      <c r="K531" s="1" t="str">
        <f t="shared" si="1"/>
        <v>JEANS CABALLERO JOGGER TALLA 36</v>
      </c>
      <c r="L531" s="1"/>
    </row>
    <row r="532">
      <c r="A532" s="55">
        <v>46186.0</v>
      </c>
      <c r="B532" s="4" t="s">
        <v>1078</v>
      </c>
      <c r="C532" s="4" t="s">
        <v>1059</v>
      </c>
      <c r="D532" s="4" t="s">
        <v>1080</v>
      </c>
      <c r="E532" s="4" t="s">
        <v>1383</v>
      </c>
      <c r="F532" s="4" t="s">
        <v>1062</v>
      </c>
      <c r="G532" s="60">
        <v>28.0</v>
      </c>
      <c r="H532" s="1" t="s">
        <v>476</v>
      </c>
      <c r="I532" s="1" t="str">
        <f>IFERROR(CONCATENATE(VLOOKUP(C532,PARAM!D:E,2,0),VLOOKUP(D532,PARAM!J:K,2,0),VLOOKUP(E532,PARAM!G:H,2,0),VLOOKUP(G532,PARAM!P:Q,2,0)),"")</f>
        <v>1215612</v>
      </c>
      <c r="J532" s="1" t="str">
        <f>IFERROR(CONCATENATE("*",VLOOKUP(C532,PARAM!D:E,2,0),VLOOKUP(D532,PARAM!J:K,2,0),VLOOKUP(E532,PARAM!G:H,2,0),VLOOKUP(G532,PARAM!P:Q,2,0),"*"),"")</f>
        <v>*1215612*</v>
      </c>
      <c r="K532" s="1" t="str">
        <f t="shared" si="1"/>
        <v>JEANS CABALLERO JOGGER TALLA 28</v>
      </c>
      <c r="L532" s="1"/>
    </row>
    <row r="533">
      <c r="A533" s="55">
        <v>46186.0</v>
      </c>
      <c r="B533" s="4" t="s">
        <v>1078</v>
      </c>
      <c r="C533" s="4" t="s">
        <v>1059</v>
      </c>
      <c r="D533" s="4" t="s">
        <v>1080</v>
      </c>
      <c r="E533" s="4" t="s">
        <v>1383</v>
      </c>
      <c r="F533" s="4" t="s">
        <v>1062</v>
      </c>
      <c r="G533" s="60">
        <v>30.0</v>
      </c>
      <c r="H533" s="1" t="s">
        <v>476</v>
      </c>
      <c r="I533" s="1" t="str">
        <f>IFERROR(CONCATENATE(VLOOKUP(C533,PARAM!D:E,2,0),VLOOKUP(D533,PARAM!J:K,2,0),VLOOKUP(E533,PARAM!G:H,2,0),VLOOKUP(G533,PARAM!P:Q,2,0)),"")</f>
        <v>1215613</v>
      </c>
      <c r="J533" s="1" t="str">
        <f>IFERROR(CONCATENATE("*",VLOOKUP(C533,PARAM!D:E,2,0),VLOOKUP(D533,PARAM!J:K,2,0),VLOOKUP(E533,PARAM!G:H,2,0),VLOOKUP(G533,PARAM!P:Q,2,0),"*"),"")</f>
        <v>*1215613*</v>
      </c>
      <c r="K533" s="1" t="str">
        <f t="shared" si="1"/>
        <v>JEANS CABALLERO JOGGER TALLA 30</v>
      </c>
      <c r="L533" s="1"/>
    </row>
    <row r="534">
      <c r="A534" s="55">
        <v>46186.0</v>
      </c>
      <c r="B534" s="4" t="s">
        <v>1078</v>
      </c>
      <c r="C534" s="4" t="s">
        <v>1059</v>
      </c>
      <c r="D534" s="4" t="s">
        <v>1080</v>
      </c>
      <c r="E534" s="4" t="s">
        <v>1383</v>
      </c>
      <c r="F534" s="4" t="s">
        <v>1062</v>
      </c>
      <c r="G534" s="60">
        <v>32.0</v>
      </c>
      <c r="H534" s="1" t="s">
        <v>476</v>
      </c>
      <c r="I534" s="1" t="str">
        <f>IFERROR(CONCATENATE(VLOOKUP(C534,PARAM!D:E,2,0),VLOOKUP(D534,PARAM!J:K,2,0),VLOOKUP(E534,PARAM!G:H,2,0),VLOOKUP(G534,PARAM!P:Q,2,0)),"")</f>
        <v>1215614</v>
      </c>
      <c r="J534" s="1" t="str">
        <f>IFERROR(CONCATENATE("*",VLOOKUP(C534,PARAM!D:E,2,0),VLOOKUP(D534,PARAM!J:K,2,0),VLOOKUP(E534,PARAM!G:H,2,0),VLOOKUP(G534,PARAM!P:Q,2,0),"*"),"")</f>
        <v>*1215614*</v>
      </c>
      <c r="K534" s="1" t="str">
        <f t="shared" si="1"/>
        <v>JEANS CABALLERO JOGGER TALLA 32</v>
      </c>
      <c r="L534" s="1"/>
    </row>
    <row r="535">
      <c r="A535" s="55">
        <v>46186.0</v>
      </c>
      <c r="B535" s="4" t="s">
        <v>1078</v>
      </c>
      <c r="C535" s="4" t="s">
        <v>1059</v>
      </c>
      <c r="D535" s="4" t="s">
        <v>1080</v>
      </c>
      <c r="E535" s="4" t="s">
        <v>1383</v>
      </c>
      <c r="F535" s="4" t="s">
        <v>1062</v>
      </c>
      <c r="G535" s="60">
        <v>34.0</v>
      </c>
      <c r="H535" s="1" t="s">
        <v>476</v>
      </c>
      <c r="I535" s="1" t="str">
        <f>IFERROR(CONCATENATE(VLOOKUP(C535,PARAM!D:E,2,0),VLOOKUP(D535,PARAM!J:K,2,0),VLOOKUP(E535,PARAM!G:H,2,0),VLOOKUP(G535,PARAM!P:Q,2,0)),"")</f>
        <v>1215615</v>
      </c>
      <c r="J535" s="1" t="str">
        <f>IFERROR(CONCATENATE("*",VLOOKUP(C535,PARAM!D:E,2,0),VLOOKUP(D535,PARAM!J:K,2,0),VLOOKUP(E535,PARAM!G:H,2,0),VLOOKUP(G535,PARAM!P:Q,2,0),"*"),"")</f>
        <v>*1215615*</v>
      </c>
      <c r="K535" s="1" t="str">
        <f t="shared" si="1"/>
        <v>JEANS CABALLERO JOGGER TALLA 34</v>
      </c>
      <c r="L535" s="1"/>
    </row>
    <row r="536">
      <c r="A536" s="55">
        <v>46186.0</v>
      </c>
      <c r="B536" s="4" t="s">
        <v>1078</v>
      </c>
      <c r="C536" s="4" t="s">
        <v>1059</v>
      </c>
      <c r="D536" s="4" t="s">
        <v>1080</v>
      </c>
      <c r="E536" s="4" t="s">
        <v>1383</v>
      </c>
      <c r="F536" s="4" t="s">
        <v>1062</v>
      </c>
      <c r="G536" s="60">
        <v>36.0</v>
      </c>
      <c r="H536" s="1" t="s">
        <v>476</v>
      </c>
      <c r="I536" s="1" t="str">
        <f>IFERROR(CONCATENATE(VLOOKUP(C536,PARAM!D:E,2,0),VLOOKUP(D536,PARAM!J:K,2,0),VLOOKUP(E536,PARAM!G:H,2,0),VLOOKUP(G536,PARAM!P:Q,2,0)),"")</f>
        <v>1215616</v>
      </c>
      <c r="J536" s="1" t="str">
        <f>IFERROR(CONCATENATE("*",VLOOKUP(C536,PARAM!D:E,2,0),VLOOKUP(D536,PARAM!J:K,2,0),VLOOKUP(E536,PARAM!G:H,2,0),VLOOKUP(G536,PARAM!P:Q,2,0),"*"),"")</f>
        <v>*1215616*</v>
      </c>
      <c r="K536" s="1" t="str">
        <f t="shared" si="1"/>
        <v>JEANS CABALLERO JOGGER TALLA 36</v>
      </c>
      <c r="L536" s="1"/>
    </row>
    <row r="537">
      <c r="A537" s="55">
        <v>46186.0</v>
      </c>
      <c r="B537" s="4" t="s">
        <v>1078</v>
      </c>
      <c r="C537" s="4" t="s">
        <v>1092</v>
      </c>
      <c r="D537" s="4" t="s">
        <v>1080</v>
      </c>
      <c r="E537" s="4" t="s">
        <v>1081</v>
      </c>
      <c r="F537" s="4" t="s">
        <v>1069</v>
      </c>
      <c r="G537" s="60">
        <v>28.0</v>
      </c>
      <c r="H537" s="1" t="s">
        <v>476</v>
      </c>
      <c r="I537" s="1" t="str">
        <f>IFERROR(CONCATENATE(VLOOKUP(C537,PARAM!D:E,2,0),VLOOKUP(D537,PARAM!J:K,2,0),VLOOKUP(E537,PARAM!G:H,2,0),VLOOKUP(G537,PARAM!P:Q,2,0)),"")</f>
        <v>4226612</v>
      </c>
      <c r="J537" s="1" t="str">
        <f>IFERROR(CONCATENATE("*",VLOOKUP(C537,PARAM!D:E,2,0),VLOOKUP(D537,PARAM!J:K,2,0),VLOOKUP(E537,PARAM!G:H,2,0),VLOOKUP(G537,PARAM!P:Q,2,0),"*"),"")</f>
        <v>*4226612*</v>
      </c>
      <c r="K537" s="1" t="str">
        <f t="shared" si="1"/>
        <v>DRILL CABALLERO CAMUFLADO TALLA 28</v>
      </c>
      <c r="L537" s="1"/>
    </row>
    <row r="538">
      <c r="A538" s="55">
        <v>46186.0</v>
      </c>
      <c r="B538" s="4" t="s">
        <v>1078</v>
      </c>
      <c r="C538" s="4" t="s">
        <v>1092</v>
      </c>
      <c r="D538" s="4" t="s">
        <v>1080</v>
      </c>
      <c r="E538" s="4" t="s">
        <v>1081</v>
      </c>
      <c r="F538" s="4" t="s">
        <v>1069</v>
      </c>
      <c r="G538" s="60">
        <v>30.0</v>
      </c>
      <c r="H538" s="1" t="s">
        <v>476</v>
      </c>
      <c r="I538" s="1" t="str">
        <f>IFERROR(CONCATENATE(VLOOKUP(C538,PARAM!D:E,2,0),VLOOKUP(D538,PARAM!J:K,2,0),VLOOKUP(E538,PARAM!G:H,2,0),VLOOKUP(G538,PARAM!P:Q,2,0)),"")</f>
        <v>4226613</v>
      </c>
      <c r="J538" s="1" t="str">
        <f>IFERROR(CONCATENATE("*",VLOOKUP(C538,PARAM!D:E,2,0),VLOOKUP(D538,PARAM!J:K,2,0),VLOOKUP(E538,PARAM!G:H,2,0),VLOOKUP(G538,PARAM!P:Q,2,0),"*"),"")</f>
        <v>*4226613*</v>
      </c>
      <c r="K538" s="1" t="str">
        <f t="shared" si="1"/>
        <v>DRILL CABALLERO CAMUFLADO TALLA 30</v>
      </c>
      <c r="L538" s="1"/>
    </row>
    <row r="539">
      <c r="A539" s="55">
        <v>46186.0</v>
      </c>
      <c r="B539" s="4" t="s">
        <v>1078</v>
      </c>
      <c r="C539" s="4" t="s">
        <v>1092</v>
      </c>
      <c r="D539" s="4" t="s">
        <v>1080</v>
      </c>
      <c r="E539" s="4" t="s">
        <v>1081</v>
      </c>
      <c r="F539" s="4" t="s">
        <v>1069</v>
      </c>
      <c r="G539" s="60">
        <v>32.0</v>
      </c>
      <c r="H539" s="1" t="s">
        <v>476</v>
      </c>
      <c r="I539" s="1" t="str">
        <f>IFERROR(CONCATENATE(VLOOKUP(C539,PARAM!D:E,2,0),VLOOKUP(D539,PARAM!J:K,2,0),VLOOKUP(E539,PARAM!G:H,2,0),VLOOKUP(G539,PARAM!P:Q,2,0)),"")</f>
        <v>4226614</v>
      </c>
      <c r="J539" s="1" t="str">
        <f>IFERROR(CONCATENATE("*",VLOOKUP(C539,PARAM!D:E,2,0),VLOOKUP(D539,PARAM!J:K,2,0),VLOOKUP(E539,PARAM!G:H,2,0),VLOOKUP(G539,PARAM!P:Q,2,0),"*"),"")</f>
        <v>*4226614*</v>
      </c>
      <c r="K539" s="1" t="str">
        <f t="shared" si="1"/>
        <v>DRILL CABALLERO CAMUFLADO TALLA 32</v>
      </c>
      <c r="L539" s="1"/>
    </row>
    <row r="540">
      <c r="A540" s="55">
        <v>46186.0</v>
      </c>
      <c r="B540" s="4" t="s">
        <v>1078</v>
      </c>
      <c r="C540" s="4" t="s">
        <v>1092</v>
      </c>
      <c r="D540" s="4" t="s">
        <v>1080</v>
      </c>
      <c r="E540" s="4" t="s">
        <v>1081</v>
      </c>
      <c r="F540" s="4" t="s">
        <v>1069</v>
      </c>
      <c r="G540" s="60">
        <v>34.0</v>
      </c>
      <c r="H540" s="1" t="s">
        <v>476</v>
      </c>
      <c r="I540" s="1" t="str">
        <f>IFERROR(CONCATENATE(VLOOKUP(C540,PARAM!D:E,2,0),VLOOKUP(D540,PARAM!J:K,2,0),VLOOKUP(E540,PARAM!G:H,2,0),VLOOKUP(G540,PARAM!P:Q,2,0)),"")</f>
        <v>4226615</v>
      </c>
      <c r="J540" s="1" t="str">
        <f>IFERROR(CONCATENATE("*",VLOOKUP(C540,PARAM!D:E,2,0),VLOOKUP(D540,PARAM!J:K,2,0),VLOOKUP(E540,PARAM!G:H,2,0),VLOOKUP(G540,PARAM!P:Q,2,0),"*"),"")</f>
        <v>*4226615*</v>
      </c>
      <c r="K540" s="1" t="str">
        <f t="shared" si="1"/>
        <v>DRILL CABALLERO CAMUFLADO TALLA 34</v>
      </c>
      <c r="L540" s="1"/>
    </row>
    <row r="541">
      <c r="A541" s="55">
        <v>46186.0</v>
      </c>
      <c r="B541" s="4" t="s">
        <v>1078</v>
      </c>
      <c r="C541" s="4" t="s">
        <v>1092</v>
      </c>
      <c r="D541" s="4" t="s">
        <v>1080</v>
      </c>
      <c r="E541" s="4" t="s">
        <v>1081</v>
      </c>
      <c r="F541" s="4" t="s">
        <v>1069</v>
      </c>
      <c r="G541" s="60">
        <v>36.0</v>
      </c>
      <c r="H541" s="1" t="s">
        <v>476</v>
      </c>
      <c r="I541" s="1" t="str">
        <f>IFERROR(CONCATENATE(VLOOKUP(C541,PARAM!D:E,2,0),VLOOKUP(D541,PARAM!J:K,2,0),VLOOKUP(E541,PARAM!G:H,2,0),VLOOKUP(G541,PARAM!P:Q,2,0)),"")</f>
        <v>4226616</v>
      </c>
      <c r="J541" s="1" t="str">
        <f>IFERROR(CONCATENATE("*",VLOOKUP(C541,PARAM!D:E,2,0),VLOOKUP(D541,PARAM!J:K,2,0),VLOOKUP(E541,PARAM!G:H,2,0),VLOOKUP(G541,PARAM!P:Q,2,0),"*"),"")</f>
        <v>*4226616*</v>
      </c>
      <c r="K541" s="1" t="str">
        <f t="shared" si="1"/>
        <v>DRILL CABALLERO CAMUFLADO TALLA 36</v>
      </c>
      <c r="L541" s="1"/>
    </row>
    <row r="542">
      <c r="A542" s="55">
        <v>46186.0</v>
      </c>
      <c r="B542" s="4" t="s">
        <v>1078</v>
      </c>
      <c r="C542" s="4" t="s">
        <v>1092</v>
      </c>
      <c r="D542" s="4" t="s">
        <v>1080</v>
      </c>
      <c r="E542" s="4" t="s">
        <v>1384</v>
      </c>
      <c r="F542" s="4" t="s">
        <v>1069</v>
      </c>
      <c r="G542" s="60">
        <v>28.0</v>
      </c>
      <c r="H542" s="1" t="s">
        <v>476</v>
      </c>
      <c r="I542" s="1" t="str">
        <f>IFERROR(CONCATENATE(VLOOKUP(C542,PARAM!D:E,2,0),VLOOKUP(D542,PARAM!J:K,2,0),VLOOKUP(E542,PARAM!G:H,2,0),VLOOKUP(G542,PARAM!P:Q,2,0)),"")</f>
        <v>42223712</v>
      </c>
      <c r="J542" s="1" t="str">
        <f>IFERROR(CONCATENATE("*",VLOOKUP(C542,PARAM!D:E,2,0),VLOOKUP(D542,PARAM!J:K,2,0),VLOOKUP(E542,PARAM!G:H,2,0),VLOOKUP(G542,PARAM!P:Q,2,0),"*"),"")</f>
        <v>*42223712*</v>
      </c>
      <c r="K542" s="1" t="str">
        <f t="shared" si="1"/>
        <v>DRILL CABALLERO RIBETE TALLA 28</v>
      </c>
      <c r="L542" s="1"/>
    </row>
    <row r="543">
      <c r="A543" s="55">
        <v>46186.0</v>
      </c>
      <c r="B543" s="4" t="s">
        <v>1078</v>
      </c>
      <c r="C543" s="4" t="s">
        <v>1092</v>
      </c>
      <c r="D543" s="4" t="s">
        <v>1080</v>
      </c>
      <c r="E543" s="4" t="s">
        <v>1384</v>
      </c>
      <c r="F543" s="4" t="s">
        <v>1069</v>
      </c>
      <c r="G543" s="60">
        <v>30.0</v>
      </c>
      <c r="H543" s="1" t="s">
        <v>476</v>
      </c>
      <c r="I543" s="1" t="str">
        <f>IFERROR(CONCATENATE(VLOOKUP(C543,PARAM!D:E,2,0),VLOOKUP(D543,PARAM!J:K,2,0),VLOOKUP(E543,PARAM!G:H,2,0),VLOOKUP(G543,PARAM!P:Q,2,0)),"")</f>
        <v>42223713</v>
      </c>
      <c r="J543" s="1" t="str">
        <f>IFERROR(CONCATENATE("*",VLOOKUP(C543,PARAM!D:E,2,0),VLOOKUP(D543,PARAM!J:K,2,0),VLOOKUP(E543,PARAM!G:H,2,0),VLOOKUP(G543,PARAM!P:Q,2,0),"*"),"")</f>
        <v>*42223713*</v>
      </c>
      <c r="K543" s="1" t="str">
        <f t="shared" si="1"/>
        <v>DRILL CABALLERO RIBETE TALLA 30</v>
      </c>
      <c r="L543" s="1"/>
    </row>
    <row r="544">
      <c r="A544" s="55">
        <v>46186.0</v>
      </c>
      <c r="B544" s="4" t="s">
        <v>1078</v>
      </c>
      <c r="C544" s="4" t="s">
        <v>1092</v>
      </c>
      <c r="D544" s="4" t="s">
        <v>1080</v>
      </c>
      <c r="E544" s="4" t="s">
        <v>1384</v>
      </c>
      <c r="F544" s="4" t="s">
        <v>1069</v>
      </c>
      <c r="G544" s="60">
        <v>32.0</v>
      </c>
      <c r="H544" s="1" t="s">
        <v>476</v>
      </c>
      <c r="I544" s="1" t="str">
        <f>IFERROR(CONCATENATE(VLOOKUP(C544,PARAM!D:E,2,0),VLOOKUP(D544,PARAM!J:K,2,0),VLOOKUP(E544,PARAM!G:H,2,0),VLOOKUP(G544,PARAM!P:Q,2,0)),"")</f>
        <v>42223714</v>
      </c>
      <c r="J544" s="1" t="str">
        <f>IFERROR(CONCATENATE("*",VLOOKUP(C544,PARAM!D:E,2,0),VLOOKUP(D544,PARAM!J:K,2,0),VLOOKUP(E544,PARAM!G:H,2,0),VLOOKUP(G544,PARAM!P:Q,2,0),"*"),"")</f>
        <v>*42223714*</v>
      </c>
      <c r="K544" s="1" t="str">
        <f t="shared" si="1"/>
        <v>DRILL CABALLERO RIBETE TALLA 32</v>
      </c>
      <c r="L544" s="1"/>
    </row>
    <row r="545">
      <c r="A545" s="55">
        <v>46186.0</v>
      </c>
      <c r="B545" s="4" t="s">
        <v>1078</v>
      </c>
      <c r="C545" s="4" t="s">
        <v>1092</v>
      </c>
      <c r="D545" s="4" t="s">
        <v>1080</v>
      </c>
      <c r="E545" s="4" t="s">
        <v>1384</v>
      </c>
      <c r="F545" s="4" t="s">
        <v>1069</v>
      </c>
      <c r="G545" s="60">
        <v>34.0</v>
      </c>
      <c r="H545" s="1" t="s">
        <v>476</v>
      </c>
      <c r="I545" s="1" t="str">
        <f>IFERROR(CONCATENATE(VLOOKUP(C545,PARAM!D:E,2,0),VLOOKUP(D545,PARAM!J:K,2,0),VLOOKUP(E545,PARAM!G:H,2,0),VLOOKUP(G545,PARAM!P:Q,2,0)),"")</f>
        <v>42223715</v>
      </c>
      <c r="J545" s="1" t="str">
        <f>IFERROR(CONCATENATE("*",VLOOKUP(C545,PARAM!D:E,2,0),VLOOKUP(D545,PARAM!J:K,2,0),VLOOKUP(E545,PARAM!G:H,2,0),VLOOKUP(G545,PARAM!P:Q,2,0),"*"),"")</f>
        <v>*42223715*</v>
      </c>
      <c r="K545" s="1" t="str">
        <f t="shared" si="1"/>
        <v>DRILL CABALLERO RIBETE TALLA 34</v>
      </c>
      <c r="L545" s="1"/>
    </row>
    <row r="546">
      <c r="A546" s="55">
        <v>46186.0</v>
      </c>
      <c r="B546" s="4" t="s">
        <v>1078</v>
      </c>
      <c r="C546" s="4" t="s">
        <v>1092</v>
      </c>
      <c r="D546" s="4" t="s">
        <v>1080</v>
      </c>
      <c r="E546" s="4" t="s">
        <v>1384</v>
      </c>
      <c r="F546" s="4" t="s">
        <v>1069</v>
      </c>
      <c r="G546" s="60">
        <v>36.0</v>
      </c>
      <c r="H546" s="1" t="s">
        <v>476</v>
      </c>
      <c r="I546" s="1" t="str">
        <f>IFERROR(CONCATENATE(VLOOKUP(C546,PARAM!D:E,2,0),VLOOKUP(D546,PARAM!J:K,2,0),VLOOKUP(E546,PARAM!G:H,2,0),VLOOKUP(G546,PARAM!P:Q,2,0)),"")</f>
        <v>42223716</v>
      </c>
      <c r="J546" s="1" t="str">
        <f>IFERROR(CONCATENATE("*",VLOOKUP(C546,PARAM!D:E,2,0),VLOOKUP(D546,PARAM!J:K,2,0),VLOOKUP(E546,PARAM!G:H,2,0),VLOOKUP(G546,PARAM!P:Q,2,0),"*"),"")</f>
        <v>*42223716*</v>
      </c>
      <c r="K546" s="1" t="str">
        <f t="shared" si="1"/>
        <v>DRILL CABALLERO RIBETE TALLA 36</v>
      </c>
      <c r="L546" s="1"/>
    </row>
    <row r="547">
      <c r="A547" s="55">
        <v>46186.0</v>
      </c>
      <c r="B547" s="4" t="s">
        <v>1078</v>
      </c>
      <c r="C547" s="4" t="s">
        <v>1092</v>
      </c>
      <c r="D547" s="4" t="s">
        <v>1080</v>
      </c>
      <c r="E547" s="4" t="s">
        <v>1385</v>
      </c>
      <c r="F547" s="4" t="s">
        <v>1069</v>
      </c>
      <c r="G547" s="60">
        <v>28.0</v>
      </c>
      <c r="H547" s="1" t="s">
        <v>476</v>
      </c>
      <c r="I547" s="1" t="str">
        <f>IFERROR(CONCATENATE(VLOOKUP(C547,PARAM!D:E,2,0),VLOOKUP(D547,PARAM!J:K,2,0),VLOOKUP(E547,PARAM!G:H,2,0),VLOOKUP(G547,PARAM!P:Q,2,0)),"")</f>
        <v>42215812</v>
      </c>
      <c r="J547" s="1" t="str">
        <f>IFERROR(CONCATENATE("*",VLOOKUP(C547,PARAM!D:E,2,0),VLOOKUP(D547,PARAM!J:K,2,0),VLOOKUP(E547,PARAM!G:H,2,0),VLOOKUP(G547,PARAM!P:Q,2,0),"*"),"")</f>
        <v>*42215812*</v>
      </c>
      <c r="K547" s="1" t="str">
        <f t="shared" si="1"/>
        <v>DRILL CABALLERO JUVENIL TALLA 28</v>
      </c>
      <c r="L547" s="1"/>
    </row>
    <row r="548">
      <c r="A548" s="55">
        <v>46186.0</v>
      </c>
      <c r="B548" s="4" t="s">
        <v>1078</v>
      </c>
      <c r="C548" s="4" t="s">
        <v>1092</v>
      </c>
      <c r="D548" s="4" t="s">
        <v>1080</v>
      </c>
      <c r="E548" s="4" t="s">
        <v>1385</v>
      </c>
      <c r="F548" s="4" t="s">
        <v>1069</v>
      </c>
      <c r="G548" s="60">
        <v>30.0</v>
      </c>
      <c r="H548" s="1" t="s">
        <v>476</v>
      </c>
      <c r="I548" s="1" t="str">
        <f>IFERROR(CONCATENATE(VLOOKUP(C548,PARAM!D:E,2,0),VLOOKUP(D548,PARAM!J:K,2,0),VLOOKUP(E548,PARAM!G:H,2,0),VLOOKUP(G548,PARAM!P:Q,2,0)),"")</f>
        <v>42215813</v>
      </c>
      <c r="J548" s="1" t="str">
        <f>IFERROR(CONCATENATE("*",VLOOKUP(C548,PARAM!D:E,2,0),VLOOKUP(D548,PARAM!J:K,2,0),VLOOKUP(E548,PARAM!G:H,2,0),VLOOKUP(G548,PARAM!P:Q,2,0),"*"),"")</f>
        <v>*42215813*</v>
      </c>
      <c r="K548" s="1" t="str">
        <f t="shared" si="1"/>
        <v>DRILL CABALLERO JUVENIL TALLA 30</v>
      </c>
      <c r="L548" s="1"/>
    </row>
    <row r="549">
      <c r="A549" s="55">
        <v>46186.0</v>
      </c>
      <c r="B549" s="4" t="s">
        <v>1078</v>
      </c>
      <c r="C549" s="4" t="s">
        <v>1092</v>
      </c>
      <c r="D549" s="4" t="s">
        <v>1080</v>
      </c>
      <c r="E549" s="4" t="s">
        <v>1385</v>
      </c>
      <c r="F549" s="4" t="s">
        <v>1069</v>
      </c>
      <c r="G549" s="60">
        <v>32.0</v>
      </c>
      <c r="H549" s="1" t="s">
        <v>476</v>
      </c>
      <c r="I549" s="1" t="str">
        <f>IFERROR(CONCATENATE(VLOOKUP(C549,PARAM!D:E,2,0),VLOOKUP(D549,PARAM!J:K,2,0),VLOOKUP(E549,PARAM!G:H,2,0),VLOOKUP(G549,PARAM!P:Q,2,0)),"")</f>
        <v>42215814</v>
      </c>
      <c r="J549" s="1" t="str">
        <f>IFERROR(CONCATENATE("*",VLOOKUP(C549,PARAM!D:E,2,0),VLOOKUP(D549,PARAM!J:K,2,0),VLOOKUP(E549,PARAM!G:H,2,0),VLOOKUP(G549,PARAM!P:Q,2,0),"*"),"")</f>
        <v>*42215814*</v>
      </c>
      <c r="K549" s="1" t="str">
        <f t="shared" si="1"/>
        <v>DRILL CABALLERO JUVENIL TALLA 32</v>
      </c>
      <c r="L549" s="1"/>
    </row>
    <row r="550">
      <c r="A550" s="55">
        <v>46186.0</v>
      </c>
      <c r="B550" s="4" t="s">
        <v>1078</v>
      </c>
      <c r="C550" s="4" t="s">
        <v>1092</v>
      </c>
      <c r="D550" s="4" t="s">
        <v>1080</v>
      </c>
      <c r="E550" s="4" t="s">
        <v>1385</v>
      </c>
      <c r="F550" s="4" t="s">
        <v>1069</v>
      </c>
      <c r="G550" s="60">
        <v>34.0</v>
      </c>
      <c r="H550" s="1" t="s">
        <v>476</v>
      </c>
      <c r="I550" s="1" t="str">
        <f>IFERROR(CONCATENATE(VLOOKUP(C550,PARAM!D:E,2,0),VLOOKUP(D550,PARAM!J:K,2,0),VLOOKUP(E550,PARAM!G:H,2,0),VLOOKUP(G550,PARAM!P:Q,2,0)),"")</f>
        <v>42215815</v>
      </c>
      <c r="J550" s="1" t="str">
        <f>IFERROR(CONCATENATE("*",VLOOKUP(C550,PARAM!D:E,2,0),VLOOKUP(D550,PARAM!J:K,2,0),VLOOKUP(E550,PARAM!G:H,2,0),VLOOKUP(G550,PARAM!P:Q,2,0),"*"),"")</f>
        <v>*42215815*</v>
      </c>
      <c r="K550" s="1" t="str">
        <f t="shared" si="1"/>
        <v>DRILL CABALLERO JUVENIL TALLA 34</v>
      </c>
      <c r="L550" s="1"/>
    </row>
    <row r="551">
      <c r="A551" s="55">
        <v>46186.0</v>
      </c>
      <c r="B551" s="4" t="s">
        <v>1078</v>
      </c>
      <c r="C551" s="4" t="s">
        <v>1092</v>
      </c>
      <c r="D551" s="4" t="s">
        <v>1080</v>
      </c>
      <c r="E551" s="4" t="s">
        <v>1385</v>
      </c>
      <c r="F551" s="4" t="s">
        <v>1069</v>
      </c>
      <c r="G551" s="60">
        <v>36.0</v>
      </c>
      <c r="H551" s="1" t="s">
        <v>476</v>
      </c>
      <c r="I551" s="1" t="str">
        <f>IFERROR(CONCATENATE(VLOOKUP(C551,PARAM!D:E,2,0),VLOOKUP(D551,PARAM!J:K,2,0),VLOOKUP(E551,PARAM!G:H,2,0),VLOOKUP(G551,PARAM!P:Q,2,0)),"")</f>
        <v>42215816</v>
      </c>
      <c r="J551" s="1" t="str">
        <f>IFERROR(CONCATENATE("*",VLOOKUP(C551,PARAM!D:E,2,0),VLOOKUP(D551,PARAM!J:K,2,0),VLOOKUP(E551,PARAM!G:H,2,0),VLOOKUP(G551,PARAM!P:Q,2,0),"*"),"")</f>
        <v>*42215816*</v>
      </c>
      <c r="K551" s="1" t="str">
        <f t="shared" si="1"/>
        <v>DRILL CABALLERO JUVENIL TALLA 36</v>
      </c>
      <c r="L551" s="1"/>
    </row>
    <row r="552">
      <c r="A552" s="55">
        <v>46186.0</v>
      </c>
      <c r="B552" s="4" t="s">
        <v>1078</v>
      </c>
      <c r="C552" s="4" t="s">
        <v>1059</v>
      </c>
      <c r="D552" s="4" t="s">
        <v>1080</v>
      </c>
      <c r="E552" s="4" t="s">
        <v>1386</v>
      </c>
      <c r="F552" s="4" t="s">
        <v>1067</v>
      </c>
      <c r="G552" s="60">
        <v>28.0</v>
      </c>
      <c r="H552" s="1" t="s">
        <v>476</v>
      </c>
      <c r="I552" s="1" t="str">
        <f>IFERROR(CONCATENATE(VLOOKUP(C552,PARAM!D:E,2,0),VLOOKUP(D552,PARAM!J:K,2,0),VLOOKUP(E552,PARAM!G:H,2,0),VLOOKUP(G552,PARAM!P:Q,2,0)),"")</f>
        <v>127812</v>
      </c>
      <c r="J552" s="1" t="str">
        <f>IFERROR(CONCATENATE("*",VLOOKUP(C552,PARAM!D:E,2,0),VLOOKUP(D552,PARAM!J:K,2,0),VLOOKUP(E552,PARAM!G:H,2,0),VLOOKUP(G552,PARAM!P:Q,2,0),"*"),"")</f>
        <v>*127812*</v>
      </c>
      <c r="K552" s="1" t="str">
        <f t="shared" si="1"/>
        <v>JEANS CABALLERO CLASICO TALLA 28</v>
      </c>
      <c r="L552" s="1"/>
    </row>
    <row r="553">
      <c r="A553" s="55">
        <v>46186.0</v>
      </c>
      <c r="B553" s="4" t="s">
        <v>1078</v>
      </c>
      <c r="C553" s="4" t="s">
        <v>1059</v>
      </c>
      <c r="D553" s="4" t="s">
        <v>1080</v>
      </c>
      <c r="E553" s="4" t="s">
        <v>1386</v>
      </c>
      <c r="F553" s="4" t="s">
        <v>1067</v>
      </c>
      <c r="G553" s="60">
        <v>30.0</v>
      </c>
      <c r="H553" s="1" t="s">
        <v>476</v>
      </c>
      <c r="I553" s="1" t="str">
        <f>IFERROR(CONCATENATE(VLOOKUP(C553,PARAM!D:E,2,0),VLOOKUP(D553,PARAM!J:K,2,0),VLOOKUP(E553,PARAM!G:H,2,0),VLOOKUP(G553,PARAM!P:Q,2,0)),"")</f>
        <v>127813</v>
      </c>
      <c r="J553" s="1" t="str">
        <f>IFERROR(CONCATENATE("*",VLOOKUP(C553,PARAM!D:E,2,0),VLOOKUP(D553,PARAM!J:K,2,0),VLOOKUP(E553,PARAM!G:H,2,0),VLOOKUP(G553,PARAM!P:Q,2,0),"*"),"")</f>
        <v>*127813*</v>
      </c>
      <c r="K553" s="1" t="str">
        <f t="shared" si="1"/>
        <v>JEANS CABALLERO CLASICO TALLA 30</v>
      </c>
      <c r="L553" s="1"/>
    </row>
    <row r="554">
      <c r="A554" s="55">
        <v>46186.0</v>
      </c>
      <c r="B554" s="4" t="s">
        <v>1078</v>
      </c>
      <c r="C554" s="4" t="s">
        <v>1059</v>
      </c>
      <c r="D554" s="4" t="s">
        <v>1080</v>
      </c>
      <c r="E554" s="4" t="s">
        <v>1386</v>
      </c>
      <c r="F554" s="4" t="s">
        <v>1067</v>
      </c>
      <c r="G554" s="60">
        <v>32.0</v>
      </c>
      <c r="H554" s="1" t="s">
        <v>476</v>
      </c>
      <c r="I554" s="1" t="str">
        <f>IFERROR(CONCATENATE(VLOOKUP(C554,PARAM!D:E,2,0),VLOOKUP(D554,PARAM!J:K,2,0),VLOOKUP(E554,PARAM!G:H,2,0),VLOOKUP(G554,PARAM!P:Q,2,0)),"")</f>
        <v>127814</v>
      </c>
      <c r="J554" s="1" t="str">
        <f>IFERROR(CONCATENATE("*",VLOOKUP(C554,PARAM!D:E,2,0),VLOOKUP(D554,PARAM!J:K,2,0),VLOOKUP(E554,PARAM!G:H,2,0),VLOOKUP(G554,PARAM!P:Q,2,0),"*"),"")</f>
        <v>*127814*</v>
      </c>
      <c r="K554" s="1" t="str">
        <f t="shared" si="1"/>
        <v>JEANS CABALLERO CLASICO TALLA 32</v>
      </c>
      <c r="L554" s="1"/>
    </row>
    <row r="555">
      <c r="A555" s="55">
        <v>46186.0</v>
      </c>
      <c r="B555" s="4" t="s">
        <v>1078</v>
      </c>
      <c r="C555" s="4" t="s">
        <v>1059</v>
      </c>
      <c r="D555" s="4" t="s">
        <v>1080</v>
      </c>
      <c r="E555" s="4" t="s">
        <v>1386</v>
      </c>
      <c r="F555" s="4" t="s">
        <v>1067</v>
      </c>
      <c r="G555" s="60">
        <v>34.0</v>
      </c>
      <c r="H555" s="1" t="s">
        <v>476</v>
      </c>
      <c r="I555" s="1" t="str">
        <f>IFERROR(CONCATENATE(VLOOKUP(C555,PARAM!D:E,2,0),VLOOKUP(D555,PARAM!J:K,2,0),VLOOKUP(E555,PARAM!G:H,2,0),VLOOKUP(G555,PARAM!P:Q,2,0)),"")</f>
        <v>127815</v>
      </c>
      <c r="J555" s="1" t="str">
        <f>IFERROR(CONCATENATE("*",VLOOKUP(C555,PARAM!D:E,2,0),VLOOKUP(D555,PARAM!J:K,2,0),VLOOKUP(E555,PARAM!G:H,2,0),VLOOKUP(G555,PARAM!P:Q,2,0),"*"),"")</f>
        <v>*127815*</v>
      </c>
      <c r="K555" s="1" t="str">
        <f t="shared" si="1"/>
        <v>JEANS CABALLERO CLASICO TALLA 34</v>
      </c>
      <c r="L555" s="1"/>
    </row>
    <row r="556">
      <c r="A556" s="55">
        <v>46186.0</v>
      </c>
      <c r="B556" s="4" t="s">
        <v>1078</v>
      </c>
      <c r="C556" s="4" t="s">
        <v>1059</v>
      </c>
      <c r="D556" s="4" t="s">
        <v>1080</v>
      </c>
      <c r="E556" s="4" t="s">
        <v>1386</v>
      </c>
      <c r="F556" s="4" t="s">
        <v>1062</v>
      </c>
      <c r="G556" s="60">
        <v>28.0</v>
      </c>
      <c r="H556" s="1" t="s">
        <v>476</v>
      </c>
      <c r="I556" s="1" t="str">
        <f>IFERROR(CONCATENATE(VLOOKUP(C556,PARAM!D:E,2,0),VLOOKUP(D556,PARAM!J:K,2,0),VLOOKUP(E556,PARAM!G:H,2,0),VLOOKUP(G556,PARAM!P:Q,2,0)),"")</f>
        <v>127812</v>
      </c>
      <c r="J556" s="1" t="str">
        <f>IFERROR(CONCATENATE("*",VLOOKUP(C556,PARAM!D:E,2,0),VLOOKUP(D556,PARAM!J:K,2,0),VLOOKUP(E556,PARAM!G:H,2,0),VLOOKUP(G556,PARAM!P:Q,2,0),"*"),"")</f>
        <v>*127812*</v>
      </c>
      <c r="K556" s="1" t="str">
        <f t="shared" si="1"/>
        <v>JEANS CABALLERO CLASICO TALLA 28</v>
      </c>
      <c r="L556" s="1"/>
    </row>
    <row r="557">
      <c r="A557" s="55">
        <v>46186.0</v>
      </c>
      <c r="B557" s="4" t="s">
        <v>1078</v>
      </c>
      <c r="C557" s="4" t="s">
        <v>1059</v>
      </c>
      <c r="D557" s="4" t="s">
        <v>1080</v>
      </c>
      <c r="E557" s="4" t="s">
        <v>1386</v>
      </c>
      <c r="F557" s="4" t="s">
        <v>1062</v>
      </c>
      <c r="G557" s="60">
        <v>30.0</v>
      </c>
      <c r="H557" s="1" t="s">
        <v>476</v>
      </c>
      <c r="I557" s="1" t="str">
        <f>IFERROR(CONCATENATE(VLOOKUP(C557,PARAM!D:E,2,0),VLOOKUP(D557,PARAM!J:K,2,0),VLOOKUP(E557,PARAM!G:H,2,0),VLOOKUP(G557,PARAM!P:Q,2,0)),"")</f>
        <v>127813</v>
      </c>
      <c r="J557" s="1" t="str">
        <f>IFERROR(CONCATENATE("*",VLOOKUP(C557,PARAM!D:E,2,0),VLOOKUP(D557,PARAM!J:K,2,0),VLOOKUP(E557,PARAM!G:H,2,0),VLOOKUP(G557,PARAM!P:Q,2,0),"*"),"")</f>
        <v>*127813*</v>
      </c>
      <c r="K557" s="1" t="str">
        <f t="shared" si="1"/>
        <v>JEANS CABALLERO CLASICO TALLA 30</v>
      </c>
      <c r="L557" s="1"/>
    </row>
    <row r="558">
      <c r="A558" s="55">
        <v>46186.0</v>
      </c>
      <c r="B558" s="4" t="s">
        <v>1078</v>
      </c>
      <c r="C558" s="4" t="s">
        <v>1059</v>
      </c>
      <c r="D558" s="4" t="s">
        <v>1080</v>
      </c>
      <c r="E558" s="4" t="s">
        <v>1386</v>
      </c>
      <c r="F558" s="4" t="s">
        <v>1062</v>
      </c>
      <c r="G558" s="60">
        <v>32.0</v>
      </c>
      <c r="H558" s="1" t="s">
        <v>476</v>
      </c>
      <c r="I558" s="1" t="str">
        <f>IFERROR(CONCATENATE(VLOOKUP(C558,PARAM!D:E,2,0),VLOOKUP(D558,PARAM!J:K,2,0),VLOOKUP(E558,PARAM!G:H,2,0),VLOOKUP(G558,PARAM!P:Q,2,0)),"")</f>
        <v>127814</v>
      </c>
      <c r="J558" s="1" t="str">
        <f>IFERROR(CONCATENATE("*",VLOOKUP(C558,PARAM!D:E,2,0),VLOOKUP(D558,PARAM!J:K,2,0),VLOOKUP(E558,PARAM!G:H,2,0),VLOOKUP(G558,PARAM!P:Q,2,0),"*"),"")</f>
        <v>*127814*</v>
      </c>
      <c r="K558" s="1" t="str">
        <f t="shared" si="1"/>
        <v>JEANS CABALLERO CLASICO TALLA 32</v>
      </c>
      <c r="L558" s="1"/>
    </row>
    <row r="559">
      <c r="A559" s="55">
        <v>46186.0</v>
      </c>
      <c r="B559" s="4" t="s">
        <v>1078</v>
      </c>
      <c r="C559" s="4" t="s">
        <v>1059</v>
      </c>
      <c r="D559" s="4" t="s">
        <v>1080</v>
      </c>
      <c r="E559" s="4" t="s">
        <v>1386</v>
      </c>
      <c r="F559" s="4" t="s">
        <v>1062</v>
      </c>
      <c r="G559" s="60">
        <v>34.0</v>
      </c>
      <c r="H559" s="1" t="s">
        <v>476</v>
      </c>
      <c r="I559" s="1" t="str">
        <f>IFERROR(CONCATENATE(VLOOKUP(C559,PARAM!D:E,2,0),VLOOKUP(D559,PARAM!J:K,2,0),VLOOKUP(E559,PARAM!G:H,2,0),VLOOKUP(G559,PARAM!P:Q,2,0)),"")</f>
        <v>127815</v>
      </c>
      <c r="J559" s="1" t="str">
        <f>IFERROR(CONCATENATE("*",VLOOKUP(C559,PARAM!D:E,2,0),VLOOKUP(D559,PARAM!J:K,2,0),VLOOKUP(E559,PARAM!G:H,2,0),VLOOKUP(G559,PARAM!P:Q,2,0),"*"),"")</f>
        <v>*127815*</v>
      </c>
      <c r="K559" s="1" t="str">
        <f t="shared" si="1"/>
        <v>JEANS CABALLERO CLASICO TALLA 34</v>
      </c>
      <c r="L559" s="1"/>
    </row>
    <row r="560">
      <c r="A560" s="55">
        <v>46186.0</v>
      </c>
      <c r="B560" s="4" t="s">
        <v>1078</v>
      </c>
      <c r="C560" s="4" t="s">
        <v>1059</v>
      </c>
      <c r="D560" s="4" t="s">
        <v>1080</v>
      </c>
      <c r="E560" s="4" t="s">
        <v>1386</v>
      </c>
      <c r="F560" s="4" t="s">
        <v>1062</v>
      </c>
      <c r="G560" s="60">
        <v>36.0</v>
      </c>
      <c r="H560" s="1" t="s">
        <v>476</v>
      </c>
      <c r="I560" s="1" t="str">
        <f>IFERROR(CONCATENATE(VLOOKUP(C560,PARAM!D:E,2,0),VLOOKUP(D560,PARAM!J:K,2,0),VLOOKUP(E560,PARAM!G:H,2,0),VLOOKUP(G560,PARAM!P:Q,2,0)),"")</f>
        <v>127816</v>
      </c>
      <c r="J560" s="1" t="str">
        <f>IFERROR(CONCATENATE("*",VLOOKUP(C560,PARAM!D:E,2,0),VLOOKUP(D560,PARAM!J:K,2,0),VLOOKUP(E560,PARAM!G:H,2,0),VLOOKUP(G560,PARAM!P:Q,2,0),"*"),"")</f>
        <v>*127816*</v>
      </c>
      <c r="K560" s="1" t="str">
        <f t="shared" si="1"/>
        <v>JEANS CABALLERO CLASICO TALLA 36</v>
      </c>
      <c r="L560" s="1"/>
    </row>
    <row r="561">
      <c r="A561" s="55">
        <v>46186.0</v>
      </c>
      <c r="B561" s="4" t="s">
        <v>1078</v>
      </c>
      <c r="C561" s="4" t="s">
        <v>1059</v>
      </c>
      <c r="D561" s="4" t="s">
        <v>1080</v>
      </c>
      <c r="E561" s="4" t="s">
        <v>1386</v>
      </c>
      <c r="F561" s="4" t="s">
        <v>1066</v>
      </c>
      <c r="G561" s="60">
        <v>28.0</v>
      </c>
      <c r="H561" s="1" t="s">
        <v>476</v>
      </c>
      <c r="I561" s="1" t="str">
        <f>IFERROR(CONCATENATE(VLOOKUP(C561,PARAM!D:E,2,0),VLOOKUP(D561,PARAM!J:K,2,0),VLOOKUP(E561,PARAM!G:H,2,0),VLOOKUP(G561,PARAM!P:Q,2,0)),"")</f>
        <v>127812</v>
      </c>
      <c r="J561" s="1" t="str">
        <f>IFERROR(CONCATENATE("*",VLOOKUP(C561,PARAM!D:E,2,0),VLOOKUP(D561,PARAM!J:K,2,0),VLOOKUP(E561,PARAM!G:H,2,0),VLOOKUP(G561,PARAM!P:Q,2,0),"*"),"")</f>
        <v>*127812*</v>
      </c>
      <c r="K561" s="1" t="str">
        <f t="shared" si="1"/>
        <v>JEANS CABALLERO CLASICO TALLA 28</v>
      </c>
      <c r="L561" s="1"/>
    </row>
    <row r="562">
      <c r="A562" s="55">
        <v>46186.0</v>
      </c>
      <c r="B562" s="4" t="s">
        <v>1078</v>
      </c>
      <c r="C562" s="4" t="s">
        <v>1059</v>
      </c>
      <c r="D562" s="4" t="s">
        <v>1080</v>
      </c>
      <c r="E562" s="4" t="s">
        <v>1386</v>
      </c>
      <c r="F562" s="4" t="s">
        <v>1066</v>
      </c>
      <c r="G562" s="60">
        <v>30.0</v>
      </c>
      <c r="H562" s="1" t="s">
        <v>476</v>
      </c>
      <c r="I562" s="1" t="str">
        <f>IFERROR(CONCATENATE(VLOOKUP(C562,PARAM!D:E,2,0),VLOOKUP(D562,PARAM!J:K,2,0),VLOOKUP(E562,PARAM!G:H,2,0),VLOOKUP(G562,PARAM!P:Q,2,0)),"")</f>
        <v>127813</v>
      </c>
      <c r="J562" s="1" t="str">
        <f>IFERROR(CONCATENATE("*",VLOOKUP(C562,PARAM!D:E,2,0),VLOOKUP(D562,PARAM!J:K,2,0),VLOOKUP(E562,PARAM!G:H,2,0),VLOOKUP(G562,PARAM!P:Q,2,0),"*"),"")</f>
        <v>*127813*</v>
      </c>
      <c r="K562" s="1" t="str">
        <f t="shared" si="1"/>
        <v>JEANS CABALLERO CLASICO TALLA 30</v>
      </c>
      <c r="L562" s="1"/>
    </row>
    <row r="563">
      <c r="A563" s="55">
        <v>46186.0</v>
      </c>
      <c r="B563" s="4" t="s">
        <v>1078</v>
      </c>
      <c r="C563" s="4" t="s">
        <v>1059</v>
      </c>
      <c r="D563" s="4" t="s">
        <v>1080</v>
      </c>
      <c r="E563" s="4" t="s">
        <v>1386</v>
      </c>
      <c r="F563" s="4" t="s">
        <v>1066</v>
      </c>
      <c r="G563" s="60">
        <v>32.0</v>
      </c>
      <c r="H563" s="1" t="s">
        <v>476</v>
      </c>
      <c r="I563" s="1" t="str">
        <f>IFERROR(CONCATENATE(VLOOKUP(C563,PARAM!D:E,2,0),VLOOKUP(D563,PARAM!J:K,2,0),VLOOKUP(E563,PARAM!G:H,2,0),VLOOKUP(G563,PARAM!P:Q,2,0)),"")</f>
        <v>127814</v>
      </c>
      <c r="J563" s="1" t="str">
        <f>IFERROR(CONCATENATE("*",VLOOKUP(C563,PARAM!D:E,2,0),VLOOKUP(D563,PARAM!J:K,2,0),VLOOKUP(E563,PARAM!G:H,2,0),VLOOKUP(G563,PARAM!P:Q,2,0),"*"),"")</f>
        <v>*127814*</v>
      </c>
      <c r="K563" s="1" t="str">
        <f t="shared" si="1"/>
        <v>JEANS CABALLERO CLASICO TALLA 32</v>
      </c>
      <c r="L563" s="1"/>
    </row>
    <row r="564">
      <c r="A564" s="55">
        <v>46186.0</v>
      </c>
      <c r="B564" s="4" t="s">
        <v>1078</v>
      </c>
      <c r="C564" s="4" t="s">
        <v>1059</v>
      </c>
      <c r="D564" s="4" t="s">
        <v>1080</v>
      </c>
      <c r="E564" s="4" t="s">
        <v>1386</v>
      </c>
      <c r="F564" s="4" t="s">
        <v>1066</v>
      </c>
      <c r="G564" s="60">
        <v>34.0</v>
      </c>
      <c r="H564" s="1" t="s">
        <v>476</v>
      </c>
      <c r="I564" s="1" t="str">
        <f>IFERROR(CONCATENATE(VLOOKUP(C564,PARAM!D:E,2,0),VLOOKUP(D564,PARAM!J:K,2,0),VLOOKUP(E564,PARAM!G:H,2,0),VLOOKUP(G564,PARAM!P:Q,2,0)),"")</f>
        <v>127815</v>
      </c>
      <c r="J564" s="1" t="str">
        <f>IFERROR(CONCATENATE("*",VLOOKUP(C564,PARAM!D:E,2,0),VLOOKUP(D564,PARAM!J:K,2,0),VLOOKUP(E564,PARAM!G:H,2,0),VLOOKUP(G564,PARAM!P:Q,2,0),"*"),"")</f>
        <v>*127815*</v>
      </c>
      <c r="K564" s="1" t="str">
        <f t="shared" si="1"/>
        <v>JEANS CABALLERO CLASICO TALLA 34</v>
      </c>
      <c r="L564" s="1"/>
    </row>
    <row r="565">
      <c r="A565" s="55">
        <v>46186.0</v>
      </c>
      <c r="B565" s="4" t="s">
        <v>1078</v>
      </c>
      <c r="C565" s="4" t="s">
        <v>1059</v>
      </c>
      <c r="D565" s="4" t="s">
        <v>1080</v>
      </c>
      <c r="E565" s="4" t="s">
        <v>1386</v>
      </c>
      <c r="F565" s="4" t="s">
        <v>1066</v>
      </c>
      <c r="G565" s="60">
        <v>36.0</v>
      </c>
      <c r="H565" s="1" t="s">
        <v>476</v>
      </c>
      <c r="I565" s="1" t="str">
        <f>IFERROR(CONCATENATE(VLOOKUP(C565,PARAM!D:E,2,0),VLOOKUP(D565,PARAM!J:K,2,0),VLOOKUP(E565,PARAM!G:H,2,0),VLOOKUP(G565,PARAM!P:Q,2,0)),"")</f>
        <v>127816</v>
      </c>
      <c r="J565" s="1" t="str">
        <f>IFERROR(CONCATENATE("*",VLOOKUP(C565,PARAM!D:E,2,0),VLOOKUP(D565,PARAM!J:K,2,0),VLOOKUP(E565,PARAM!G:H,2,0),VLOOKUP(G565,PARAM!P:Q,2,0),"*"),"")</f>
        <v>*127816*</v>
      </c>
      <c r="K565" s="1" t="str">
        <f t="shared" si="1"/>
        <v>JEANS CABALLERO CLASICO TALLA 36</v>
      </c>
      <c r="L565" s="1"/>
    </row>
    <row r="566">
      <c r="A566" s="55">
        <v>46186.0</v>
      </c>
      <c r="B566" s="4" t="s">
        <v>427</v>
      </c>
      <c r="C566" s="4" t="s">
        <v>1387</v>
      </c>
      <c r="D566" s="4" t="s">
        <v>1060</v>
      </c>
      <c r="E566" s="1" t="s">
        <v>1388</v>
      </c>
      <c r="F566" s="4" t="s">
        <v>1069</v>
      </c>
      <c r="G566" s="60" t="s">
        <v>503</v>
      </c>
      <c r="H566" s="1" t="s">
        <v>1006</v>
      </c>
      <c r="I566" s="1" t="str">
        <f>IFERROR(CONCATENATE(VLOOKUP(C566,PARAM!D:E,2,0),VLOOKUP(D566,PARAM!J:K,2,0),VLOOKUP(E566,PARAM!G:H,2,0),VLOOKUP(G566,PARAM!P:Q,2,0)),"")</f>
        <v>5611930</v>
      </c>
      <c r="J566" s="1" t="str">
        <f>IFERROR(CONCATENATE("*",VLOOKUP(C566,PARAM!D:E,2,0),VLOOKUP(D566,PARAM!J:K,2,0),VLOOKUP(E566,PARAM!G:H,2,0),VLOOKUP(G566,PARAM!P:Q,2,0),"*"),"")</f>
        <v>*5611930*</v>
      </c>
      <c r="K566" s="1" t="str">
        <f t="shared" si="1"/>
        <v>MOÑOS DAMA MOÑOS COLOMBIA</v>
      </c>
      <c r="L566" s="1"/>
    </row>
    <row r="567">
      <c r="A567" s="55">
        <v>46186.0</v>
      </c>
      <c r="B567" s="4" t="s">
        <v>427</v>
      </c>
      <c r="C567" s="4" t="s">
        <v>1389</v>
      </c>
      <c r="D567" s="4" t="s">
        <v>1060</v>
      </c>
      <c r="E567" s="1" t="s">
        <v>1390</v>
      </c>
      <c r="F567" s="4" t="s">
        <v>1069</v>
      </c>
      <c r="G567" s="60" t="s">
        <v>503</v>
      </c>
      <c r="H567" s="1" t="s">
        <v>1006</v>
      </c>
      <c r="I567" s="1" t="str">
        <f>IFERROR(CONCATENATE(VLOOKUP(C567,PARAM!D:E,2,0),VLOOKUP(D567,PARAM!J:K,2,0),VLOOKUP(E567,PARAM!G:H,2,0),VLOOKUP(G567,PARAM!P:Q,2,0)),"")</f>
        <v>5711200</v>
      </c>
      <c r="J567" s="1" t="str">
        <f>IFERROR(CONCATENATE("*",VLOOKUP(C567,PARAM!D:E,2,0),VLOOKUP(D567,PARAM!J:K,2,0),VLOOKUP(E567,PARAM!G:H,2,0),VLOOKUP(G567,PARAM!P:Q,2,0),"*"),"")</f>
        <v>*5711200*</v>
      </c>
      <c r="K567" s="1" t="str">
        <f t="shared" si="1"/>
        <v>ENCRESPADOR DAMA DOS COLORES</v>
      </c>
      <c r="L567" s="1"/>
    </row>
    <row r="568">
      <c r="A568" s="55">
        <v>46186.0</v>
      </c>
      <c r="B568" s="4" t="s">
        <v>427</v>
      </c>
      <c r="C568" s="4" t="s">
        <v>1389</v>
      </c>
      <c r="D568" s="4" t="s">
        <v>1060</v>
      </c>
      <c r="E568" s="1" t="s">
        <v>1391</v>
      </c>
      <c r="F568" s="4" t="s">
        <v>1069</v>
      </c>
      <c r="G568" s="60" t="s">
        <v>503</v>
      </c>
      <c r="H568" s="1" t="s">
        <v>1006</v>
      </c>
      <c r="I568" s="1" t="str">
        <f>IFERROR(CONCATENATE(VLOOKUP(C568,PARAM!D:E,2,0),VLOOKUP(D568,PARAM!J:K,2,0),VLOOKUP(E568,PARAM!G:H,2,0),VLOOKUP(G568,PARAM!P:Q,2,0)),"")</f>
        <v>571950</v>
      </c>
      <c r="J568" s="1" t="str">
        <f>IFERROR(CONCATENATE("*",VLOOKUP(C568,PARAM!D:E,2,0),VLOOKUP(D568,PARAM!J:K,2,0),VLOOKUP(E568,PARAM!G:H,2,0),VLOOKUP(G568,PARAM!P:Q,2,0),"*"),"")</f>
        <v>*571950*</v>
      </c>
      <c r="K568" s="1" t="str">
        <f t="shared" si="1"/>
        <v>ENCRESPADOR DAMA CON SIRENA</v>
      </c>
      <c r="L568" s="1"/>
    </row>
    <row r="569">
      <c r="A569" s="55">
        <v>46186.0</v>
      </c>
      <c r="B569" s="4" t="s">
        <v>427</v>
      </c>
      <c r="C569" s="4" t="s">
        <v>1389</v>
      </c>
      <c r="D569" s="4" t="s">
        <v>1060</v>
      </c>
      <c r="E569" s="1" t="s">
        <v>1392</v>
      </c>
      <c r="F569" s="4" t="s">
        <v>1069</v>
      </c>
      <c r="G569" s="60" t="s">
        <v>503</v>
      </c>
      <c r="H569" s="1" t="s">
        <v>1006</v>
      </c>
      <c r="I569" s="1" t="str">
        <f>IFERROR(CONCATENATE(VLOOKUP(C569,PARAM!D:E,2,0),VLOOKUP(D569,PARAM!J:K,2,0),VLOOKUP(E569,PARAM!G:H,2,0),VLOOKUP(G569,PARAM!P:Q,2,0)),"")</f>
        <v>5712080</v>
      </c>
      <c r="J569" s="1" t="str">
        <f>IFERROR(CONCATENATE("*",VLOOKUP(C569,PARAM!D:E,2,0),VLOOKUP(D569,PARAM!J:K,2,0),VLOOKUP(E569,PARAM!G:H,2,0),VLOOKUP(G569,PARAM!P:Q,2,0),"*"),"")</f>
        <v>*5712080*</v>
      </c>
      <c r="K569" s="1" t="str">
        <f t="shared" si="1"/>
        <v>ENCRESPADOR DAMA PEPITAS BRILLANTES</v>
      </c>
      <c r="L569" s="1"/>
    </row>
    <row r="570">
      <c r="A570" s="55">
        <v>46186.0</v>
      </c>
      <c r="B570" s="4" t="s">
        <v>427</v>
      </c>
      <c r="C570" s="4" t="s">
        <v>1393</v>
      </c>
      <c r="D570" s="4" t="s">
        <v>1060</v>
      </c>
      <c r="E570" s="1" t="s">
        <v>1393</v>
      </c>
      <c r="F570" s="4" t="s">
        <v>1069</v>
      </c>
      <c r="G570" s="60" t="s">
        <v>503</v>
      </c>
      <c r="H570" s="1" t="s">
        <v>1006</v>
      </c>
      <c r="I570" s="1" t="str">
        <f>IFERROR(CONCATENATE(VLOOKUP(C570,PARAM!D:E,2,0),VLOOKUP(D570,PARAM!J:K,2,0),VLOOKUP(E570,PARAM!G:H,2,0),VLOOKUP(G570,PARAM!P:Q,2,0)),"")</f>
        <v>5812060</v>
      </c>
      <c r="J570" s="1" t="str">
        <f>IFERROR(CONCATENATE("*",VLOOKUP(C570,PARAM!D:E,2,0),VLOOKUP(D570,PARAM!J:K,2,0),VLOOKUP(E570,PARAM!G:H,2,0),VLOOKUP(G570,PARAM!P:Q,2,0),"*"),"")</f>
        <v>*5812060*</v>
      </c>
      <c r="K570" s="1" t="str">
        <f t="shared" si="1"/>
        <v>PAQUETE CAUCHOS DAMA PAQUETE CAUCHOS</v>
      </c>
      <c r="L570" s="1"/>
    </row>
    <row r="571">
      <c r="A571" s="55">
        <v>46186.0</v>
      </c>
      <c r="B571" s="4" t="s">
        <v>427</v>
      </c>
      <c r="C571" s="4" t="s">
        <v>1269</v>
      </c>
      <c r="D571" s="4" t="s">
        <v>1060</v>
      </c>
      <c r="E571" s="1" t="s">
        <v>1394</v>
      </c>
      <c r="F571" s="4" t="s">
        <v>1069</v>
      </c>
      <c r="G571" s="60" t="s">
        <v>503</v>
      </c>
      <c r="H571" s="1" t="s">
        <v>1006</v>
      </c>
      <c r="I571" s="1" t="str">
        <f>IFERROR(CONCATENATE(VLOOKUP(C571,PARAM!D:E,2,0),VLOOKUP(D571,PARAM!J:K,2,0),VLOOKUP(E571,PARAM!G:H,2,0),VLOOKUP(G571,PARAM!P:Q,2,0)),"")</f>
        <v>3111110</v>
      </c>
      <c r="J571" s="1" t="str">
        <f>IFERROR(CONCATENATE("*",VLOOKUP(C571,PARAM!D:E,2,0),VLOOKUP(D571,PARAM!J:K,2,0),VLOOKUP(E571,PARAM!G:H,2,0),VLOOKUP(G571,PARAM!P:Q,2,0),"*"),"")</f>
        <v>*3111110*</v>
      </c>
      <c r="K571" s="1" t="str">
        <f t="shared" si="1"/>
        <v>PULSERAS DAMA DE COLOMBIA</v>
      </c>
      <c r="L571" s="1"/>
    </row>
    <row r="572">
      <c r="A572" s="55">
        <v>46186.0</v>
      </c>
      <c r="B572" s="4" t="s">
        <v>427</v>
      </c>
      <c r="C572" s="4" t="s">
        <v>1395</v>
      </c>
      <c r="D572" s="4" t="s">
        <v>1060</v>
      </c>
      <c r="E572" s="1" t="s">
        <v>1396</v>
      </c>
      <c r="F572" s="4" t="s">
        <v>1069</v>
      </c>
      <c r="G572" s="60" t="s">
        <v>503</v>
      </c>
      <c r="H572" s="1" t="s">
        <v>1006</v>
      </c>
      <c r="I572" s="1" t="str">
        <f>IFERROR(CONCATENATE(VLOOKUP(C572,PARAM!D:E,2,0),VLOOKUP(D572,PARAM!J:K,2,0),VLOOKUP(E572,PARAM!G:H,2,0),VLOOKUP(G572,PARAM!P:Q,2,0)),"")</f>
        <v>591550</v>
      </c>
      <c r="J572" s="1" t="str">
        <f>IFERROR(CONCATENATE("*",VLOOKUP(C572,PARAM!D:E,2,0),VLOOKUP(D572,PARAM!J:K,2,0),VLOOKUP(E572,PARAM!G:H,2,0),VLOOKUP(G572,PARAM!P:Q,2,0),"*"),"")</f>
        <v>*591550*</v>
      </c>
      <c r="K572" s="1" t="str">
        <f t="shared" si="1"/>
        <v>CAIMAN DAMA BRONCE CAIMAN</v>
      </c>
      <c r="L572" s="1"/>
    </row>
    <row r="573">
      <c r="A573" s="55">
        <v>46186.0</v>
      </c>
      <c r="B573" s="4" t="s">
        <v>427</v>
      </c>
      <c r="C573" s="4" t="s">
        <v>1397</v>
      </c>
      <c r="D573" s="4" t="s">
        <v>1060</v>
      </c>
      <c r="E573" s="1" t="s">
        <v>1398</v>
      </c>
      <c r="F573" s="4" t="s">
        <v>1069</v>
      </c>
      <c r="G573" s="60" t="s">
        <v>503</v>
      </c>
      <c r="H573" s="1" t="s">
        <v>1006</v>
      </c>
      <c r="I573" s="1" t="str">
        <f>IFERROR(CONCATENATE(VLOOKUP(C573,PARAM!D:E,2,0),VLOOKUP(D573,PARAM!J:K,2,0),VLOOKUP(E573,PARAM!G:H,2,0),VLOOKUP(G573,PARAM!P:Q,2,0)),"")</f>
        <v>6011030</v>
      </c>
      <c r="J573" s="1" t="str">
        <f>IFERROR(CONCATENATE("*",VLOOKUP(C573,PARAM!D:E,2,0),VLOOKUP(D573,PARAM!J:K,2,0),VLOOKUP(E573,PARAM!G:H,2,0),VLOOKUP(G573,PARAM!P:Q,2,0),"*"),"")</f>
        <v>*6011030*</v>
      </c>
      <c r="K573" s="1" t="str">
        <f t="shared" si="1"/>
        <v>COSMETIQUERA DAMA COSMETIQUERA COLORES</v>
      </c>
      <c r="L573" s="1"/>
    </row>
    <row r="574">
      <c r="A574" s="55">
        <v>46186.0</v>
      </c>
      <c r="B574" s="4" t="s">
        <v>427</v>
      </c>
      <c r="C574" s="4" t="s">
        <v>1399</v>
      </c>
      <c r="D574" s="4" t="s">
        <v>1060</v>
      </c>
      <c r="E574" s="1" t="s">
        <v>1400</v>
      </c>
      <c r="F574" s="4" t="s">
        <v>1069</v>
      </c>
      <c r="G574" s="60" t="s">
        <v>503</v>
      </c>
      <c r="H574" s="1" t="s">
        <v>1006</v>
      </c>
      <c r="I574" s="1" t="str">
        <f>IFERROR(CONCATENATE(VLOOKUP(C574,PARAM!D:E,2,0),VLOOKUP(D574,PARAM!J:K,2,0),VLOOKUP(E574,PARAM!G:H,2,0),VLOOKUP(G574,PARAM!P:Q,2,0)),"")</f>
        <v>611410</v>
      </c>
      <c r="J574" s="1" t="str">
        <f>IFERROR(CONCATENATE("*",VLOOKUP(C574,PARAM!D:E,2,0),VLOOKUP(D574,PARAM!J:K,2,0),VLOOKUP(E574,PARAM!G:H,2,0),VLOOKUP(G574,PARAM!P:Q,2,0),"*"),"")</f>
        <v>*611410*</v>
      </c>
      <c r="K574" s="1" t="str">
        <f t="shared" si="1"/>
        <v>BALACA DAMA BALACA TELA</v>
      </c>
      <c r="L574" s="1"/>
    </row>
    <row r="575">
      <c r="A575" s="55">
        <v>46186.0</v>
      </c>
      <c r="B575" s="4" t="s">
        <v>427</v>
      </c>
      <c r="C575" s="4" t="s">
        <v>1097</v>
      </c>
      <c r="D575" s="4" t="s">
        <v>1060</v>
      </c>
      <c r="E575" s="1" t="s">
        <v>1401</v>
      </c>
      <c r="F575" s="4" t="s">
        <v>1069</v>
      </c>
      <c r="G575" s="60" t="s">
        <v>503</v>
      </c>
      <c r="H575" s="1" t="s">
        <v>1006</v>
      </c>
      <c r="I575" s="1" t="str">
        <f>IFERROR(CONCATENATE(VLOOKUP(C575,PARAM!D:E,2,0),VLOOKUP(D575,PARAM!J:K,2,0),VLOOKUP(E575,PARAM!G:H,2,0),VLOOKUP(G575,PARAM!P:Q,2,0)),"")</f>
        <v>471590</v>
      </c>
      <c r="J575" s="1" t="str">
        <f>IFERROR(CONCATENATE("*",VLOOKUP(C575,PARAM!D:E,2,0),VLOOKUP(D575,PARAM!J:K,2,0),VLOOKUP(E575,PARAM!G:H,2,0),VLOOKUP(G575,PARAM!P:Q,2,0),"*"),"")</f>
        <v>*471590*</v>
      </c>
      <c r="K575" s="1" t="str">
        <f t="shared" si="1"/>
        <v>BRILLO DAMA CAJA GRIS</v>
      </c>
      <c r="L575" s="1"/>
    </row>
    <row r="576">
      <c r="A576" s="55">
        <v>46186.0</v>
      </c>
      <c r="B576" s="4" t="s">
        <v>427</v>
      </c>
      <c r="C576" s="4" t="s">
        <v>1402</v>
      </c>
      <c r="D576" s="4" t="s">
        <v>1060</v>
      </c>
      <c r="E576" s="1" t="s">
        <v>1403</v>
      </c>
      <c r="F576" s="4" t="s">
        <v>1069</v>
      </c>
      <c r="G576" s="60" t="s">
        <v>503</v>
      </c>
      <c r="H576" s="1" t="s">
        <v>1006</v>
      </c>
      <c r="I576" s="1" t="str">
        <f>IFERROR(CONCATENATE(VLOOKUP(C576,PARAM!D:E,2,0),VLOOKUP(D576,PARAM!J:K,2,0),VLOOKUP(E576,PARAM!G:H,2,0),VLOOKUP(G576,PARAM!P:Q,2,0)),"")</f>
        <v>6211410</v>
      </c>
      <c r="J576" s="1" t="str">
        <f>IFERROR(CONCATENATE("*",VLOOKUP(C576,PARAM!D:E,2,0),VLOOKUP(D576,PARAM!J:K,2,0),VLOOKUP(E576,PARAM!G:H,2,0),VLOOKUP(G576,PARAM!P:Q,2,0),"*"),"")</f>
        <v>*6211410*</v>
      </c>
      <c r="K576" s="1" t="str">
        <f t="shared" si="1"/>
        <v>HEBILLA DAMA HEBILLA ESTRELLA</v>
      </c>
      <c r="L576" s="1"/>
    </row>
    <row r="577">
      <c r="A577" s="55">
        <v>46186.0</v>
      </c>
      <c r="B577" s="4" t="s">
        <v>427</v>
      </c>
      <c r="C577" s="4" t="s">
        <v>1404</v>
      </c>
      <c r="D577" s="4" t="s">
        <v>1060</v>
      </c>
      <c r="E577" s="1" t="s">
        <v>1405</v>
      </c>
      <c r="F577" s="4" t="s">
        <v>1069</v>
      </c>
      <c r="G577" s="60" t="s">
        <v>503</v>
      </c>
      <c r="H577" s="1" t="s">
        <v>1006</v>
      </c>
      <c r="I577" s="1" t="str">
        <f>IFERROR(CONCATENATE(VLOOKUP(C577,PARAM!D:E,2,0),VLOOKUP(D577,PARAM!J:K,2,0),VLOOKUP(E577,PARAM!G:H,2,0),VLOOKUP(G577,PARAM!P:Q,2,0)),"")</f>
        <v>631420</v>
      </c>
      <c r="J577" s="1" t="str">
        <f>IFERROR(CONCATENATE("*",VLOOKUP(C577,PARAM!D:E,2,0),VLOOKUP(D577,PARAM!J:K,2,0),VLOOKUP(E577,PARAM!G:H,2,0),VLOOKUP(G577,PARAM!P:Q,2,0),"*"),"")</f>
        <v>*631420*</v>
      </c>
      <c r="K577" s="1" t="str">
        <f t="shared" si="1"/>
        <v>BAMBA DAMA BAMBA SATIN</v>
      </c>
      <c r="L577" s="1"/>
    </row>
    <row r="578">
      <c r="A578" s="55">
        <v>46186.0</v>
      </c>
      <c r="B578" s="4" t="s">
        <v>427</v>
      </c>
      <c r="C578" s="4" t="s">
        <v>1097</v>
      </c>
      <c r="D578" s="4" t="s">
        <v>1060</v>
      </c>
      <c r="E578" s="1" t="s">
        <v>1406</v>
      </c>
      <c r="F578" s="4" t="s">
        <v>1069</v>
      </c>
      <c r="G578" s="60" t="s">
        <v>503</v>
      </c>
      <c r="H578" s="1" t="s">
        <v>1006</v>
      </c>
      <c r="I578" s="1" t="str">
        <f>IFERROR(CONCATENATE(VLOOKUP(C578,PARAM!D:E,2,0),VLOOKUP(D578,PARAM!J:K,2,0),VLOOKUP(E578,PARAM!G:H,2,0),VLOOKUP(G578,PARAM!P:Q,2,0)),"")</f>
        <v>4712570</v>
      </c>
      <c r="J578" s="1" t="str">
        <f>IFERROR(CONCATENATE("*",VLOOKUP(C578,PARAM!D:E,2,0),VLOOKUP(D578,PARAM!J:K,2,0),VLOOKUP(E578,PARAM!G:H,2,0),VLOOKUP(G578,PARAM!P:Q,2,0),"*"),"")</f>
        <v>*4712570*</v>
      </c>
      <c r="K578" s="1" t="str">
        <f t="shared" si="1"/>
        <v>BRILLO DAMA TAPA CONCHA</v>
      </c>
      <c r="L578" s="1"/>
    </row>
    <row r="579">
      <c r="A579" s="55">
        <v>46186.0</v>
      </c>
      <c r="B579" s="4" t="s">
        <v>427</v>
      </c>
      <c r="C579" s="4" t="s">
        <v>1407</v>
      </c>
      <c r="D579" s="4" t="s">
        <v>1060</v>
      </c>
      <c r="E579" s="1" t="s">
        <v>1408</v>
      </c>
      <c r="F579" s="4" t="s">
        <v>1069</v>
      </c>
      <c r="G579" s="60" t="s">
        <v>503</v>
      </c>
      <c r="H579" s="1" t="s">
        <v>1006</v>
      </c>
      <c r="I579" s="1" t="str">
        <f>IFERROR(CONCATENATE(VLOOKUP(C579,PARAM!D:E,2,0),VLOOKUP(D579,PARAM!J:K,2,0),VLOOKUP(E579,PARAM!G:H,2,0),VLOOKUP(G579,PARAM!P:Q,2,0)),"")</f>
        <v>6412450</v>
      </c>
      <c r="J579" s="1" t="str">
        <f>IFERROR(CONCATENATE("*",VLOOKUP(C579,PARAM!D:E,2,0),VLOOKUP(D579,PARAM!J:K,2,0),VLOOKUP(E579,PARAM!G:H,2,0),VLOOKUP(G579,PARAM!P:Q,2,0),"*"),"")</f>
        <v>*6412450*</v>
      </c>
      <c r="K579" s="1" t="str">
        <f t="shared" si="1"/>
        <v>RUBOR DAMA RUBOR RIMOCOO</v>
      </c>
      <c r="L579" s="1"/>
    </row>
    <row r="580">
      <c r="A580" s="55">
        <v>46186.0</v>
      </c>
      <c r="B580" s="4" t="s">
        <v>427</v>
      </c>
      <c r="C580" s="4" t="s">
        <v>1409</v>
      </c>
      <c r="D580" s="4" t="s">
        <v>1060</v>
      </c>
      <c r="E580" s="1" t="s">
        <v>1410</v>
      </c>
      <c r="F580" s="4" t="s">
        <v>1069</v>
      </c>
      <c r="G580" s="60" t="s">
        <v>503</v>
      </c>
      <c r="H580" s="1" t="s">
        <v>1006</v>
      </c>
      <c r="I580" s="1" t="str">
        <f>IFERROR(CONCATENATE(VLOOKUP(C580,PARAM!D:E,2,0),VLOOKUP(D580,PARAM!J:K,2,0),VLOOKUP(E580,PARAM!G:H,2,0),VLOOKUP(G580,PARAM!P:Q,2,0)),"")</f>
        <v>6512530</v>
      </c>
      <c r="J580" s="1" t="str">
        <f>IFERROR(CONCATENATE("*",VLOOKUP(C580,PARAM!D:E,2,0),VLOOKUP(D580,PARAM!J:K,2,0),VLOOKUP(E580,PARAM!G:H,2,0),VLOOKUP(G580,PARAM!P:Q,2,0),"*"),"")</f>
        <v>*6512530*</v>
      </c>
      <c r="K580" s="1" t="str">
        <f t="shared" si="1"/>
        <v>SOMBRA DAMA SOMBRA BIGCAKE</v>
      </c>
      <c r="L580" s="1"/>
    </row>
    <row r="581">
      <c r="A581" s="55">
        <v>46186.0</v>
      </c>
      <c r="B581" s="4" t="s">
        <v>427</v>
      </c>
      <c r="C581" s="4" t="s">
        <v>1409</v>
      </c>
      <c r="D581" s="4" t="s">
        <v>1060</v>
      </c>
      <c r="E581" s="1" t="s">
        <v>1411</v>
      </c>
      <c r="F581" s="4" t="s">
        <v>1069</v>
      </c>
      <c r="G581" s="60" t="s">
        <v>503</v>
      </c>
      <c r="H581" s="1" t="s">
        <v>1006</v>
      </c>
      <c r="I581" s="1" t="str">
        <f>IFERROR(CONCATENATE(VLOOKUP(C581,PARAM!D:E,2,0),VLOOKUP(D581,PARAM!J:K,2,0),VLOOKUP(E581,PARAM!G:H,2,0),VLOOKUP(G581,PARAM!P:Q,2,0)),"")</f>
        <v>6511190</v>
      </c>
      <c r="J581" s="1" t="str">
        <f>IFERROR(CONCATENATE("*",VLOOKUP(C581,PARAM!D:E,2,0),VLOOKUP(D581,PARAM!J:K,2,0),VLOOKUP(E581,PARAM!G:H,2,0),VLOOKUP(G581,PARAM!P:Q,2,0),"*"),"")</f>
        <v>*6511190*</v>
      </c>
      <c r="K581" s="1" t="str">
        <f t="shared" si="1"/>
        <v>SOMBRA DAMA DIY BEAR</v>
      </c>
      <c r="L581" s="1"/>
    </row>
    <row r="582">
      <c r="A582" s="55">
        <v>46186.0</v>
      </c>
      <c r="B582" s="4" t="s">
        <v>427</v>
      </c>
      <c r="C582" s="4" t="s">
        <v>1097</v>
      </c>
      <c r="D582" s="4" t="s">
        <v>1060</v>
      </c>
      <c r="E582" s="1" t="s">
        <v>1412</v>
      </c>
      <c r="F582" s="4" t="s">
        <v>1069</v>
      </c>
      <c r="G582" s="60" t="s">
        <v>503</v>
      </c>
      <c r="H582" s="1" t="s">
        <v>1006</v>
      </c>
      <c r="I582" s="1" t="str">
        <f>IFERROR(CONCATENATE(VLOOKUP(C582,PARAM!D:E,2,0),VLOOKUP(D582,PARAM!J:K,2,0),VLOOKUP(E582,PARAM!G:H,2,0),VLOOKUP(G582,PARAM!P:Q,2,0)),"")</f>
        <v>4711100</v>
      </c>
      <c r="J582" s="1" t="str">
        <f>IFERROR(CONCATENATE("*",VLOOKUP(C582,PARAM!D:E,2,0),VLOOKUP(D582,PARAM!J:K,2,0),VLOOKUP(E582,PARAM!G:H,2,0),VLOOKUP(G582,PARAM!P:Q,2,0),"*"),"")</f>
        <v>*4711100*</v>
      </c>
      <c r="K582" s="1" t="str">
        <f t="shared" si="1"/>
        <v>BRILLO DAMA CUTE RABBIT</v>
      </c>
      <c r="L582" s="1"/>
    </row>
    <row r="583">
      <c r="A583" s="55">
        <v>46186.0</v>
      </c>
      <c r="B583" s="4" t="s">
        <v>427</v>
      </c>
      <c r="C583" s="4" t="s">
        <v>1409</v>
      </c>
      <c r="D583" s="4" t="s">
        <v>1060</v>
      </c>
      <c r="E583" s="1" t="s">
        <v>1413</v>
      </c>
      <c r="F583" s="4" t="s">
        <v>1069</v>
      </c>
      <c r="G583" s="60" t="s">
        <v>503</v>
      </c>
      <c r="H583" s="1" t="s">
        <v>1006</v>
      </c>
      <c r="I583" s="1" t="str">
        <f>IFERROR(CONCATENATE(VLOOKUP(C583,PARAM!D:E,2,0),VLOOKUP(D583,PARAM!J:K,2,0),VLOOKUP(E583,PARAM!G:H,2,0),VLOOKUP(G583,PARAM!P:Q,2,0)),"")</f>
        <v>6511380</v>
      </c>
      <c r="J583" s="1" t="str">
        <f>IFERROR(CONCATENATE("*",VLOOKUP(C583,PARAM!D:E,2,0),VLOOKUP(D583,PARAM!J:K,2,0),VLOOKUP(E583,PARAM!G:H,2,0),VLOOKUP(G583,PARAM!P:Q,2,0),"*"),"")</f>
        <v>*6511380*</v>
      </c>
      <c r="K583" s="1" t="str">
        <f t="shared" si="1"/>
        <v>SOMBRA DAMA GIRL POWER - DELICIUS CHEESE</v>
      </c>
      <c r="L583" s="1"/>
    </row>
    <row r="584">
      <c r="A584" s="55">
        <v>46186.0</v>
      </c>
      <c r="B584" s="4" t="s">
        <v>427</v>
      </c>
      <c r="C584" s="4" t="s">
        <v>1395</v>
      </c>
      <c r="D584" s="4" t="s">
        <v>1060</v>
      </c>
      <c r="E584" s="1" t="s">
        <v>1414</v>
      </c>
      <c r="F584" s="4" t="s">
        <v>1069</v>
      </c>
      <c r="G584" s="60" t="s">
        <v>503</v>
      </c>
      <c r="H584" s="1" t="s">
        <v>1006</v>
      </c>
      <c r="I584" s="1" t="str">
        <f>IFERROR(CONCATENATE(VLOOKUP(C584,PARAM!D:E,2,0),VLOOKUP(D584,PARAM!J:K,2,0),VLOOKUP(E584,PARAM!G:H,2,0),VLOOKUP(G584,PARAM!P:Q,2,0)),"")</f>
        <v>591580</v>
      </c>
      <c r="J584" s="1" t="str">
        <f>IFERROR(CONCATENATE("*",VLOOKUP(C584,PARAM!D:E,2,0),VLOOKUP(D584,PARAM!J:K,2,0),VLOOKUP(E584,PARAM!G:H,2,0),VLOOKUP(G584,PARAM!P:Q,2,0),"*"),"")</f>
        <v>*591580*</v>
      </c>
      <c r="K584" s="1" t="str">
        <f t="shared" si="1"/>
        <v>CAIMAN DAMA CAIMAN BRILLO</v>
      </c>
      <c r="L584" s="1"/>
    </row>
    <row r="585">
      <c r="A585" s="55">
        <v>46186.0</v>
      </c>
      <c r="B585" s="4" t="s">
        <v>427</v>
      </c>
      <c r="C585" s="4" t="s">
        <v>1395</v>
      </c>
      <c r="D585" s="4" t="s">
        <v>1060</v>
      </c>
      <c r="E585" s="1" t="s">
        <v>1415</v>
      </c>
      <c r="F585" s="4" t="s">
        <v>1069</v>
      </c>
      <c r="G585" s="60" t="s">
        <v>503</v>
      </c>
      <c r="H585" s="1" t="s">
        <v>1006</v>
      </c>
      <c r="I585" s="1" t="str">
        <f>IFERROR(CONCATENATE(VLOOKUP(C585,PARAM!D:E,2,0),VLOOKUP(D585,PARAM!J:K,2,0),VLOOKUP(E585,PARAM!G:H,2,0),VLOOKUP(G585,PARAM!P:Q,2,0)),"")</f>
        <v>5911360</v>
      </c>
      <c r="J585" s="1" t="str">
        <f>IFERROR(CONCATENATE("*",VLOOKUP(C585,PARAM!D:E,2,0),VLOOKUP(D585,PARAM!J:K,2,0),VLOOKUP(E585,PARAM!G:H,2,0),VLOOKUP(G585,PARAM!P:Q,2,0),"*"),"")</f>
        <v>*5911360*</v>
      </c>
      <c r="K585" s="1" t="str">
        <f t="shared" si="1"/>
        <v>CAIMAN DAMA FLORES PELUCHE Y DEMAS</v>
      </c>
      <c r="L585" s="1"/>
    </row>
    <row r="586">
      <c r="A586" s="55">
        <v>46186.0</v>
      </c>
      <c r="B586" s="4" t="s">
        <v>427</v>
      </c>
      <c r="C586" s="4" t="s">
        <v>1395</v>
      </c>
      <c r="D586" s="4" t="s">
        <v>1060</v>
      </c>
      <c r="E586" s="1" t="s">
        <v>1416</v>
      </c>
      <c r="F586" s="4" t="s">
        <v>1069</v>
      </c>
      <c r="G586" s="60" t="s">
        <v>503</v>
      </c>
      <c r="H586" s="1" t="s">
        <v>1006</v>
      </c>
      <c r="I586" s="1" t="str">
        <f>IFERROR(CONCATENATE(VLOOKUP(C586,PARAM!D:E,2,0),VLOOKUP(D586,PARAM!J:K,2,0),VLOOKUP(E586,PARAM!G:H,2,0),VLOOKUP(G586,PARAM!P:Q,2,0)),"")</f>
        <v>5911980</v>
      </c>
      <c r="J586" s="1" t="str">
        <f>IFERROR(CONCATENATE("*",VLOOKUP(C586,PARAM!D:E,2,0),VLOOKUP(D586,PARAM!J:K,2,0),VLOOKUP(E586,PARAM!G:H,2,0),VLOOKUP(G586,PARAM!P:Q,2,0),"*"),"")</f>
        <v>*5911980*</v>
      </c>
      <c r="K586" s="1" t="str">
        <f t="shared" si="1"/>
        <v>CAIMAN DAMA OSCURO CAFE</v>
      </c>
      <c r="L586" s="1"/>
    </row>
    <row r="587">
      <c r="A587" s="55">
        <v>46186.0</v>
      </c>
      <c r="B587" s="4" t="s">
        <v>427</v>
      </c>
      <c r="C587" s="4" t="s">
        <v>1417</v>
      </c>
      <c r="D587" s="4" t="s">
        <v>1060</v>
      </c>
      <c r="E587" s="1" t="s">
        <v>1418</v>
      </c>
      <c r="F587" s="4" t="s">
        <v>1069</v>
      </c>
      <c r="G587" s="60" t="s">
        <v>503</v>
      </c>
      <c r="H587" s="1" t="s">
        <v>1006</v>
      </c>
      <c r="I587" s="1" t="str">
        <f>IFERROR(CONCATENATE(VLOOKUP(C587,PARAM!D:E,2,0),VLOOKUP(D587,PARAM!J:K,2,0),VLOOKUP(E587,PARAM!G:H,2,0),VLOOKUP(G587,PARAM!P:Q,2,0)),"")</f>
        <v>661960</v>
      </c>
      <c r="J587" s="1" t="str">
        <f>IFERROR(CONCATENATE("*",VLOOKUP(C587,PARAM!D:E,2,0),VLOOKUP(D587,PARAM!J:K,2,0),VLOOKUP(E587,PARAM!G:H,2,0),VLOOKUP(G587,PARAM!P:Q,2,0),"*"),"")</f>
        <v>*661960*</v>
      </c>
      <c r="K587" s="1" t="str">
        <f t="shared" si="1"/>
        <v>CORRECTOR DAMA CONCEDER YEAHKISS</v>
      </c>
      <c r="L587" s="1"/>
    </row>
    <row r="588">
      <c r="A588" s="55">
        <v>46186.0</v>
      </c>
      <c r="B588" s="4" t="s">
        <v>427</v>
      </c>
      <c r="C588" s="4" t="s">
        <v>1387</v>
      </c>
      <c r="D588" s="4" t="s">
        <v>1060</v>
      </c>
      <c r="E588" s="1" t="s">
        <v>1419</v>
      </c>
      <c r="F588" s="4" t="s">
        <v>1069</v>
      </c>
      <c r="G588" s="60" t="s">
        <v>503</v>
      </c>
      <c r="H588" s="1" t="s">
        <v>1006</v>
      </c>
      <c r="I588" s="1" t="str">
        <f>IFERROR(CONCATENATE(VLOOKUP(C588,PARAM!D:E,2,0),VLOOKUP(D588,PARAM!J:K,2,0),VLOOKUP(E588,PARAM!G:H,2,0),VLOOKUP(G588,PARAM!P:Q,2,0)),"")</f>
        <v>5611960</v>
      </c>
      <c r="J588" s="1" t="str">
        <f>IFERROR(CONCATENATE("*",VLOOKUP(C588,PARAM!D:E,2,0),VLOOKUP(D588,PARAM!J:K,2,0),VLOOKUP(E588,PARAM!G:H,2,0),VLOOKUP(G588,PARAM!P:Q,2,0),"*"),"")</f>
        <v>*5611960*</v>
      </c>
      <c r="K588" s="1" t="str">
        <f t="shared" si="1"/>
        <v>MOÑOS DAMA NEGRA CAFE BEIGE</v>
      </c>
      <c r="L588" s="1"/>
    </row>
    <row r="589">
      <c r="A589" s="55">
        <v>46186.0</v>
      </c>
      <c r="B589" s="4" t="s">
        <v>427</v>
      </c>
      <c r="C589" s="4" t="s">
        <v>1420</v>
      </c>
      <c r="D589" s="4" t="s">
        <v>1060</v>
      </c>
      <c r="E589" s="1" t="s">
        <v>1421</v>
      </c>
      <c r="F589" s="4" t="s">
        <v>1069</v>
      </c>
      <c r="G589" s="60" t="s">
        <v>503</v>
      </c>
      <c r="H589" s="1" t="s">
        <v>1006</v>
      </c>
      <c r="I589" s="1" t="str">
        <f>IFERROR(CONCATENATE(VLOOKUP(C589,PARAM!D:E,2,0),VLOOKUP(D589,PARAM!J:K,2,0),VLOOKUP(E589,PARAM!G:H,2,0),VLOOKUP(G589,PARAM!P:Q,2,0)),"")</f>
        <v>671530</v>
      </c>
      <c r="J589" s="1" t="str">
        <f>IFERROR(CONCATENATE("*",VLOOKUP(C589,PARAM!D:E,2,0),VLOOKUP(D589,PARAM!J:K,2,0),VLOOKUP(E589,PARAM!G:H,2,0),VLOOKUP(G589,PARAM!P:Q,2,0),"*"),"")</f>
        <v>*671530*</v>
      </c>
      <c r="K589" s="1" t="str">
        <f t="shared" si="1"/>
        <v>COLEROS DAMA BRILLANTES FIGURAS</v>
      </c>
      <c r="L589" s="1"/>
    </row>
    <row r="590">
      <c r="A590" s="55">
        <v>46186.0</v>
      </c>
      <c r="B590" s="4" t="s">
        <v>1096</v>
      </c>
      <c r="C590" s="4" t="s">
        <v>1407</v>
      </c>
      <c r="D590" s="4" t="s">
        <v>1060</v>
      </c>
      <c r="E590" s="1" t="s">
        <v>1422</v>
      </c>
      <c r="F590" s="4" t="s">
        <v>1069</v>
      </c>
      <c r="G590" s="60" t="s">
        <v>503</v>
      </c>
      <c r="H590" s="1" t="s">
        <v>1006</v>
      </c>
      <c r="I590" s="1" t="str">
        <f>IFERROR(CONCATENATE(VLOOKUP(C590,PARAM!D:E,2,0),VLOOKUP(D590,PARAM!J:K,2,0),VLOOKUP(E590,PARAM!G:H,2,0),VLOOKUP(G590,PARAM!P:Q,2,0)),"")</f>
        <v>6412440</v>
      </c>
      <c r="J590" s="1" t="str">
        <f>IFERROR(CONCATENATE("*",VLOOKUP(C590,PARAM!D:E,2,0),VLOOKUP(D590,PARAM!J:K,2,0),VLOOKUP(E590,PARAM!G:H,2,0),VLOOKUP(G590,PARAM!P:Q,2,0),"*"),"")</f>
        <v>*6412440*</v>
      </c>
      <c r="K590" s="1" t="str">
        <f t="shared" si="1"/>
        <v>RUBOR DAMA RUBOR CORAZON</v>
      </c>
      <c r="L590" s="1"/>
    </row>
    <row r="591">
      <c r="A591" s="55">
        <v>46186.0</v>
      </c>
      <c r="B591" s="4" t="s">
        <v>1096</v>
      </c>
      <c r="C591" s="4" t="s">
        <v>1098</v>
      </c>
      <c r="D591" s="4" t="s">
        <v>1060</v>
      </c>
      <c r="E591" s="1" t="s">
        <v>1423</v>
      </c>
      <c r="F591" s="4" t="s">
        <v>1069</v>
      </c>
      <c r="G591" s="60" t="s">
        <v>503</v>
      </c>
      <c r="H591" s="1" t="s">
        <v>1006</v>
      </c>
      <c r="I591" s="1" t="str">
        <f>IFERROR(CONCATENATE(VLOOKUP(C591,PARAM!D:E,2,0),VLOOKUP(D591,PARAM!J:K,2,0),VLOOKUP(E591,PARAM!G:H,2,0),VLOOKUP(G591,PARAM!P:Q,2,0)),"")</f>
        <v>6811610</v>
      </c>
      <c r="J591" s="1" t="str">
        <f>IFERROR(CONCATENATE("*",VLOOKUP(C591,PARAM!D:E,2,0),VLOOKUP(D591,PARAM!J:K,2,0),VLOOKUP(E591,PARAM!G:H,2,0),VLOOKUP(G591,PARAM!P:Q,2,0),"*"),"")</f>
        <v>*6811610*</v>
      </c>
      <c r="K591" s="1" t="str">
        <f t="shared" si="1"/>
        <v>LABIAL DAMA LABIAL CORAZON</v>
      </c>
      <c r="L591" s="1"/>
    </row>
    <row r="592">
      <c r="A592" s="55">
        <v>46186.0</v>
      </c>
      <c r="B592" s="4" t="s">
        <v>1096</v>
      </c>
      <c r="C592" s="4" t="s">
        <v>1424</v>
      </c>
      <c r="D592" s="4" t="s">
        <v>1060</v>
      </c>
      <c r="E592" s="1" t="s">
        <v>1425</v>
      </c>
      <c r="F592" s="4" t="s">
        <v>1069</v>
      </c>
      <c r="G592" s="60" t="s">
        <v>503</v>
      </c>
      <c r="H592" s="1" t="s">
        <v>1006</v>
      </c>
      <c r="I592" s="1" t="str">
        <f>IFERROR(CONCATENATE(VLOOKUP(C592,PARAM!D:E,2,0),VLOOKUP(D592,PARAM!J:K,2,0),VLOOKUP(E592,PARAM!G:H,2,0),VLOOKUP(G592,PARAM!P:Q,2,0)),"")</f>
        <v>6911440</v>
      </c>
      <c r="J592" s="1" t="str">
        <f>IFERROR(CONCATENATE("*",VLOOKUP(C592,PARAM!D:E,2,0),VLOOKUP(D592,PARAM!J:K,2,0),VLOOKUP(E592,PARAM!G:H,2,0),VLOOKUP(G592,PARAM!P:Q,2,0),"*"),"")</f>
        <v>*6911440*</v>
      </c>
      <c r="K592" s="1" t="str">
        <f t="shared" si="1"/>
        <v>ILUMINADORES DAMA ILUMINADORES SKIN</v>
      </c>
      <c r="L592" s="1"/>
    </row>
    <row r="593">
      <c r="A593" s="55">
        <v>46186.0</v>
      </c>
      <c r="B593" s="4" t="s">
        <v>1096</v>
      </c>
      <c r="C593" s="4" t="s">
        <v>1098</v>
      </c>
      <c r="D593" s="4" t="s">
        <v>1060</v>
      </c>
      <c r="E593" s="1" t="s">
        <v>1426</v>
      </c>
      <c r="F593" s="4" t="s">
        <v>1069</v>
      </c>
      <c r="G593" s="60" t="s">
        <v>503</v>
      </c>
      <c r="H593" s="1" t="s">
        <v>1006</v>
      </c>
      <c r="I593" s="1" t="str">
        <f>IFERROR(CONCATENATE(VLOOKUP(C593,PARAM!D:E,2,0),VLOOKUP(D593,PARAM!J:K,2,0),VLOOKUP(E593,PARAM!G:H,2,0),VLOOKUP(G593,PARAM!P:Q,2,0)),"")</f>
        <v>6811620</v>
      </c>
      <c r="J593" s="1" t="str">
        <f>IFERROR(CONCATENATE("*",VLOOKUP(C593,PARAM!D:E,2,0),VLOOKUP(D593,PARAM!J:K,2,0),VLOOKUP(E593,PARAM!G:H,2,0),VLOOKUP(G593,PARAM!P:Q,2,0),"*"),"")</f>
        <v>*6811620*</v>
      </c>
      <c r="K593" s="1" t="str">
        <f t="shared" si="1"/>
        <v>LABIAL DAMA LABIAL THE OILY LIPS</v>
      </c>
      <c r="L593" s="1"/>
    </row>
    <row r="594">
      <c r="A594" s="55">
        <v>46186.0</v>
      </c>
      <c r="B594" s="4" t="s">
        <v>1096</v>
      </c>
      <c r="C594" s="4" t="s">
        <v>1098</v>
      </c>
      <c r="D594" s="4" t="s">
        <v>1060</v>
      </c>
      <c r="E594" s="1" t="s">
        <v>1427</v>
      </c>
      <c r="F594" s="4" t="s">
        <v>1069</v>
      </c>
      <c r="G594" s="60" t="s">
        <v>503</v>
      </c>
      <c r="H594" s="1" t="s">
        <v>1006</v>
      </c>
      <c r="I594" s="1" t="str">
        <f>IFERROR(CONCATENATE(VLOOKUP(C594,PARAM!D:E,2,0),VLOOKUP(D594,PARAM!J:K,2,0),VLOOKUP(E594,PARAM!G:H,2,0),VLOOKUP(G594,PARAM!P:Q,2,0)),"")</f>
        <v>6812610</v>
      </c>
      <c r="J594" s="1" t="str">
        <f>IFERROR(CONCATENATE("*",VLOOKUP(C594,PARAM!D:E,2,0),VLOOKUP(D594,PARAM!J:K,2,0),VLOOKUP(E594,PARAM!G:H,2,0),VLOOKUP(G594,PARAM!P:Q,2,0),"*"),"")</f>
        <v>*6812610*</v>
      </c>
      <c r="K594" s="1" t="str">
        <f t="shared" si="1"/>
        <v>LABIAL DAMA TINTAS ENGOIL</v>
      </c>
      <c r="L594" s="1"/>
    </row>
    <row r="595">
      <c r="A595" s="55">
        <v>46186.0</v>
      </c>
      <c r="B595" s="4" t="s">
        <v>1096</v>
      </c>
      <c r="C595" s="4" t="s">
        <v>1428</v>
      </c>
      <c r="D595" s="4" t="s">
        <v>1060</v>
      </c>
      <c r="E595" s="1" t="s">
        <v>1429</v>
      </c>
      <c r="F595" s="4" t="s">
        <v>1069</v>
      </c>
      <c r="G595" s="60" t="s">
        <v>503</v>
      </c>
      <c r="H595" s="1" t="s">
        <v>1006</v>
      </c>
      <c r="I595" s="1" t="str">
        <f>IFERROR(CONCATENATE(VLOOKUP(C595,PARAM!D:E,2,0),VLOOKUP(D595,PARAM!J:K,2,0),VLOOKUP(E595,PARAM!G:H,2,0),VLOOKUP(G595,PARAM!P:Q,2,0)),"")</f>
        <v>7012100</v>
      </c>
      <c r="J595" s="1" t="str">
        <f>IFERROR(CONCATENATE("*",VLOOKUP(C595,PARAM!D:E,2,0),VLOOKUP(D595,PARAM!J:K,2,0),VLOOKUP(E595,PARAM!G:H,2,0),VLOOKUP(G595,PARAM!P:Q,2,0),"*"),"")</f>
        <v>*7012100*</v>
      </c>
      <c r="K595" s="1" t="str">
        <f t="shared" si="1"/>
        <v>PESTAÑINA DAMA PESTAÑINAS PAGEVINE</v>
      </c>
      <c r="L595" s="1"/>
    </row>
    <row r="596">
      <c r="A596" s="55">
        <v>46186.0</v>
      </c>
      <c r="B596" s="4" t="s">
        <v>427</v>
      </c>
      <c r="C596" s="4" t="s">
        <v>1430</v>
      </c>
      <c r="D596" s="4" t="s">
        <v>1060</v>
      </c>
      <c r="E596" s="1" t="s">
        <v>1431</v>
      </c>
      <c r="F596" s="4" t="s">
        <v>1069</v>
      </c>
      <c r="G596" s="60" t="s">
        <v>503</v>
      </c>
      <c r="H596" s="1" t="s">
        <v>1006</v>
      </c>
      <c r="I596" s="1" t="str">
        <f>IFERROR(CONCATENATE(VLOOKUP(C596,PARAM!D:E,2,0),VLOOKUP(D596,PARAM!J:K,2,0),VLOOKUP(E596,PARAM!G:H,2,0),VLOOKUP(G596,PARAM!P:Q,2,0)),"")</f>
        <v>7111300</v>
      </c>
      <c r="J596" s="1" t="str">
        <f>IFERROR(CONCATENATE("*",VLOOKUP(C596,PARAM!D:E,2,0),VLOOKUP(D596,PARAM!J:K,2,0),VLOOKUP(E596,PARAM!G:H,2,0),VLOOKUP(G596,PARAM!P:Q,2,0),"*"),"")</f>
        <v>*7111300*</v>
      </c>
      <c r="K596" s="1" t="str">
        <f t="shared" si="1"/>
        <v>ESPEJO DAMA ESPEJOS LOVE</v>
      </c>
      <c r="L596" s="1"/>
    </row>
    <row r="597">
      <c r="A597" s="55">
        <v>46186.0</v>
      </c>
      <c r="B597" s="4" t="s">
        <v>1096</v>
      </c>
      <c r="C597" s="4" t="s">
        <v>1432</v>
      </c>
      <c r="D597" s="4" t="s">
        <v>1060</v>
      </c>
      <c r="E597" s="1" t="s">
        <v>1433</v>
      </c>
      <c r="F597" s="4" t="s">
        <v>1069</v>
      </c>
      <c r="G597" s="60" t="s">
        <v>503</v>
      </c>
      <c r="H597" s="1" t="s">
        <v>1006</v>
      </c>
      <c r="I597" s="1" t="str">
        <f>IFERROR(CONCATENATE(VLOOKUP(C597,PARAM!D:E,2,0),VLOOKUP(D597,PARAM!J:K,2,0),VLOOKUP(E597,PARAM!G:H,2,0),VLOOKUP(G597,PARAM!P:Q,2,0)),"")</f>
        <v>7211640</v>
      </c>
      <c r="J597" s="1" t="str">
        <f>IFERROR(CONCATENATE("*",VLOOKUP(C597,PARAM!D:E,2,0),VLOOKUP(D597,PARAM!J:K,2,0),VLOOKUP(E597,PARAM!G:H,2,0),VLOOKUP(G597,PARAM!P:Q,2,0),"*"),"")</f>
        <v>*7211640*</v>
      </c>
      <c r="K597" s="1" t="str">
        <f t="shared" si="1"/>
        <v>LAPIZ DAMA LAPIZ UBC</v>
      </c>
      <c r="L597" s="1"/>
    </row>
    <row r="598">
      <c r="A598" s="55">
        <v>46186.0</v>
      </c>
      <c r="B598" s="4" t="s">
        <v>1096</v>
      </c>
      <c r="C598" s="4" t="s">
        <v>1409</v>
      </c>
      <c r="D598" s="4" t="s">
        <v>1060</v>
      </c>
      <c r="E598" s="1" t="s">
        <v>1434</v>
      </c>
      <c r="F598" s="4" t="s">
        <v>1069</v>
      </c>
      <c r="G598" s="60" t="s">
        <v>503</v>
      </c>
      <c r="H598" s="1" t="s">
        <v>1006</v>
      </c>
      <c r="I598" s="1" t="str">
        <f>IFERROR(CONCATENATE(VLOOKUP(C598,PARAM!D:E,2,0),VLOOKUP(D598,PARAM!J:K,2,0),VLOOKUP(E598,PARAM!G:H,2,0),VLOOKUP(G598,PARAM!P:Q,2,0)),"")</f>
        <v>651320</v>
      </c>
      <c r="J598" s="1" t="str">
        <f>IFERROR(CONCATENATE("*",VLOOKUP(C598,PARAM!D:E,2,0),VLOOKUP(D598,PARAM!J:K,2,0),VLOOKUP(E598,PARAM!G:H,2,0),VLOOKUP(G598,PARAM!P:Q,2,0),"*"),"")</f>
        <v>*651320*</v>
      </c>
      <c r="K598" s="1" t="str">
        <f t="shared" si="1"/>
        <v>SOMBRA DAMA APLICADOR SOMBRA</v>
      </c>
      <c r="L598" s="1"/>
    </row>
    <row r="599">
      <c r="A599" s="55">
        <v>46186.0</v>
      </c>
      <c r="B599" s="4" t="s">
        <v>427</v>
      </c>
      <c r="C599" s="4" t="s">
        <v>1402</v>
      </c>
      <c r="D599" s="4" t="s">
        <v>1060</v>
      </c>
      <c r="E599" s="1" t="s">
        <v>1435</v>
      </c>
      <c r="F599" s="4" t="s">
        <v>1069</v>
      </c>
      <c r="G599" s="60" t="s">
        <v>503</v>
      </c>
      <c r="H599" s="1" t="s">
        <v>1006</v>
      </c>
      <c r="I599" s="1" t="str">
        <f>IFERROR(CONCATENATE(VLOOKUP(C599,PARAM!D:E,2,0),VLOOKUP(D599,PARAM!J:K,2,0),VLOOKUP(E599,PARAM!G:H,2,0),VLOOKUP(G599,PARAM!P:Q,2,0)),"")</f>
        <v>6211420</v>
      </c>
      <c r="J599" s="1" t="str">
        <f>IFERROR(CONCATENATE("*",VLOOKUP(C599,PARAM!D:E,2,0),VLOOKUP(D599,PARAM!J:K,2,0),VLOOKUP(E599,PARAM!G:H,2,0),VLOOKUP(G599,PARAM!P:Q,2,0),"*"),"")</f>
        <v>*6211420*</v>
      </c>
      <c r="K599" s="1" t="str">
        <f t="shared" si="1"/>
        <v>HEBILLA DAMA HEBILLA NEGRA *3</v>
      </c>
      <c r="L599" s="1"/>
    </row>
    <row r="600">
      <c r="A600" s="55">
        <v>46186.0</v>
      </c>
      <c r="B600" s="4" t="s">
        <v>427</v>
      </c>
      <c r="C600" s="4" t="s">
        <v>1404</v>
      </c>
      <c r="D600" s="4" t="s">
        <v>1060</v>
      </c>
      <c r="E600" s="1" t="s">
        <v>1436</v>
      </c>
      <c r="F600" s="4" t="s">
        <v>1069</v>
      </c>
      <c r="G600" s="60" t="s">
        <v>503</v>
      </c>
      <c r="H600" s="1" t="s">
        <v>1006</v>
      </c>
      <c r="I600" s="1" t="str">
        <f>IFERROR(CONCATENATE(VLOOKUP(C600,PARAM!D:E,2,0),VLOOKUP(D600,PARAM!J:K,2,0),VLOOKUP(E600,PARAM!G:H,2,0),VLOOKUP(G600,PARAM!P:Q,2,0)),"")</f>
        <v>6311950</v>
      </c>
      <c r="J600" s="1" t="str">
        <f>IFERROR(CONCATENATE("*",VLOOKUP(C600,PARAM!D:E,2,0),VLOOKUP(D600,PARAM!J:K,2,0),VLOOKUP(E600,PARAM!G:H,2,0),VLOOKUP(G600,PARAM!P:Q,2,0),"*"),"")</f>
        <v>*6311950*</v>
      </c>
      <c r="K600" s="1" t="str">
        <f t="shared" si="1"/>
        <v>BAMBA DAMA MURANO BRILLOS</v>
      </c>
      <c r="L600" s="1"/>
    </row>
    <row r="601">
      <c r="A601" s="55">
        <v>46186.0</v>
      </c>
      <c r="B601" s="4" t="s">
        <v>427</v>
      </c>
      <c r="C601" s="4" t="s">
        <v>1437</v>
      </c>
      <c r="D601" s="4" t="s">
        <v>1060</v>
      </c>
      <c r="E601" s="1" t="s">
        <v>1438</v>
      </c>
      <c r="F601" s="4" t="s">
        <v>1069</v>
      </c>
      <c r="G601" s="60" t="s">
        <v>503</v>
      </c>
      <c r="H601" s="1" t="s">
        <v>1006</v>
      </c>
      <c r="I601" s="1" t="str">
        <f>IFERROR(CONCATENATE(VLOOKUP(C601,PARAM!D:E,2,0),VLOOKUP(D601,PARAM!J:K,2,0),VLOOKUP(E601,PARAM!G:H,2,0),VLOOKUP(G601,PARAM!P:Q,2,0)),"")</f>
        <v>7312210</v>
      </c>
      <c r="J601" s="1" t="str">
        <f>IFERROR(CONCATENATE("*",VLOOKUP(C601,PARAM!D:E,2,0),VLOOKUP(D601,PARAM!J:K,2,0),VLOOKUP(E601,PARAM!G:H,2,0),VLOOKUP(G601,PARAM!P:Q,2,0),"*"),"")</f>
        <v>*7312210*</v>
      </c>
      <c r="K601" s="1" t="str">
        <f t="shared" si="1"/>
        <v>POLVO DAMA POLVO ROSADO</v>
      </c>
      <c r="L601" s="1"/>
    </row>
    <row r="602">
      <c r="A602" s="55">
        <v>46186.0</v>
      </c>
      <c r="B602" s="4" t="s">
        <v>427</v>
      </c>
      <c r="C602" s="4" t="s">
        <v>1395</v>
      </c>
      <c r="D602" s="4" t="s">
        <v>1060</v>
      </c>
      <c r="E602" s="1" t="s">
        <v>1439</v>
      </c>
      <c r="F602" s="4" t="s">
        <v>1069</v>
      </c>
      <c r="G602" s="60" t="s">
        <v>503</v>
      </c>
      <c r="H602" s="1" t="s">
        <v>1006</v>
      </c>
      <c r="I602" s="1" t="str">
        <f>IFERROR(CONCATENATE(VLOOKUP(C602,PARAM!D:E,2,0),VLOOKUP(D602,PARAM!J:K,2,0),VLOOKUP(E602,PARAM!G:H,2,0),VLOOKUP(G602,PARAM!P:Q,2,0)),"")</f>
        <v>5912090</v>
      </c>
      <c r="J602" s="1" t="str">
        <f>IFERROR(CONCATENATE("*",VLOOKUP(C602,PARAM!D:E,2,0),VLOOKUP(D602,PARAM!J:K,2,0),VLOOKUP(E602,PARAM!G:H,2,0),VLOOKUP(G602,PARAM!P:Q,2,0),"*"),"")</f>
        <v>*5912090*</v>
      </c>
      <c r="K602" s="1" t="str">
        <f t="shared" si="1"/>
        <v>CAIMAN DAMA PEQUEÑO DORADO MURANO </v>
      </c>
      <c r="L602" s="1"/>
    </row>
    <row r="603">
      <c r="A603" s="55">
        <v>46186.0</v>
      </c>
      <c r="B603" s="4" t="s">
        <v>427</v>
      </c>
      <c r="C603" s="4" t="s">
        <v>1395</v>
      </c>
      <c r="D603" s="4" t="s">
        <v>1060</v>
      </c>
      <c r="E603" s="1" t="s">
        <v>1440</v>
      </c>
      <c r="F603" s="4" t="s">
        <v>1069</v>
      </c>
      <c r="G603" s="60" t="s">
        <v>503</v>
      </c>
      <c r="H603" s="1" t="s">
        <v>1006</v>
      </c>
      <c r="I603" s="1" t="str">
        <f>IFERROR(CONCATENATE(VLOOKUP(C603,PARAM!D:E,2,0),VLOOKUP(D603,PARAM!J:K,2,0),VLOOKUP(E603,PARAM!G:H,2,0),VLOOKUP(G603,PARAM!P:Q,2,0)),"")</f>
        <v>5911860</v>
      </c>
      <c r="J603" s="1" t="str">
        <f>IFERROR(CONCATENATE("*",VLOOKUP(C603,PARAM!D:E,2,0),VLOOKUP(D603,PARAM!J:K,2,0),VLOOKUP(E603,PARAM!G:H,2,0),VLOOKUP(G603,PARAM!P:Q,2,0),"*"),"")</f>
        <v>*5911860*</v>
      </c>
      <c r="K603" s="1" t="str">
        <f t="shared" si="1"/>
        <v>CAIMAN DAMA MEDIANO MURANO DORADO</v>
      </c>
      <c r="L603" s="1"/>
    </row>
    <row r="604">
      <c r="A604" s="55">
        <v>46186.0</v>
      </c>
      <c r="B604" s="4" t="s">
        <v>427</v>
      </c>
      <c r="C604" s="4" t="s">
        <v>1395</v>
      </c>
      <c r="D604" s="4" t="s">
        <v>1060</v>
      </c>
      <c r="E604" s="1" t="s">
        <v>1441</v>
      </c>
      <c r="F604" s="4" t="s">
        <v>1069</v>
      </c>
      <c r="G604" s="60" t="s">
        <v>503</v>
      </c>
      <c r="H604" s="1" t="s">
        <v>1006</v>
      </c>
      <c r="I604" s="1" t="str">
        <f>IFERROR(CONCATENATE(VLOOKUP(C604,PARAM!D:E,2,0),VLOOKUP(D604,PARAM!J:K,2,0),VLOOKUP(E604,PARAM!G:H,2,0),VLOOKUP(G604,PARAM!P:Q,2,0)),"")</f>
        <v>5912140</v>
      </c>
      <c r="J604" s="1" t="str">
        <f>IFERROR(CONCATENATE("*",VLOOKUP(C604,PARAM!D:E,2,0),VLOOKUP(D604,PARAM!J:K,2,0),VLOOKUP(E604,PARAM!G:H,2,0),VLOOKUP(G604,PARAM!P:Q,2,0),"*"),"")</f>
        <v>*5912140*</v>
      </c>
      <c r="K604" s="1" t="str">
        <f t="shared" si="1"/>
        <v>CAIMAN DAMA PLATEADO MEDIANO MURANO</v>
      </c>
      <c r="L604" s="1"/>
    </row>
    <row r="605">
      <c r="A605" s="55">
        <v>46186.0</v>
      </c>
      <c r="B605" s="4" t="s">
        <v>427</v>
      </c>
      <c r="C605" s="4" t="s">
        <v>1442</v>
      </c>
      <c r="D605" s="4" t="s">
        <v>1060</v>
      </c>
      <c r="E605" s="1" t="s">
        <v>1443</v>
      </c>
      <c r="F605" s="4" t="s">
        <v>1069</v>
      </c>
      <c r="G605" s="60" t="s">
        <v>503</v>
      </c>
      <c r="H605" s="1" t="s">
        <v>1006</v>
      </c>
      <c r="I605" s="1" t="str">
        <f>IFERROR(CONCATENATE(VLOOKUP(C605,PARAM!D:E,2,0),VLOOKUP(D605,PARAM!J:K,2,0),VLOOKUP(E605,PARAM!G:H,2,0),VLOOKUP(G605,PARAM!P:Q,2,0)),"")</f>
        <v>7412120</v>
      </c>
      <c r="J605" s="1" t="str">
        <f>IFERROR(CONCATENATE("*",VLOOKUP(C605,PARAM!D:E,2,0),VLOOKUP(D605,PARAM!J:K,2,0),VLOOKUP(E605,PARAM!G:H,2,0),VLOOKUP(G605,PARAM!P:Q,2,0),"*"),"")</f>
        <v>*7412120*</v>
      </c>
      <c r="K605" s="1" t="str">
        <f t="shared" si="1"/>
        <v>PINTUCARA DAMA PINTUCARA TRICOLOR</v>
      </c>
      <c r="L605" s="1"/>
    </row>
    <row r="606">
      <c r="A606" s="56"/>
      <c r="B606" s="1"/>
      <c r="C606" s="1"/>
      <c r="D606" s="1"/>
      <c r="E606" s="1"/>
      <c r="F606" s="1"/>
      <c r="G606" s="60" t="s">
        <v>503</v>
      </c>
      <c r="H606" s="1" t="s">
        <v>476</v>
      </c>
      <c r="I606" s="1" t="str">
        <f>IFERROR(CONCATENATE(VLOOKUP(C606,PARAM!D:E,2,0),VLOOKUP(D606,PARAM!J:K,2,0),VLOOKUP(E606,PARAM!G:H,2,0),VLOOKUP(G606,PARAM!P:Q,2,0)),"")</f>
        <v/>
      </c>
      <c r="J606" s="1" t="str">
        <f>IFERROR(CONCATENATE("*",VLOOKUP(C606,PARAM!D:E,2,0),VLOOKUP(D606,PARAM!J:K,2,0),VLOOKUP(E606,PARAM!G:H,2,0),VLOOKUP(G606,PARAM!P:Q,2,0),"*"),"")</f>
        <v/>
      </c>
      <c r="K606" s="1" t="str">
        <f t="shared" si="1"/>
        <v>  </v>
      </c>
      <c r="L606" s="1"/>
    </row>
    <row r="607">
      <c r="A607" s="56"/>
      <c r="B607" s="1"/>
      <c r="C607" s="1"/>
      <c r="D607" s="1"/>
      <c r="E607" s="1"/>
      <c r="F607" s="1"/>
      <c r="G607" s="60" t="s">
        <v>503</v>
      </c>
      <c r="H607" s="1" t="s">
        <v>476</v>
      </c>
      <c r="I607" s="1" t="str">
        <f>IFERROR(CONCATENATE(VLOOKUP(C607,PARAM!D:E,2,0),VLOOKUP(D607,PARAM!J:K,2,0),VLOOKUP(E607,PARAM!G:H,2,0),VLOOKUP(G607,PARAM!P:Q,2,0)),"")</f>
        <v/>
      </c>
      <c r="J607" s="1" t="str">
        <f>IFERROR(CONCATENATE("*",VLOOKUP(C607,PARAM!D:E,2,0),VLOOKUP(D607,PARAM!J:K,2,0),VLOOKUP(E607,PARAM!G:H,2,0),VLOOKUP(G607,PARAM!P:Q,2,0),"*"),"")</f>
        <v/>
      </c>
      <c r="K607" s="1" t="str">
        <f t="shared" si="1"/>
        <v>  </v>
      </c>
      <c r="L607" s="1"/>
    </row>
    <row r="608">
      <c r="A608" s="56"/>
      <c r="B608" s="1"/>
      <c r="C608" s="1"/>
      <c r="D608" s="1"/>
      <c r="E608" s="1"/>
      <c r="F608" s="1"/>
      <c r="G608" s="60" t="s">
        <v>503</v>
      </c>
      <c r="H608" s="1" t="s">
        <v>476</v>
      </c>
      <c r="I608" s="1" t="str">
        <f>IFERROR(CONCATENATE(VLOOKUP(C608,PARAM!D:E,2,0),VLOOKUP(D608,PARAM!J:K,2,0),VLOOKUP(E608,PARAM!G:H,2,0),VLOOKUP(G608,PARAM!P:Q,2,0)),"")</f>
        <v/>
      </c>
      <c r="J608" s="1" t="str">
        <f>IFERROR(CONCATENATE("*",VLOOKUP(C608,PARAM!D:E,2,0),VLOOKUP(D608,PARAM!J:K,2,0),VLOOKUP(E608,PARAM!G:H,2,0),VLOOKUP(G608,PARAM!P:Q,2,0),"*"),"")</f>
        <v/>
      </c>
      <c r="K608" s="1" t="str">
        <f t="shared" si="1"/>
        <v>  </v>
      </c>
      <c r="L608" s="1"/>
    </row>
    <row r="609">
      <c r="A609" s="56"/>
      <c r="B609" s="1"/>
      <c r="C609" s="1"/>
      <c r="D609" s="1"/>
      <c r="E609" s="1"/>
      <c r="F609" s="1"/>
      <c r="G609" s="60" t="s">
        <v>503</v>
      </c>
      <c r="H609" s="1" t="s">
        <v>476</v>
      </c>
      <c r="I609" s="1" t="str">
        <f>IFERROR(CONCATENATE(VLOOKUP(C609,PARAM!D:E,2,0),VLOOKUP(D609,PARAM!J:K,2,0),VLOOKUP(E609,PARAM!G:H,2,0),VLOOKUP(G609,PARAM!P:Q,2,0)),"")</f>
        <v/>
      </c>
      <c r="J609" s="1" t="str">
        <f>IFERROR(CONCATENATE("*",VLOOKUP(C609,PARAM!D:E,2,0),VLOOKUP(D609,PARAM!J:K,2,0),VLOOKUP(E609,PARAM!G:H,2,0),VLOOKUP(G609,PARAM!P:Q,2,0),"*"),"")</f>
        <v/>
      </c>
      <c r="K609" s="1" t="str">
        <f t="shared" si="1"/>
        <v>  </v>
      </c>
      <c r="L609" s="1"/>
    </row>
    <row r="610">
      <c r="A610" s="56"/>
      <c r="B610" s="1"/>
      <c r="C610" s="1"/>
      <c r="D610" s="1"/>
      <c r="E610" s="1"/>
      <c r="F610" s="1"/>
      <c r="G610" s="60" t="s">
        <v>503</v>
      </c>
      <c r="H610" s="1" t="s">
        <v>476</v>
      </c>
      <c r="I610" s="1" t="str">
        <f>IFERROR(CONCATENATE(VLOOKUP(C610,PARAM!D:E,2,0),VLOOKUP(D610,PARAM!J:K,2,0),VLOOKUP(E610,PARAM!G:H,2,0),VLOOKUP(G610,PARAM!P:Q,2,0)),"")</f>
        <v/>
      </c>
      <c r="J610" s="1" t="str">
        <f>IFERROR(CONCATENATE("*",VLOOKUP(C610,PARAM!D:E,2,0),VLOOKUP(D610,PARAM!J:K,2,0),VLOOKUP(E610,PARAM!G:H,2,0),VLOOKUP(G610,PARAM!P:Q,2,0),"*"),"")</f>
        <v/>
      </c>
      <c r="K610" s="1" t="str">
        <f t="shared" si="1"/>
        <v>  </v>
      </c>
      <c r="L610" s="1"/>
    </row>
    <row r="611">
      <c r="A611" s="56"/>
      <c r="B611" s="1"/>
      <c r="C611" s="1"/>
      <c r="D611" s="1"/>
      <c r="E611" s="1"/>
      <c r="F611" s="1"/>
      <c r="G611" s="60" t="s">
        <v>503</v>
      </c>
      <c r="H611" s="1" t="s">
        <v>476</v>
      </c>
      <c r="I611" s="1" t="str">
        <f>IFERROR(CONCATENATE(VLOOKUP(C611,PARAM!D:E,2,0),VLOOKUP(D611,PARAM!J:K,2,0),VLOOKUP(E611,PARAM!G:H,2,0),VLOOKUP(G611,PARAM!P:Q,2,0)),"")</f>
        <v/>
      </c>
      <c r="J611" s="1" t="str">
        <f>IFERROR(CONCATENATE("*",VLOOKUP(C611,PARAM!D:E,2,0),VLOOKUP(D611,PARAM!J:K,2,0),VLOOKUP(E611,PARAM!G:H,2,0),VLOOKUP(G611,PARAM!P:Q,2,0),"*"),"")</f>
        <v/>
      </c>
      <c r="K611" s="1" t="str">
        <f t="shared" si="1"/>
        <v>  </v>
      </c>
      <c r="L611" s="1"/>
    </row>
    <row r="612">
      <c r="A612" s="56"/>
      <c r="B612" s="1"/>
      <c r="C612" s="1"/>
      <c r="D612" s="1"/>
      <c r="E612" s="1"/>
      <c r="F612" s="1"/>
      <c r="G612" s="60" t="s">
        <v>503</v>
      </c>
      <c r="H612" s="1" t="s">
        <v>476</v>
      </c>
      <c r="I612" s="1" t="str">
        <f>IFERROR(CONCATENATE(VLOOKUP(C612,PARAM!D:E,2,0),VLOOKUP(D612,PARAM!J:K,2,0),VLOOKUP(E612,PARAM!G:H,2,0),VLOOKUP(G612,PARAM!P:Q,2,0)),"")</f>
        <v/>
      </c>
      <c r="J612" s="1" t="str">
        <f>IFERROR(CONCATENATE("*",VLOOKUP(C612,PARAM!D:E,2,0),VLOOKUP(D612,PARAM!J:K,2,0),VLOOKUP(E612,PARAM!G:H,2,0),VLOOKUP(G612,PARAM!P:Q,2,0),"*"),"")</f>
        <v/>
      </c>
      <c r="K612" s="1" t="str">
        <f t="shared" si="1"/>
        <v>  </v>
      </c>
      <c r="L612" s="1"/>
    </row>
    <row r="613">
      <c r="A613" s="56"/>
      <c r="B613" s="1"/>
      <c r="C613" s="1"/>
      <c r="D613" s="1"/>
      <c r="E613" s="1"/>
      <c r="F613" s="1"/>
      <c r="G613" s="60" t="s">
        <v>503</v>
      </c>
      <c r="H613" s="1" t="s">
        <v>476</v>
      </c>
      <c r="I613" s="1" t="str">
        <f>IFERROR(CONCATENATE(VLOOKUP(C613,PARAM!D:E,2,0),VLOOKUP(D613,PARAM!J:K,2,0),VLOOKUP(E613,PARAM!G:H,2,0),VLOOKUP(G613,PARAM!P:Q,2,0)),"")</f>
        <v/>
      </c>
      <c r="J613" s="1" t="str">
        <f>IFERROR(CONCATENATE("*",VLOOKUP(C613,PARAM!D:E,2,0),VLOOKUP(D613,PARAM!J:K,2,0),VLOOKUP(E613,PARAM!G:H,2,0),VLOOKUP(G613,PARAM!P:Q,2,0),"*"),"")</f>
        <v/>
      </c>
      <c r="K613" s="1" t="str">
        <f t="shared" si="1"/>
        <v>  </v>
      </c>
      <c r="L613" s="1"/>
    </row>
    <row r="614">
      <c r="A614" s="56"/>
      <c r="B614" s="1"/>
      <c r="C614" s="1"/>
      <c r="D614" s="1"/>
      <c r="E614" s="1"/>
      <c r="F614" s="1"/>
      <c r="G614" s="60" t="s">
        <v>503</v>
      </c>
      <c r="H614" s="1" t="s">
        <v>476</v>
      </c>
      <c r="I614" s="1" t="str">
        <f>IFERROR(CONCATENATE(VLOOKUP(C614,PARAM!D:E,2,0),VLOOKUP(D614,PARAM!J:K,2,0),VLOOKUP(E614,PARAM!G:H,2,0),VLOOKUP(G614,PARAM!P:Q,2,0)),"")</f>
        <v/>
      </c>
      <c r="J614" s="1" t="str">
        <f>IFERROR(CONCATENATE("*",VLOOKUP(C614,PARAM!D:E,2,0),VLOOKUP(D614,PARAM!J:K,2,0),VLOOKUP(E614,PARAM!G:H,2,0),VLOOKUP(G614,PARAM!P:Q,2,0),"*"),"")</f>
        <v/>
      </c>
      <c r="K614" s="1" t="str">
        <f t="shared" si="1"/>
        <v>  </v>
      </c>
      <c r="L614" s="1"/>
    </row>
    <row r="615">
      <c r="A615" s="56"/>
      <c r="B615" s="1"/>
      <c r="C615" s="1"/>
      <c r="D615" s="1"/>
      <c r="E615" s="1"/>
      <c r="F615" s="1"/>
      <c r="G615" s="60" t="s">
        <v>503</v>
      </c>
      <c r="H615" s="1" t="s">
        <v>476</v>
      </c>
      <c r="I615" s="1" t="str">
        <f>IFERROR(CONCATENATE(VLOOKUP(C615,PARAM!D:E,2,0),VLOOKUP(D615,PARAM!J:K,2,0),VLOOKUP(E615,PARAM!G:H,2,0),VLOOKUP(G615,PARAM!P:Q,2,0)),"")</f>
        <v/>
      </c>
      <c r="J615" s="1" t="str">
        <f>IFERROR(CONCATENATE("*",VLOOKUP(C615,PARAM!D:E,2,0),VLOOKUP(D615,PARAM!J:K,2,0),VLOOKUP(E615,PARAM!G:H,2,0),VLOOKUP(G615,PARAM!P:Q,2,0),"*"),"")</f>
        <v/>
      </c>
      <c r="K615" s="1" t="str">
        <f t="shared" si="1"/>
        <v>  </v>
      </c>
      <c r="L615" s="1"/>
    </row>
    <row r="616">
      <c r="A616" s="56"/>
      <c r="B616" s="1"/>
      <c r="C616" s="1"/>
      <c r="D616" s="1"/>
      <c r="E616" s="1"/>
      <c r="F616" s="1"/>
      <c r="G616" s="60" t="s">
        <v>503</v>
      </c>
      <c r="H616" s="1" t="s">
        <v>476</v>
      </c>
      <c r="I616" s="1" t="str">
        <f>IFERROR(CONCATENATE(VLOOKUP(C616,PARAM!D:E,2,0),VLOOKUP(D616,PARAM!J:K,2,0),VLOOKUP(E616,PARAM!G:H,2,0),VLOOKUP(G616,PARAM!P:Q,2,0)),"")</f>
        <v/>
      </c>
      <c r="J616" s="1" t="str">
        <f>IFERROR(CONCATENATE("*",VLOOKUP(C616,PARAM!D:E,2,0),VLOOKUP(D616,PARAM!J:K,2,0),VLOOKUP(E616,PARAM!G:H,2,0),VLOOKUP(G616,PARAM!P:Q,2,0),"*"),"")</f>
        <v/>
      </c>
      <c r="K616" s="1" t="str">
        <f t="shared" si="1"/>
        <v>  </v>
      </c>
      <c r="L616" s="1"/>
    </row>
    <row r="617">
      <c r="A617" s="56"/>
      <c r="B617" s="1"/>
      <c r="C617" s="1"/>
      <c r="D617" s="1"/>
      <c r="E617" s="1"/>
      <c r="F617" s="1"/>
      <c r="G617" s="60" t="s">
        <v>503</v>
      </c>
      <c r="H617" s="1" t="s">
        <v>476</v>
      </c>
      <c r="I617" s="1" t="str">
        <f>IFERROR(CONCATENATE(VLOOKUP(C617,PARAM!D:E,2,0),VLOOKUP(D617,PARAM!J:K,2,0),VLOOKUP(E617,PARAM!G:H,2,0),VLOOKUP(G617,PARAM!P:Q,2,0)),"")</f>
        <v/>
      </c>
      <c r="J617" s="1" t="str">
        <f>IFERROR(CONCATENATE("*",VLOOKUP(C617,PARAM!D:E,2,0),VLOOKUP(D617,PARAM!J:K,2,0),VLOOKUP(E617,PARAM!G:H,2,0),VLOOKUP(G617,PARAM!P:Q,2,0),"*"),"")</f>
        <v/>
      </c>
      <c r="K617" s="1" t="str">
        <f t="shared" si="1"/>
        <v>  </v>
      </c>
      <c r="L617" s="1"/>
    </row>
    <row r="618">
      <c r="A618" s="56"/>
      <c r="B618" s="1"/>
      <c r="C618" s="1"/>
      <c r="D618" s="1"/>
      <c r="E618" s="1"/>
      <c r="F618" s="1"/>
      <c r="G618" s="60" t="s">
        <v>503</v>
      </c>
      <c r="H618" s="1" t="s">
        <v>476</v>
      </c>
      <c r="I618" s="1" t="str">
        <f>IFERROR(CONCATENATE(VLOOKUP(C618,PARAM!D:E,2,0),VLOOKUP(D618,PARAM!J:K,2,0),VLOOKUP(E618,PARAM!G:H,2,0),VLOOKUP(G618,PARAM!P:Q,2,0)),"")</f>
        <v/>
      </c>
      <c r="J618" s="1" t="str">
        <f>IFERROR(CONCATENATE("*",VLOOKUP(C618,PARAM!D:E,2,0),VLOOKUP(D618,PARAM!J:K,2,0),VLOOKUP(E618,PARAM!G:H,2,0),VLOOKUP(G618,PARAM!P:Q,2,0),"*"),"")</f>
        <v/>
      </c>
      <c r="K618" s="1" t="str">
        <f t="shared" si="1"/>
        <v>  </v>
      </c>
      <c r="L618" s="1"/>
    </row>
    <row r="619">
      <c r="A619" s="56"/>
      <c r="B619" s="1"/>
      <c r="C619" s="1"/>
      <c r="D619" s="1"/>
      <c r="E619" s="1"/>
      <c r="F619" s="1"/>
      <c r="G619" s="60" t="s">
        <v>503</v>
      </c>
      <c r="H619" s="1" t="s">
        <v>476</v>
      </c>
      <c r="I619" s="1" t="str">
        <f>IFERROR(CONCATENATE(VLOOKUP(C619,PARAM!D:E,2,0),VLOOKUP(D619,PARAM!J:K,2,0),VLOOKUP(E619,PARAM!G:H,2,0),VLOOKUP(G619,PARAM!P:Q,2,0)),"")</f>
        <v/>
      </c>
      <c r="J619" s="1" t="str">
        <f>IFERROR(CONCATENATE("*",VLOOKUP(C619,PARAM!D:E,2,0),VLOOKUP(D619,PARAM!J:K,2,0),VLOOKUP(E619,PARAM!G:H,2,0),VLOOKUP(G619,PARAM!P:Q,2,0),"*"),"")</f>
        <v/>
      </c>
      <c r="K619" s="1" t="str">
        <f t="shared" si="1"/>
        <v>  </v>
      </c>
      <c r="L619" s="1"/>
    </row>
    <row r="620">
      <c r="A620" s="56"/>
      <c r="B620" s="1"/>
      <c r="C620" s="1"/>
      <c r="D620" s="1"/>
      <c r="E620" s="1"/>
      <c r="F620" s="1"/>
      <c r="G620" s="60" t="s">
        <v>503</v>
      </c>
      <c r="H620" s="1" t="s">
        <v>476</v>
      </c>
      <c r="I620" s="1" t="str">
        <f>IFERROR(CONCATENATE(VLOOKUP(C620,PARAM!D:E,2,0),VLOOKUP(D620,PARAM!J:K,2,0),VLOOKUP(E620,PARAM!G:H,2,0),VLOOKUP(G620,PARAM!P:Q,2,0)),"")</f>
        <v/>
      </c>
      <c r="J620" s="1" t="str">
        <f>IFERROR(CONCATENATE("*",VLOOKUP(C620,PARAM!D:E,2,0),VLOOKUP(D620,PARAM!J:K,2,0),VLOOKUP(E620,PARAM!G:H,2,0),VLOOKUP(G620,PARAM!P:Q,2,0),"*"),"")</f>
        <v/>
      </c>
      <c r="K620" s="1" t="str">
        <f t="shared" si="1"/>
        <v>  </v>
      </c>
      <c r="L620" s="1"/>
    </row>
    <row r="621">
      <c r="A621" s="56"/>
      <c r="B621" s="1"/>
      <c r="C621" s="1"/>
      <c r="D621" s="1"/>
      <c r="E621" s="1"/>
      <c r="F621" s="1"/>
      <c r="G621" s="60" t="s">
        <v>503</v>
      </c>
      <c r="H621" s="1" t="s">
        <v>476</v>
      </c>
      <c r="I621" s="1" t="str">
        <f>IFERROR(CONCATENATE(VLOOKUP(C621,PARAM!D:E,2,0),VLOOKUP(D621,PARAM!J:K,2,0),VLOOKUP(E621,PARAM!G:H,2,0),VLOOKUP(G621,PARAM!P:Q,2,0)),"")</f>
        <v/>
      </c>
      <c r="J621" s="1" t="str">
        <f>IFERROR(CONCATENATE("*",VLOOKUP(C621,PARAM!D:E,2,0),VLOOKUP(D621,PARAM!J:K,2,0),VLOOKUP(E621,PARAM!G:H,2,0),VLOOKUP(G621,PARAM!P:Q,2,0),"*"),"")</f>
        <v/>
      </c>
      <c r="K621" s="1" t="str">
        <f t="shared" si="1"/>
        <v>  </v>
      </c>
      <c r="L621" s="1"/>
    </row>
    <row r="622">
      <c r="A622" s="56"/>
      <c r="B622" s="1"/>
      <c r="C622" s="1"/>
      <c r="D622" s="1"/>
      <c r="E622" s="1"/>
      <c r="F622" s="1"/>
      <c r="G622" s="60" t="s">
        <v>503</v>
      </c>
      <c r="H622" s="1" t="s">
        <v>476</v>
      </c>
      <c r="I622" s="1" t="str">
        <f>IFERROR(CONCATENATE(VLOOKUP(C622,PARAM!D:E,2,0),VLOOKUP(D622,PARAM!J:K,2,0),VLOOKUP(E622,PARAM!G:H,2,0),VLOOKUP(G622,PARAM!P:Q,2,0)),"")</f>
        <v/>
      </c>
      <c r="J622" s="1" t="str">
        <f>IFERROR(CONCATENATE("*",VLOOKUP(C622,PARAM!D:E,2,0),VLOOKUP(D622,PARAM!J:K,2,0),VLOOKUP(E622,PARAM!G:H,2,0),VLOOKUP(G622,PARAM!P:Q,2,0),"*"),"")</f>
        <v/>
      </c>
      <c r="K622" s="1" t="str">
        <f t="shared" si="1"/>
        <v>  </v>
      </c>
      <c r="L622" s="1"/>
    </row>
    <row r="623">
      <c r="A623" s="56"/>
      <c r="B623" s="1"/>
      <c r="C623" s="1"/>
      <c r="D623" s="1"/>
      <c r="E623" s="1"/>
      <c r="F623" s="1"/>
      <c r="G623" s="60" t="s">
        <v>503</v>
      </c>
      <c r="H623" s="1" t="s">
        <v>476</v>
      </c>
      <c r="I623" s="1" t="str">
        <f>IFERROR(CONCATENATE(VLOOKUP(C623,PARAM!D:E,2,0),VLOOKUP(D623,PARAM!J:K,2,0),VLOOKUP(E623,PARAM!G:H,2,0),VLOOKUP(G623,PARAM!P:Q,2,0)),"")</f>
        <v/>
      </c>
      <c r="J623" s="1" t="str">
        <f>IFERROR(CONCATENATE("*",VLOOKUP(C623,PARAM!D:E,2,0),VLOOKUP(D623,PARAM!J:K,2,0),VLOOKUP(E623,PARAM!G:H,2,0),VLOOKUP(G623,PARAM!P:Q,2,0),"*"),"")</f>
        <v/>
      </c>
      <c r="K623" s="1" t="str">
        <f t="shared" si="1"/>
        <v>  </v>
      </c>
      <c r="L623" s="1"/>
    </row>
    <row r="624">
      <c r="A624" s="56"/>
      <c r="B624" s="1"/>
      <c r="C624" s="1"/>
      <c r="D624" s="1"/>
      <c r="E624" s="1"/>
      <c r="F624" s="1"/>
      <c r="G624" s="60" t="s">
        <v>503</v>
      </c>
      <c r="H624" s="1" t="s">
        <v>476</v>
      </c>
      <c r="I624" s="1" t="str">
        <f>IFERROR(CONCATENATE(VLOOKUP(C624,PARAM!D:E,2,0),VLOOKUP(D624,PARAM!J:K,2,0),VLOOKUP(E624,PARAM!G:H,2,0),VLOOKUP(G624,PARAM!P:Q,2,0)),"")</f>
        <v/>
      </c>
      <c r="J624" s="1" t="str">
        <f>IFERROR(CONCATENATE("*",VLOOKUP(C624,PARAM!D:E,2,0),VLOOKUP(D624,PARAM!J:K,2,0),VLOOKUP(E624,PARAM!G:H,2,0),VLOOKUP(G624,PARAM!P:Q,2,0),"*"),"")</f>
        <v/>
      </c>
      <c r="K624" s="1" t="str">
        <f t="shared" si="1"/>
        <v>  </v>
      </c>
      <c r="L624" s="1"/>
    </row>
    <row r="625">
      <c r="A625" s="56"/>
      <c r="B625" s="1"/>
      <c r="C625" s="1"/>
      <c r="D625" s="1"/>
      <c r="E625" s="1"/>
      <c r="F625" s="1"/>
      <c r="G625" s="60" t="s">
        <v>503</v>
      </c>
      <c r="H625" s="1" t="s">
        <v>476</v>
      </c>
      <c r="I625" s="1" t="str">
        <f>IFERROR(CONCATENATE(VLOOKUP(C625,PARAM!D:E,2,0),VLOOKUP(D625,PARAM!J:K,2,0),VLOOKUP(E625,PARAM!G:H,2,0),VLOOKUP(G625,PARAM!P:Q,2,0)),"")</f>
        <v/>
      </c>
      <c r="J625" s="1" t="str">
        <f>IFERROR(CONCATENATE("*",VLOOKUP(C625,PARAM!D:E,2,0),VLOOKUP(D625,PARAM!J:K,2,0),VLOOKUP(E625,PARAM!G:H,2,0),VLOOKUP(G625,PARAM!P:Q,2,0),"*"),"")</f>
        <v/>
      </c>
      <c r="K625" s="1" t="str">
        <f t="shared" si="1"/>
        <v>  </v>
      </c>
      <c r="L625" s="1"/>
    </row>
    <row r="626">
      <c r="A626" s="56"/>
      <c r="B626" s="1"/>
      <c r="C626" s="1"/>
      <c r="D626" s="1"/>
      <c r="E626" s="1"/>
      <c r="F626" s="1"/>
      <c r="G626" s="60" t="s">
        <v>503</v>
      </c>
      <c r="H626" s="1" t="s">
        <v>476</v>
      </c>
      <c r="I626" s="1" t="str">
        <f>IFERROR(CONCATENATE(VLOOKUP(C626,PARAM!D:E,2,0),VLOOKUP(D626,PARAM!J:K,2,0),VLOOKUP(E626,PARAM!G:H,2,0),VLOOKUP(G626,PARAM!P:Q,2,0)),"")</f>
        <v/>
      </c>
      <c r="J626" s="1" t="str">
        <f>IFERROR(CONCATENATE("*",VLOOKUP(C626,PARAM!D:E,2,0),VLOOKUP(D626,PARAM!J:K,2,0),VLOOKUP(E626,PARAM!G:H,2,0),VLOOKUP(G626,PARAM!P:Q,2,0),"*"),"")</f>
        <v/>
      </c>
      <c r="K626" s="1" t="str">
        <f t="shared" si="1"/>
        <v>  </v>
      </c>
      <c r="L626" s="1"/>
    </row>
    <row r="627">
      <c r="A627" s="56"/>
      <c r="B627" s="1"/>
      <c r="C627" s="1"/>
      <c r="D627" s="1"/>
      <c r="E627" s="1"/>
      <c r="F627" s="1"/>
      <c r="G627" s="60" t="s">
        <v>503</v>
      </c>
      <c r="H627" s="1" t="s">
        <v>476</v>
      </c>
      <c r="I627" s="1" t="str">
        <f>IFERROR(CONCATENATE(VLOOKUP(C627,PARAM!D:E,2,0),VLOOKUP(D627,PARAM!J:K,2,0),VLOOKUP(E627,PARAM!G:H,2,0),VLOOKUP(G627,PARAM!P:Q,2,0)),"")</f>
        <v/>
      </c>
      <c r="J627" s="1" t="str">
        <f>IFERROR(CONCATENATE("*",VLOOKUP(C627,PARAM!D:E,2,0),VLOOKUP(D627,PARAM!J:K,2,0),VLOOKUP(E627,PARAM!G:H,2,0),VLOOKUP(G627,PARAM!P:Q,2,0),"*"),"")</f>
        <v/>
      </c>
      <c r="K627" s="1" t="str">
        <f t="shared" si="1"/>
        <v>  </v>
      </c>
      <c r="L627" s="1"/>
    </row>
    <row r="628">
      <c r="A628" s="56"/>
      <c r="B628" s="1"/>
      <c r="C628" s="1"/>
      <c r="D628" s="1"/>
      <c r="E628" s="1"/>
      <c r="F628" s="1"/>
      <c r="G628" s="60" t="s">
        <v>503</v>
      </c>
      <c r="H628" s="1" t="s">
        <v>476</v>
      </c>
      <c r="I628" s="1" t="str">
        <f>IFERROR(CONCATENATE(VLOOKUP(C628,PARAM!D:E,2,0),VLOOKUP(D628,PARAM!J:K,2,0),VLOOKUP(E628,PARAM!G:H,2,0),VLOOKUP(G628,PARAM!P:Q,2,0)),"")</f>
        <v/>
      </c>
      <c r="J628" s="1" t="str">
        <f>IFERROR(CONCATENATE("*",VLOOKUP(C628,PARAM!D:E,2,0),VLOOKUP(D628,PARAM!J:K,2,0),VLOOKUP(E628,PARAM!G:H,2,0),VLOOKUP(G628,PARAM!P:Q,2,0),"*"),"")</f>
        <v/>
      </c>
      <c r="K628" s="1" t="str">
        <f t="shared" si="1"/>
        <v>  </v>
      </c>
      <c r="L628" s="1"/>
    </row>
    <row r="629">
      <c r="A629" s="56"/>
      <c r="B629" s="1"/>
      <c r="C629" s="1"/>
      <c r="D629" s="1"/>
      <c r="E629" s="1"/>
      <c r="F629" s="1"/>
      <c r="G629" s="60" t="s">
        <v>503</v>
      </c>
      <c r="H629" s="1" t="s">
        <v>476</v>
      </c>
      <c r="I629" s="1" t="str">
        <f>IFERROR(CONCATENATE(VLOOKUP(C629,PARAM!D:E,2,0),VLOOKUP(D629,PARAM!J:K,2,0),VLOOKUP(E629,PARAM!G:H,2,0),VLOOKUP(G629,PARAM!P:Q,2,0)),"")</f>
        <v/>
      </c>
      <c r="J629" s="1" t="str">
        <f>IFERROR(CONCATENATE("*",VLOOKUP(C629,PARAM!D:E,2,0),VLOOKUP(D629,PARAM!J:K,2,0),VLOOKUP(E629,PARAM!G:H,2,0),VLOOKUP(G629,PARAM!P:Q,2,0),"*"),"")</f>
        <v/>
      </c>
      <c r="K629" s="1" t="str">
        <f t="shared" si="1"/>
        <v>  </v>
      </c>
      <c r="L629" s="1"/>
    </row>
    <row r="630">
      <c r="A630" s="56"/>
      <c r="B630" s="1"/>
      <c r="C630" s="1"/>
      <c r="D630" s="1"/>
      <c r="E630" s="1"/>
      <c r="F630" s="1"/>
      <c r="G630" s="60" t="s">
        <v>503</v>
      </c>
      <c r="H630" s="1" t="s">
        <v>476</v>
      </c>
      <c r="I630" s="1" t="str">
        <f>IFERROR(CONCATENATE(VLOOKUP(C630,PARAM!D:E,2,0),VLOOKUP(D630,PARAM!J:K,2,0),VLOOKUP(E630,PARAM!G:H,2,0),VLOOKUP(G630,PARAM!P:Q,2,0)),"")</f>
        <v/>
      </c>
      <c r="J630" s="1" t="str">
        <f>IFERROR(CONCATENATE("*",VLOOKUP(C630,PARAM!D:E,2,0),VLOOKUP(D630,PARAM!J:K,2,0),VLOOKUP(E630,PARAM!G:H,2,0),VLOOKUP(G630,PARAM!P:Q,2,0),"*"),"")</f>
        <v/>
      </c>
      <c r="K630" s="1" t="str">
        <f t="shared" si="1"/>
        <v>  </v>
      </c>
      <c r="L630" s="1"/>
    </row>
    <row r="631">
      <c r="A631" s="56"/>
      <c r="B631" s="1"/>
      <c r="C631" s="1"/>
      <c r="D631" s="1"/>
      <c r="E631" s="1"/>
      <c r="F631" s="1"/>
      <c r="G631" s="60" t="s">
        <v>503</v>
      </c>
      <c r="H631" s="1" t="s">
        <v>476</v>
      </c>
      <c r="I631" s="1" t="str">
        <f>IFERROR(CONCATENATE(VLOOKUP(C631,PARAM!D:E,2,0),VLOOKUP(D631,PARAM!J:K,2,0),VLOOKUP(E631,PARAM!G:H,2,0),VLOOKUP(G631,PARAM!P:Q,2,0)),"")</f>
        <v/>
      </c>
      <c r="J631" s="1" t="str">
        <f>IFERROR(CONCATENATE("*",VLOOKUP(C631,PARAM!D:E,2,0),VLOOKUP(D631,PARAM!J:K,2,0),VLOOKUP(E631,PARAM!G:H,2,0),VLOOKUP(G631,PARAM!P:Q,2,0),"*"),"")</f>
        <v/>
      </c>
      <c r="K631" s="1" t="str">
        <f t="shared" si="1"/>
        <v>  </v>
      </c>
      <c r="L631" s="1"/>
    </row>
    <row r="632">
      <c r="A632" s="56"/>
      <c r="B632" s="1"/>
      <c r="C632" s="1"/>
      <c r="D632" s="1"/>
      <c r="E632" s="1"/>
      <c r="F632" s="1"/>
      <c r="G632" s="60" t="s">
        <v>503</v>
      </c>
      <c r="H632" s="1" t="s">
        <v>476</v>
      </c>
      <c r="I632" s="1" t="str">
        <f>IFERROR(CONCATENATE(VLOOKUP(C632,PARAM!D:E,2,0),VLOOKUP(D632,PARAM!J:K,2,0),VLOOKUP(E632,PARAM!G:H,2,0),VLOOKUP(G632,PARAM!P:Q,2,0)),"")</f>
        <v/>
      </c>
      <c r="J632" s="1" t="str">
        <f>IFERROR(CONCATENATE("*",VLOOKUP(C632,PARAM!D:E,2,0),VLOOKUP(D632,PARAM!J:K,2,0),VLOOKUP(E632,PARAM!G:H,2,0),VLOOKUP(G632,PARAM!P:Q,2,0),"*"),"")</f>
        <v/>
      </c>
      <c r="K632" s="1" t="str">
        <f t="shared" si="1"/>
        <v>  </v>
      </c>
      <c r="L632" s="1"/>
    </row>
    <row r="633">
      <c r="A633" s="56"/>
      <c r="B633" s="1"/>
      <c r="C633" s="1"/>
      <c r="D633" s="1"/>
      <c r="E633" s="1"/>
      <c r="F633" s="1"/>
      <c r="G633" s="60" t="s">
        <v>503</v>
      </c>
      <c r="H633" s="1" t="s">
        <v>476</v>
      </c>
      <c r="I633" s="1" t="str">
        <f>IFERROR(CONCATENATE(VLOOKUP(C633,PARAM!D:E,2,0),VLOOKUP(D633,PARAM!J:K,2,0),VLOOKUP(E633,PARAM!G:H,2,0),VLOOKUP(G633,PARAM!P:Q,2,0)),"")</f>
        <v/>
      </c>
      <c r="J633" s="1" t="str">
        <f>IFERROR(CONCATENATE("*",VLOOKUP(C633,PARAM!D:E,2,0),VLOOKUP(D633,PARAM!J:K,2,0),VLOOKUP(E633,PARAM!G:H,2,0),VLOOKUP(G633,PARAM!P:Q,2,0),"*"),"")</f>
        <v/>
      </c>
      <c r="K633" s="1" t="str">
        <f t="shared" si="1"/>
        <v>  </v>
      </c>
      <c r="L633" s="1"/>
    </row>
    <row r="634">
      <c r="A634" s="56"/>
      <c r="B634" s="1"/>
      <c r="C634" s="1"/>
      <c r="D634" s="1"/>
      <c r="E634" s="1"/>
      <c r="F634" s="1"/>
      <c r="G634" s="60" t="s">
        <v>503</v>
      </c>
      <c r="H634" s="1" t="s">
        <v>476</v>
      </c>
      <c r="I634" s="1" t="str">
        <f>IFERROR(CONCATENATE(VLOOKUP(C634,PARAM!D:E,2,0),VLOOKUP(D634,PARAM!J:K,2,0),VLOOKUP(E634,PARAM!G:H,2,0),VLOOKUP(G634,PARAM!P:Q,2,0)),"")</f>
        <v/>
      </c>
      <c r="J634" s="1" t="str">
        <f>IFERROR(CONCATENATE("*",VLOOKUP(C634,PARAM!D:E,2,0),VLOOKUP(D634,PARAM!J:K,2,0),VLOOKUP(E634,PARAM!G:H,2,0),VLOOKUP(G634,PARAM!P:Q,2,0),"*"),"")</f>
        <v/>
      </c>
      <c r="K634" s="1" t="str">
        <f t="shared" si="1"/>
        <v>  </v>
      </c>
      <c r="L634" s="1"/>
    </row>
    <row r="635">
      <c r="A635" s="56"/>
      <c r="B635" s="1"/>
      <c r="C635" s="1"/>
      <c r="D635" s="1"/>
      <c r="E635" s="1"/>
      <c r="F635" s="1"/>
      <c r="G635" s="60" t="s">
        <v>503</v>
      </c>
      <c r="H635" s="1" t="s">
        <v>476</v>
      </c>
      <c r="I635" s="1" t="str">
        <f>IFERROR(CONCATENATE(VLOOKUP(C635,PARAM!D:E,2,0),VLOOKUP(D635,PARAM!J:K,2,0),VLOOKUP(E635,PARAM!G:H,2,0),VLOOKUP(G635,PARAM!P:Q,2,0)),"")</f>
        <v/>
      </c>
      <c r="J635" s="1" t="str">
        <f>IFERROR(CONCATENATE("*",VLOOKUP(C635,PARAM!D:E,2,0),VLOOKUP(D635,PARAM!J:K,2,0),VLOOKUP(E635,PARAM!G:H,2,0),VLOOKUP(G635,PARAM!P:Q,2,0),"*"),"")</f>
        <v/>
      </c>
      <c r="K635" s="1" t="str">
        <f t="shared" si="1"/>
        <v>  </v>
      </c>
      <c r="L635" s="1"/>
    </row>
    <row r="636">
      <c r="A636" s="56"/>
      <c r="B636" s="1"/>
      <c r="C636" s="1"/>
      <c r="D636" s="1"/>
      <c r="E636" s="1"/>
      <c r="F636" s="1"/>
      <c r="G636" s="60" t="s">
        <v>503</v>
      </c>
      <c r="H636" s="1" t="s">
        <v>476</v>
      </c>
      <c r="I636" s="1" t="str">
        <f>IFERROR(CONCATENATE(VLOOKUP(C636,PARAM!D:E,2,0),VLOOKUP(D636,PARAM!J:K,2,0),VLOOKUP(E636,PARAM!G:H,2,0),VLOOKUP(G636,PARAM!P:Q,2,0)),"")</f>
        <v/>
      </c>
      <c r="J636" s="1" t="str">
        <f>IFERROR(CONCATENATE("*",VLOOKUP(C636,PARAM!D:E,2,0),VLOOKUP(D636,PARAM!J:K,2,0),VLOOKUP(E636,PARAM!G:H,2,0),VLOOKUP(G636,PARAM!P:Q,2,0),"*"),"")</f>
        <v/>
      </c>
      <c r="K636" s="1" t="str">
        <f t="shared" si="1"/>
        <v>  </v>
      </c>
      <c r="L636" s="1"/>
    </row>
    <row r="637">
      <c r="A637" s="56"/>
      <c r="B637" s="1"/>
      <c r="C637" s="1"/>
      <c r="D637" s="1"/>
      <c r="E637" s="1"/>
      <c r="F637" s="1"/>
      <c r="G637" s="60" t="s">
        <v>503</v>
      </c>
      <c r="H637" s="1" t="s">
        <v>476</v>
      </c>
      <c r="I637" s="1" t="str">
        <f>IFERROR(CONCATENATE(VLOOKUP(C637,PARAM!D:E,2,0),VLOOKUP(D637,PARAM!J:K,2,0),VLOOKUP(E637,PARAM!G:H,2,0),VLOOKUP(G637,PARAM!P:Q,2,0)),"")</f>
        <v/>
      </c>
      <c r="J637" s="1" t="str">
        <f>IFERROR(CONCATENATE("*",VLOOKUP(C637,PARAM!D:E,2,0),VLOOKUP(D637,PARAM!J:K,2,0),VLOOKUP(E637,PARAM!G:H,2,0),VLOOKUP(G637,PARAM!P:Q,2,0),"*"),"")</f>
        <v/>
      </c>
      <c r="K637" s="1" t="str">
        <f t="shared" si="1"/>
        <v>  </v>
      </c>
      <c r="L637" s="1"/>
    </row>
    <row r="638">
      <c r="A638" s="56"/>
      <c r="B638" s="1"/>
      <c r="C638" s="1"/>
      <c r="D638" s="1"/>
      <c r="E638" s="1"/>
      <c r="F638" s="1"/>
      <c r="G638" s="60" t="s">
        <v>503</v>
      </c>
      <c r="H638" s="1" t="s">
        <v>476</v>
      </c>
      <c r="I638" s="1" t="str">
        <f>IFERROR(CONCATENATE(VLOOKUP(C638,PARAM!D:E,2,0),VLOOKUP(D638,PARAM!J:K,2,0),VLOOKUP(E638,PARAM!G:H,2,0),VLOOKUP(G638,PARAM!P:Q,2,0)),"")</f>
        <v/>
      </c>
      <c r="J638" s="1" t="str">
        <f>IFERROR(CONCATENATE("*",VLOOKUP(C638,PARAM!D:E,2,0),VLOOKUP(D638,PARAM!J:K,2,0),VLOOKUP(E638,PARAM!G:H,2,0),VLOOKUP(G638,PARAM!P:Q,2,0),"*"),"")</f>
        <v/>
      </c>
      <c r="K638" s="1" t="str">
        <f t="shared" si="1"/>
        <v>  </v>
      </c>
      <c r="L638" s="1"/>
    </row>
    <row r="639">
      <c r="A639" s="56"/>
      <c r="B639" s="1"/>
      <c r="C639" s="1"/>
      <c r="D639" s="1"/>
      <c r="E639" s="1"/>
      <c r="F639" s="1"/>
      <c r="G639" s="60" t="s">
        <v>503</v>
      </c>
      <c r="H639" s="1" t="s">
        <v>476</v>
      </c>
      <c r="I639" s="1" t="str">
        <f>IFERROR(CONCATENATE(VLOOKUP(C639,PARAM!D:E,2,0),VLOOKUP(D639,PARAM!J:K,2,0),VLOOKUP(E639,PARAM!G:H,2,0),VLOOKUP(G639,PARAM!P:Q,2,0)),"")</f>
        <v/>
      </c>
      <c r="J639" s="1" t="str">
        <f>IFERROR(CONCATENATE("*",VLOOKUP(C639,PARAM!D:E,2,0),VLOOKUP(D639,PARAM!J:K,2,0),VLOOKUP(E639,PARAM!G:H,2,0),VLOOKUP(G639,PARAM!P:Q,2,0),"*"),"")</f>
        <v/>
      </c>
      <c r="K639" s="1" t="str">
        <f t="shared" si="1"/>
        <v>  </v>
      </c>
      <c r="L639" s="1"/>
    </row>
    <row r="640">
      <c r="A640" s="56"/>
      <c r="B640" s="1"/>
      <c r="C640" s="1"/>
      <c r="D640" s="1"/>
      <c r="E640" s="1"/>
      <c r="F640" s="1"/>
      <c r="G640" s="60" t="s">
        <v>503</v>
      </c>
      <c r="H640" s="1" t="s">
        <v>476</v>
      </c>
      <c r="I640" s="1" t="str">
        <f>IFERROR(CONCATENATE(VLOOKUP(C640,PARAM!D:E,2,0),VLOOKUP(D640,PARAM!J:K,2,0),VLOOKUP(E640,PARAM!G:H,2,0),VLOOKUP(G640,PARAM!P:Q,2,0)),"")</f>
        <v/>
      </c>
      <c r="J640" s="1" t="str">
        <f>IFERROR(CONCATENATE("*",VLOOKUP(C640,PARAM!D:E,2,0),VLOOKUP(D640,PARAM!J:K,2,0),VLOOKUP(E640,PARAM!G:H,2,0),VLOOKUP(G640,PARAM!P:Q,2,0),"*"),"")</f>
        <v/>
      </c>
      <c r="K640" s="1" t="str">
        <f t="shared" si="1"/>
        <v>  </v>
      </c>
      <c r="L640" s="1"/>
    </row>
    <row r="641">
      <c r="A641" s="56"/>
      <c r="B641" s="1"/>
      <c r="C641" s="1"/>
      <c r="D641" s="1"/>
      <c r="E641" s="1"/>
      <c r="F641" s="1"/>
      <c r="G641" s="60" t="s">
        <v>503</v>
      </c>
      <c r="H641" s="1" t="s">
        <v>476</v>
      </c>
      <c r="I641" s="1" t="str">
        <f>IFERROR(CONCATENATE(VLOOKUP(C641,PARAM!D:E,2,0),VLOOKUP(D641,PARAM!J:K,2,0),VLOOKUP(E641,PARAM!G:H,2,0),VLOOKUP(G641,PARAM!P:Q,2,0)),"")</f>
        <v/>
      </c>
      <c r="J641" s="1" t="str">
        <f>IFERROR(CONCATENATE("*",VLOOKUP(C641,PARAM!D:E,2,0),VLOOKUP(D641,PARAM!J:K,2,0),VLOOKUP(E641,PARAM!G:H,2,0),VLOOKUP(G641,PARAM!P:Q,2,0),"*"),"")</f>
        <v/>
      </c>
      <c r="K641" s="1" t="str">
        <f t="shared" si="1"/>
        <v>  </v>
      </c>
      <c r="L641" s="1"/>
    </row>
    <row r="642">
      <c r="A642" s="56"/>
      <c r="B642" s="1"/>
      <c r="C642" s="1"/>
      <c r="D642" s="1"/>
      <c r="E642" s="1"/>
      <c r="F642" s="1"/>
      <c r="G642" s="60" t="s">
        <v>503</v>
      </c>
      <c r="H642" s="1" t="s">
        <v>476</v>
      </c>
      <c r="I642" s="1" t="str">
        <f>IFERROR(CONCATENATE(VLOOKUP(C642,PARAM!D:E,2,0),VLOOKUP(D642,PARAM!J:K,2,0),VLOOKUP(E642,PARAM!G:H,2,0),VLOOKUP(G642,PARAM!P:Q,2,0)),"")</f>
        <v/>
      </c>
      <c r="J642" s="1" t="str">
        <f>IFERROR(CONCATENATE("*",VLOOKUP(C642,PARAM!D:E,2,0),VLOOKUP(D642,PARAM!J:K,2,0),VLOOKUP(E642,PARAM!G:H,2,0),VLOOKUP(G642,PARAM!P:Q,2,0),"*"),"")</f>
        <v/>
      </c>
      <c r="K642" s="1" t="str">
        <f t="shared" si="1"/>
        <v>  </v>
      </c>
      <c r="L642" s="1"/>
    </row>
    <row r="643">
      <c r="A643" s="56"/>
      <c r="B643" s="1"/>
      <c r="C643" s="1"/>
      <c r="D643" s="1"/>
      <c r="E643" s="1"/>
      <c r="F643" s="1"/>
      <c r="G643" s="60" t="s">
        <v>503</v>
      </c>
      <c r="H643" s="1" t="s">
        <v>476</v>
      </c>
      <c r="I643" s="1" t="str">
        <f>IFERROR(CONCATENATE(VLOOKUP(C643,PARAM!D:E,2,0),VLOOKUP(D643,PARAM!J:K,2,0),VLOOKUP(E643,PARAM!G:H,2,0),VLOOKUP(G643,PARAM!P:Q,2,0)),"")</f>
        <v/>
      </c>
      <c r="J643" s="1" t="str">
        <f>IFERROR(CONCATENATE("*",VLOOKUP(C643,PARAM!D:E,2,0),VLOOKUP(D643,PARAM!J:K,2,0),VLOOKUP(E643,PARAM!G:H,2,0),VLOOKUP(G643,PARAM!P:Q,2,0),"*"),"")</f>
        <v/>
      </c>
      <c r="K643" s="1" t="str">
        <f t="shared" si="1"/>
        <v>  </v>
      </c>
      <c r="L643" s="1"/>
    </row>
    <row r="644">
      <c r="A644" s="56"/>
      <c r="B644" s="1"/>
      <c r="C644" s="1"/>
      <c r="D644" s="1"/>
      <c r="E644" s="1"/>
      <c r="F644" s="1"/>
      <c r="G644" s="60" t="s">
        <v>503</v>
      </c>
      <c r="H644" s="1" t="s">
        <v>476</v>
      </c>
      <c r="I644" s="1" t="str">
        <f>IFERROR(CONCATENATE(VLOOKUP(C644,PARAM!D:E,2,0),VLOOKUP(D644,PARAM!J:K,2,0),VLOOKUP(E644,PARAM!G:H,2,0),VLOOKUP(G644,PARAM!P:Q,2,0)),"")</f>
        <v/>
      </c>
      <c r="J644" s="1" t="str">
        <f>IFERROR(CONCATENATE("*",VLOOKUP(C644,PARAM!D:E,2,0),VLOOKUP(D644,PARAM!J:K,2,0),VLOOKUP(E644,PARAM!G:H,2,0),VLOOKUP(G644,PARAM!P:Q,2,0),"*"),"")</f>
        <v/>
      </c>
      <c r="K644" s="1" t="str">
        <f t="shared" si="1"/>
        <v>  </v>
      </c>
      <c r="L644" s="1"/>
    </row>
    <row r="645">
      <c r="A645" s="56"/>
      <c r="B645" s="1"/>
      <c r="C645" s="1"/>
      <c r="D645" s="1"/>
      <c r="E645" s="1"/>
      <c r="F645" s="1"/>
      <c r="G645" s="60" t="s">
        <v>503</v>
      </c>
      <c r="H645" s="1" t="s">
        <v>476</v>
      </c>
      <c r="I645" s="1" t="str">
        <f>IFERROR(CONCATENATE(VLOOKUP(C645,PARAM!D:E,2,0),VLOOKUP(D645,PARAM!J:K,2,0),VLOOKUP(E645,PARAM!G:H,2,0),VLOOKUP(G645,PARAM!P:Q,2,0)),"")</f>
        <v/>
      </c>
      <c r="J645" s="1" t="str">
        <f>IFERROR(CONCATENATE("*",VLOOKUP(C645,PARAM!D:E,2,0),VLOOKUP(D645,PARAM!J:K,2,0),VLOOKUP(E645,PARAM!G:H,2,0),VLOOKUP(G645,PARAM!P:Q,2,0),"*"),"")</f>
        <v/>
      </c>
      <c r="K645" s="1" t="str">
        <f t="shared" si="1"/>
        <v>  </v>
      </c>
      <c r="L645" s="1"/>
    </row>
    <row r="646">
      <c r="A646" s="56"/>
      <c r="B646" s="1"/>
      <c r="C646" s="1"/>
      <c r="D646" s="1"/>
      <c r="E646" s="1"/>
      <c r="F646" s="1"/>
      <c r="G646" s="60" t="s">
        <v>503</v>
      </c>
      <c r="H646" s="1" t="s">
        <v>476</v>
      </c>
      <c r="I646" s="1" t="str">
        <f>IFERROR(CONCATENATE(VLOOKUP(C646,PARAM!D:E,2,0),VLOOKUP(D646,PARAM!J:K,2,0),VLOOKUP(E646,PARAM!G:H,2,0),VLOOKUP(G646,PARAM!P:Q,2,0)),"")</f>
        <v/>
      </c>
      <c r="J646" s="1" t="str">
        <f>IFERROR(CONCATENATE("*",VLOOKUP(C646,PARAM!D:E,2,0),VLOOKUP(D646,PARAM!J:K,2,0),VLOOKUP(E646,PARAM!G:H,2,0),VLOOKUP(G646,PARAM!P:Q,2,0),"*"),"")</f>
        <v/>
      </c>
      <c r="K646" s="1" t="str">
        <f t="shared" si="1"/>
        <v>  </v>
      </c>
      <c r="L646" s="1"/>
    </row>
    <row r="647">
      <c r="A647" s="56"/>
      <c r="B647" s="1"/>
      <c r="C647" s="1"/>
      <c r="D647" s="1"/>
      <c r="E647" s="1"/>
      <c r="F647" s="1"/>
      <c r="G647" s="60" t="s">
        <v>503</v>
      </c>
      <c r="H647" s="1" t="s">
        <v>476</v>
      </c>
      <c r="I647" s="1" t="str">
        <f>IFERROR(CONCATENATE(VLOOKUP(C647,PARAM!D:E,2,0),VLOOKUP(D647,PARAM!J:K,2,0),VLOOKUP(E647,PARAM!G:H,2,0),VLOOKUP(G647,PARAM!P:Q,2,0)),"")</f>
        <v/>
      </c>
      <c r="J647" s="1" t="str">
        <f>IFERROR(CONCATENATE("*",VLOOKUP(C647,PARAM!D:E,2,0),VLOOKUP(D647,PARAM!J:K,2,0),VLOOKUP(E647,PARAM!G:H,2,0),VLOOKUP(G647,PARAM!P:Q,2,0),"*"),"")</f>
        <v/>
      </c>
      <c r="K647" s="1" t="str">
        <f t="shared" si="1"/>
        <v>  </v>
      </c>
      <c r="L647" s="1"/>
    </row>
    <row r="648">
      <c r="A648" s="56"/>
      <c r="B648" s="1"/>
      <c r="C648" s="1"/>
      <c r="D648" s="1"/>
      <c r="E648" s="1"/>
      <c r="F648" s="1"/>
      <c r="G648" s="60" t="s">
        <v>503</v>
      </c>
      <c r="H648" s="1" t="s">
        <v>476</v>
      </c>
      <c r="I648" s="1" t="str">
        <f>IFERROR(CONCATENATE(VLOOKUP(C648,PARAM!D:E,2,0),VLOOKUP(D648,PARAM!J:K,2,0),VLOOKUP(E648,PARAM!G:H,2,0),VLOOKUP(G648,PARAM!P:Q,2,0)),"")</f>
        <v/>
      </c>
      <c r="J648" s="1" t="str">
        <f>IFERROR(CONCATENATE("*",VLOOKUP(C648,PARAM!D:E,2,0),VLOOKUP(D648,PARAM!J:K,2,0),VLOOKUP(E648,PARAM!G:H,2,0),VLOOKUP(G648,PARAM!P:Q,2,0),"*"),"")</f>
        <v/>
      </c>
      <c r="K648" s="1" t="str">
        <f t="shared" si="1"/>
        <v>  </v>
      </c>
      <c r="L648" s="1"/>
    </row>
    <row r="649">
      <c r="A649" s="56"/>
      <c r="B649" s="1"/>
      <c r="C649" s="1"/>
      <c r="D649" s="1"/>
      <c r="E649" s="1"/>
      <c r="F649" s="1"/>
      <c r="G649" s="60" t="s">
        <v>503</v>
      </c>
      <c r="H649" s="1" t="s">
        <v>476</v>
      </c>
      <c r="I649" s="1" t="str">
        <f>IFERROR(CONCATENATE(VLOOKUP(C649,PARAM!D:E,2,0),VLOOKUP(D649,PARAM!J:K,2,0),VLOOKUP(E649,PARAM!G:H,2,0),VLOOKUP(G649,PARAM!P:Q,2,0)),"")</f>
        <v/>
      </c>
      <c r="J649" s="1" t="str">
        <f>IFERROR(CONCATENATE("*",VLOOKUP(C649,PARAM!D:E,2,0),VLOOKUP(D649,PARAM!J:K,2,0),VLOOKUP(E649,PARAM!G:H,2,0),VLOOKUP(G649,PARAM!P:Q,2,0),"*"),"")</f>
        <v/>
      </c>
      <c r="K649" s="1" t="str">
        <f t="shared" si="1"/>
        <v>  </v>
      </c>
      <c r="L649" s="1"/>
    </row>
    <row r="650">
      <c r="A650" s="56"/>
      <c r="B650" s="1"/>
      <c r="C650" s="1"/>
      <c r="D650" s="1"/>
      <c r="E650" s="1"/>
      <c r="F650" s="1"/>
      <c r="G650" s="60" t="s">
        <v>503</v>
      </c>
      <c r="H650" s="1" t="s">
        <v>476</v>
      </c>
      <c r="I650" s="1" t="str">
        <f>IFERROR(CONCATENATE(VLOOKUP(C650,PARAM!D:E,2,0),VLOOKUP(D650,PARAM!J:K,2,0),VLOOKUP(E650,PARAM!G:H,2,0),VLOOKUP(G650,PARAM!P:Q,2,0)),"")</f>
        <v/>
      </c>
      <c r="J650" s="1" t="str">
        <f>IFERROR(CONCATENATE("*",VLOOKUP(C650,PARAM!D:E,2,0),VLOOKUP(D650,PARAM!J:K,2,0),VLOOKUP(E650,PARAM!G:H,2,0),VLOOKUP(G650,PARAM!P:Q,2,0),"*"),"")</f>
        <v/>
      </c>
      <c r="K650" s="1" t="str">
        <f t="shared" si="1"/>
        <v>  </v>
      </c>
      <c r="L650" s="1"/>
    </row>
    <row r="651">
      <c r="A651" s="56"/>
      <c r="B651" s="1"/>
      <c r="C651" s="1"/>
      <c r="D651" s="1"/>
      <c r="E651" s="1"/>
      <c r="F651" s="1"/>
      <c r="G651" s="60" t="s">
        <v>503</v>
      </c>
      <c r="H651" s="1" t="s">
        <v>476</v>
      </c>
      <c r="I651" s="1" t="str">
        <f>IFERROR(CONCATENATE(VLOOKUP(C651,PARAM!D:E,2,0),VLOOKUP(D651,PARAM!J:K,2,0),VLOOKUP(E651,PARAM!G:H,2,0),VLOOKUP(G651,PARAM!P:Q,2,0)),"")</f>
        <v/>
      </c>
      <c r="J651" s="1" t="str">
        <f>IFERROR(CONCATENATE("*",VLOOKUP(C651,PARAM!D:E,2,0),VLOOKUP(D651,PARAM!J:K,2,0),VLOOKUP(E651,PARAM!G:H,2,0),VLOOKUP(G651,PARAM!P:Q,2,0),"*"),"")</f>
        <v/>
      </c>
      <c r="K651" s="1" t="str">
        <f t="shared" si="1"/>
        <v>  </v>
      </c>
      <c r="L651" s="1"/>
    </row>
    <row r="652">
      <c r="A652" s="56"/>
      <c r="B652" s="1"/>
      <c r="C652" s="1"/>
      <c r="D652" s="1"/>
      <c r="E652" s="1"/>
      <c r="F652" s="1"/>
      <c r="G652" s="60" t="s">
        <v>503</v>
      </c>
      <c r="H652" s="1" t="s">
        <v>476</v>
      </c>
      <c r="I652" s="1" t="str">
        <f>IFERROR(CONCATENATE(VLOOKUP(C652,PARAM!D:E,2,0),VLOOKUP(D652,PARAM!J:K,2,0),VLOOKUP(E652,PARAM!G:H,2,0),VLOOKUP(G652,PARAM!P:Q,2,0)),"")</f>
        <v/>
      </c>
      <c r="J652" s="1" t="str">
        <f>IFERROR(CONCATENATE("*",VLOOKUP(C652,PARAM!D:E,2,0),VLOOKUP(D652,PARAM!J:K,2,0),VLOOKUP(E652,PARAM!G:H,2,0),VLOOKUP(G652,PARAM!P:Q,2,0),"*"),"")</f>
        <v/>
      </c>
      <c r="K652" s="1" t="str">
        <f t="shared" si="1"/>
        <v>  </v>
      </c>
      <c r="L652" s="1"/>
    </row>
    <row r="653">
      <c r="A653" s="56"/>
      <c r="B653" s="1"/>
      <c r="C653" s="1"/>
      <c r="D653" s="1"/>
      <c r="E653" s="1"/>
      <c r="F653" s="1"/>
      <c r="G653" s="60" t="s">
        <v>503</v>
      </c>
      <c r="H653" s="1" t="s">
        <v>476</v>
      </c>
      <c r="I653" s="1" t="str">
        <f>IFERROR(CONCATENATE(VLOOKUP(C653,PARAM!D:E,2,0),VLOOKUP(D653,PARAM!J:K,2,0),VLOOKUP(E653,PARAM!G:H,2,0),VLOOKUP(G653,PARAM!P:Q,2,0)),"")</f>
        <v/>
      </c>
      <c r="J653" s="1" t="str">
        <f>IFERROR(CONCATENATE("*",VLOOKUP(C653,PARAM!D:E,2,0),VLOOKUP(D653,PARAM!J:K,2,0),VLOOKUP(E653,PARAM!G:H,2,0),VLOOKUP(G653,PARAM!P:Q,2,0),"*"),"")</f>
        <v/>
      </c>
      <c r="K653" s="1" t="str">
        <f t="shared" si="1"/>
        <v>  </v>
      </c>
      <c r="L653" s="1"/>
    </row>
    <row r="654">
      <c r="A654" s="56"/>
      <c r="B654" s="1"/>
      <c r="C654" s="1"/>
      <c r="D654" s="1"/>
      <c r="E654" s="1"/>
      <c r="F654" s="1"/>
      <c r="G654" s="60" t="s">
        <v>503</v>
      </c>
      <c r="H654" s="1" t="s">
        <v>476</v>
      </c>
      <c r="I654" s="1" t="str">
        <f>IFERROR(CONCATENATE(VLOOKUP(C654,PARAM!D:E,2,0),VLOOKUP(D654,PARAM!J:K,2,0),VLOOKUP(E654,PARAM!G:H,2,0),VLOOKUP(G654,PARAM!P:Q,2,0)),"")</f>
        <v/>
      </c>
      <c r="J654" s="1" t="str">
        <f>IFERROR(CONCATENATE("*",VLOOKUP(C654,PARAM!D:E,2,0),VLOOKUP(D654,PARAM!J:K,2,0),VLOOKUP(E654,PARAM!G:H,2,0),VLOOKUP(G654,PARAM!P:Q,2,0),"*"),"")</f>
        <v/>
      </c>
      <c r="K654" s="1" t="str">
        <f t="shared" si="1"/>
        <v>  </v>
      </c>
      <c r="L654" s="1"/>
    </row>
    <row r="655">
      <c r="A655" s="56"/>
      <c r="B655" s="1"/>
      <c r="C655" s="1"/>
      <c r="D655" s="1"/>
      <c r="E655" s="1"/>
      <c r="F655" s="1"/>
      <c r="G655" s="60" t="s">
        <v>503</v>
      </c>
      <c r="H655" s="1" t="s">
        <v>476</v>
      </c>
      <c r="I655" s="1" t="str">
        <f>IFERROR(CONCATENATE(VLOOKUP(C655,PARAM!D:E,2,0),VLOOKUP(D655,PARAM!J:K,2,0),VLOOKUP(E655,PARAM!G:H,2,0),VLOOKUP(G655,PARAM!P:Q,2,0)),"")</f>
        <v/>
      </c>
      <c r="J655" s="1" t="str">
        <f>IFERROR(CONCATENATE("*",VLOOKUP(C655,PARAM!D:E,2,0),VLOOKUP(D655,PARAM!J:K,2,0),VLOOKUP(E655,PARAM!G:H,2,0),VLOOKUP(G655,PARAM!P:Q,2,0),"*"),"")</f>
        <v/>
      </c>
      <c r="K655" s="1" t="str">
        <f t="shared" si="1"/>
        <v>  </v>
      </c>
      <c r="L655" s="1"/>
    </row>
    <row r="656">
      <c r="A656" s="56"/>
      <c r="B656" s="1"/>
      <c r="C656" s="1"/>
      <c r="D656" s="1"/>
      <c r="E656" s="1"/>
      <c r="F656" s="1"/>
      <c r="G656" s="60" t="s">
        <v>503</v>
      </c>
      <c r="H656" s="1" t="s">
        <v>476</v>
      </c>
      <c r="I656" s="1" t="str">
        <f>IFERROR(CONCATENATE(VLOOKUP(C656,PARAM!D:E,2,0),VLOOKUP(D656,PARAM!J:K,2,0),VLOOKUP(E656,PARAM!G:H,2,0),VLOOKUP(G656,PARAM!P:Q,2,0)),"")</f>
        <v/>
      </c>
      <c r="J656" s="1" t="str">
        <f>IFERROR(CONCATENATE("*",VLOOKUP(C656,PARAM!D:E,2,0),VLOOKUP(D656,PARAM!J:K,2,0),VLOOKUP(E656,PARAM!G:H,2,0),VLOOKUP(G656,PARAM!P:Q,2,0),"*"),"")</f>
        <v/>
      </c>
      <c r="K656" s="1" t="str">
        <f t="shared" si="1"/>
        <v>  </v>
      </c>
      <c r="L656" s="1"/>
    </row>
    <row r="657">
      <c r="A657" s="56"/>
      <c r="B657" s="1"/>
      <c r="C657" s="1"/>
      <c r="D657" s="1"/>
      <c r="E657" s="1"/>
      <c r="F657" s="1"/>
      <c r="G657" s="60" t="s">
        <v>503</v>
      </c>
      <c r="H657" s="1" t="s">
        <v>476</v>
      </c>
      <c r="I657" s="1" t="str">
        <f>IFERROR(CONCATENATE(VLOOKUP(C657,PARAM!D:E,2,0),VLOOKUP(D657,PARAM!J:K,2,0),VLOOKUP(E657,PARAM!G:H,2,0),VLOOKUP(G657,PARAM!P:Q,2,0)),"")</f>
        <v/>
      </c>
      <c r="J657" s="1" t="str">
        <f>IFERROR(CONCATENATE("*",VLOOKUP(C657,PARAM!D:E,2,0),VLOOKUP(D657,PARAM!J:K,2,0),VLOOKUP(E657,PARAM!G:H,2,0),VLOOKUP(G657,PARAM!P:Q,2,0),"*"),"")</f>
        <v/>
      </c>
      <c r="K657" s="1" t="str">
        <f t="shared" si="1"/>
        <v>  </v>
      </c>
      <c r="L657" s="1"/>
    </row>
    <row r="658">
      <c r="A658" s="56"/>
      <c r="B658" s="1"/>
      <c r="C658" s="1"/>
      <c r="D658" s="1"/>
      <c r="E658" s="1"/>
      <c r="F658" s="1"/>
      <c r="G658" s="60" t="s">
        <v>503</v>
      </c>
      <c r="H658" s="1" t="s">
        <v>476</v>
      </c>
      <c r="I658" s="1" t="str">
        <f>IFERROR(CONCATENATE(VLOOKUP(C658,PARAM!D:E,2,0),VLOOKUP(D658,PARAM!J:K,2,0),VLOOKUP(E658,PARAM!G:H,2,0),VLOOKUP(G658,PARAM!P:Q,2,0)),"")</f>
        <v/>
      </c>
      <c r="J658" s="1" t="str">
        <f>IFERROR(CONCATENATE("*",VLOOKUP(C658,PARAM!D:E,2,0),VLOOKUP(D658,PARAM!J:K,2,0),VLOOKUP(E658,PARAM!G:H,2,0),VLOOKUP(G658,PARAM!P:Q,2,0),"*"),"")</f>
        <v/>
      </c>
      <c r="K658" s="1" t="str">
        <f t="shared" si="1"/>
        <v>  </v>
      </c>
      <c r="L658" s="1"/>
    </row>
    <row r="659">
      <c r="A659" s="56"/>
      <c r="B659" s="1"/>
      <c r="C659" s="1"/>
      <c r="D659" s="1"/>
      <c r="E659" s="1"/>
      <c r="F659" s="1"/>
      <c r="G659" s="60" t="s">
        <v>503</v>
      </c>
      <c r="H659" s="1" t="s">
        <v>476</v>
      </c>
      <c r="I659" s="1" t="str">
        <f>IFERROR(CONCATENATE(VLOOKUP(C659,PARAM!D:E,2,0),VLOOKUP(D659,PARAM!J:K,2,0),VLOOKUP(E659,PARAM!G:H,2,0),VLOOKUP(G659,PARAM!P:Q,2,0)),"")</f>
        <v/>
      </c>
      <c r="J659" s="1" t="str">
        <f>IFERROR(CONCATENATE("*",VLOOKUP(C659,PARAM!D:E,2,0),VLOOKUP(D659,PARAM!J:K,2,0),VLOOKUP(E659,PARAM!G:H,2,0),VLOOKUP(G659,PARAM!P:Q,2,0),"*"),"")</f>
        <v/>
      </c>
      <c r="K659" s="1" t="str">
        <f t="shared" si="1"/>
        <v>  </v>
      </c>
      <c r="L659" s="1"/>
    </row>
    <row r="660">
      <c r="A660" s="56"/>
      <c r="B660" s="1"/>
      <c r="C660" s="1"/>
      <c r="D660" s="1"/>
      <c r="E660" s="1"/>
      <c r="F660" s="1"/>
      <c r="G660" s="60" t="s">
        <v>503</v>
      </c>
      <c r="H660" s="1" t="s">
        <v>476</v>
      </c>
      <c r="I660" s="1" t="str">
        <f>IFERROR(CONCATENATE(VLOOKUP(C660,PARAM!D:E,2,0),VLOOKUP(D660,PARAM!J:K,2,0),VLOOKUP(E660,PARAM!G:H,2,0),VLOOKUP(G660,PARAM!P:Q,2,0)),"")</f>
        <v/>
      </c>
      <c r="J660" s="1" t="str">
        <f>IFERROR(CONCATENATE("*",VLOOKUP(C660,PARAM!D:E,2,0),VLOOKUP(D660,PARAM!J:K,2,0),VLOOKUP(E660,PARAM!G:H,2,0),VLOOKUP(G660,PARAM!P:Q,2,0),"*"),"")</f>
        <v/>
      </c>
      <c r="K660" s="1" t="str">
        <f t="shared" si="1"/>
        <v>  </v>
      </c>
      <c r="L660" s="1"/>
    </row>
    <row r="661">
      <c r="A661" s="56"/>
      <c r="B661" s="1"/>
      <c r="C661" s="1"/>
      <c r="D661" s="1"/>
      <c r="E661" s="1"/>
      <c r="F661" s="1"/>
      <c r="G661" s="60" t="s">
        <v>503</v>
      </c>
      <c r="H661" s="1" t="s">
        <v>476</v>
      </c>
      <c r="I661" s="1" t="str">
        <f>IFERROR(CONCATENATE(VLOOKUP(C661,PARAM!D:E,2,0),VLOOKUP(D661,PARAM!J:K,2,0),VLOOKUP(E661,PARAM!G:H,2,0),VLOOKUP(G661,PARAM!P:Q,2,0)),"")</f>
        <v/>
      </c>
      <c r="J661" s="1" t="str">
        <f>IFERROR(CONCATENATE("*",VLOOKUP(C661,PARAM!D:E,2,0),VLOOKUP(D661,PARAM!J:K,2,0),VLOOKUP(E661,PARAM!G:H,2,0),VLOOKUP(G661,PARAM!P:Q,2,0),"*"),"")</f>
        <v/>
      </c>
      <c r="K661" s="1" t="str">
        <f t="shared" si="1"/>
        <v>  </v>
      </c>
      <c r="L661" s="1"/>
    </row>
    <row r="662">
      <c r="A662" s="56"/>
      <c r="B662" s="1"/>
      <c r="C662" s="1"/>
      <c r="D662" s="1"/>
      <c r="E662" s="1"/>
      <c r="F662" s="1"/>
      <c r="G662" s="60" t="s">
        <v>503</v>
      </c>
      <c r="H662" s="1" t="s">
        <v>476</v>
      </c>
      <c r="I662" s="1" t="str">
        <f>IFERROR(CONCATENATE(VLOOKUP(C662,PARAM!D:E,2,0),VLOOKUP(D662,PARAM!J:K,2,0),VLOOKUP(E662,PARAM!G:H,2,0),VLOOKUP(G662,PARAM!P:Q,2,0)),"")</f>
        <v/>
      </c>
      <c r="J662" s="1" t="str">
        <f>IFERROR(CONCATENATE("*",VLOOKUP(C662,PARAM!D:E,2,0),VLOOKUP(D662,PARAM!J:K,2,0),VLOOKUP(E662,PARAM!G:H,2,0),VLOOKUP(G662,PARAM!P:Q,2,0),"*"),"")</f>
        <v/>
      </c>
      <c r="K662" s="1" t="str">
        <f t="shared" si="1"/>
        <v>  </v>
      </c>
      <c r="L662" s="1"/>
    </row>
    <row r="663">
      <c r="A663" s="56"/>
      <c r="B663" s="1"/>
      <c r="C663" s="1"/>
      <c r="D663" s="1"/>
      <c r="E663" s="1"/>
      <c r="F663" s="1"/>
      <c r="G663" s="60" t="s">
        <v>503</v>
      </c>
      <c r="H663" s="1" t="s">
        <v>476</v>
      </c>
      <c r="I663" s="1" t="str">
        <f>IFERROR(CONCATENATE(VLOOKUP(C663,PARAM!D:E,2,0),VLOOKUP(D663,PARAM!J:K,2,0),VLOOKUP(E663,PARAM!G:H,2,0),VLOOKUP(G663,PARAM!P:Q,2,0)),"")</f>
        <v/>
      </c>
      <c r="J663" s="1" t="str">
        <f>IFERROR(CONCATENATE("*",VLOOKUP(C663,PARAM!D:E,2,0),VLOOKUP(D663,PARAM!J:K,2,0),VLOOKUP(E663,PARAM!G:H,2,0),VLOOKUP(G663,PARAM!P:Q,2,0),"*"),"")</f>
        <v/>
      </c>
      <c r="K663" s="1" t="str">
        <f t="shared" si="1"/>
        <v>  </v>
      </c>
      <c r="L663" s="1"/>
    </row>
    <row r="664">
      <c r="A664" s="56"/>
      <c r="B664" s="1"/>
      <c r="C664" s="1"/>
      <c r="D664" s="1"/>
      <c r="E664" s="1"/>
      <c r="F664" s="1"/>
      <c r="G664" s="60" t="s">
        <v>503</v>
      </c>
      <c r="H664" s="1" t="s">
        <v>476</v>
      </c>
      <c r="I664" s="1" t="str">
        <f>IFERROR(CONCATENATE(VLOOKUP(C664,PARAM!D:E,2,0),VLOOKUP(D664,PARAM!J:K,2,0),VLOOKUP(E664,PARAM!G:H,2,0),VLOOKUP(G664,PARAM!P:Q,2,0)),"")</f>
        <v/>
      </c>
      <c r="J664" s="1" t="str">
        <f>IFERROR(CONCATENATE("*",VLOOKUP(C664,PARAM!D:E,2,0),VLOOKUP(D664,PARAM!J:K,2,0),VLOOKUP(E664,PARAM!G:H,2,0),VLOOKUP(G664,PARAM!P:Q,2,0),"*"),"")</f>
        <v/>
      </c>
      <c r="K664" s="1" t="str">
        <f t="shared" si="1"/>
        <v>  </v>
      </c>
      <c r="L664" s="1"/>
    </row>
    <row r="665">
      <c r="A665" s="56"/>
      <c r="B665" s="1"/>
      <c r="C665" s="1"/>
      <c r="D665" s="1"/>
      <c r="E665" s="1"/>
      <c r="F665" s="1"/>
      <c r="G665" s="60" t="s">
        <v>503</v>
      </c>
      <c r="H665" s="1" t="s">
        <v>476</v>
      </c>
      <c r="I665" s="1" t="str">
        <f>IFERROR(CONCATENATE(VLOOKUP(C665,PARAM!D:E,2,0),VLOOKUP(D665,PARAM!J:K,2,0),VLOOKUP(E665,PARAM!G:H,2,0),VLOOKUP(G665,PARAM!P:Q,2,0)),"")</f>
        <v/>
      </c>
      <c r="J665" s="1" t="str">
        <f>IFERROR(CONCATENATE("*",VLOOKUP(C665,PARAM!D:E,2,0),VLOOKUP(D665,PARAM!J:K,2,0),VLOOKUP(E665,PARAM!G:H,2,0),VLOOKUP(G665,PARAM!P:Q,2,0),"*"),"")</f>
        <v/>
      </c>
      <c r="K665" s="1" t="str">
        <f t="shared" si="1"/>
        <v>  </v>
      </c>
      <c r="L665" s="1"/>
    </row>
    <row r="666">
      <c r="A666" s="56"/>
      <c r="B666" s="1"/>
      <c r="C666" s="1"/>
      <c r="D666" s="1"/>
      <c r="E666" s="1"/>
      <c r="F666" s="1"/>
      <c r="G666" s="60" t="s">
        <v>503</v>
      </c>
      <c r="H666" s="1" t="s">
        <v>476</v>
      </c>
      <c r="I666" s="1" t="str">
        <f>IFERROR(CONCATENATE(VLOOKUP(C666,PARAM!D:E,2,0),VLOOKUP(D666,PARAM!J:K,2,0),VLOOKUP(E666,PARAM!G:H,2,0),VLOOKUP(G666,PARAM!P:Q,2,0)),"")</f>
        <v/>
      </c>
      <c r="J666" s="1" t="str">
        <f>IFERROR(CONCATENATE("*",VLOOKUP(C666,PARAM!D:E,2,0),VLOOKUP(D666,PARAM!J:K,2,0),VLOOKUP(E666,PARAM!G:H,2,0),VLOOKUP(G666,PARAM!P:Q,2,0),"*"),"")</f>
        <v/>
      </c>
      <c r="K666" s="1" t="str">
        <f t="shared" si="1"/>
        <v>  </v>
      </c>
      <c r="L666" s="1"/>
    </row>
    <row r="667">
      <c r="A667" s="56"/>
      <c r="B667" s="1"/>
      <c r="C667" s="1"/>
      <c r="D667" s="1"/>
      <c r="E667" s="1"/>
      <c r="F667" s="1"/>
      <c r="G667" s="60" t="s">
        <v>503</v>
      </c>
      <c r="H667" s="1" t="s">
        <v>476</v>
      </c>
      <c r="I667" s="1" t="str">
        <f>IFERROR(CONCATENATE(VLOOKUP(C667,PARAM!D:E,2,0),VLOOKUP(D667,PARAM!J:K,2,0),VLOOKUP(E667,PARAM!G:H,2,0),VLOOKUP(G667,PARAM!P:Q,2,0)),"")</f>
        <v/>
      </c>
      <c r="J667" s="1" t="str">
        <f>IFERROR(CONCATENATE("*",VLOOKUP(C667,PARAM!D:E,2,0),VLOOKUP(D667,PARAM!J:K,2,0),VLOOKUP(E667,PARAM!G:H,2,0),VLOOKUP(G667,PARAM!P:Q,2,0),"*"),"")</f>
        <v/>
      </c>
      <c r="K667" s="1" t="str">
        <f t="shared" si="1"/>
        <v>  </v>
      </c>
      <c r="L667" s="1"/>
    </row>
    <row r="668">
      <c r="A668" s="56"/>
      <c r="B668" s="1"/>
      <c r="C668" s="1"/>
      <c r="D668" s="1"/>
      <c r="E668" s="1"/>
      <c r="F668" s="1"/>
      <c r="G668" s="60" t="s">
        <v>503</v>
      </c>
      <c r="H668" s="1" t="s">
        <v>476</v>
      </c>
      <c r="I668" s="1" t="str">
        <f>IFERROR(CONCATENATE(VLOOKUP(C668,PARAM!D:E,2,0),VLOOKUP(D668,PARAM!J:K,2,0),VLOOKUP(E668,PARAM!G:H,2,0),VLOOKUP(G668,PARAM!P:Q,2,0)),"")</f>
        <v/>
      </c>
      <c r="J668" s="1" t="str">
        <f>IFERROR(CONCATENATE("*",VLOOKUP(C668,PARAM!D:E,2,0),VLOOKUP(D668,PARAM!J:K,2,0),VLOOKUP(E668,PARAM!G:H,2,0),VLOOKUP(G668,PARAM!P:Q,2,0),"*"),"")</f>
        <v/>
      </c>
      <c r="K668" s="1" t="str">
        <f t="shared" si="1"/>
        <v>  </v>
      </c>
      <c r="L668" s="1"/>
    </row>
    <row r="669">
      <c r="A669" s="56"/>
      <c r="B669" s="1"/>
      <c r="C669" s="1"/>
      <c r="D669" s="1"/>
      <c r="E669" s="1"/>
      <c r="F669" s="1"/>
      <c r="G669" s="60" t="s">
        <v>503</v>
      </c>
      <c r="H669" s="1" t="s">
        <v>476</v>
      </c>
      <c r="I669" s="1" t="str">
        <f>IFERROR(CONCATENATE(VLOOKUP(C669,PARAM!D:E,2,0),VLOOKUP(D669,PARAM!J:K,2,0),VLOOKUP(E669,PARAM!G:H,2,0),VLOOKUP(G669,PARAM!P:Q,2,0)),"")</f>
        <v/>
      </c>
      <c r="J669" s="1" t="str">
        <f>IFERROR(CONCATENATE("*",VLOOKUP(C669,PARAM!D:E,2,0),VLOOKUP(D669,PARAM!J:K,2,0),VLOOKUP(E669,PARAM!G:H,2,0),VLOOKUP(G669,PARAM!P:Q,2,0),"*"),"")</f>
        <v/>
      </c>
      <c r="K669" s="1" t="str">
        <f t="shared" si="1"/>
        <v>  </v>
      </c>
      <c r="L669" s="1"/>
    </row>
    <row r="670">
      <c r="A670" s="56"/>
      <c r="B670" s="1"/>
      <c r="C670" s="1"/>
      <c r="D670" s="1"/>
      <c r="E670" s="1"/>
      <c r="F670" s="1"/>
      <c r="G670" s="60" t="s">
        <v>503</v>
      </c>
      <c r="H670" s="1" t="s">
        <v>476</v>
      </c>
      <c r="I670" s="1" t="str">
        <f>IFERROR(CONCATENATE(VLOOKUP(C670,PARAM!D:E,2,0),VLOOKUP(D670,PARAM!J:K,2,0),VLOOKUP(E670,PARAM!G:H,2,0),VLOOKUP(G670,PARAM!P:Q,2,0)),"")</f>
        <v/>
      </c>
      <c r="J670" s="1" t="str">
        <f>IFERROR(CONCATENATE("*",VLOOKUP(C670,PARAM!D:E,2,0),VLOOKUP(D670,PARAM!J:K,2,0),VLOOKUP(E670,PARAM!G:H,2,0),VLOOKUP(G670,PARAM!P:Q,2,0),"*"),"")</f>
        <v/>
      </c>
      <c r="K670" s="1" t="str">
        <f t="shared" si="1"/>
        <v>  </v>
      </c>
      <c r="L670" s="1"/>
    </row>
    <row r="671">
      <c r="A671" s="56"/>
      <c r="B671" s="1"/>
      <c r="C671" s="1"/>
      <c r="D671" s="1"/>
      <c r="E671" s="1"/>
      <c r="F671" s="1"/>
      <c r="G671" s="60" t="s">
        <v>503</v>
      </c>
      <c r="H671" s="1" t="s">
        <v>476</v>
      </c>
      <c r="I671" s="1" t="str">
        <f>IFERROR(CONCATENATE(VLOOKUP(C671,PARAM!D:E,2,0),VLOOKUP(D671,PARAM!J:K,2,0),VLOOKUP(E671,PARAM!G:H,2,0),VLOOKUP(G671,PARAM!P:Q,2,0)),"")</f>
        <v/>
      </c>
      <c r="J671" s="1" t="str">
        <f>IFERROR(CONCATENATE("*",VLOOKUP(C671,PARAM!D:E,2,0),VLOOKUP(D671,PARAM!J:K,2,0),VLOOKUP(E671,PARAM!G:H,2,0),VLOOKUP(G671,PARAM!P:Q,2,0),"*"),"")</f>
        <v/>
      </c>
      <c r="K671" s="1" t="str">
        <f t="shared" si="1"/>
        <v>  </v>
      </c>
      <c r="L671" s="1"/>
    </row>
    <row r="672">
      <c r="A672" s="56"/>
      <c r="B672" s="1"/>
      <c r="C672" s="1"/>
      <c r="D672" s="1"/>
      <c r="E672" s="1"/>
      <c r="F672" s="1"/>
      <c r="G672" s="60" t="s">
        <v>503</v>
      </c>
      <c r="H672" s="1" t="s">
        <v>476</v>
      </c>
      <c r="I672" s="1" t="str">
        <f>IFERROR(CONCATENATE(VLOOKUP(C672,PARAM!D:E,2,0),VLOOKUP(D672,PARAM!J:K,2,0),VLOOKUP(E672,PARAM!G:H,2,0),VLOOKUP(G672,PARAM!P:Q,2,0)),"")</f>
        <v/>
      </c>
      <c r="J672" s="1" t="str">
        <f>IFERROR(CONCATENATE("*",VLOOKUP(C672,PARAM!D:E,2,0),VLOOKUP(D672,PARAM!J:K,2,0),VLOOKUP(E672,PARAM!G:H,2,0),VLOOKUP(G672,PARAM!P:Q,2,0),"*"),"")</f>
        <v/>
      </c>
      <c r="K672" s="1" t="str">
        <f t="shared" si="1"/>
        <v>  </v>
      </c>
      <c r="L672" s="1"/>
    </row>
    <row r="673">
      <c r="A673" s="56"/>
      <c r="B673" s="1"/>
      <c r="C673" s="1"/>
      <c r="D673" s="1"/>
      <c r="E673" s="1"/>
      <c r="F673" s="1"/>
      <c r="G673" s="60" t="s">
        <v>503</v>
      </c>
      <c r="H673" s="1" t="s">
        <v>476</v>
      </c>
      <c r="I673" s="1" t="str">
        <f>IFERROR(CONCATENATE(VLOOKUP(C673,PARAM!D:E,2,0),VLOOKUP(D673,PARAM!J:K,2,0),VLOOKUP(E673,PARAM!G:H,2,0),VLOOKUP(G673,PARAM!P:Q,2,0)),"")</f>
        <v/>
      </c>
      <c r="J673" s="1" t="str">
        <f>IFERROR(CONCATENATE("*",VLOOKUP(C673,PARAM!D:E,2,0),VLOOKUP(D673,PARAM!J:K,2,0),VLOOKUP(E673,PARAM!G:H,2,0),VLOOKUP(G673,PARAM!P:Q,2,0),"*"),"")</f>
        <v/>
      </c>
      <c r="K673" s="1" t="str">
        <f t="shared" si="1"/>
        <v>  </v>
      </c>
      <c r="L673" s="1"/>
    </row>
    <row r="674">
      <c r="A674" s="56"/>
      <c r="B674" s="1"/>
      <c r="C674" s="1"/>
      <c r="D674" s="1"/>
      <c r="E674" s="1"/>
      <c r="F674" s="1"/>
      <c r="G674" s="60" t="s">
        <v>503</v>
      </c>
      <c r="H674" s="1" t="s">
        <v>476</v>
      </c>
      <c r="I674" s="1" t="str">
        <f>IFERROR(CONCATENATE(VLOOKUP(C674,PARAM!D:E,2,0),VLOOKUP(D674,PARAM!J:K,2,0),VLOOKUP(E674,PARAM!G:H,2,0),VLOOKUP(G674,PARAM!P:Q,2,0)),"")</f>
        <v/>
      </c>
      <c r="J674" s="1" t="str">
        <f>IFERROR(CONCATENATE("*",VLOOKUP(C674,PARAM!D:E,2,0),VLOOKUP(D674,PARAM!J:K,2,0),VLOOKUP(E674,PARAM!G:H,2,0),VLOOKUP(G674,PARAM!P:Q,2,0),"*"),"")</f>
        <v/>
      </c>
      <c r="K674" s="1" t="str">
        <f t="shared" si="1"/>
        <v>  </v>
      </c>
      <c r="L674" s="1"/>
    </row>
    <row r="675">
      <c r="A675" s="56"/>
      <c r="B675" s="1"/>
      <c r="C675" s="1"/>
      <c r="D675" s="1"/>
      <c r="E675" s="1"/>
      <c r="F675" s="1"/>
      <c r="G675" s="60" t="s">
        <v>503</v>
      </c>
      <c r="H675" s="1" t="s">
        <v>476</v>
      </c>
      <c r="I675" s="1" t="str">
        <f>IFERROR(CONCATENATE(VLOOKUP(C675,PARAM!D:E,2,0),VLOOKUP(D675,PARAM!J:K,2,0),VLOOKUP(E675,PARAM!G:H,2,0),VLOOKUP(G675,PARAM!P:Q,2,0)),"")</f>
        <v/>
      </c>
      <c r="J675" s="1" t="str">
        <f>IFERROR(CONCATENATE("*",VLOOKUP(C675,PARAM!D:E,2,0),VLOOKUP(D675,PARAM!J:K,2,0),VLOOKUP(E675,PARAM!G:H,2,0),VLOOKUP(G675,PARAM!P:Q,2,0),"*"),"")</f>
        <v/>
      </c>
      <c r="K675" s="1" t="str">
        <f t="shared" si="1"/>
        <v>  </v>
      </c>
      <c r="L675" s="1"/>
    </row>
    <row r="676">
      <c r="A676" s="56"/>
      <c r="B676" s="1"/>
      <c r="C676" s="1"/>
      <c r="D676" s="1"/>
      <c r="E676" s="1"/>
      <c r="F676" s="1"/>
      <c r="G676" s="60" t="s">
        <v>503</v>
      </c>
      <c r="H676" s="1" t="s">
        <v>476</v>
      </c>
      <c r="I676" s="1" t="str">
        <f>IFERROR(CONCATENATE(VLOOKUP(C676,PARAM!D:E,2,0),VLOOKUP(D676,PARAM!J:K,2,0),VLOOKUP(E676,PARAM!G:H,2,0),VLOOKUP(G676,PARAM!P:Q,2,0)),"")</f>
        <v/>
      </c>
      <c r="J676" s="1" t="str">
        <f>IFERROR(CONCATENATE("*",VLOOKUP(C676,PARAM!D:E,2,0),VLOOKUP(D676,PARAM!J:K,2,0),VLOOKUP(E676,PARAM!G:H,2,0),VLOOKUP(G676,PARAM!P:Q,2,0),"*"),"")</f>
        <v/>
      </c>
      <c r="K676" s="1" t="str">
        <f t="shared" si="1"/>
        <v>  </v>
      </c>
      <c r="L676" s="1"/>
    </row>
    <row r="677">
      <c r="A677" s="56"/>
      <c r="B677" s="1"/>
      <c r="C677" s="1"/>
      <c r="D677" s="1"/>
      <c r="E677" s="1"/>
      <c r="F677" s="1"/>
      <c r="G677" s="60" t="s">
        <v>503</v>
      </c>
      <c r="H677" s="1" t="s">
        <v>476</v>
      </c>
      <c r="I677" s="1" t="str">
        <f>IFERROR(CONCATENATE(VLOOKUP(C677,PARAM!D:E,2,0),VLOOKUP(D677,PARAM!J:K,2,0),VLOOKUP(E677,PARAM!G:H,2,0),VLOOKUP(G677,PARAM!P:Q,2,0)),"")</f>
        <v/>
      </c>
      <c r="J677" s="1" t="str">
        <f>IFERROR(CONCATENATE("*",VLOOKUP(C677,PARAM!D:E,2,0),VLOOKUP(D677,PARAM!J:K,2,0),VLOOKUP(E677,PARAM!G:H,2,0),VLOOKUP(G677,PARAM!P:Q,2,0),"*"),"")</f>
        <v/>
      </c>
      <c r="K677" s="1" t="str">
        <f t="shared" si="1"/>
        <v>  </v>
      </c>
      <c r="L677" s="1"/>
    </row>
    <row r="678">
      <c r="A678" s="56"/>
      <c r="B678" s="1"/>
      <c r="C678" s="1"/>
      <c r="D678" s="1"/>
      <c r="E678" s="1"/>
      <c r="F678" s="1"/>
      <c r="G678" s="60" t="s">
        <v>503</v>
      </c>
      <c r="H678" s="1" t="s">
        <v>476</v>
      </c>
      <c r="I678" s="1" t="str">
        <f>IFERROR(CONCATENATE(VLOOKUP(C678,PARAM!D:E,2,0),VLOOKUP(D678,PARAM!J:K,2,0),VLOOKUP(E678,PARAM!G:H,2,0),VLOOKUP(G678,PARAM!P:Q,2,0)),"")</f>
        <v/>
      </c>
      <c r="J678" s="1" t="str">
        <f>IFERROR(CONCATENATE("*",VLOOKUP(C678,PARAM!D:E,2,0),VLOOKUP(D678,PARAM!J:K,2,0),VLOOKUP(E678,PARAM!G:H,2,0),VLOOKUP(G678,PARAM!P:Q,2,0),"*"),"")</f>
        <v/>
      </c>
      <c r="K678" s="1" t="str">
        <f t="shared" si="1"/>
        <v>  </v>
      </c>
      <c r="L678" s="1"/>
    </row>
    <row r="679">
      <c r="A679" s="56"/>
      <c r="B679" s="1"/>
      <c r="C679" s="1"/>
      <c r="D679" s="1"/>
      <c r="E679" s="1"/>
      <c r="F679" s="1"/>
      <c r="G679" s="60" t="s">
        <v>503</v>
      </c>
      <c r="H679" s="1" t="s">
        <v>476</v>
      </c>
      <c r="I679" s="1" t="str">
        <f>IFERROR(CONCATENATE(VLOOKUP(C679,PARAM!D:E,2,0),VLOOKUP(D679,PARAM!J:K,2,0),VLOOKUP(E679,PARAM!G:H,2,0),VLOOKUP(G679,PARAM!P:Q,2,0)),"")</f>
        <v/>
      </c>
      <c r="J679" s="1" t="str">
        <f>IFERROR(CONCATENATE("*",VLOOKUP(C679,PARAM!D:E,2,0),VLOOKUP(D679,PARAM!J:K,2,0),VLOOKUP(E679,PARAM!G:H,2,0),VLOOKUP(G679,PARAM!P:Q,2,0),"*"),"")</f>
        <v/>
      </c>
      <c r="K679" s="1" t="str">
        <f t="shared" si="1"/>
        <v>  </v>
      </c>
      <c r="L679" s="1"/>
    </row>
    <row r="680">
      <c r="A680" s="56"/>
      <c r="B680" s="1"/>
      <c r="C680" s="1"/>
      <c r="D680" s="1"/>
      <c r="E680" s="1"/>
      <c r="F680" s="1"/>
      <c r="G680" s="60" t="s">
        <v>503</v>
      </c>
      <c r="H680" s="1" t="s">
        <v>476</v>
      </c>
      <c r="I680" s="1" t="str">
        <f>IFERROR(CONCATENATE(VLOOKUP(C680,PARAM!D:E,2,0),VLOOKUP(D680,PARAM!J:K,2,0),VLOOKUP(E680,PARAM!G:H,2,0),VLOOKUP(G680,PARAM!P:Q,2,0)),"")</f>
        <v/>
      </c>
      <c r="J680" s="1" t="str">
        <f>IFERROR(CONCATENATE("*",VLOOKUP(C680,PARAM!D:E,2,0),VLOOKUP(D680,PARAM!J:K,2,0),VLOOKUP(E680,PARAM!G:H,2,0),VLOOKUP(G680,PARAM!P:Q,2,0),"*"),"")</f>
        <v/>
      </c>
      <c r="K680" s="1" t="str">
        <f t="shared" si="1"/>
        <v>  </v>
      </c>
      <c r="L680" s="1"/>
    </row>
    <row r="681">
      <c r="A681" s="56"/>
      <c r="B681" s="1"/>
      <c r="C681" s="1"/>
      <c r="D681" s="1"/>
      <c r="E681" s="1"/>
      <c r="F681" s="1"/>
      <c r="G681" s="60" t="s">
        <v>503</v>
      </c>
      <c r="H681" s="1" t="s">
        <v>476</v>
      </c>
      <c r="I681" s="1" t="str">
        <f>IFERROR(CONCATENATE(VLOOKUP(C681,PARAM!D:E,2,0),VLOOKUP(D681,PARAM!J:K,2,0),VLOOKUP(E681,PARAM!G:H,2,0),VLOOKUP(G681,PARAM!P:Q,2,0)),"")</f>
        <v/>
      </c>
      <c r="J681" s="1" t="str">
        <f>IFERROR(CONCATENATE("*",VLOOKUP(C681,PARAM!D:E,2,0),VLOOKUP(D681,PARAM!J:K,2,0),VLOOKUP(E681,PARAM!G:H,2,0),VLOOKUP(G681,PARAM!P:Q,2,0),"*"),"")</f>
        <v/>
      </c>
      <c r="K681" s="1" t="str">
        <f t="shared" si="1"/>
        <v>  </v>
      </c>
      <c r="L681" s="1"/>
    </row>
    <row r="682">
      <c r="A682" s="56"/>
      <c r="B682" s="1"/>
      <c r="C682" s="1"/>
      <c r="D682" s="1"/>
      <c r="E682" s="1"/>
      <c r="F682" s="1"/>
      <c r="G682" s="60" t="s">
        <v>503</v>
      </c>
      <c r="H682" s="1" t="s">
        <v>476</v>
      </c>
      <c r="I682" s="1" t="str">
        <f>IFERROR(CONCATENATE(VLOOKUP(C682,PARAM!D:E,2,0),VLOOKUP(D682,PARAM!J:K,2,0),VLOOKUP(E682,PARAM!G:H,2,0),VLOOKUP(G682,PARAM!P:Q,2,0)),"")</f>
        <v/>
      </c>
      <c r="J682" s="1" t="str">
        <f>IFERROR(CONCATENATE("*",VLOOKUP(C682,PARAM!D:E,2,0),VLOOKUP(D682,PARAM!J:K,2,0),VLOOKUP(E682,PARAM!G:H,2,0),VLOOKUP(G682,PARAM!P:Q,2,0),"*"),"")</f>
        <v/>
      </c>
      <c r="K682" s="1" t="str">
        <f t="shared" si="1"/>
        <v>  </v>
      </c>
      <c r="L682" s="1"/>
    </row>
    <row r="683">
      <c r="A683" s="56"/>
      <c r="B683" s="1"/>
      <c r="C683" s="1"/>
      <c r="D683" s="1"/>
      <c r="E683" s="1"/>
      <c r="F683" s="1"/>
      <c r="G683" s="60" t="s">
        <v>503</v>
      </c>
      <c r="H683" s="1" t="s">
        <v>476</v>
      </c>
      <c r="I683" s="1" t="str">
        <f>IFERROR(CONCATENATE(VLOOKUP(C683,PARAM!D:E,2,0),VLOOKUP(D683,PARAM!J:K,2,0),VLOOKUP(E683,PARAM!G:H,2,0),VLOOKUP(G683,PARAM!P:Q,2,0)),"")</f>
        <v/>
      </c>
      <c r="J683" s="1" t="str">
        <f>IFERROR(CONCATENATE("*",VLOOKUP(C683,PARAM!D:E,2,0),VLOOKUP(D683,PARAM!J:K,2,0),VLOOKUP(E683,PARAM!G:H,2,0),VLOOKUP(G683,PARAM!P:Q,2,0),"*"),"")</f>
        <v/>
      </c>
      <c r="K683" s="1" t="str">
        <f t="shared" si="1"/>
        <v>  </v>
      </c>
      <c r="L683" s="1"/>
    </row>
    <row r="684">
      <c r="A684" s="56"/>
      <c r="B684" s="1"/>
      <c r="C684" s="1"/>
      <c r="D684" s="1"/>
      <c r="E684" s="1"/>
      <c r="F684" s="1"/>
      <c r="G684" s="60" t="s">
        <v>503</v>
      </c>
      <c r="H684" s="1" t="s">
        <v>476</v>
      </c>
      <c r="I684" s="1" t="str">
        <f>IFERROR(CONCATENATE(VLOOKUP(C684,PARAM!D:E,2,0),VLOOKUP(D684,PARAM!J:K,2,0),VLOOKUP(E684,PARAM!G:H,2,0),VLOOKUP(G684,PARAM!P:Q,2,0)),"")</f>
        <v/>
      </c>
      <c r="J684" s="1" t="str">
        <f>IFERROR(CONCATENATE("*",VLOOKUP(C684,PARAM!D:E,2,0),VLOOKUP(D684,PARAM!J:K,2,0),VLOOKUP(E684,PARAM!G:H,2,0),VLOOKUP(G684,PARAM!P:Q,2,0),"*"),"")</f>
        <v/>
      </c>
      <c r="K684" s="1" t="str">
        <f t="shared" si="1"/>
        <v>  </v>
      </c>
      <c r="L684" s="1"/>
    </row>
    <row r="685">
      <c r="A685" s="56"/>
      <c r="B685" s="1"/>
      <c r="C685" s="1"/>
      <c r="D685" s="1"/>
      <c r="E685" s="1"/>
      <c r="F685" s="1"/>
      <c r="G685" s="60" t="s">
        <v>503</v>
      </c>
      <c r="H685" s="1" t="s">
        <v>476</v>
      </c>
      <c r="I685" s="1" t="str">
        <f>IFERROR(CONCATENATE(VLOOKUP(C685,PARAM!D:E,2,0),VLOOKUP(D685,PARAM!J:K,2,0),VLOOKUP(E685,PARAM!G:H,2,0),VLOOKUP(G685,PARAM!P:Q,2,0)),"")</f>
        <v/>
      </c>
      <c r="J685" s="1" t="str">
        <f>IFERROR(CONCATENATE("*",VLOOKUP(C685,PARAM!D:E,2,0),VLOOKUP(D685,PARAM!J:K,2,0),VLOOKUP(E685,PARAM!G:H,2,0),VLOOKUP(G685,PARAM!P:Q,2,0),"*"),"")</f>
        <v/>
      </c>
      <c r="K685" s="1" t="str">
        <f t="shared" si="1"/>
        <v>  </v>
      </c>
      <c r="L685" s="1"/>
    </row>
    <row r="686">
      <c r="A686" s="56"/>
      <c r="B686" s="1"/>
      <c r="C686" s="1"/>
      <c r="D686" s="1"/>
      <c r="E686" s="1"/>
      <c r="F686" s="1"/>
      <c r="G686" s="60" t="s">
        <v>503</v>
      </c>
      <c r="H686" s="1" t="s">
        <v>476</v>
      </c>
      <c r="I686" s="1" t="str">
        <f>IFERROR(CONCATENATE(VLOOKUP(C686,PARAM!D:E,2,0),VLOOKUP(D686,PARAM!J:K,2,0),VLOOKUP(E686,PARAM!G:H,2,0),VLOOKUP(G686,PARAM!P:Q,2,0)),"")</f>
        <v/>
      </c>
      <c r="J686" s="1" t="str">
        <f>IFERROR(CONCATENATE("*",VLOOKUP(C686,PARAM!D:E,2,0),VLOOKUP(D686,PARAM!J:K,2,0),VLOOKUP(E686,PARAM!G:H,2,0),VLOOKUP(G686,PARAM!P:Q,2,0),"*"),"")</f>
        <v/>
      </c>
      <c r="K686" s="1" t="str">
        <f t="shared" si="1"/>
        <v>  </v>
      </c>
      <c r="L686" s="1"/>
    </row>
    <row r="687">
      <c r="A687" s="56"/>
      <c r="B687" s="1"/>
      <c r="C687" s="1"/>
      <c r="D687" s="1"/>
      <c r="E687" s="1"/>
      <c r="F687" s="1"/>
      <c r="G687" s="60" t="s">
        <v>503</v>
      </c>
      <c r="H687" s="1" t="s">
        <v>476</v>
      </c>
      <c r="I687" s="1" t="str">
        <f>IFERROR(CONCATENATE(VLOOKUP(C687,PARAM!D:E,2,0),VLOOKUP(D687,PARAM!J:K,2,0),VLOOKUP(E687,PARAM!G:H,2,0),VLOOKUP(G687,PARAM!P:Q,2,0)),"")</f>
        <v/>
      </c>
      <c r="J687" s="1" t="str">
        <f>IFERROR(CONCATENATE("*",VLOOKUP(C687,PARAM!D:E,2,0),VLOOKUP(D687,PARAM!J:K,2,0),VLOOKUP(E687,PARAM!G:H,2,0),VLOOKUP(G687,PARAM!P:Q,2,0),"*"),"")</f>
        <v/>
      </c>
      <c r="K687" s="1" t="str">
        <f t="shared" si="1"/>
        <v>  </v>
      </c>
      <c r="L687" s="1"/>
    </row>
    <row r="688">
      <c r="A688" s="56"/>
      <c r="B688" s="1"/>
      <c r="C688" s="1"/>
      <c r="D688" s="1"/>
      <c r="E688" s="1"/>
      <c r="F688" s="1"/>
      <c r="G688" s="60" t="s">
        <v>503</v>
      </c>
      <c r="H688" s="1" t="s">
        <v>476</v>
      </c>
      <c r="I688" s="1" t="str">
        <f>IFERROR(CONCATENATE(VLOOKUP(C688,PARAM!D:E,2,0),VLOOKUP(D688,PARAM!J:K,2,0),VLOOKUP(E688,PARAM!G:H,2,0),VLOOKUP(G688,PARAM!P:Q,2,0)),"")</f>
        <v/>
      </c>
      <c r="J688" s="1" t="str">
        <f>IFERROR(CONCATENATE("*",VLOOKUP(C688,PARAM!D:E,2,0),VLOOKUP(D688,PARAM!J:K,2,0),VLOOKUP(E688,PARAM!G:H,2,0),VLOOKUP(G688,PARAM!P:Q,2,0),"*"),"")</f>
        <v/>
      </c>
      <c r="K688" s="1" t="str">
        <f t="shared" si="1"/>
        <v>  </v>
      </c>
      <c r="L688" s="1"/>
    </row>
    <row r="689">
      <c r="A689" s="56"/>
      <c r="B689" s="1"/>
      <c r="C689" s="1"/>
      <c r="D689" s="1"/>
      <c r="E689" s="1"/>
      <c r="F689" s="1"/>
      <c r="G689" s="60" t="s">
        <v>503</v>
      </c>
      <c r="H689" s="1" t="s">
        <v>476</v>
      </c>
      <c r="I689" s="1" t="str">
        <f>IFERROR(CONCATENATE(VLOOKUP(C689,PARAM!D:E,2,0),VLOOKUP(D689,PARAM!J:K,2,0),VLOOKUP(E689,PARAM!G:H,2,0),VLOOKUP(G689,PARAM!P:Q,2,0)),"")</f>
        <v/>
      </c>
      <c r="J689" s="1" t="str">
        <f>IFERROR(CONCATENATE("*",VLOOKUP(C689,PARAM!D:E,2,0),VLOOKUP(D689,PARAM!J:K,2,0),VLOOKUP(E689,PARAM!G:H,2,0),VLOOKUP(G689,PARAM!P:Q,2,0),"*"),"")</f>
        <v/>
      </c>
      <c r="K689" s="1" t="str">
        <f t="shared" si="1"/>
        <v>  </v>
      </c>
      <c r="L689" s="1"/>
    </row>
    <row r="690">
      <c r="A690" s="56"/>
      <c r="B690" s="1"/>
      <c r="C690" s="1"/>
      <c r="D690" s="1"/>
      <c r="E690" s="1"/>
      <c r="F690" s="1"/>
      <c r="G690" s="60" t="s">
        <v>503</v>
      </c>
      <c r="H690" s="1" t="s">
        <v>476</v>
      </c>
      <c r="I690" s="1" t="str">
        <f>IFERROR(CONCATENATE(VLOOKUP(C690,PARAM!D:E,2,0),VLOOKUP(D690,PARAM!J:K,2,0),VLOOKUP(E690,PARAM!G:H,2,0),VLOOKUP(G690,PARAM!P:Q,2,0)),"")</f>
        <v/>
      </c>
      <c r="J690" s="1" t="str">
        <f>IFERROR(CONCATENATE("*",VLOOKUP(C690,PARAM!D:E,2,0),VLOOKUP(D690,PARAM!J:K,2,0),VLOOKUP(E690,PARAM!G:H,2,0),VLOOKUP(G690,PARAM!P:Q,2,0),"*"),"")</f>
        <v/>
      </c>
      <c r="K690" s="1" t="str">
        <f t="shared" si="1"/>
        <v>  </v>
      </c>
      <c r="L690" s="1"/>
    </row>
    <row r="691">
      <c r="A691" s="56"/>
      <c r="B691" s="1"/>
      <c r="C691" s="1"/>
      <c r="D691" s="1"/>
      <c r="E691" s="1"/>
      <c r="F691" s="1"/>
      <c r="G691" s="60" t="s">
        <v>503</v>
      </c>
      <c r="H691" s="1" t="s">
        <v>476</v>
      </c>
      <c r="I691" s="1" t="str">
        <f>IFERROR(CONCATENATE(VLOOKUP(C691,PARAM!D:E,2,0),VLOOKUP(D691,PARAM!J:K,2,0),VLOOKUP(E691,PARAM!G:H,2,0),VLOOKUP(G691,PARAM!P:Q,2,0)),"")</f>
        <v/>
      </c>
      <c r="J691" s="1" t="str">
        <f>IFERROR(CONCATENATE("*",VLOOKUP(C691,PARAM!D:E,2,0),VLOOKUP(D691,PARAM!J:K,2,0),VLOOKUP(E691,PARAM!G:H,2,0),VLOOKUP(G691,PARAM!P:Q,2,0),"*"),"")</f>
        <v/>
      </c>
      <c r="K691" s="1" t="str">
        <f t="shared" si="1"/>
        <v>  </v>
      </c>
      <c r="L691" s="1"/>
    </row>
    <row r="692">
      <c r="A692" s="56"/>
      <c r="B692" s="1"/>
      <c r="C692" s="1"/>
      <c r="D692" s="1"/>
      <c r="E692" s="1"/>
      <c r="F692" s="1"/>
      <c r="G692" s="60" t="s">
        <v>503</v>
      </c>
      <c r="H692" s="1" t="s">
        <v>476</v>
      </c>
      <c r="I692" s="1" t="str">
        <f>IFERROR(CONCATENATE(VLOOKUP(C692,PARAM!D:E,2,0),VLOOKUP(D692,PARAM!J:K,2,0),VLOOKUP(E692,PARAM!G:H,2,0),VLOOKUP(G692,PARAM!P:Q,2,0)),"")</f>
        <v/>
      </c>
      <c r="J692" s="1" t="str">
        <f>IFERROR(CONCATENATE("*",VLOOKUP(C692,PARAM!D:E,2,0),VLOOKUP(D692,PARAM!J:K,2,0),VLOOKUP(E692,PARAM!G:H,2,0),VLOOKUP(G692,PARAM!P:Q,2,0),"*"),"")</f>
        <v/>
      </c>
      <c r="K692" s="1" t="str">
        <f t="shared" si="1"/>
        <v>  </v>
      </c>
      <c r="L692" s="1"/>
    </row>
    <row r="693">
      <c r="A693" s="56"/>
      <c r="B693" s="1"/>
      <c r="C693" s="1"/>
      <c r="D693" s="1"/>
      <c r="E693" s="1"/>
      <c r="F693" s="1"/>
      <c r="G693" s="60" t="s">
        <v>503</v>
      </c>
      <c r="H693" s="1" t="s">
        <v>476</v>
      </c>
      <c r="I693" s="1" t="str">
        <f>IFERROR(CONCATENATE(VLOOKUP(C693,PARAM!D:E,2,0),VLOOKUP(D693,PARAM!J:K,2,0),VLOOKUP(E693,PARAM!G:H,2,0),VLOOKUP(G693,PARAM!P:Q,2,0)),"")</f>
        <v/>
      </c>
      <c r="J693" s="1" t="str">
        <f>IFERROR(CONCATENATE("*",VLOOKUP(C693,PARAM!D:E,2,0),VLOOKUP(D693,PARAM!J:K,2,0),VLOOKUP(E693,PARAM!G:H,2,0),VLOOKUP(G693,PARAM!P:Q,2,0),"*"),"")</f>
        <v/>
      </c>
      <c r="K693" s="1" t="str">
        <f t="shared" si="1"/>
        <v>  </v>
      </c>
      <c r="L693" s="1"/>
    </row>
    <row r="694">
      <c r="A694" s="56"/>
      <c r="B694" s="1"/>
      <c r="C694" s="1"/>
      <c r="D694" s="1"/>
      <c r="E694" s="1"/>
      <c r="F694" s="1"/>
      <c r="G694" s="60" t="s">
        <v>503</v>
      </c>
      <c r="H694" s="1" t="s">
        <v>476</v>
      </c>
      <c r="I694" s="1" t="str">
        <f>IFERROR(CONCATENATE(VLOOKUP(C694,PARAM!D:E,2,0),VLOOKUP(D694,PARAM!J:K,2,0),VLOOKUP(E694,PARAM!G:H,2,0),VLOOKUP(G694,PARAM!P:Q,2,0)),"")</f>
        <v/>
      </c>
      <c r="J694" s="1" t="str">
        <f>IFERROR(CONCATENATE("*",VLOOKUP(C694,PARAM!D:E,2,0),VLOOKUP(D694,PARAM!J:K,2,0),VLOOKUP(E694,PARAM!G:H,2,0),VLOOKUP(G694,PARAM!P:Q,2,0),"*"),"")</f>
        <v/>
      </c>
      <c r="K694" s="1" t="str">
        <f t="shared" si="1"/>
        <v>  </v>
      </c>
      <c r="L694" s="1"/>
    </row>
    <row r="695">
      <c r="A695" s="56"/>
      <c r="B695" s="1"/>
      <c r="C695" s="1"/>
      <c r="D695" s="1"/>
      <c r="E695" s="1"/>
      <c r="F695" s="1"/>
      <c r="G695" s="60" t="s">
        <v>503</v>
      </c>
      <c r="H695" s="1" t="s">
        <v>476</v>
      </c>
      <c r="I695" s="1" t="str">
        <f>IFERROR(CONCATENATE(VLOOKUP(C695,PARAM!D:E,2,0),VLOOKUP(D695,PARAM!J:K,2,0),VLOOKUP(E695,PARAM!G:H,2,0),VLOOKUP(G695,PARAM!P:Q,2,0)),"")</f>
        <v/>
      </c>
      <c r="J695" s="1" t="str">
        <f>IFERROR(CONCATENATE("*",VLOOKUP(C695,PARAM!D:E,2,0),VLOOKUP(D695,PARAM!J:K,2,0),VLOOKUP(E695,PARAM!G:H,2,0),VLOOKUP(G695,PARAM!P:Q,2,0),"*"),"")</f>
        <v/>
      </c>
      <c r="K695" s="1" t="str">
        <f t="shared" si="1"/>
        <v>  </v>
      </c>
      <c r="L695" s="1"/>
    </row>
    <row r="696">
      <c r="A696" s="56"/>
      <c r="B696" s="1"/>
      <c r="C696" s="1"/>
      <c r="D696" s="1"/>
      <c r="E696" s="1"/>
      <c r="F696" s="1"/>
      <c r="G696" s="60" t="s">
        <v>503</v>
      </c>
      <c r="H696" s="1" t="s">
        <v>476</v>
      </c>
      <c r="I696" s="1" t="str">
        <f>IFERROR(CONCATENATE(VLOOKUP(C696,PARAM!D:E,2,0),VLOOKUP(D696,PARAM!J:K,2,0),VLOOKUP(E696,PARAM!G:H,2,0),VLOOKUP(G696,PARAM!P:Q,2,0)),"")</f>
        <v/>
      </c>
      <c r="J696" s="1" t="str">
        <f>IFERROR(CONCATENATE("*",VLOOKUP(C696,PARAM!D:E,2,0),VLOOKUP(D696,PARAM!J:K,2,0),VLOOKUP(E696,PARAM!G:H,2,0),VLOOKUP(G696,PARAM!P:Q,2,0),"*"),"")</f>
        <v/>
      </c>
      <c r="K696" s="1" t="str">
        <f t="shared" si="1"/>
        <v>  </v>
      </c>
      <c r="L696" s="1"/>
    </row>
    <row r="697">
      <c r="A697" s="56"/>
      <c r="B697" s="1"/>
      <c r="C697" s="1"/>
      <c r="D697" s="1"/>
      <c r="E697" s="1"/>
      <c r="F697" s="1"/>
      <c r="G697" s="60" t="s">
        <v>503</v>
      </c>
      <c r="H697" s="1" t="s">
        <v>476</v>
      </c>
      <c r="I697" s="1" t="str">
        <f>IFERROR(CONCATENATE(VLOOKUP(C697,PARAM!D:E,2,0),VLOOKUP(D697,PARAM!J:K,2,0),VLOOKUP(E697,PARAM!G:H,2,0),VLOOKUP(G697,PARAM!P:Q,2,0)),"")</f>
        <v/>
      </c>
      <c r="J697" s="1" t="str">
        <f>IFERROR(CONCATENATE("*",VLOOKUP(C697,PARAM!D:E,2,0),VLOOKUP(D697,PARAM!J:K,2,0),VLOOKUP(E697,PARAM!G:H,2,0),VLOOKUP(G697,PARAM!P:Q,2,0),"*"),"")</f>
        <v/>
      </c>
      <c r="K697" s="1" t="str">
        <f t="shared" si="1"/>
        <v>  </v>
      </c>
      <c r="L697" s="1"/>
    </row>
    <row r="698">
      <c r="A698" s="56"/>
      <c r="B698" s="1"/>
      <c r="C698" s="1"/>
      <c r="D698" s="1"/>
      <c r="E698" s="1"/>
      <c r="F698" s="1"/>
      <c r="G698" s="60" t="s">
        <v>503</v>
      </c>
      <c r="H698" s="1" t="s">
        <v>476</v>
      </c>
      <c r="I698" s="1" t="str">
        <f>IFERROR(CONCATENATE(VLOOKUP(C698,PARAM!D:E,2,0),VLOOKUP(D698,PARAM!J:K,2,0),VLOOKUP(E698,PARAM!G:H,2,0),VLOOKUP(G698,PARAM!P:Q,2,0)),"")</f>
        <v/>
      </c>
      <c r="J698" s="1" t="str">
        <f>IFERROR(CONCATENATE("*",VLOOKUP(C698,PARAM!D:E,2,0),VLOOKUP(D698,PARAM!J:K,2,0),VLOOKUP(E698,PARAM!G:H,2,0),VLOOKUP(G698,PARAM!P:Q,2,0),"*"),"")</f>
        <v/>
      </c>
      <c r="K698" s="1" t="str">
        <f t="shared" si="1"/>
        <v>  </v>
      </c>
      <c r="L698" s="1"/>
    </row>
    <row r="699">
      <c r="A699" s="56"/>
      <c r="B699" s="1"/>
      <c r="C699" s="1"/>
      <c r="D699" s="1"/>
      <c r="E699" s="1"/>
      <c r="F699" s="1"/>
      <c r="G699" s="60" t="s">
        <v>503</v>
      </c>
      <c r="H699" s="1" t="s">
        <v>476</v>
      </c>
      <c r="I699" s="1" t="str">
        <f>IFERROR(CONCATENATE(VLOOKUP(C699,PARAM!D:E,2,0),VLOOKUP(D699,PARAM!J:K,2,0),VLOOKUP(E699,PARAM!G:H,2,0),VLOOKUP(G699,PARAM!P:Q,2,0)),"")</f>
        <v/>
      </c>
      <c r="J699" s="1" t="str">
        <f>IFERROR(CONCATENATE("*",VLOOKUP(C699,PARAM!D:E,2,0),VLOOKUP(D699,PARAM!J:K,2,0),VLOOKUP(E699,PARAM!G:H,2,0),VLOOKUP(G699,PARAM!P:Q,2,0),"*"),"")</f>
        <v/>
      </c>
      <c r="K699" s="1" t="str">
        <f t="shared" si="1"/>
        <v>  </v>
      </c>
      <c r="L699" s="1"/>
    </row>
    <row r="700">
      <c r="A700" s="56"/>
      <c r="B700" s="1"/>
      <c r="C700" s="1"/>
      <c r="D700" s="1"/>
      <c r="E700" s="1"/>
      <c r="F700" s="1"/>
      <c r="G700" s="60" t="s">
        <v>503</v>
      </c>
      <c r="H700" s="1" t="s">
        <v>476</v>
      </c>
      <c r="I700" s="1" t="str">
        <f>IFERROR(CONCATENATE(VLOOKUP(C700,PARAM!D:E,2,0),VLOOKUP(D700,PARAM!J:K,2,0),VLOOKUP(E700,PARAM!G:H,2,0),VLOOKUP(G700,PARAM!P:Q,2,0)),"")</f>
        <v/>
      </c>
      <c r="J700" s="1" t="str">
        <f>IFERROR(CONCATENATE("*",VLOOKUP(C700,PARAM!D:E,2,0),VLOOKUP(D700,PARAM!J:K,2,0),VLOOKUP(E700,PARAM!G:H,2,0),VLOOKUP(G700,PARAM!P:Q,2,0),"*"),"")</f>
        <v/>
      </c>
      <c r="K700" s="1" t="str">
        <f t="shared" si="1"/>
        <v>  </v>
      </c>
      <c r="L700" s="1"/>
    </row>
    <row r="701">
      <c r="A701" s="56"/>
      <c r="B701" s="1"/>
      <c r="C701" s="1"/>
      <c r="D701" s="1"/>
      <c r="E701" s="1"/>
      <c r="F701" s="1"/>
      <c r="G701" s="60" t="s">
        <v>503</v>
      </c>
      <c r="H701" s="1" t="s">
        <v>476</v>
      </c>
      <c r="I701" s="1" t="str">
        <f>IFERROR(CONCATENATE(VLOOKUP(C701,PARAM!D:E,2,0),VLOOKUP(D701,PARAM!J:K,2,0),VLOOKUP(E701,PARAM!G:H,2,0),VLOOKUP(G701,PARAM!P:Q,2,0)),"")</f>
        <v/>
      </c>
      <c r="J701" s="1" t="str">
        <f>IFERROR(CONCATENATE("*",VLOOKUP(C701,PARAM!D:E,2,0),VLOOKUP(D701,PARAM!J:K,2,0),VLOOKUP(E701,PARAM!G:H,2,0),VLOOKUP(G701,PARAM!P:Q,2,0),"*"),"")</f>
        <v/>
      </c>
      <c r="K701" s="1" t="str">
        <f t="shared" si="1"/>
        <v>  </v>
      </c>
      <c r="L701" s="1"/>
    </row>
    <row r="702">
      <c r="A702" s="56"/>
      <c r="B702" s="1"/>
      <c r="C702" s="1"/>
      <c r="D702" s="1"/>
      <c r="E702" s="1"/>
      <c r="F702" s="1"/>
      <c r="G702" s="60" t="s">
        <v>503</v>
      </c>
      <c r="H702" s="1" t="s">
        <v>476</v>
      </c>
      <c r="I702" s="1" t="str">
        <f>IFERROR(CONCATENATE(VLOOKUP(C702,PARAM!D:E,2,0),VLOOKUP(D702,PARAM!J:K,2,0),VLOOKUP(E702,PARAM!G:H,2,0),VLOOKUP(G702,PARAM!P:Q,2,0)),"")</f>
        <v/>
      </c>
      <c r="J702" s="1" t="str">
        <f>IFERROR(CONCATENATE("*",VLOOKUP(C702,PARAM!D:E,2,0),VLOOKUP(D702,PARAM!J:K,2,0),VLOOKUP(E702,PARAM!G:H,2,0),VLOOKUP(G702,PARAM!P:Q,2,0),"*"),"")</f>
        <v/>
      </c>
      <c r="K702" s="1" t="str">
        <f t="shared" si="1"/>
        <v>  </v>
      </c>
      <c r="L702" s="1"/>
    </row>
    <row r="703">
      <c r="A703" s="56"/>
      <c r="B703" s="1"/>
      <c r="C703" s="1"/>
      <c r="D703" s="1"/>
      <c r="E703" s="1"/>
      <c r="F703" s="1"/>
      <c r="G703" s="60" t="s">
        <v>503</v>
      </c>
      <c r="H703" s="1" t="s">
        <v>476</v>
      </c>
      <c r="I703" s="1" t="str">
        <f>IFERROR(CONCATENATE(VLOOKUP(C703,PARAM!D:E,2,0),VLOOKUP(D703,PARAM!J:K,2,0),VLOOKUP(E703,PARAM!G:H,2,0),VLOOKUP(G703,PARAM!P:Q,2,0)),"")</f>
        <v/>
      </c>
      <c r="J703" s="1" t="str">
        <f>IFERROR(CONCATENATE("*",VLOOKUP(C703,PARAM!D:E,2,0),VLOOKUP(D703,PARAM!J:K,2,0),VLOOKUP(E703,PARAM!G:H,2,0),VLOOKUP(G703,PARAM!P:Q,2,0),"*"),"")</f>
        <v/>
      </c>
      <c r="K703" s="1" t="str">
        <f t="shared" si="1"/>
        <v>  </v>
      </c>
      <c r="L703" s="1"/>
    </row>
    <row r="704">
      <c r="A704" s="56"/>
      <c r="B704" s="1"/>
      <c r="C704" s="1"/>
      <c r="D704" s="1"/>
      <c r="E704" s="1"/>
      <c r="F704" s="1"/>
      <c r="G704" s="60" t="s">
        <v>503</v>
      </c>
      <c r="H704" s="1" t="s">
        <v>476</v>
      </c>
      <c r="I704" s="1" t="str">
        <f>IFERROR(CONCATENATE(VLOOKUP(C704,PARAM!D:E,2,0),VLOOKUP(D704,PARAM!J:K,2,0),VLOOKUP(E704,PARAM!G:H,2,0),VLOOKUP(G704,PARAM!P:Q,2,0)),"")</f>
        <v/>
      </c>
      <c r="J704" s="1" t="str">
        <f>IFERROR(CONCATENATE("*",VLOOKUP(C704,PARAM!D:E,2,0),VLOOKUP(D704,PARAM!J:K,2,0),VLOOKUP(E704,PARAM!G:H,2,0),VLOOKUP(G704,PARAM!P:Q,2,0),"*"),"")</f>
        <v/>
      </c>
      <c r="K704" s="1" t="str">
        <f t="shared" si="1"/>
        <v>  </v>
      </c>
      <c r="L704" s="1"/>
    </row>
    <row r="705">
      <c r="A705" s="56"/>
      <c r="B705" s="1"/>
      <c r="C705" s="1"/>
      <c r="D705" s="1"/>
      <c r="E705" s="1"/>
      <c r="F705" s="1"/>
      <c r="G705" s="60" t="s">
        <v>503</v>
      </c>
      <c r="H705" s="1" t="s">
        <v>476</v>
      </c>
      <c r="I705" s="1" t="str">
        <f>IFERROR(CONCATENATE(VLOOKUP(C705,PARAM!D:E,2,0),VLOOKUP(D705,PARAM!J:K,2,0),VLOOKUP(E705,PARAM!G:H,2,0),VLOOKUP(G705,PARAM!P:Q,2,0)),"")</f>
        <v/>
      </c>
      <c r="J705" s="1" t="str">
        <f>IFERROR(CONCATENATE("*",VLOOKUP(C705,PARAM!D:E,2,0),VLOOKUP(D705,PARAM!J:K,2,0),VLOOKUP(E705,PARAM!G:H,2,0),VLOOKUP(G705,PARAM!P:Q,2,0),"*"),"")</f>
        <v/>
      </c>
      <c r="K705" s="1" t="str">
        <f t="shared" si="1"/>
        <v>  </v>
      </c>
      <c r="L705" s="1"/>
    </row>
    <row r="706">
      <c r="A706" s="56"/>
      <c r="B706" s="1"/>
      <c r="C706" s="1"/>
      <c r="D706" s="1"/>
      <c r="E706" s="1"/>
      <c r="F706" s="1"/>
      <c r="G706" s="60" t="s">
        <v>503</v>
      </c>
      <c r="H706" s="1" t="s">
        <v>476</v>
      </c>
      <c r="I706" s="1" t="str">
        <f>IFERROR(CONCATENATE(VLOOKUP(C706,PARAM!D:E,2,0),VLOOKUP(D706,PARAM!J:K,2,0),VLOOKUP(E706,PARAM!G:H,2,0),VLOOKUP(G706,PARAM!P:Q,2,0)),"")</f>
        <v/>
      </c>
      <c r="J706" s="1" t="str">
        <f>IFERROR(CONCATENATE("*",VLOOKUP(C706,PARAM!D:E,2,0),VLOOKUP(D706,PARAM!J:K,2,0),VLOOKUP(E706,PARAM!G:H,2,0),VLOOKUP(G706,PARAM!P:Q,2,0),"*"),"")</f>
        <v/>
      </c>
      <c r="K706" s="1" t="str">
        <f t="shared" si="1"/>
        <v>  </v>
      </c>
      <c r="L706" s="1"/>
    </row>
    <row r="707">
      <c r="A707" s="56"/>
      <c r="B707" s="1"/>
      <c r="C707" s="1"/>
      <c r="D707" s="1"/>
      <c r="E707" s="1"/>
      <c r="F707" s="1"/>
      <c r="G707" s="60" t="s">
        <v>503</v>
      </c>
      <c r="H707" s="1" t="s">
        <v>476</v>
      </c>
      <c r="I707" s="1" t="str">
        <f>IFERROR(CONCATENATE(VLOOKUP(C707,PARAM!D:E,2,0),VLOOKUP(D707,PARAM!J:K,2,0),VLOOKUP(E707,PARAM!G:H,2,0),VLOOKUP(G707,PARAM!P:Q,2,0)),"")</f>
        <v/>
      </c>
      <c r="J707" s="1" t="str">
        <f>IFERROR(CONCATENATE("*",VLOOKUP(C707,PARAM!D:E,2,0),VLOOKUP(D707,PARAM!J:K,2,0),VLOOKUP(E707,PARAM!G:H,2,0),VLOOKUP(G707,PARAM!P:Q,2,0),"*"),"")</f>
        <v/>
      </c>
      <c r="K707" s="1" t="str">
        <f t="shared" si="1"/>
        <v>  </v>
      </c>
      <c r="L707" s="1"/>
    </row>
    <row r="708">
      <c r="A708" s="56"/>
      <c r="B708" s="1"/>
      <c r="C708" s="1"/>
      <c r="D708" s="1"/>
      <c r="E708" s="1"/>
      <c r="F708" s="1"/>
      <c r="G708" s="60" t="s">
        <v>503</v>
      </c>
      <c r="H708" s="1" t="s">
        <v>476</v>
      </c>
      <c r="I708" s="1" t="str">
        <f>IFERROR(CONCATENATE(VLOOKUP(C708,PARAM!D:E,2,0),VLOOKUP(D708,PARAM!J:K,2,0),VLOOKUP(E708,PARAM!G:H,2,0),VLOOKUP(G708,PARAM!P:Q,2,0)),"")</f>
        <v/>
      </c>
      <c r="J708" s="1" t="str">
        <f>IFERROR(CONCATENATE("*",VLOOKUP(C708,PARAM!D:E,2,0),VLOOKUP(D708,PARAM!J:K,2,0),VLOOKUP(E708,PARAM!G:H,2,0),VLOOKUP(G708,PARAM!P:Q,2,0),"*"),"")</f>
        <v/>
      </c>
      <c r="K708" s="1" t="str">
        <f t="shared" si="1"/>
        <v>  </v>
      </c>
      <c r="L708" s="1"/>
    </row>
    <row r="709">
      <c r="A709" s="56"/>
      <c r="B709" s="1"/>
      <c r="C709" s="1"/>
      <c r="D709" s="1"/>
      <c r="E709" s="1"/>
      <c r="F709" s="1"/>
      <c r="G709" s="60" t="s">
        <v>503</v>
      </c>
      <c r="H709" s="1" t="s">
        <v>476</v>
      </c>
      <c r="I709" s="1" t="str">
        <f>IFERROR(CONCATENATE(VLOOKUP(C709,PARAM!D:E,2,0),VLOOKUP(D709,PARAM!J:K,2,0),VLOOKUP(E709,PARAM!G:H,2,0),VLOOKUP(G709,PARAM!P:Q,2,0)),"")</f>
        <v/>
      </c>
      <c r="J709" s="1" t="str">
        <f>IFERROR(CONCATENATE("*",VLOOKUP(C709,PARAM!D:E,2,0),VLOOKUP(D709,PARAM!J:K,2,0),VLOOKUP(E709,PARAM!G:H,2,0),VLOOKUP(G709,PARAM!P:Q,2,0),"*"),"")</f>
        <v/>
      </c>
      <c r="K709" s="1" t="str">
        <f t="shared" si="1"/>
        <v>  </v>
      </c>
      <c r="L709" s="1"/>
    </row>
    <row r="710">
      <c r="A710" s="56"/>
      <c r="B710" s="1"/>
      <c r="C710" s="1"/>
      <c r="D710" s="1"/>
      <c r="E710" s="1"/>
      <c r="F710" s="1"/>
      <c r="G710" s="60" t="s">
        <v>503</v>
      </c>
      <c r="H710" s="1" t="s">
        <v>476</v>
      </c>
      <c r="I710" s="1" t="str">
        <f>IFERROR(CONCATENATE(VLOOKUP(C710,PARAM!D:E,2,0),VLOOKUP(D710,PARAM!J:K,2,0),VLOOKUP(E710,PARAM!G:H,2,0),VLOOKUP(G710,PARAM!P:Q,2,0)),"")</f>
        <v/>
      </c>
      <c r="J710" s="1" t="str">
        <f>IFERROR(CONCATENATE("*",VLOOKUP(C710,PARAM!D:E,2,0),VLOOKUP(D710,PARAM!J:K,2,0),VLOOKUP(E710,PARAM!G:H,2,0),VLOOKUP(G710,PARAM!P:Q,2,0),"*"),"")</f>
        <v/>
      </c>
      <c r="K710" s="1" t="str">
        <f t="shared" si="1"/>
        <v>  </v>
      </c>
      <c r="L710" s="1"/>
    </row>
    <row r="711">
      <c r="A711" s="56"/>
      <c r="B711" s="1"/>
      <c r="C711" s="1"/>
      <c r="D711" s="1"/>
      <c r="E711" s="1"/>
      <c r="F711" s="1"/>
      <c r="G711" s="60" t="s">
        <v>503</v>
      </c>
      <c r="H711" s="1" t="s">
        <v>476</v>
      </c>
      <c r="I711" s="1" t="str">
        <f>IFERROR(CONCATENATE(VLOOKUP(C711,PARAM!D:E,2,0),VLOOKUP(D711,PARAM!J:K,2,0),VLOOKUP(E711,PARAM!G:H,2,0),VLOOKUP(G711,PARAM!P:Q,2,0)),"")</f>
        <v/>
      </c>
      <c r="J711" s="1" t="str">
        <f>IFERROR(CONCATENATE("*",VLOOKUP(C711,PARAM!D:E,2,0),VLOOKUP(D711,PARAM!J:K,2,0),VLOOKUP(E711,PARAM!G:H,2,0),VLOOKUP(G711,PARAM!P:Q,2,0),"*"),"")</f>
        <v/>
      </c>
      <c r="K711" s="1" t="str">
        <f t="shared" si="1"/>
        <v>  </v>
      </c>
      <c r="L711" s="1"/>
    </row>
    <row r="712">
      <c r="A712" s="56"/>
      <c r="B712" s="1"/>
      <c r="C712" s="1"/>
      <c r="D712" s="1"/>
      <c r="E712" s="1"/>
      <c r="F712" s="1"/>
      <c r="G712" s="60" t="s">
        <v>503</v>
      </c>
      <c r="H712" s="1" t="s">
        <v>476</v>
      </c>
      <c r="I712" s="1" t="str">
        <f>IFERROR(CONCATENATE(VLOOKUP(C712,PARAM!D:E,2,0),VLOOKUP(D712,PARAM!J:K,2,0),VLOOKUP(E712,PARAM!G:H,2,0),VLOOKUP(G712,PARAM!P:Q,2,0)),"")</f>
        <v/>
      </c>
      <c r="J712" s="1" t="str">
        <f>IFERROR(CONCATENATE("*",VLOOKUP(C712,PARAM!D:E,2,0),VLOOKUP(D712,PARAM!J:K,2,0),VLOOKUP(E712,PARAM!G:H,2,0),VLOOKUP(G712,PARAM!P:Q,2,0),"*"),"")</f>
        <v/>
      </c>
      <c r="K712" s="1" t="str">
        <f t="shared" si="1"/>
        <v>  </v>
      </c>
      <c r="L712" s="1"/>
    </row>
    <row r="713">
      <c r="A713" s="56"/>
      <c r="B713" s="1"/>
      <c r="C713" s="1"/>
      <c r="D713" s="1"/>
      <c r="E713" s="1"/>
      <c r="F713" s="1"/>
      <c r="G713" s="60" t="s">
        <v>503</v>
      </c>
      <c r="H713" s="1" t="s">
        <v>476</v>
      </c>
      <c r="I713" s="1" t="str">
        <f>IFERROR(CONCATENATE(VLOOKUP(C713,PARAM!D:E,2,0),VLOOKUP(D713,PARAM!J:K,2,0),VLOOKUP(E713,PARAM!G:H,2,0),VLOOKUP(G713,PARAM!P:Q,2,0)),"")</f>
        <v/>
      </c>
      <c r="J713" s="1" t="str">
        <f>IFERROR(CONCATENATE("*",VLOOKUP(C713,PARAM!D:E,2,0),VLOOKUP(D713,PARAM!J:K,2,0),VLOOKUP(E713,PARAM!G:H,2,0),VLOOKUP(G713,PARAM!P:Q,2,0),"*"),"")</f>
        <v/>
      </c>
      <c r="K713" s="1" t="str">
        <f t="shared" si="1"/>
        <v>  </v>
      </c>
      <c r="L713" s="1"/>
    </row>
    <row r="714">
      <c r="A714" s="56"/>
      <c r="B714" s="1"/>
      <c r="C714" s="1"/>
      <c r="D714" s="1"/>
      <c r="E714" s="1"/>
      <c r="F714" s="1"/>
      <c r="G714" s="60" t="s">
        <v>503</v>
      </c>
      <c r="H714" s="1" t="s">
        <v>476</v>
      </c>
      <c r="I714" s="1" t="str">
        <f>IFERROR(CONCATENATE(VLOOKUP(C714,PARAM!D:E,2,0),VLOOKUP(D714,PARAM!J:K,2,0),VLOOKUP(E714,PARAM!G:H,2,0),VLOOKUP(G714,PARAM!P:Q,2,0)),"")</f>
        <v/>
      </c>
      <c r="J714" s="1" t="str">
        <f>IFERROR(CONCATENATE("*",VLOOKUP(C714,PARAM!D:E,2,0),VLOOKUP(D714,PARAM!J:K,2,0),VLOOKUP(E714,PARAM!G:H,2,0),VLOOKUP(G714,PARAM!P:Q,2,0),"*"),"")</f>
        <v/>
      </c>
      <c r="K714" s="1" t="str">
        <f t="shared" si="1"/>
        <v>  </v>
      </c>
      <c r="L714" s="1"/>
    </row>
    <row r="715">
      <c r="A715" s="56"/>
      <c r="B715" s="1"/>
      <c r="C715" s="1"/>
      <c r="D715" s="1"/>
      <c r="E715" s="1"/>
      <c r="F715" s="1"/>
      <c r="G715" s="60" t="s">
        <v>503</v>
      </c>
      <c r="H715" s="1" t="s">
        <v>476</v>
      </c>
      <c r="I715" s="1" t="str">
        <f>IFERROR(CONCATENATE(VLOOKUP(C715,PARAM!D:E,2,0),VLOOKUP(D715,PARAM!J:K,2,0),VLOOKUP(E715,PARAM!G:H,2,0),VLOOKUP(G715,PARAM!P:Q,2,0)),"")</f>
        <v/>
      </c>
      <c r="J715" s="1" t="str">
        <f>IFERROR(CONCATENATE("*",VLOOKUP(C715,PARAM!D:E,2,0),VLOOKUP(D715,PARAM!J:K,2,0),VLOOKUP(E715,PARAM!G:H,2,0),VLOOKUP(G715,PARAM!P:Q,2,0),"*"),"")</f>
        <v/>
      </c>
      <c r="K715" s="1" t="str">
        <f t="shared" si="1"/>
        <v>  </v>
      </c>
      <c r="L715" s="1"/>
    </row>
    <row r="716">
      <c r="A716" s="56"/>
      <c r="B716" s="1"/>
      <c r="C716" s="1"/>
      <c r="D716" s="1"/>
      <c r="E716" s="1"/>
      <c r="F716" s="1"/>
      <c r="G716" s="60" t="s">
        <v>503</v>
      </c>
      <c r="H716" s="1" t="s">
        <v>476</v>
      </c>
      <c r="I716" s="1" t="str">
        <f>IFERROR(CONCATENATE(VLOOKUP(C716,PARAM!D:E,2,0),VLOOKUP(D716,PARAM!J:K,2,0),VLOOKUP(E716,PARAM!G:H,2,0),VLOOKUP(G716,PARAM!P:Q,2,0)),"")</f>
        <v/>
      </c>
      <c r="J716" s="1" t="str">
        <f>IFERROR(CONCATENATE("*",VLOOKUP(C716,PARAM!D:E,2,0),VLOOKUP(D716,PARAM!J:K,2,0),VLOOKUP(E716,PARAM!G:H,2,0),VLOOKUP(G716,PARAM!P:Q,2,0),"*"),"")</f>
        <v/>
      </c>
      <c r="K716" s="1" t="str">
        <f t="shared" si="1"/>
        <v>  </v>
      </c>
      <c r="L716" s="1"/>
    </row>
    <row r="717">
      <c r="A717" s="56"/>
      <c r="B717" s="1"/>
      <c r="C717" s="1"/>
      <c r="D717" s="1"/>
      <c r="E717" s="1"/>
      <c r="F717" s="1"/>
      <c r="G717" s="60" t="s">
        <v>503</v>
      </c>
      <c r="H717" s="1" t="s">
        <v>476</v>
      </c>
      <c r="I717" s="1" t="str">
        <f>IFERROR(CONCATENATE(VLOOKUP(C717,PARAM!D:E,2,0),VLOOKUP(D717,PARAM!J:K,2,0),VLOOKUP(E717,PARAM!G:H,2,0),VLOOKUP(G717,PARAM!P:Q,2,0)),"")</f>
        <v/>
      </c>
      <c r="J717" s="1" t="str">
        <f>IFERROR(CONCATENATE("*",VLOOKUP(C717,PARAM!D:E,2,0),VLOOKUP(D717,PARAM!J:K,2,0),VLOOKUP(E717,PARAM!G:H,2,0),VLOOKUP(G717,PARAM!P:Q,2,0),"*"),"")</f>
        <v/>
      </c>
      <c r="K717" s="1" t="str">
        <f t="shared" si="1"/>
        <v>  </v>
      </c>
      <c r="L717" s="1"/>
    </row>
    <row r="718">
      <c r="A718" s="56"/>
      <c r="B718" s="1"/>
      <c r="C718" s="1"/>
      <c r="D718" s="1"/>
      <c r="E718" s="1"/>
      <c r="F718" s="1"/>
      <c r="G718" s="60" t="s">
        <v>503</v>
      </c>
      <c r="H718" s="1" t="s">
        <v>476</v>
      </c>
      <c r="I718" s="1" t="str">
        <f>IFERROR(CONCATENATE(VLOOKUP(C718,PARAM!D:E,2,0),VLOOKUP(D718,PARAM!J:K,2,0),VLOOKUP(E718,PARAM!G:H,2,0),VLOOKUP(G718,PARAM!P:Q,2,0)),"")</f>
        <v/>
      </c>
      <c r="J718" s="1" t="str">
        <f>IFERROR(CONCATENATE("*",VLOOKUP(C718,PARAM!D:E,2,0),VLOOKUP(D718,PARAM!J:K,2,0),VLOOKUP(E718,PARAM!G:H,2,0),VLOOKUP(G718,PARAM!P:Q,2,0),"*"),"")</f>
        <v/>
      </c>
      <c r="K718" s="1" t="str">
        <f t="shared" si="1"/>
        <v>  </v>
      </c>
      <c r="L718" s="1"/>
    </row>
    <row r="719">
      <c r="A719" s="56"/>
      <c r="B719" s="1"/>
      <c r="C719" s="1"/>
      <c r="D719" s="1"/>
      <c r="E719" s="1"/>
      <c r="F719" s="1"/>
      <c r="G719" s="60" t="s">
        <v>503</v>
      </c>
      <c r="H719" s="1" t="s">
        <v>476</v>
      </c>
      <c r="I719" s="1" t="str">
        <f>IFERROR(CONCATENATE(VLOOKUP(C719,PARAM!D:E,2,0),VLOOKUP(D719,PARAM!J:K,2,0),VLOOKUP(E719,PARAM!G:H,2,0),VLOOKUP(G719,PARAM!P:Q,2,0)),"")</f>
        <v/>
      </c>
      <c r="J719" s="1" t="str">
        <f>IFERROR(CONCATENATE("*",VLOOKUP(C719,PARAM!D:E,2,0),VLOOKUP(D719,PARAM!J:K,2,0),VLOOKUP(E719,PARAM!G:H,2,0),VLOOKUP(G719,PARAM!P:Q,2,0),"*"),"")</f>
        <v/>
      </c>
      <c r="K719" s="1" t="str">
        <f t="shared" si="1"/>
        <v>  </v>
      </c>
      <c r="L719" s="1"/>
    </row>
    <row r="720">
      <c r="A720" s="56"/>
      <c r="B720" s="1"/>
      <c r="C720" s="1"/>
      <c r="D720" s="1"/>
      <c r="E720" s="1"/>
      <c r="F720" s="1"/>
      <c r="G720" s="60" t="s">
        <v>503</v>
      </c>
      <c r="H720" s="1" t="s">
        <v>476</v>
      </c>
      <c r="I720" s="1" t="str">
        <f>IFERROR(CONCATENATE(VLOOKUP(C720,PARAM!D:E,2,0),VLOOKUP(D720,PARAM!J:K,2,0),VLOOKUP(E720,PARAM!G:H,2,0),VLOOKUP(G720,PARAM!P:Q,2,0)),"")</f>
        <v/>
      </c>
      <c r="J720" s="1" t="str">
        <f>IFERROR(CONCATENATE("*",VLOOKUP(C720,PARAM!D:E,2,0),VLOOKUP(D720,PARAM!J:K,2,0),VLOOKUP(E720,PARAM!G:H,2,0),VLOOKUP(G720,PARAM!P:Q,2,0),"*"),"")</f>
        <v/>
      </c>
      <c r="K720" s="1" t="str">
        <f t="shared" si="1"/>
        <v>  </v>
      </c>
      <c r="L720" s="1"/>
    </row>
    <row r="721">
      <c r="A721" s="56"/>
      <c r="B721" s="1"/>
      <c r="C721" s="1"/>
      <c r="D721" s="1"/>
      <c r="E721" s="1"/>
      <c r="F721" s="1"/>
      <c r="G721" s="60" t="s">
        <v>503</v>
      </c>
      <c r="H721" s="1" t="s">
        <v>476</v>
      </c>
      <c r="I721" s="1" t="str">
        <f>IFERROR(CONCATENATE(VLOOKUP(C721,PARAM!D:E,2,0),VLOOKUP(D721,PARAM!J:K,2,0),VLOOKUP(E721,PARAM!G:H,2,0),VLOOKUP(G721,PARAM!P:Q,2,0)),"")</f>
        <v/>
      </c>
      <c r="J721" s="1" t="str">
        <f>IFERROR(CONCATENATE("*",VLOOKUP(C721,PARAM!D:E,2,0),VLOOKUP(D721,PARAM!J:K,2,0),VLOOKUP(E721,PARAM!G:H,2,0),VLOOKUP(G721,PARAM!P:Q,2,0),"*"),"")</f>
        <v/>
      </c>
      <c r="K721" s="1" t="str">
        <f t="shared" si="1"/>
        <v>  </v>
      </c>
      <c r="L721" s="1"/>
    </row>
    <row r="722">
      <c r="A722" s="56"/>
      <c r="B722" s="1"/>
      <c r="C722" s="1"/>
      <c r="D722" s="1"/>
      <c r="E722" s="1"/>
      <c r="F722" s="1"/>
      <c r="G722" s="60" t="s">
        <v>503</v>
      </c>
      <c r="H722" s="1" t="s">
        <v>476</v>
      </c>
      <c r="I722" s="1" t="str">
        <f>IFERROR(CONCATENATE(VLOOKUP(C722,PARAM!D:E,2,0),VLOOKUP(D722,PARAM!J:K,2,0),VLOOKUP(E722,PARAM!G:H,2,0),VLOOKUP(G722,PARAM!P:Q,2,0)),"")</f>
        <v/>
      </c>
      <c r="J722" s="1" t="str">
        <f>IFERROR(CONCATENATE("*",VLOOKUP(C722,PARAM!D:E,2,0),VLOOKUP(D722,PARAM!J:K,2,0),VLOOKUP(E722,PARAM!G:H,2,0),VLOOKUP(G722,PARAM!P:Q,2,0),"*"),"")</f>
        <v/>
      </c>
      <c r="K722" s="1" t="str">
        <f t="shared" si="1"/>
        <v>  </v>
      </c>
      <c r="L722" s="1"/>
    </row>
    <row r="723">
      <c r="A723" s="56"/>
      <c r="B723" s="1"/>
      <c r="C723" s="1"/>
      <c r="D723" s="1"/>
      <c r="E723" s="1"/>
      <c r="F723" s="1"/>
      <c r="G723" s="60" t="s">
        <v>503</v>
      </c>
      <c r="H723" s="1" t="s">
        <v>476</v>
      </c>
      <c r="I723" s="1" t="str">
        <f>IFERROR(CONCATENATE(VLOOKUP(C723,PARAM!D:E,2,0),VLOOKUP(D723,PARAM!J:K,2,0),VLOOKUP(E723,PARAM!G:H,2,0),VLOOKUP(G723,PARAM!P:Q,2,0)),"")</f>
        <v/>
      </c>
      <c r="J723" s="1" t="str">
        <f>IFERROR(CONCATENATE("*",VLOOKUP(C723,PARAM!D:E,2,0),VLOOKUP(D723,PARAM!J:K,2,0),VLOOKUP(E723,PARAM!G:H,2,0),VLOOKUP(G723,PARAM!P:Q,2,0),"*"),"")</f>
        <v/>
      </c>
      <c r="K723" s="1" t="str">
        <f t="shared" si="1"/>
        <v>  </v>
      </c>
      <c r="L723" s="1"/>
    </row>
    <row r="724">
      <c r="A724" s="56"/>
      <c r="B724" s="1"/>
      <c r="C724" s="1"/>
      <c r="D724" s="1"/>
      <c r="E724" s="1"/>
      <c r="F724" s="1"/>
      <c r="G724" s="60" t="s">
        <v>503</v>
      </c>
      <c r="H724" s="1" t="s">
        <v>476</v>
      </c>
      <c r="I724" s="1" t="str">
        <f>IFERROR(CONCATENATE(VLOOKUP(C724,PARAM!D:E,2,0),VLOOKUP(D724,PARAM!J:K,2,0),VLOOKUP(E724,PARAM!G:H,2,0),VLOOKUP(G724,PARAM!P:Q,2,0)),"")</f>
        <v/>
      </c>
      <c r="J724" s="1" t="str">
        <f>IFERROR(CONCATENATE("*",VLOOKUP(C724,PARAM!D:E,2,0),VLOOKUP(D724,PARAM!J:K,2,0),VLOOKUP(E724,PARAM!G:H,2,0),VLOOKUP(G724,PARAM!P:Q,2,0),"*"),"")</f>
        <v/>
      </c>
      <c r="K724" s="1" t="str">
        <f t="shared" si="1"/>
        <v>  </v>
      </c>
      <c r="L724" s="1"/>
    </row>
    <row r="725">
      <c r="A725" s="56"/>
      <c r="B725" s="1"/>
      <c r="C725" s="1"/>
      <c r="D725" s="1"/>
      <c r="E725" s="1"/>
      <c r="F725" s="1"/>
      <c r="G725" s="60" t="s">
        <v>503</v>
      </c>
      <c r="H725" s="1" t="s">
        <v>476</v>
      </c>
      <c r="I725" s="1" t="str">
        <f>IFERROR(CONCATENATE(VLOOKUP(C725,PARAM!D:E,2,0),VLOOKUP(D725,PARAM!J:K,2,0),VLOOKUP(E725,PARAM!G:H,2,0),VLOOKUP(G725,PARAM!P:Q,2,0)),"")</f>
        <v/>
      </c>
      <c r="J725" s="1" t="str">
        <f>IFERROR(CONCATENATE("*",VLOOKUP(C725,PARAM!D:E,2,0),VLOOKUP(D725,PARAM!J:K,2,0),VLOOKUP(E725,PARAM!G:H,2,0),VLOOKUP(G725,PARAM!P:Q,2,0),"*"),"")</f>
        <v/>
      </c>
      <c r="K725" s="1" t="str">
        <f t="shared" si="1"/>
        <v>  </v>
      </c>
      <c r="L725" s="1"/>
    </row>
    <row r="726">
      <c r="A726" s="56"/>
      <c r="B726" s="1"/>
      <c r="C726" s="1"/>
      <c r="D726" s="1"/>
      <c r="E726" s="1"/>
      <c r="F726" s="1"/>
      <c r="G726" s="60" t="s">
        <v>503</v>
      </c>
      <c r="H726" s="1" t="s">
        <v>476</v>
      </c>
      <c r="I726" s="1" t="str">
        <f>IFERROR(CONCATENATE(VLOOKUP(C726,PARAM!D:E,2,0),VLOOKUP(D726,PARAM!J:K,2,0),VLOOKUP(E726,PARAM!G:H,2,0),VLOOKUP(G726,PARAM!P:Q,2,0)),"")</f>
        <v/>
      </c>
      <c r="J726" s="1" t="str">
        <f>IFERROR(CONCATENATE("*",VLOOKUP(C726,PARAM!D:E,2,0),VLOOKUP(D726,PARAM!J:K,2,0),VLOOKUP(E726,PARAM!G:H,2,0),VLOOKUP(G726,PARAM!P:Q,2,0),"*"),"")</f>
        <v/>
      </c>
      <c r="K726" s="1" t="str">
        <f t="shared" si="1"/>
        <v>  </v>
      </c>
      <c r="L726" s="1"/>
    </row>
    <row r="727">
      <c r="A727" s="56"/>
      <c r="B727" s="1"/>
      <c r="C727" s="1"/>
      <c r="D727" s="1"/>
      <c r="E727" s="1"/>
      <c r="F727" s="1"/>
      <c r="G727" s="60" t="s">
        <v>503</v>
      </c>
      <c r="H727" s="1" t="s">
        <v>476</v>
      </c>
      <c r="I727" s="1" t="str">
        <f>IFERROR(CONCATENATE(VLOOKUP(C727,PARAM!D:E,2,0),VLOOKUP(D727,PARAM!J:K,2,0),VLOOKUP(E727,PARAM!G:H,2,0),VLOOKUP(G727,PARAM!P:Q,2,0)),"")</f>
        <v/>
      </c>
      <c r="J727" s="1" t="str">
        <f>IFERROR(CONCATENATE("*",VLOOKUP(C727,PARAM!D:E,2,0),VLOOKUP(D727,PARAM!J:K,2,0),VLOOKUP(E727,PARAM!G:H,2,0),VLOOKUP(G727,PARAM!P:Q,2,0),"*"),"")</f>
        <v/>
      </c>
      <c r="K727" s="1" t="str">
        <f t="shared" si="1"/>
        <v>  </v>
      </c>
      <c r="L727" s="1"/>
    </row>
    <row r="728">
      <c r="A728" s="56"/>
      <c r="B728" s="1"/>
      <c r="C728" s="1"/>
      <c r="D728" s="1"/>
      <c r="E728" s="1"/>
      <c r="F728" s="1"/>
      <c r="G728" s="60" t="s">
        <v>503</v>
      </c>
      <c r="H728" s="1" t="s">
        <v>476</v>
      </c>
      <c r="I728" s="1" t="str">
        <f>IFERROR(CONCATENATE(VLOOKUP(C728,PARAM!D:E,2,0),VLOOKUP(D728,PARAM!J:K,2,0),VLOOKUP(E728,PARAM!G:H,2,0),VLOOKUP(G728,PARAM!P:Q,2,0)),"")</f>
        <v/>
      </c>
      <c r="J728" s="1" t="str">
        <f>IFERROR(CONCATENATE("*",VLOOKUP(C728,PARAM!D:E,2,0),VLOOKUP(D728,PARAM!J:K,2,0),VLOOKUP(E728,PARAM!G:H,2,0),VLOOKUP(G728,PARAM!P:Q,2,0),"*"),"")</f>
        <v/>
      </c>
      <c r="K728" s="1" t="str">
        <f t="shared" si="1"/>
        <v>  </v>
      </c>
      <c r="L728" s="1"/>
    </row>
    <row r="729">
      <c r="A729" s="56"/>
      <c r="B729" s="1"/>
      <c r="C729" s="1"/>
      <c r="D729" s="1"/>
      <c r="E729" s="1"/>
      <c r="F729" s="1"/>
      <c r="G729" s="60" t="s">
        <v>503</v>
      </c>
      <c r="H729" s="1" t="s">
        <v>476</v>
      </c>
      <c r="I729" s="1" t="str">
        <f>IFERROR(CONCATENATE(VLOOKUP(C729,PARAM!D:E,2,0),VLOOKUP(D729,PARAM!J:K,2,0),VLOOKUP(E729,PARAM!G:H,2,0),VLOOKUP(G729,PARAM!P:Q,2,0)),"")</f>
        <v/>
      </c>
      <c r="J729" s="1" t="str">
        <f>IFERROR(CONCATENATE("*",VLOOKUP(C729,PARAM!D:E,2,0),VLOOKUP(D729,PARAM!J:K,2,0),VLOOKUP(E729,PARAM!G:H,2,0),VLOOKUP(G729,PARAM!P:Q,2,0),"*"),"")</f>
        <v/>
      </c>
      <c r="K729" s="1" t="str">
        <f t="shared" si="1"/>
        <v>  </v>
      </c>
      <c r="L729" s="1"/>
    </row>
    <row r="730">
      <c r="A730" s="56"/>
      <c r="B730" s="1"/>
      <c r="C730" s="1"/>
      <c r="D730" s="1"/>
      <c r="E730" s="1"/>
      <c r="F730" s="1"/>
      <c r="G730" s="60" t="s">
        <v>503</v>
      </c>
      <c r="H730" s="1" t="s">
        <v>476</v>
      </c>
      <c r="I730" s="1" t="str">
        <f>IFERROR(CONCATENATE(VLOOKUP(C730,PARAM!D:E,2,0),VLOOKUP(D730,PARAM!J:K,2,0),VLOOKUP(E730,PARAM!G:H,2,0),VLOOKUP(G730,PARAM!P:Q,2,0)),"")</f>
        <v/>
      </c>
      <c r="J730" s="1" t="str">
        <f>IFERROR(CONCATENATE("*",VLOOKUP(C730,PARAM!D:E,2,0),VLOOKUP(D730,PARAM!J:K,2,0),VLOOKUP(E730,PARAM!G:H,2,0),VLOOKUP(G730,PARAM!P:Q,2,0),"*"),"")</f>
        <v/>
      </c>
      <c r="K730" s="1" t="str">
        <f t="shared" si="1"/>
        <v>  </v>
      </c>
      <c r="L730" s="1"/>
    </row>
    <row r="731">
      <c r="A731" s="56"/>
      <c r="B731" s="1"/>
      <c r="C731" s="1"/>
      <c r="D731" s="1"/>
      <c r="E731" s="1"/>
      <c r="F731" s="1"/>
      <c r="G731" s="60" t="s">
        <v>503</v>
      </c>
      <c r="H731" s="1" t="s">
        <v>476</v>
      </c>
      <c r="I731" s="1" t="str">
        <f>IFERROR(CONCATENATE(VLOOKUP(C731,PARAM!D:E,2,0),VLOOKUP(D731,PARAM!J:K,2,0),VLOOKUP(E731,PARAM!G:H,2,0),VLOOKUP(G731,PARAM!P:Q,2,0)),"")</f>
        <v/>
      </c>
      <c r="J731" s="1" t="str">
        <f>IFERROR(CONCATENATE("*",VLOOKUP(C731,PARAM!D:E,2,0),VLOOKUP(D731,PARAM!J:K,2,0),VLOOKUP(E731,PARAM!G:H,2,0),VLOOKUP(G731,PARAM!P:Q,2,0),"*"),"")</f>
        <v/>
      </c>
      <c r="K731" s="1" t="str">
        <f t="shared" si="1"/>
        <v>  </v>
      </c>
      <c r="L731" s="1"/>
    </row>
    <row r="732">
      <c r="A732" s="56"/>
      <c r="B732" s="1"/>
      <c r="C732" s="1"/>
      <c r="D732" s="1"/>
      <c r="E732" s="1"/>
      <c r="F732" s="1"/>
      <c r="G732" s="60" t="s">
        <v>503</v>
      </c>
      <c r="H732" s="1" t="s">
        <v>476</v>
      </c>
      <c r="I732" s="1" t="str">
        <f>IFERROR(CONCATENATE(VLOOKUP(C732,PARAM!D:E,2,0),VLOOKUP(D732,PARAM!J:K,2,0),VLOOKUP(E732,PARAM!G:H,2,0),VLOOKUP(G732,PARAM!P:Q,2,0)),"")</f>
        <v/>
      </c>
      <c r="J732" s="1" t="str">
        <f>IFERROR(CONCATENATE("*",VLOOKUP(C732,PARAM!D:E,2,0),VLOOKUP(D732,PARAM!J:K,2,0),VLOOKUP(E732,PARAM!G:H,2,0),VLOOKUP(G732,PARAM!P:Q,2,0),"*"),"")</f>
        <v/>
      </c>
      <c r="K732" s="1" t="str">
        <f t="shared" si="1"/>
        <v>  </v>
      </c>
      <c r="L732" s="1"/>
    </row>
    <row r="733">
      <c r="A733" s="56"/>
      <c r="B733" s="1"/>
      <c r="C733" s="1"/>
      <c r="D733" s="1"/>
      <c r="E733" s="1"/>
      <c r="F733" s="1"/>
      <c r="G733" s="60" t="s">
        <v>503</v>
      </c>
      <c r="H733" s="1" t="s">
        <v>476</v>
      </c>
      <c r="I733" s="1" t="str">
        <f>IFERROR(CONCATENATE(VLOOKUP(C733,PARAM!D:E,2,0),VLOOKUP(D733,PARAM!J:K,2,0),VLOOKUP(E733,PARAM!G:H,2,0),VLOOKUP(G733,PARAM!P:Q,2,0)),"")</f>
        <v/>
      </c>
      <c r="J733" s="1" t="str">
        <f>IFERROR(CONCATENATE("*",VLOOKUP(C733,PARAM!D:E,2,0),VLOOKUP(D733,PARAM!J:K,2,0),VLOOKUP(E733,PARAM!G:H,2,0),VLOOKUP(G733,PARAM!P:Q,2,0),"*"),"")</f>
        <v/>
      </c>
      <c r="K733" s="1" t="str">
        <f t="shared" si="1"/>
        <v>  </v>
      </c>
      <c r="L733" s="1"/>
    </row>
    <row r="734">
      <c r="A734" s="56"/>
      <c r="B734" s="1"/>
      <c r="C734" s="1"/>
      <c r="D734" s="1"/>
      <c r="E734" s="1"/>
      <c r="F734" s="1"/>
      <c r="G734" s="60" t="s">
        <v>503</v>
      </c>
      <c r="H734" s="1" t="s">
        <v>476</v>
      </c>
      <c r="I734" s="1" t="str">
        <f>IFERROR(CONCATENATE(VLOOKUP(C734,PARAM!D:E,2,0),VLOOKUP(D734,PARAM!J:K,2,0),VLOOKUP(E734,PARAM!G:H,2,0),VLOOKUP(G734,PARAM!P:Q,2,0)),"")</f>
        <v/>
      </c>
      <c r="J734" s="1" t="str">
        <f>IFERROR(CONCATENATE("*",VLOOKUP(C734,PARAM!D:E,2,0),VLOOKUP(D734,PARAM!J:K,2,0),VLOOKUP(E734,PARAM!G:H,2,0),VLOOKUP(G734,PARAM!P:Q,2,0),"*"),"")</f>
        <v/>
      </c>
      <c r="K734" s="1" t="str">
        <f t="shared" si="1"/>
        <v>  </v>
      </c>
      <c r="L734" s="1"/>
    </row>
    <row r="735">
      <c r="A735" s="56"/>
      <c r="B735" s="1"/>
      <c r="C735" s="1"/>
      <c r="D735" s="1"/>
      <c r="E735" s="1"/>
      <c r="F735" s="1"/>
      <c r="G735" s="60" t="s">
        <v>503</v>
      </c>
      <c r="H735" s="1" t="s">
        <v>476</v>
      </c>
      <c r="I735" s="1" t="str">
        <f>IFERROR(CONCATENATE(VLOOKUP(C735,PARAM!D:E,2,0),VLOOKUP(D735,PARAM!J:K,2,0),VLOOKUP(E735,PARAM!G:H,2,0),VLOOKUP(G735,PARAM!P:Q,2,0)),"")</f>
        <v/>
      </c>
      <c r="J735" s="1" t="str">
        <f>IFERROR(CONCATENATE("*",VLOOKUP(C735,PARAM!D:E,2,0),VLOOKUP(D735,PARAM!J:K,2,0),VLOOKUP(E735,PARAM!G:H,2,0),VLOOKUP(G735,PARAM!P:Q,2,0),"*"),"")</f>
        <v/>
      </c>
      <c r="K735" s="1" t="str">
        <f t="shared" si="1"/>
        <v>  </v>
      </c>
      <c r="L735" s="1"/>
    </row>
    <row r="736">
      <c r="A736" s="56"/>
      <c r="B736" s="1"/>
      <c r="C736" s="1"/>
      <c r="D736" s="1"/>
      <c r="E736" s="1"/>
      <c r="F736" s="1"/>
      <c r="G736" s="60" t="s">
        <v>503</v>
      </c>
      <c r="H736" s="1" t="s">
        <v>476</v>
      </c>
      <c r="I736" s="1" t="str">
        <f>IFERROR(CONCATENATE(VLOOKUP(C736,PARAM!D:E,2,0),VLOOKUP(D736,PARAM!J:K,2,0),VLOOKUP(E736,PARAM!G:H,2,0),VLOOKUP(G736,PARAM!P:Q,2,0)),"")</f>
        <v/>
      </c>
      <c r="J736" s="1" t="str">
        <f>IFERROR(CONCATENATE("*",VLOOKUP(C736,PARAM!D:E,2,0),VLOOKUP(D736,PARAM!J:K,2,0),VLOOKUP(E736,PARAM!G:H,2,0),VLOOKUP(G736,PARAM!P:Q,2,0),"*"),"")</f>
        <v/>
      </c>
      <c r="K736" s="1" t="str">
        <f t="shared" si="1"/>
        <v>  </v>
      </c>
      <c r="L736" s="1"/>
    </row>
    <row r="737">
      <c r="A737" s="56"/>
      <c r="B737" s="1"/>
      <c r="C737" s="1"/>
      <c r="D737" s="1"/>
      <c r="E737" s="1"/>
      <c r="F737" s="1"/>
      <c r="G737" s="60" t="s">
        <v>503</v>
      </c>
      <c r="H737" s="1" t="s">
        <v>476</v>
      </c>
      <c r="I737" s="1" t="str">
        <f>IFERROR(CONCATENATE(VLOOKUP(C737,PARAM!D:E,2,0),VLOOKUP(D737,PARAM!J:K,2,0),VLOOKUP(E737,PARAM!G:H,2,0),VLOOKUP(G737,PARAM!P:Q,2,0)),"")</f>
        <v/>
      </c>
      <c r="J737" s="1" t="str">
        <f>IFERROR(CONCATENATE("*",VLOOKUP(C737,PARAM!D:E,2,0),VLOOKUP(D737,PARAM!J:K,2,0),VLOOKUP(E737,PARAM!G:H,2,0),VLOOKUP(G737,PARAM!P:Q,2,0),"*"),"")</f>
        <v/>
      </c>
      <c r="K737" s="1" t="str">
        <f t="shared" si="1"/>
        <v>  </v>
      </c>
      <c r="L737" s="1"/>
    </row>
    <row r="738">
      <c r="A738" s="56"/>
      <c r="B738" s="1"/>
      <c r="C738" s="1"/>
      <c r="D738" s="1"/>
      <c r="E738" s="1"/>
      <c r="F738" s="1"/>
      <c r="G738" s="60" t="s">
        <v>503</v>
      </c>
      <c r="H738" s="1" t="s">
        <v>476</v>
      </c>
      <c r="I738" s="1" t="str">
        <f>IFERROR(CONCATENATE(VLOOKUP(C738,PARAM!D:E,2,0),VLOOKUP(D738,PARAM!J:K,2,0),VLOOKUP(E738,PARAM!G:H,2,0),VLOOKUP(G738,PARAM!P:Q,2,0)),"")</f>
        <v/>
      </c>
      <c r="J738" s="1" t="str">
        <f>IFERROR(CONCATENATE("*",VLOOKUP(C738,PARAM!D:E,2,0),VLOOKUP(D738,PARAM!J:K,2,0),VLOOKUP(E738,PARAM!G:H,2,0),VLOOKUP(G738,PARAM!P:Q,2,0),"*"),"")</f>
        <v/>
      </c>
      <c r="K738" s="1" t="str">
        <f t="shared" si="1"/>
        <v>  </v>
      </c>
      <c r="L738" s="1"/>
    </row>
    <row r="739">
      <c r="A739" s="56"/>
      <c r="B739" s="1"/>
      <c r="C739" s="1"/>
      <c r="D739" s="1"/>
      <c r="E739" s="1"/>
      <c r="F739" s="1"/>
      <c r="G739" s="60" t="s">
        <v>503</v>
      </c>
      <c r="H739" s="1" t="s">
        <v>476</v>
      </c>
      <c r="I739" s="1" t="str">
        <f>IFERROR(CONCATENATE(VLOOKUP(C739,PARAM!D:E,2,0),VLOOKUP(D739,PARAM!J:K,2,0),VLOOKUP(E739,PARAM!G:H,2,0),VLOOKUP(G739,PARAM!P:Q,2,0)),"")</f>
        <v/>
      </c>
      <c r="J739" s="1" t="str">
        <f>IFERROR(CONCATENATE("*",VLOOKUP(C739,PARAM!D:E,2,0),VLOOKUP(D739,PARAM!J:K,2,0),VLOOKUP(E739,PARAM!G:H,2,0),VLOOKUP(G739,PARAM!P:Q,2,0),"*"),"")</f>
        <v/>
      </c>
      <c r="K739" s="1" t="str">
        <f t="shared" si="1"/>
        <v>  </v>
      </c>
      <c r="L739" s="1"/>
    </row>
    <row r="740">
      <c r="A740" s="56"/>
      <c r="B740" s="1"/>
      <c r="C740" s="1"/>
      <c r="D740" s="1"/>
      <c r="E740" s="1"/>
      <c r="F740" s="1"/>
      <c r="G740" s="60" t="s">
        <v>503</v>
      </c>
      <c r="H740" s="1" t="s">
        <v>476</v>
      </c>
      <c r="I740" s="1" t="str">
        <f>IFERROR(CONCATENATE(VLOOKUP(C740,PARAM!D:E,2,0),VLOOKUP(D740,PARAM!J:K,2,0),VLOOKUP(E740,PARAM!G:H,2,0),VLOOKUP(G740,PARAM!P:Q,2,0)),"")</f>
        <v/>
      </c>
      <c r="J740" s="1" t="str">
        <f>IFERROR(CONCATENATE("*",VLOOKUP(C740,PARAM!D:E,2,0),VLOOKUP(D740,PARAM!J:K,2,0),VLOOKUP(E740,PARAM!G:H,2,0),VLOOKUP(G740,PARAM!P:Q,2,0),"*"),"")</f>
        <v/>
      </c>
      <c r="K740" s="1" t="str">
        <f t="shared" si="1"/>
        <v>  </v>
      </c>
      <c r="L740" s="1"/>
    </row>
    <row r="741">
      <c r="A741" s="56"/>
      <c r="B741" s="1"/>
      <c r="C741" s="1"/>
      <c r="D741" s="1"/>
      <c r="E741" s="1"/>
      <c r="F741" s="1"/>
      <c r="G741" s="60" t="s">
        <v>503</v>
      </c>
      <c r="H741" s="1" t="s">
        <v>476</v>
      </c>
      <c r="I741" s="1" t="str">
        <f>IFERROR(CONCATENATE(VLOOKUP(C741,PARAM!D:E,2,0),VLOOKUP(D741,PARAM!J:K,2,0),VLOOKUP(E741,PARAM!G:H,2,0),VLOOKUP(G741,PARAM!P:Q,2,0)),"")</f>
        <v/>
      </c>
      <c r="J741" s="1" t="str">
        <f>IFERROR(CONCATENATE("*",VLOOKUP(C741,PARAM!D:E,2,0),VLOOKUP(D741,PARAM!J:K,2,0),VLOOKUP(E741,PARAM!G:H,2,0),VLOOKUP(G741,PARAM!P:Q,2,0),"*"),"")</f>
        <v/>
      </c>
      <c r="K741" s="1" t="str">
        <f t="shared" si="1"/>
        <v>  </v>
      </c>
      <c r="L741" s="1"/>
    </row>
    <row r="742">
      <c r="A742" s="56"/>
      <c r="B742" s="1"/>
      <c r="C742" s="1"/>
      <c r="D742" s="1"/>
      <c r="E742" s="1"/>
      <c r="F742" s="1"/>
      <c r="G742" s="60" t="s">
        <v>503</v>
      </c>
      <c r="H742" s="1" t="s">
        <v>476</v>
      </c>
      <c r="I742" s="1" t="str">
        <f>IFERROR(CONCATENATE(VLOOKUP(C742,PARAM!D:E,2,0),VLOOKUP(D742,PARAM!J:K,2,0),VLOOKUP(E742,PARAM!G:H,2,0),VLOOKUP(G742,PARAM!P:Q,2,0)),"")</f>
        <v/>
      </c>
      <c r="J742" s="1" t="str">
        <f>IFERROR(CONCATENATE("*",VLOOKUP(C742,PARAM!D:E,2,0),VLOOKUP(D742,PARAM!J:K,2,0),VLOOKUP(E742,PARAM!G:H,2,0),VLOOKUP(G742,PARAM!P:Q,2,0),"*"),"")</f>
        <v/>
      </c>
      <c r="K742" s="1" t="str">
        <f t="shared" si="1"/>
        <v>  </v>
      </c>
      <c r="L742" s="1"/>
    </row>
    <row r="743">
      <c r="A743" s="56"/>
      <c r="B743" s="1"/>
      <c r="C743" s="1"/>
      <c r="D743" s="1"/>
      <c r="E743" s="1"/>
      <c r="F743" s="1"/>
      <c r="G743" s="60" t="s">
        <v>503</v>
      </c>
      <c r="H743" s="1" t="s">
        <v>476</v>
      </c>
      <c r="I743" s="1" t="str">
        <f>IFERROR(CONCATENATE(VLOOKUP(C743,PARAM!D:E,2,0),VLOOKUP(D743,PARAM!J:K,2,0),VLOOKUP(E743,PARAM!G:H,2,0),VLOOKUP(G743,PARAM!P:Q,2,0)),"")</f>
        <v/>
      </c>
      <c r="J743" s="1" t="str">
        <f>IFERROR(CONCATENATE("*",VLOOKUP(C743,PARAM!D:E,2,0),VLOOKUP(D743,PARAM!J:K,2,0),VLOOKUP(E743,PARAM!G:H,2,0),VLOOKUP(G743,PARAM!P:Q,2,0),"*"),"")</f>
        <v/>
      </c>
      <c r="K743" s="1" t="str">
        <f t="shared" si="1"/>
        <v>  </v>
      </c>
      <c r="L743" s="1"/>
    </row>
    <row r="744">
      <c r="A744" s="56"/>
      <c r="B744" s="1"/>
      <c r="C744" s="1"/>
      <c r="D744" s="1"/>
      <c r="E744" s="1"/>
      <c r="F744" s="1"/>
      <c r="G744" s="60" t="s">
        <v>503</v>
      </c>
      <c r="H744" s="1" t="s">
        <v>476</v>
      </c>
      <c r="I744" s="1" t="str">
        <f>IFERROR(CONCATENATE(VLOOKUP(C744,PARAM!D:E,2,0),VLOOKUP(D744,PARAM!J:K,2,0),VLOOKUP(E744,PARAM!G:H,2,0),VLOOKUP(G744,PARAM!P:Q,2,0)),"")</f>
        <v/>
      </c>
      <c r="J744" s="1" t="str">
        <f>IFERROR(CONCATENATE("*",VLOOKUP(C744,PARAM!D:E,2,0),VLOOKUP(D744,PARAM!J:K,2,0),VLOOKUP(E744,PARAM!G:H,2,0),VLOOKUP(G744,PARAM!P:Q,2,0),"*"),"")</f>
        <v/>
      </c>
      <c r="K744" s="1" t="str">
        <f t="shared" si="1"/>
        <v>  </v>
      </c>
      <c r="L744" s="1"/>
    </row>
    <row r="745">
      <c r="A745" s="56"/>
      <c r="B745" s="1"/>
      <c r="C745" s="1"/>
      <c r="D745" s="1"/>
      <c r="E745" s="1"/>
      <c r="F745" s="1"/>
      <c r="G745" s="60" t="s">
        <v>503</v>
      </c>
      <c r="H745" s="1" t="s">
        <v>476</v>
      </c>
      <c r="I745" s="1" t="str">
        <f>IFERROR(CONCATENATE(VLOOKUP(C745,PARAM!D:E,2,0),VLOOKUP(D745,PARAM!J:K,2,0),VLOOKUP(E745,PARAM!G:H,2,0),VLOOKUP(G745,PARAM!P:Q,2,0)),"")</f>
        <v/>
      </c>
      <c r="J745" s="1" t="str">
        <f>IFERROR(CONCATENATE("*",VLOOKUP(C745,PARAM!D:E,2,0),VLOOKUP(D745,PARAM!J:K,2,0),VLOOKUP(E745,PARAM!G:H,2,0),VLOOKUP(G745,PARAM!P:Q,2,0),"*"),"")</f>
        <v/>
      </c>
      <c r="K745" s="1" t="str">
        <f t="shared" si="1"/>
        <v>  </v>
      </c>
      <c r="L745" s="1"/>
    </row>
    <row r="746">
      <c r="A746" s="56"/>
      <c r="B746" s="1"/>
      <c r="C746" s="1"/>
      <c r="D746" s="1"/>
      <c r="E746" s="1"/>
      <c r="F746" s="1"/>
      <c r="G746" s="60" t="s">
        <v>503</v>
      </c>
      <c r="H746" s="1" t="s">
        <v>476</v>
      </c>
      <c r="I746" s="1" t="str">
        <f>IFERROR(CONCATENATE(VLOOKUP(C746,PARAM!D:E,2,0),VLOOKUP(D746,PARAM!J:K,2,0),VLOOKUP(E746,PARAM!G:H,2,0),VLOOKUP(G746,PARAM!P:Q,2,0)),"")</f>
        <v/>
      </c>
      <c r="J746" s="1" t="str">
        <f>IFERROR(CONCATENATE("*",VLOOKUP(C746,PARAM!D:E,2,0),VLOOKUP(D746,PARAM!J:K,2,0),VLOOKUP(E746,PARAM!G:H,2,0),VLOOKUP(G746,PARAM!P:Q,2,0),"*"),"")</f>
        <v/>
      </c>
      <c r="K746" s="1" t="str">
        <f t="shared" si="1"/>
        <v>  </v>
      </c>
      <c r="L746" s="1"/>
    </row>
    <row r="747">
      <c r="A747" s="56"/>
      <c r="B747" s="1"/>
      <c r="C747" s="1"/>
      <c r="D747" s="1"/>
      <c r="E747" s="1"/>
      <c r="F747" s="1"/>
      <c r="G747" s="60" t="s">
        <v>503</v>
      </c>
      <c r="H747" s="1" t="s">
        <v>476</v>
      </c>
      <c r="I747" s="1" t="str">
        <f>IFERROR(CONCATENATE(VLOOKUP(C747,PARAM!D:E,2,0),VLOOKUP(D747,PARAM!J:K,2,0),VLOOKUP(E747,PARAM!G:H,2,0),VLOOKUP(G747,PARAM!P:Q,2,0)),"")</f>
        <v/>
      </c>
      <c r="J747" s="1" t="str">
        <f>IFERROR(CONCATENATE("*",VLOOKUP(C747,PARAM!D:E,2,0),VLOOKUP(D747,PARAM!J:K,2,0),VLOOKUP(E747,PARAM!G:H,2,0),VLOOKUP(G747,PARAM!P:Q,2,0),"*"),"")</f>
        <v/>
      </c>
      <c r="K747" s="1" t="str">
        <f t="shared" si="1"/>
        <v>  </v>
      </c>
      <c r="L747" s="1"/>
    </row>
    <row r="748">
      <c r="A748" s="56"/>
      <c r="B748" s="1"/>
      <c r="C748" s="1"/>
      <c r="D748" s="1"/>
      <c r="E748" s="1"/>
      <c r="F748" s="1"/>
      <c r="G748" s="60" t="s">
        <v>503</v>
      </c>
      <c r="H748" s="1" t="s">
        <v>476</v>
      </c>
      <c r="I748" s="1" t="str">
        <f>IFERROR(CONCATENATE(VLOOKUP(C748,PARAM!D:E,2,0),VLOOKUP(D748,PARAM!J:K,2,0),VLOOKUP(E748,PARAM!G:H,2,0),VLOOKUP(G748,PARAM!P:Q,2,0)),"")</f>
        <v/>
      </c>
      <c r="J748" s="1" t="str">
        <f>IFERROR(CONCATENATE("*",VLOOKUP(C748,PARAM!D:E,2,0),VLOOKUP(D748,PARAM!J:K,2,0),VLOOKUP(E748,PARAM!G:H,2,0),VLOOKUP(G748,PARAM!P:Q,2,0),"*"),"")</f>
        <v/>
      </c>
      <c r="K748" s="1" t="str">
        <f t="shared" si="1"/>
        <v>  </v>
      </c>
      <c r="L748" s="1"/>
    </row>
    <row r="749">
      <c r="A749" s="56"/>
      <c r="B749" s="1"/>
      <c r="C749" s="1"/>
      <c r="D749" s="1"/>
      <c r="E749" s="1"/>
      <c r="F749" s="1"/>
      <c r="G749" s="60" t="s">
        <v>503</v>
      </c>
      <c r="H749" s="1" t="s">
        <v>476</v>
      </c>
      <c r="I749" s="1" t="str">
        <f>IFERROR(CONCATENATE(VLOOKUP(C749,PARAM!D:E,2,0),VLOOKUP(D749,PARAM!J:K,2,0),VLOOKUP(E749,PARAM!G:H,2,0),VLOOKUP(G749,PARAM!P:Q,2,0)),"")</f>
        <v/>
      </c>
      <c r="J749" s="1" t="str">
        <f>IFERROR(CONCATENATE("*",VLOOKUP(C749,PARAM!D:E,2,0),VLOOKUP(D749,PARAM!J:K,2,0),VLOOKUP(E749,PARAM!G:H,2,0),VLOOKUP(G749,PARAM!P:Q,2,0),"*"),"")</f>
        <v/>
      </c>
      <c r="K749" s="1" t="str">
        <f t="shared" si="1"/>
        <v>  </v>
      </c>
      <c r="L749" s="1"/>
    </row>
    <row r="750">
      <c r="A750" s="56"/>
      <c r="B750" s="1"/>
      <c r="C750" s="1"/>
      <c r="D750" s="1"/>
      <c r="E750" s="1"/>
      <c r="F750" s="1"/>
      <c r="G750" s="60" t="s">
        <v>503</v>
      </c>
      <c r="H750" s="1" t="s">
        <v>476</v>
      </c>
      <c r="I750" s="1" t="str">
        <f>IFERROR(CONCATENATE(VLOOKUP(C750,PARAM!D:E,2,0),VLOOKUP(D750,PARAM!J:K,2,0),VLOOKUP(E750,PARAM!G:H,2,0),VLOOKUP(G750,PARAM!P:Q,2,0)),"")</f>
        <v/>
      </c>
      <c r="J750" s="1" t="str">
        <f>IFERROR(CONCATENATE("*",VLOOKUP(C750,PARAM!D:E,2,0),VLOOKUP(D750,PARAM!J:K,2,0),VLOOKUP(E750,PARAM!G:H,2,0),VLOOKUP(G750,PARAM!P:Q,2,0),"*"),"")</f>
        <v/>
      </c>
      <c r="K750" s="1" t="str">
        <f t="shared" si="1"/>
        <v>  </v>
      </c>
      <c r="L750" s="1"/>
    </row>
    <row r="751">
      <c r="A751" s="56"/>
      <c r="B751" s="1"/>
      <c r="C751" s="1"/>
      <c r="D751" s="1"/>
      <c r="E751" s="1"/>
      <c r="F751" s="1"/>
      <c r="G751" s="60" t="s">
        <v>503</v>
      </c>
      <c r="H751" s="1" t="s">
        <v>476</v>
      </c>
      <c r="I751" s="1" t="str">
        <f>IFERROR(CONCATENATE(VLOOKUP(C751,PARAM!D:E,2,0),VLOOKUP(D751,PARAM!J:K,2,0),VLOOKUP(E751,PARAM!G:H,2,0),VLOOKUP(G751,PARAM!P:Q,2,0)),"")</f>
        <v/>
      </c>
      <c r="J751" s="1" t="str">
        <f>IFERROR(CONCATENATE("*",VLOOKUP(C751,PARAM!D:E,2,0),VLOOKUP(D751,PARAM!J:K,2,0),VLOOKUP(E751,PARAM!G:H,2,0),VLOOKUP(G751,PARAM!P:Q,2,0),"*"),"")</f>
        <v/>
      </c>
      <c r="K751" s="1" t="str">
        <f t="shared" si="1"/>
        <v>  </v>
      </c>
      <c r="L751" s="1"/>
    </row>
    <row r="752">
      <c r="A752" s="56"/>
      <c r="B752" s="1"/>
      <c r="C752" s="1"/>
      <c r="D752" s="1"/>
      <c r="E752" s="1"/>
      <c r="F752" s="1"/>
      <c r="G752" s="60" t="s">
        <v>503</v>
      </c>
      <c r="H752" s="1" t="s">
        <v>476</v>
      </c>
      <c r="I752" s="1" t="str">
        <f>IFERROR(CONCATENATE(VLOOKUP(C752,PARAM!D:E,2,0),VLOOKUP(D752,PARAM!J:K,2,0),VLOOKUP(E752,PARAM!G:H,2,0),VLOOKUP(G752,PARAM!P:Q,2,0)),"")</f>
        <v/>
      </c>
      <c r="J752" s="1" t="str">
        <f>IFERROR(CONCATENATE("*",VLOOKUP(C752,PARAM!D:E,2,0),VLOOKUP(D752,PARAM!J:K,2,0),VLOOKUP(E752,PARAM!G:H,2,0),VLOOKUP(G752,PARAM!P:Q,2,0),"*"),"")</f>
        <v/>
      </c>
      <c r="K752" s="1" t="str">
        <f t="shared" si="1"/>
        <v>  </v>
      </c>
      <c r="L752" s="1"/>
    </row>
    <row r="753">
      <c r="A753" s="56"/>
      <c r="B753" s="1"/>
      <c r="C753" s="1"/>
      <c r="D753" s="1"/>
      <c r="E753" s="1"/>
      <c r="F753" s="1"/>
      <c r="G753" s="60" t="s">
        <v>503</v>
      </c>
      <c r="H753" s="1" t="s">
        <v>476</v>
      </c>
      <c r="I753" s="1" t="str">
        <f>IFERROR(CONCATENATE(VLOOKUP(C753,PARAM!D:E,2,0),VLOOKUP(D753,PARAM!J:K,2,0),VLOOKUP(E753,PARAM!G:H,2,0),VLOOKUP(G753,PARAM!P:Q,2,0)),"")</f>
        <v/>
      </c>
      <c r="J753" s="1" t="str">
        <f>IFERROR(CONCATENATE("*",VLOOKUP(C753,PARAM!D:E,2,0),VLOOKUP(D753,PARAM!J:K,2,0),VLOOKUP(E753,PARAM!G:H,2,0),VLOOKUP(G753,PARAM!P:Q,2,0),"*"),"")</f>
        <v/>
      </c>
      <c r="K753" s="1" t="str">
        <f t="shared" si="1"/>
        <v>  </v>
      </c>
      <c r="L753" s="1"/>
    </row>
    <row r="754">
      <c r="A754" s="56"/>
      <c r="B754" s="1"/>
      <c r="C754" s="1"/>
      <c r="D754" s="1"/>
      <c r="E754" s="1"/>
      <c r="F754" s="1"/>
      <c r="G754" s="60" t="s">
        <v>503</v>
      </c>
      <c r="H754" s="1" t="s">
        <v>476</v>
      </c>
      <c r="I754" s="1" t="str">
        <f>IFERROR(CONCATENATE(VLOOKUP(C754,PARAM!D:E,2,0),VLOOKUP(D754,PARAM!J:K,2,0),VLOOKUP(E754,PARAM!G:H,2,0),VLOOKUP(G754,PARAM!P:Q,2,0)),"")</f>
        <v/>
      </c>
      <c r="J754" s="1" t="str">
        <f>IFERROR(CONCATENATE("*",VLOOKUP(C754,PARAM!D:E,2,0),VLOOKUP(D754,PARAM!J:K,2,0),VLOOKUP(E754,PARAM!G:H,2,0),VLOOKUP(G754,PARAM!P:Q,2,0),"*"),"")</f>
        <v/>
      </c>
      <c r="K754" s="1" t="str">
        <f t="shared" si="1"/>
        <v>  </v>
      </c>
      <c r="L754" s="1"/>
    </row>
    <row r="755">
      <c r="A755" s="56"/>
      <c r="B755" s="1"/>
      <c r="C755" s="1"/>
      <c r="D755" s="1"/>
      <c r="E755" s="1"/>
      <c r="F755" s="1"/>
      <c r="G755" s="60" t="s">
        <v>503</v>
      </c>
      <c r="H755" s="1" t="s">
        <v>476</v>
      </c>
      <c r="I755" s="1" t="str">
        <f>IFERROR(CONCATENATE(VLOOKUP(C755,PARAM!D:E,2,0),VLOOKUP(D755,PARAM!J:K,2,0),VLOOKUP(E755,PARAM!G:H,2,0),VLOOKUP(G755,PARAM!P:Q,2,0)),"")</f>
        <v/>
      </c>
      <c r="J755" s="1" t="str">
        <f>IFERROR(CONCATENATE("*",VLOOKUP(C755,PARAM!D:E,2,0),VLOOKUP(D755,PARAM!J:K,2,0),VLOOKUP(E755,PARAM!G:H,2,0),VLOOKUP(G755,PARAM!P:Q,2,0),"*"),"")</f>
        <v/>
      </c>
      <c r="K755" s="1" t="str">
        <f t="shared" si="1"/>
        <v>  </v>
      </c>
      <c r="L755" s="1"/>
    </row>
    <row r="756">
      <c r="A756" s="56"/>
      <c r="B756" s="1"/>
      <c r="C756" s="1"/>
      <c r="D756" s="1"/>
      <c r="E756" s="1"/>
      <c r="F756" s="1"/>
      <c r="G756" s="60" t="s">
        <v>503</v>
      </c>
      <c r="H756" s="1" t="s">
        <v>476</v>
      </c>
      <c r="I756" s="1" t="str">
        <f>IFERROR(CONCATENATE(VLOOKUP(C756,PARAM!D:E,2,0),VLOOKUP(D756,PARAM!J:K,2,0),VLOOKUP(E756,PARAM!G:H,2,0),VLOOKUP(G756,PARAM!P:Q,2,0)),"")</f>
        <v/>
      </c>
      <c r="J756" s="1" t="str">
        <f>IFERROR(CONCATENATE("*",VLOOKUP(C756,PARAM!D:E,2,0),VLOOKUP(D756,PARAM!J:K,2,0),VLOOKUP(E756,PARAM!G:H,2,0),VLOOKUP(G756,PARAM!P:Q,2,0),"*"),"")</f>
        <v/>
      </c>
      <c r="K756" s="1" t="str">
        <f t="shared" si="1"/>
        <v>  </v>
      </c>
      <c r="L756" s="1"/>
    </row>
    <row r="757">
      <c r="A757" s="56"/>
      <c r="B757" s="1"/>
      <c r="C757" s="1"/>
      <c r="D757" s="1"/>
      <c r="E757" s="1"/>
      <c r="F757" s="1"/>
      <c r="G757" s="60" t="s">
        <v>503</v>
      </c>
      <c r="H757" s="1" t="s">
        <v>476</v>
      </c>
      <c r="I757" s="1" t="str">
        <f>IFERROR(CONCATENATE(VLOOKUP(C757,PARAM!D:E,2,0),VLOOKUP(D757,PARAM!J:K,2,0),VLOOKUP(E757,PARAM!G:H,2,0),VLOOKUP(G757,PARAM!P:Q,2,0)),"")</f>
        <v/>
      </c>
      <c r="J757" s="1" t="str">
        <f>IFERROR(CONCATENATE("*",VLOOKUP(C757,PARAM!D:E,2,0),VLOOKUP(D757,PARAM!J:K,2,0),VLOOKUP(E757,PARAM!G:H,2,0),VLOOKUP(G757,PARAM!P:Q,2,0),"*"),"")</f>
        <v/>
      </c>
      <c r="K757" s="1" t="str">
        <f t="shared" si="1"/>
        <v>  </v>
      </c>
      <c r="L757" s="1"/>
    </row>
    <row r="758">
      <c r="A758" s="56"/>
      <c r="B758" s="1"/>
      <c r="C758" s="1"/>
      <c r="D758" s="1"/>
      <c r="E758" s="1"/>
      <c r="F758" s="1"/>
      <c r="G758" s="60" t="s">
        <v>503</v>
      </c>
      <c r="H758" s="1" t="s">
        <v>476</v>
      </c>
      <c r="I758" s="1" t="str">
        <f>IFERROR(CONCATENATE(VLOOKUP(C758,PARAM!D:E,2,0),VLOOKUP(D758,PARAM!J:K,2,0),VLOOKUP(E758,PARAM!G:H,2,0),VLOOKUP(G758,PARAM!P:Q,2,0)),"")</f>
        <v/>
      </c>
      <c r="J758" s="1" t="str">
        <f>IFERROR(CONCATENATE("*",VLOOKUP(C758,PARAM!D:E,2,0),VLOOKUP(D758,PARAM!J:K,2,0),VLOOKUP(E758,PARAM!G:H,2,0),VLOOKUP(G758,PARAM!P:Q,2,0),"*"),"")</f>
        <v/>
      </c>
      <c r="K758" s="1" t="str">
        <f t="shared" si="1"/>
        <v>  </v>
      </c>
      <c r="L758" s="1"/>
    </row>
    <row r="759">
      <c r="A759" s="56"/>
      <c r="B759" s="1"/>
      <c r="C759" s="1"/>
      <c r="D759" s="1"/>
      <c r="E759" s="1"/>
      <c r="F759" s="1"/>
      <c r="G759" s="60" t="s">
        <v>503</v>
      </c>
      <c r="H759" s="1" t="s">
        <v>476</v>
      </c>
      <c r="I759" s="1" t="str">
        <f>IFERROR(CONCATENATE(VLOOKUP(C759,PARAM!D:E,2,0),VLOOKUP(D759,PARAM!J:K,2,0),VLOOKUP(E759,PARAM!G:H,2,0),VLOOKUP(G759,PARAM!P:Q,2,0)),"")</f>
        <v/>
      </c>
      <c r="J759" s="1" t="str">
        <f>IFERROR(CONCATENATE("*",VLOOKUP(C759,PARAM!D:E,2,0),VLOOKUP(D759,PARAM!J:K,2,0),VLOOKUP(E759,PARAM!G:H,2,0),VLOOKUP(G759,PARAM!P:Q,2,0),"*"),"")</f>
        <v/>
      </c>
      <c r="K759" s="1" t="str">
        <f t="shared" si="1"/>
        <v>  </v>
      </c>
      <c r="L759" s="1"/>
    </row>
    <row r="760">
      <c r="A760" s="56"/>
      <c r="B760" s="1"/>
      <c r="C760" s="1"/>
      <c r="D760" s="1"/>
      <c r="E760" s="1"/>
      <c r="F760" s="1"/>
      <c r="G760" s="60" t="s">
        <v>503</v>
      </c>
      <c r="H760" s="1" t="s">
        <v>476</v>
      </c>
      <c r="I760" s="1" t="str">
        <f>IFERROR(CONCATENATE(VLOOKUP(C760,PARAM!D:E,2,0),VLOOKUP(D760,PARAM!J:K,2,0),VLOOKUP(E760,PARAM!G:H,2,0),VLOOKUP(G760,PARAM!P:Q,2,0)),"")</f>
        <v/>
      </c>
      <c r="J760" s="1" t="str">
        <f>IFERROR(CONCATENATE("*",VLOOKUP(C760,PARAM!D:E,2,0),VLOOKUP(D760,PARAM!J:K,2,0),VLOOKUP(E760,PARAM!G:H,2,0),VLOOKUP(G760,PARAM!P:Q,2,0),"*"),"")</f>
        <v/>
      </c>
      <c r="K760" s="1" t="str">
        <f t="shared" si="1"/>
        <v>  </v>
      </c>
      <c r="L760" s="1"/>
    </row>
    <row r="761">
      <c r="A761" s="56"/>
      <c r="B761" s="1"/>
      <c r="C761" s="1"/>
      <c r="D761" s="1"/>
      <c r="E761" s="1"/>
      <c r="F761" s="1"/>
      <c r="G761" s="60" t="s">
        <v>503</v>
      </c>
      <c r="H761" s="1" t="s">
        <v>476</v>
      </c>
      <c r="I761" s="1" t="str">
        <f>IFERROR(CONCATENATE(VLOOKUP(C761,PARAM!D:E,2,0),VLOOKUP(D761,PARAM!J:K,2,0),VLOOKUP(E761,PARAM!G:H,2,0),VLOOKUP(G761,PARAM!P:Q,2,0)),"")</f>
        <v/>
      </c>
      <c r="J761" s="1" t="str">
        <f>IFERROR(CONCATENATE("*",VLOOKUP(C761,PARAM!D:E,2,0),VLOOKUP(D761,PARAM!J:K,2,0),VLOOKUP(E761,PARAM!G:H,2,0),VLOOKUP(G761,PARAM!P:Q,2,0),"*"),"")</f>
        <v/>
      </c>
      <c r="K761" s="1" t="str">
        <f t="shared" si="1"/>
        <v>  </v>
      </c>
      <c r="L761" s="1"/>
    </row>
    <row r="762">
      <c r="A762" s="56"/>
      <c r="B762" s="1"/>
      <c r="C762" s="1"/>
      <c r="D762" s="1"/>
      <c r="E762" s="1"/>
      <c r="F762" s="1"/>
      <c r="G762" s="60" t="s">
        <v>503</v>
      </c>
      <c r="H762" s="1" t="s">
        <v>476</v>
      </c>
      <c r="I762" s="1" t="str">
        <f>IFERROR(CONCATENATE(VLOOKUP(C762,PARAM!D:E,2,0),VLOOKUP(D762,PARAM!J:K,2,0),VLOOKUP(E762,PARAM!G:H,2,0),VLOOKUP(G762,PARAM!P:Q,2,0)),"")</f>
        <v/>
      </c>
      <c r="J762" s="1" t="str">
        <f>IFERROR(CONCATENATE("*",VLOOKUP(C762,PARAM!D:E,2,0),VLOOKUP(D762,PARAM!J:K,2,0),VLOOKUP(E762,PARAM!G:H,2,0),VLOOKUP(G762,PARAM!P:Q,2,0),"*"),"")</f>
        <v/>
      </c>
      <c r="K762" s="1" t="str">
        <f t="shared" si="1"/>
        <v>  </v>
      </c>
      <c r="L762" s="1"/>
    </row>
    <row r="763">
      <c r="A763" s="56"/>
      <c r="B763" s="1"/>
      <c r="C763" s="1"/>
      <c r="D763" s="1"/>
      <c r="E763" s="1"/>
      <c r="F763" s="1"/>
      <c r="G763" s="60" t="s">
        <v>503</v>
      </c>
      <c r="H763" s="1" t="s">
        <v>476</v>
      </c>
      <c r="I763" s="1" t="str">
        <f>IFERROR(CONCATENATE(VLOOKUP(C763,PARAM!D:E,2,0),VLOOKUP(D763,PARAM!J:K,2,0),VLOOKUP(E763,PARAM!G:H,2,0),VLOOKUP(G763,PARAM!P:Q,2,0)),"")</f>
        <v/>
      </c>
      <c r="J763" s="1" t="str">
        <f>IFERROR(CONCATENATE("*",VLOOKUP(C763,PARAM!D:E,2,0),VLOOKUP(D763,PARAM!J:K,2,0),VLOOKUP(E763,PARAM!G:H,2,0),VLOOKUP(G763,PARAM!P:Q,2,0),"*"),"")</f>
        <v/>
      </c>
      <c r="K763" s="1" t="str">
        <f t="shared" si="1"/>
        <v>  </v>
      </c>
      <c r="L763" s="1"/>
    </row>
    <row r="764">
      <c r="A764" s="56"/>
      <c r="B764" s="1"/>
      <c r="C764" s="1"/>
      <c r="D764" s="1"/>
      <c r="E764" s="1"/>
      <c r="F764" s="1"/>
      <c r="G764" s="60" t="s">
        <v>503</v>
      </c>
      <c r="H764" s="1" t="s">
        <v>476</v>
      </c>
      <c r="I764" s="1" t="str">
        <f>IFERROR(CONCATENATE(VLOOKUP(C764,PARAM!D:E,2,0),VLOOKUP(D764,PARAM!J:K,2,0),VLOOKUP(E764,PARAM!G:H,2,0),VLOOKUP(G764,PARAM!P:Q,2,0)),"")</f>
        <v/>
      </c>
      <c r="J764" s="1" t="str">
        <f>IFERROR(CONCATENATE("*",VLOOKUP(C764,PARAM!D:E,2,0),VLOOKUP(D764,PARAM!J:K,2,0),VLOOKUP(E764,PARAM!G:H,2,0),VLOOKUP(G764,PARAM!P:Q,2,0),"*"),"")</f>
        <v/>
      </c>
      <c r="K764" s="1" t="str">
        <f t="shared" si="1"/>
        <v>  </v>
      </c>
      <c r="L764" s="1"/>
    </row>
    <row r="765">
      <c r="A765" s="56"/>
      <c r="B765" s="1"/>
      <c r="C765" s="1"/>
      <c r="D765" s="1"/>
      <c r="E765" s="1"/>
      <c r="F765" s="1"/>
      <c r="G765" s="60" t="s">
        <v>503</v>
      </c>
      <c r="H765" s="1" t="s">
        <v>476</v>
      </c>
      <c r="I765" s="1" t="str">
        <f>IFERROR(CONCATENATE(VLOOKUP(C765,PARAM!D:E,2,0),VLOOKUP(D765,PARAM!J:K,2,0),VLOOKUP(E765,PARAM!G:H,2,0),VLOOKUP(G765,PARAM!P:Q,2,0)),"")</f>
        <v/>
      </c>
      <c r="J765" s="1" t="str">
        <f>IFERROR(CONCATENATE("*",VLOOKUP(C765,PARAM!D:E,2,0),VLOOKUP(D765,PARAM!J:K,2,0),VLOOKUP(E765,PARAM!G:H,2,0),VLOOKUP(G765,PARAM!P:Q,2,0),"*"),"")</f>
        <v/>
      </c>
      <c r="K765" s="1" t="str">
        <f t="shared" si="1"/>
        <v>  </v>
      </c>
      <c r="L765" s="1"/>
    </row>
    <row r="766">
      <c r="A766" s="56"/>
      <c r="B766" s="1"/>
      <c r="C766" s="1"/>
      <c r="D766" s="1"/>
      <c r="E766" s="1"/>
      <c r="F766" s="1"/>
      <c r="G766" s="60" t="s">
        <v>503</v>
      </c>
      <c r="H766" s="1" t="s">
        <v>476</v>
      </c>
      <c r="I766" s="1" t="str">
        <f>IFERROR(CONCATENATE(VLOOKUP(C766,PARAM!D:E,2,0),VLOOKUP(D766,PARAM!J:K,2,0),VLOOKUP(E766,PARAM!G:H,2,0),VLOOKUP(G766,PARAM!P:Q,2,0)),"")</f>
        <v/>
      </c>
      <c r="J766" s="1" t="str">
        <f>IFERROR(CONCATENATE("*",VLOOKUP(C766,PARAM!D:E,2,0),VLOOKUP(D766,PARAM!J:K,2,0),VLOOKUP(E766,PARAM!G:H,2,0),VLOOKUP(G766,PARAM!P:Q,2,0),"*"),"")</f>
        <v/>
      </c>
      <c r="K766" s="1" t="str">
        <f t="shared" si="1"/>
        <v>  </v>
      </c>
      <c r="L766" s="1"/>
    </row>
    <row r="767">
      <c r="A767" s="56"/>
      <c r="B767" s="1"/>
      <c r="C767" s="1"/>
      <c r="D767" s="1"/>
      <c r="E767" s="1"/>
      <c r="F767" s="1"/>
      <c r="G767" s="60" t="s">
        <v>503</v>
      </c>
      <c r="H767" s="1" t="s">
        <v>476</v>
      </c>
      <c r="I767" s="1" t="str">
        <f>IFERROR(CONCATENATE(VLOOKUP(C767,PARAM!D:E,2,0),VLOOKUP(D767,PARAM!J:K,2,0),VLOOKUP(E767,PARAM!G:H,2,0),VLOOKUP(G767,PARAM!P:Q,2,0)),"")</f>
        <v/>
      </c>
      <c r="J767" s="1" t="str">
        <f>IFERROR(CONCATENATE("*",VLOOKUP(C767,PARAM!D:E,2,0),VLOOKUP(D767,PARAM!J:K,2,0),VLOOKUP(E767,PARAM!G:H,2,0),VLOOKUP(G767,PARAM!P:Q,2,0),"*"),"")</f>
        <v/>
      </c>
      <c r="K767" s="1" t="str">
        <f t="shared" si="1"/>
        <v>  </v>
      </c>
      <c r="L767" s="1"/>
    </row>
    <row r="768">
      <c r="A768" s="56"/>
      <c r="B768" s="1"/>
      <c r="C768" s="1"/>
      <c r="D768" s="1"/>
      <c r="E768" s="1"/>
      <c r="F768" s="1"/>
      <c r="G768" s="60" t="s">
        <v>503</v>
      </c>
      <c r="H768" s="1" t="s">
        <v>476</v>
      </c>
      <c r="I768" s="1" t="str">
        <f>IFERROR(CONCATENATE(VLOOKUP(C768,PARAM!D:E,2,0),VLOOKUP(D768,PARAM!J:K,2,0),VLOOKUP(E768,PARAM!G:H,2,0),VLOOKUP(G768,PARAM!P:Q,2,0)),"")</f>
        <v/>
      </c>
      <c r="J768" s="1" t="str">
        <f>IFERROR(CONCATENATE("*",VLOOKUP(C768,PARAM!D:E,2,0),VLOOKUP(D768,PARAM!J:K,2,0),VLOOKUP(E768,PARAM!G:H,2,0),VLOOKUP(G768,PARAM!P:Q,2,0),"*"),"")</f>
        <v/>
      </c>
      <c r="K768" s="1" t="str">
        <f t="shared" si="1"/>
        <v>  </v>
      </c>
      <c r="L768" s="1"/>
    </row>
    <row r="769">
      <c r="A769" s="56"/>
      <c r="B769" s="1"/>
      <c r="C769" s="1"/>
      <c r="D769" s="1"/>
      <c r="E769" s="1"/>
      <c r="F769" s="1"/>
      <c r="G769" s="60" t="s">
        <v>503</v>
      </c>
      <c r="H769" s="1" t="s">
        <v>476</v>
      </c>
      <c r="I769" s="1" t="str">
        <f>IFERROR(CONCATENATE(VLOOKUP(C769,PARAM!D:E,2,0),VLOOKUP(D769,PARAM!J:K,2,0),VLOOKUP(E769,PARAM!G:H,2,0),VLOOKUP(G769,PARAM!P:Q,2,0)),"")</f>
        <v/>
      </c>
      <c r="J769" s="1" t="str">
        <f>IFERROR(CONCATENATE("*",VLOOKUP(C769,PARAM!D:E,2,0),VLOOKUP(D769,PARAM!J:K,2,0),VLOOKUP(E769,PARAM!G:H,2,0),VLOOKUP(G769,PARAM!P:Q,2,0),"*"),"")</f>
        <v/>
      </c>
      <c r="K769" s="1" t="str">
        <f t="shared" si="1"/>
        <v>  </v>
      </c>
      <c r="L769" s="1"/>
    </row>
    <row r="770">
      <c r="A770" s="56"/>
      <c r="B770" s="1"/>
      <c r="C770" s="1"/>
      <c r="D770" s="1"/>
      <c r="E770" s="1"/>
      <c r="F770" s="1"/>
      <c r="G770" s="60" t="s">
        <v>503</v>
      </c>
      <c r="H770" s="1" t="s">
        <v>476</v>
      </c>
      <c r="I770" s="1" t="str">
        <f>IFERROR(CONCATENATE(VLOOKUP(C770,PARAM!D:E,2,0),VLOOKUP(D770,PARAM!J:K,2,0),VLOOKUP(E770,PARAM!G:H,2,0),VLOOKUP(G770,PARAM!P:Q,2,0)),"")</f>
        <v/>
      </c>
      <c r="J770" s="1" t="str">
        <f>IFERROR(CONCATENATE("*",VLOOKUP(C770,PARAM!D:E,2,0),VLOOKUP(D770,PARAM!J:K,2,0),VLOOKUP(E770,PARAM!G:H,2,0),VLOOKUP(G770,PARAM!P:Q,2,0),"*"),"")</f>
        <v/>
      </c>
      <c r="K770" s="1" t="str">
        <f t="shared" si="1"/>
        <v>  </v>
      </c>
      <c r="L770" s="1"/>
    </row>
    <row r="771">
      <c r="A771" s="56"/>
      <c r="B771" s="1"/>
      <c r="C771" s="1"/>
      <c r="D771" s="1"/>
      <c r="E771" s="1"/>
      <c r="F771" s="1"/>
      <c r="G771" s="60" t="s">
        <v>503</v>
      </c>
      <c r="H771" s="1" t="s">
        <v>476</v>
      </c>
      <c r="I771" s="1" t="str">
        <f>IFERROR(CONCATENATE(VLOOKUP(C771,PARAM!D:E,2,0),VLOOKUP(D771,PARAM!J:K,2,0),VLOOKUP(E771,PARAM!G:H,2,0),VLOOKUP(G771,PARAM!P:Q,2,0)),"")</f>
        <v/>
      </c>
      <c r="J771" s="1" t="str">
        <f>IFERROR(CONCATENATE("*",VLOOKUP(C771,PARAM!D:E,2,0),VLOOKUP(D771,PARAM!J:K,2,0),VLOOKUP(E771,PARAM!G:H,2,0),VLOOKUP(G771,PARAM!P:Q,2,0),"*"),"")</f>
        <v/>
      </c>
      <c r="K771" s="1" t="str">
        <f t="shared" si="1"/>
        <v>  </v>
      </c>
      <c r="L771" s="1"/>
    </row>
    <row r="772">
      <c r="A772" s="56"/>
      <c r="B772" s="1"/>
      <c r="C772" s="1"/>
      <c r="D772" s="1"/>
      <c r="E772" s="1"/>
      <c r="F772" s="1"/>
      <c r="G772" s="60" t="s">
        <v>503</v>
      </c>
      <c r="H772" s="1" t="s">
        <v>476</v>
      </c>
      <c r="I772" s="1" t="str">
        <f>IFERROR(CONCATENATE(VLOOKUP(C772,PARAM!D:E,2,0),VLOOKUP(D772,PARAM!J:K,2,0),VLOOKUP(E772,PARAM!G:H,2,0),VLOOKUP(G772,PARAM!P:Q,2,0)),"")</f>
        <v/>
      </c>
      <c r="J772" s="1" t="str">
        <f>IFERROR(CONCATENATE("*",VLOOKUP(C772,PARAM!D:E,2,0),VLOOKUP(D772,PARAM!J:K,2,0),VLOOKUP(E772,PARAM!G:H,2,0),VLOOKUP(G772,PARAM!P:Q,2,0),"*"),"")</f>
        <v/>
      </c>
      <c r="K772" s="1" t="str">
        <f t="shared" si="1"/>
        <v>  </v>
      </c>
      <c r="L772" s="1"/>
    </row>
    <row r="773">
      <c r="A773" s="56"/>
      <c r="B773" s="1"/>
      <c r="C773" s="1"/>
      <c r="D773" s="1"/>
      <c r="E773" s="1"/>
      <c r="F773" s="1"/>
      <c r="G773" s="60" t="s">
        <v>503</v>
      </c>
      <c r="H773" s="1" t="s">
        <v>476</v>
      </c>
      <c r="I773" s="1" t="str">
        <f>IFERROR(CONCATENATE(VLOOKUP(C773,PARAM!D:E,2,0),VLOOKUP(D773,PARAM!J:K,2,0),VLOOKUP(E773,PARAM!G:H,2,0),VLOOKUP(G773,PARAM!P:Q,2,0)),"")</f>
        <v/>
      </c>
      <c r="J773" s="1" t="str">
        <f>IFERROR(CONCATENATE("*",VLOOKUP(C773,PARAM!D:E,2,0),VLOOKUP(D773,PARAM!J:K,2,0),VLOOKUP(E773,PARAM!G:H,2,0),VLOOKUP(G773,PARAM!P:Q,2,0),"*"),"")</f>
        <v/>
      </c>
      <c r="K773" s="1" t="str">
        <f t="shared" si="1"/>
        <v>  </v>
      </c>
      <c r="L773" s="1"/>
    </row>
    <row r="774">
      <c r="A774" s="56"/>
      <c r="B774" s="1"/>
      <c r="C774" s="1"/>
      <c r="D774" s="1"/>
      <c r="E774" s="1"/>
      <c r="F774" s="1"/>
      <c r="G774" s="60" t="s">
        <v>503</v>
      </c>
      <c r="H774" s="1" t="s">
        <v>476</v>
      </c>
      <c r="I774" s="1" t="str">
        <f>IFERROR(CONCATENATE(VLOOKUP(C774,PARAM!D:E,2,0),VLOOKUP(D774,PARAM!J:K,2,0),VLOOKUP(E774,PARAM!G:H,2,0),VLOOKUP(G774,PARAM!P:Q,2,0)),"")</f>
        <v/>
      </c>
      <c r="J774" s="1" t="str">
        <f>IFERROR(CONCATENATE("*",VLOOKUP(C774,PARAM!D:E,2,0),VLOOKUP(D774,PARAM!J:K,2,0),VLOOKUP(E774,PARAM!G:H,2,0),VLOOKUP(G774,PARAM!P:Q,2,0),"*"),"")</f>
        <v/>
      </c>
      <c r="K774" s="1" t="str">
        <f t="shared" si="1"/>
        <v>  </v>
      </c>
      <c r="L774" s="1"/>
    </row>
    <row r="775">
      <c r="A775" s="56"/>
      <c r="B775" s="1"/>
      <c r="C775" s="1"/>
      <c r="D775" s="1"/>
      <c r="E775" s="1"/>
      <c r="F775" s="1"/>
      <c r="G775" s="60" t="s">
        <v>503</v>
      </c>
      <c r="H775" s="1" t="s">
        <v>476</v>
      </c>
      <c r="I775" s="1" t="str">
        <f>IFERROR(CONCATENATE(VLOOKUP(C775,PARAM!D:E,2,0),VLOOKUP(D775,PARAM!J:K,2,0),VLOOKUP(E775,PARAM!G:H,2,0),VLOOKUP(G775,PARAM!P:Q,2,0)),"")</f>
        <v/>
      </c>
      <c r="J775" s="1" t="str">
        <f>IFERROR(CONCATENATE("*",VLOOKUP(C775,PARAM!D:E,2,0),VLOOKUP(D775,PARAM!J:K,2,0),VLOOKUP(E775,PARAM!G:H,2,0),VLOOKUP(G775,PARAM!P:Q,2,0),"*"),"")</f>
        <v/>
      </c>
      <c r="K775" s="1" t="str">
        <f t="shared" si="1"/>
        <v>  </v>
      </c>
      <c r="L775" s="1"/>
    </row>
    <row r="776">
      <c r="A776" s="56"/>
      <c r="B776" s="1"/>
      <c r="C776" s="1"/>
      <c r="D776" s="1"/>
      <c r="E776" s="1"/>
      <c r="F776" s="1"/>
      <c r="G776" s="60" t="s">
        <v>503</v>
      </c>
      <c r="H776" s="1" t="s">
        <v>476</v>
      </c>
      <c r="I776" s="1" t="str">
        <f>IFERROR(CONCATENATE(VLOOKUP(C776,PARAM!D:E,2,0),VLOOKUP(D776,PARAM!J:K,2,0),VLOOKUP(E776,PARAM!G:H,2,0),VLOOKUP(G776,PARAM!P:Q,2,0)),"")</f>
        <v/>
      </c>
      <c r="J776" s="1" t="str">
        <f>IFERROR(CONCATENATE("*",VLOOKUP(C776,PARAM!D:E,2,0),VLOOKUP(D776,PARAM!J:K,2,0),VLOOKUP(E776,PARAM!G:H,2,0),VLOOKUP(G776,PARAM!P:Q,2,0),"*"),"")</f>
        <v/>
      </c>
      <c r="K776" s="1" t="str">
        <f t="shared" si="1"/>
        <v>  </v>
      </c>
      <c r="L776" s="1"/>
    </row>
    <row r="777">
      <c r="A777" s="56"/>
      <c r="B777" s="1"/>
      <c r="C777" s="1"/>
      <c r="D777" s="1"/>
      <c r="E777" s="1"/>
      <c r="F777" s="1"/>
      <c r="G777" s="60" t="s">
        <v>503</v>
      </c>
      <c r="H777" s="1" t="s">
        <v>476</v>
      </c>
      <c r="I777" s="1" t="str">
        <f>IFERROR(CONCATENATE(VLOOKUP(C777,PARAM!D:E,2,0),VLOOKUP(D777,PARAM!J:K,2,0),VLOOKUP(E777,PARAM!G:H,2,0),VLOOKUP(G777,PARAM!P:Q,2,0)),"")</f>
        <v/>
      </c>
      <c r="J777" s="1" t="str">
        <f>IFERROR(CONCATENATE("*",VLOOKUP(C777,PARAM!D:E,2,0),VLOOKUP(D777,PARAM!J:K,2,0),VLOOKUP(E777,PARAM!G:H,2,0),VLOOKUP(G777,PARAM!P:Q,2,0),"*"),"")</f>
        <v/>
      </c>
      <c r="K777" s="1" t="str">
        <f t="shared" si="1"/>
        <v>  </v>
      </c>
      <c r="L777" s="1"/>
    </row>
    <row r="778">
      <c r="A778" s="56"/>
      <c r="B778" s="1"/>
      <c r="C778" s="1"/>
      <c r="D778" s="1"/>
      <c r="E778" s="1"/>
      <c r="F778" s="1"/>
      <c r="G778" s="60" t="s">
        <v>503</v>
      </c>
      <c r="H778" s="1" t="s">
        <v>476</v>
      </c>
      <c r="I778" s="1" t="str">
        <f>IFERROR(CONCATENATE(VLOOKUP(C778,PARAM!D:E,2,0),VLOOKUP(D778,PARAM!J:K,2,0),VLOOKUP(E778,PARAM!G:H,2,0),VLOOKUP(G778,PARAM!P:Q,2,0)),"")</f>
        <v/>
      </c>
      <c r="J778" s="1" t="str">
        <f>IFERROR(CONCATENATE("*",VLOOKUP(C778,PARAM!D:E,2,0),VLOOKUP(D778,PARAM!J:K,2,0),VLOOKUP(E778,PARAM!G:H,2,0),VLOOKUP(G778,PARAM!P:Q,2,0),"*"),"")</f>
        <v/>
      </c>
      <c r="K778" s="1" t="str">
        <f t="shared" si="1"/>
        <v>  </v>
      </c>
      <c r="L778" s="1"/>
    </row>
    <row r="779">
      <c r="A779" s="56"/>
      <c r="B779" s="1"/>
      <c r="C779" s="1"/>
      <c r="D779" s="1"/>
      <c r="E779" s="1"/>
      <c r="F779" s="1"/>
      <c r="G779" s="60" t="s">
        <v>503</v>
      </c>
      <c r="H779" s="1" t="s">
        <v>476</v>
      </c>
      <c r="I779" s="1" t="str">
        <f>IFERROR(CONCATENATE(VLOOKUP(C779,PARAM!D:E,2,0),VLOOKUP(D779,PARAM!J:K,2,0),VLOOKUP(E779,PARAM!G:H,2,0),VLOOKUP(G779,PARAM!P:Q,2,0)),"")</f>
        <v/>
      </c>
      <c r="J779" s="1" t="str">
        <f>IFERROR(CONCATENATE("*",VLOOKUP(C779,PARAM!D:E,2,0),VLOOKUP(D779,PARAM!J:K,2,0),VLOOKUP(E779,PARAM!G:H,2,0),VLOOKUP(G779,PARAM!P:Q,2,0),"*"),"")</f>
        <v/>
      </c>
      <c r="K779" s="1" t="str">
        <f t="shared" si="1"/>
        <v>  </v>
      </c>
      <c r="L779" s="1"/>
    </row>
    <row r="780">
      <c r="A780" s="56"/>
      <c r="B780" s="1"/>
      <c r="C780" s="1"/>
      <c r="D780" s="1"/>
      <c r="E780" s="1"/>
      <c r="F780" s="1"/>
      <c r="G780" s="60" t="s">
        <v>503</v>
      </c>
      <c r="H780" s="1" t="s">
        <v>476</v>
      </c>
      <c r="I780" s="1" t="str">
        <f>IFERROR(CONCATENATE(VLOOKUP(C780,PARAM!D:E,2,0),VLOOKUP(D780,PARAM!J:K,2,0),VLOOKUP(E780,PARAM!G:H,2,0),VLOOKUP(G780,PARAM!P:Q,2,0)),"")</f>
        <v/>
      </c>
      <c r="J780" s="1" t="str">
        <f>IFERROR(CONCATENATE("*",VLOOKUP(C780,PARAM!D:E,2,0),VLOOKUP(D780,PARAM!J:K,2,0),VLOOKUP(E780,PARAM!G:H,2,0),VLOOKUP(G780,PARAM!P:Q,2,0),"*"),"")</f>
        <v/>
      </c>
      <c r="K780" s="1" t="str">
        <f t="shared" si="1"/>
        <v>  </v>
      </c>
      <c r="L780" s="1"/>
    </row>
    <row r="781">
      <c r="A781" s="56"/>
      <c r="B781" s="1"/>
      <c r="C781" s="1"/>
      <c r="D781" s="1"/>
      <c r="E781" s="1"/>
      <c r="F781" s="1"/>
      <c r="G781" s="60" t="s">
        <v>503</v>
      </c>
      <c r="H781" s="1" t="s">
        <v>476</v>
      </c>
      <c r="I781" s="1" t="str">
        <f>IFERROR(CONCATENATE(VLOOKUP(C781,PARAM!D:E,2,0),VLOOKUP(D781,PARAM!J:K,2,0),VLOOKUP(E781,PARAM!G:H,2,0),VLOOKUP(G781,PARAM!P:Q,2,0)),"")</f>
        <v/>
      </c>
      <c r="J781" s="1" t="str">
        <f>IFERROR(CONCATENATE("*",VLOOKUP(C781,PARAM!D:E,2,0),VLOOKUP(D781,PARAM!J:K,2,0),VLOOKUP(E781,PARAM!G:H,2,0),VLOOKUP(G781,PARAM!P:Q,2,0),"*"),"")</f>
        <v/>
      </c>
      <c r="K781" s="1" t="str">
        <f t="shared" si="1"/>
        <v>  </v>
      </c>
      <c r="L781" s="1"/>
    </row>
    <row r="782">
      <c r="A782" s="56"/>
      <c r="B782" s="1"/>
      <c r="C782" s="1"/>
      <c r="D782" s="1"/>
      <c r="E782" s="1"/>
      <c r="F782" s="1"/>
      <c r="G782" s="60" t="s">
        <v>503</v>
      </c>
      <c r="H782" s="1" t="s">
        <v>476</v>
      </c>
      <c r="I782" s="1" t="str">
        <f>IFERROR(CONCATENATE(VLOOKUP(C782,PARAM!D:E,2,0),VLOOKUP(D782,PARAM!J:K,2,0),VLOOKUP(E782,PARAM!G:H,2,0),VLOOKUP(G782,PARAM!P:Q,2,0)),"")</f>
        <v/>
      </c>
      <c r="J782" s="1" t="str">
        <f>IFERROR(CONCATENATE("*",VLOOKUP(C782,PARAM!D:E,2,0),VLOOKUP(D782,PARAM!J:K,2,0),VLOOKUP(E782,PARAM!G:H,2,0),VLOOKUP(G782,PARAM!P:Q,2,0),"*"),"")</f>
        <v/>
      </c>
      <c r="K782" s="1" t="str">
        <f t="shared" si="1"/>
        <v>  </v>
      </c>
      <c r="L782" s="1"/>
    </row>
    <row r="783">
      <c r="A783" s="56"/>
      <c r="B783" s="1"/>
      <c r="C783" s="1"/>
      <c r="D783" s="1"/>
      <c r="E783" s="1"/>
      <c r="F783" s="1"/>
      <c r="G783" s="60" t="s">
        <v>503</v>
      </c>
      <c r="H783" s="1" t="s">
        <v>476</v>
      </c>
      <c r="I783" s="1" t="str">
        <f>IFERROR(CONCATENATE(VLOOKUP(C783,PARAM!D:E,2,0),VLOOKUP(D783,PARAM!J:K,2,0),VLOOKUP(E783,PARAM!G:H,2,0),VLOOKUP(G783,PARAM!P:Q,2,0)),"")</f>
        <v/>
      </c>
      <c r="J783" s="1" t="str">
        <f>IFERROR(CONCATENATE("*",VLOOKUP(C783,PARAM!D:E,2,0),VLOOKUP(D783,PARAM!J:K,2,0),VLOOKUP(E783,PARAM!G:H,2,0),VLOOKUP(G783,PARAM!P:Q,2,0),"*"),"")</f>
        <v/>
      </c>
      <c r="K783" s="1" t="str">
        <f t="shared" si="1"/>
        <v>  </v>
      </c>
      <c r="L783" s="1"/>
    </row>
    <row r="784">
      <c r="A784" s="56"/>
      <c r="B784" s="1"/>
      <c r="C784" s="1"/>
      <c r="D784" s="1"/>
      <c r="E784" s="1"/>
      <c r="F784" s="1"/>
      <c r="G784" s="60" t="s">
        <v>503</v>
      </c>
      <c r="H784" s="1" t="s">
        <v>476</v>
      </c>
      <c r="I784" s="1" t="str">
        <f>IFERROR(CONCATENATE(VLOOKUP(C784,PARAM!D:E,2,0),VLOOKUP(D784,PARAM!J:K,2,0),VLOOKUP(E784,PARAM!G:H,2,0),VLOOKUP(G784,PARAM!P:Q,2,0)),"")</f>
        <v/>
      </c>
      <c r="J784" s="1" t="str">
        <f>IFERROR(CONCATENATE("*",VLOOKUP(C784,PARAM!D:E,2,0),VLOOKUP(D784,PARAM!J:K,2,0),VLOOKUP(E784,PARAM!G:H,2,0),VLOOKUP(G784,PARAM!P:Q,2,0),"*"),"")</f>
        <v/>
      </c>
      <c r="K784" s="1" t="str">
        <f t="shared" si="1"/>
        <v>  </v>
      </c>
      <c r="L784" s="1"/>
    </row>
    <row r="785">
      <c r="A785" s="56"/>
      <c r="B785" s="1"/>
      <c r="C785" s="1"/>
      <c r="D785" s="1"/>
      <c r="E785" s="1"/>
      <c r="F785" s="1"/>
      <c r="G785" s="60" t="s">
        <v>503</v>
      </c>
      <c r="H785" s="1" t="s">
        <v>476</v>
      </c>
      <c r="I785" s="1" t="str">
        <f>IFERROR(CONCATENATE(VLOOKUP(C785,PARAM!D:E,2,0),VLOOKUP(D785,PARAM!J:K,2,0),VLOOKUP(E785,PARAM!G:H,2,0),VLOOKUP(G785,PARAM!P:Q,2,0)),"")</f>
        <v/>
      </c>
      <c r="J785" s="1" t="str">
        <f>IFERROR(CONCATENATE("*",VLOOKUP(C785,PARAM!D:E,2,0),VLOOKUP(D785,PARAM!J:K,2,0),VLOOKUP(E785,PARAM!G:H,2,0),VLOOKUP(G785,PARAM!P:Q,2,0),"*"),"")</f>
        <v/>
      </c>
      <c r="K785" s="1" t="str">
        <f t="shared" si="1"/>
        <v>  </v>
      </c>
      <c r="L785" s="1"/>
    </row>
    <row r="786">
      <c r="A786" s="56"/>
      <c r="B786" s="1"/>
      <c r="C786" s="1"/>
      <c r="D786" s="1"/>
      <c r="E786" s="1"/>
      <c r="F786" s="1"/>
      <c r="G786" s="60" t="s">
        <v>503</v>
      </c>
      <c r="H786" s="1" t="s">
        <v>476</v>
      </c>
      <c r="I786" s="1" t="str">
        <f>IFERROR(CONCATENATE(VLOOKUP(C786,PARAM!D:E,2,0),VLOOKUP(D786,PARAM!J:K,2,0),VLOOKUP(E786,PARAM!G:H,2,0),VLOOKUP(G786,PARAM!P:Q,2,0)),"")</f>
        <v/>
      </c>
      <c r="J786" s="1" t="str">
        <f>IFERROR(CONCATENATE("*",VLOOKUP(C786,PARAM!D:E,2,0),VLOOKUP(D786,PARAM!J:K,2,0),VLOOKUP(E786,PARAM!G:H,2,0),VLOOKUP(G786,PARAM!P:Q,2,0),"*"),"")</f>
        <v/>
      </c>
      <c r="K786" s="1" t="str">
        <f t="shared" si="1"/>
        <v>  </v>
      </c>
      <c r="L786" s="1"/>
    </row>
    <row r="787">
      <c r="A787" s="56"/>
      <c r="B787" s="1"/>
      <c r="C787" s="1"/>
      <c r="D787" s="1"/>
      <c r="E787" s="1"/>
      <c r="F787" s="1"/>
      <c r="G787" s="60" t="s">
        <v>503</v>
      </c>
      <c r="H787" s="1" t="s">
        <v>476</v>
      </c>
      <c r="I787" s="1" t="str">
        <f>IFERROR(CONCATENATE(VLOOKUP(C787,PARAM!D:E,2,0),VLOOKUP(D787,PARAM!J:K,2,0),VLOOKUP(E787,PARAM!G:H,2,0),VLOOKUP(G787,PARAM!P:Q,2,0)),"")</f>
        <v/>
      </c>
      <c r="J787" s="1" t="str">
        <f>IFERROR(CONCATENATE("*",VLOOKUP(C787,PARAM!D:E,2,0),VLOOKUP(D787,PARAM!J:K,2,0),VLOOKUP(E787,PARAM!G:H,2,0),VLOOKUP(G787,PARAM!P:Q,2,0),"*"),"")</f>
        <v/>
      </c>
      <c r="K787" s="1" t="str">
        <f t="shared" si="1"/>
        <v>  </v>
      </c>
      <c r="L787" s="1"/>
    </row>
    <row r="788">
      <c r="A788" s="56"/>
      <c r="B788" s="1"/>
      <c r="C788" s="1"/>
      <c r="D788" s="1"/>
      <c r="E788" s="1"/>
      <c r="F788" s="1"/>
      <c r="G788" s="60" t="s">
        <v>503</v>
      </c>
      <c r="H788" s="1" t="s">
        <v>476</v>
      </c>
      <c r="I788" s="1" t="str">
        <f>IFERROR(CONCATENATE(VLOOKUP(C788,PARAM!D:E,2,0),VLOOKUP(D788,PARAM!J:K,2,0),VLOOKUP(E788,PARAM!G:H,2,0),VLOOKUP(G788,PARAM!P:Q,2,0)),"")</f>
        <v/>
      </c>
      <c r="J788" s="1" t="str">
        <f>IFERROR(CONCATENATE("*",VLOOKUP(C788,PARAM!D:E,2,0),VLOOKUP(D788,PARAM!J:K,2,0),VLOOKUP(E788,PARAM!G:H,2,0),VLOOKUP(G788,PARAM!P:Q,2,0),"*"),"")</f>
        <v/>
      </c>
      <c r="K788" s="1" t="str">
        <f t="shared" si="1"/>
        <v>  </v>
      </c>
      <c r="L788" s="1"/>
    </row>
    <row r="789">
      <c r="A789" s="56"/>
      <c r="B789" s="1"/>
      <c r="C789" s="1"/>
      <c r="D789" s="1"/>
      <c r="E789" s="1"/>
      <c r="F789" s="1"/>
      <c r="G789" s="60" t="s">
        <v>503</v>
      </c>
      <c r="H789" s="1" t="s">
        <v>476</v>
      </c>
      <c r="I789" s="1" t="str">
        <f>IFERROR(CONCATENATE(VLOOKUP(C789,PARAM!D:E,2,0),VLOOKUP(D789,PARAM!J:K,2,0),VLOOKUP(E789,PARAM!G:H,2,0),VLOOKUP(G789,PARAM!P:Q,2,0)),"")</f>
        <v/>
      </c>
      <c r="J789" s="1" t="str">
        <f>IFERROR(CONCATENATE("*",VLOOKUP(C789,PARAM!D:E,2,0),VLOOKUP(D789,PARAM!J:K,2,0),VLOOKUP(E789,PARAM!G:H,2,0),VLOOKUP(G789,PARAM!P:Q,2,0),"*"),"")</f>
        <v/>
      </c>
      <c r="K789" s="1" t="str">
        <f t="shared" si="1"/>
        <v>  </v>
      </c>
      <c r="L789" s="1"/>
    </row>
    <row r="790">
      <c r="A790" s="56"/>
      <c r="B790" s="1"/>
      <c r="C790" s="1"/>
      <c r="D790" s="1"/>
      <c r="E790" s="1"/>
      <c r="F790" s="1"/>
      <c r="G790" s="60" t="s">
        <v>503</v>
      </c>
      <c r="H790" s="1" t="s">
        <v>476</v>
      </c>
      <c r="I790" s="1" t="str">
        <f>IFERROR(CONCATENATE(VLOOKUP(C790,PARAM!D:E,2,0),VLOOKUP(D790,PARAM!J:K,2,0),VLOOKUP(E790,PARAM!G:H,2,0),VLOOKUP(G790,PARAM!P:Q,2,0)),"")</f>
        <v/>
      </c>
      <c r="J790" s="1" t="str">
        <f>IFERROR(CONCATENATE("*",VLOOKUP(C790,PARAM!D:E,2,0),VLOOKUP(D790,PARAM!J:K,2,0),VLOOKUP(E790,PARAM!G:H,2,0),VLOOKUP(G790,PARAM!P:Q,2,0),"*"),"")</f>
        <v/>
      </c>
      <c r="K790" s="1" t="str">
        <f t="shared" si="1"/>
        <v>  </v>
      </c>
      <c r="L790" s="1"/>
    </row>
    <row r="791">
      <c r="A791" s="56"/>
      <c r="B791" s="1"/>
      <c r="C791" s="1"/>
      <c r="D791" s="1"/>
      <c r="E791" s="1"/>
      <c r="F791" s="1"/>
      <c r="G791" s="60" t="s">
        <v>503</v>
      </c>
      <c r="H791" s="1" t="s">
        <v>476</v>
      </c>
      <c r="I791" s="1" t="str">
        <f>IFERROR(CONCATENATE(VLOOKUP(C791,PARAM!D:E,2,0),VLOOKUP(D791,PARAM!J:K,2,0),VLOOKUP(E791,PARAM!G:H,2,0),VLOOKUP(G791,PARAM!P:Q,2,0)),"")</f>
        <v/>
      </c>
      <c r="J791" s="1" t="str">
        <f>IFERROR(CONCATENATE("*",VLOOKUP(C791,PARAM!D:E,2,0),VLOOKUP(D791,PARAM!J:K,2,0),VLOOKUP(E791,PARAM!G:H,2,0),VLOOKUP(G791,PARAM!P:Q,2,0),"*"),"")</f>
        <v/>
      </c>
      <c r="K791" s="1" t="str">
        <f t="shared" si="1"/>
        <v>  </v>
      </c>
      <c r="L791" s="1"/>
    </row>
    <row r="792">
      <c r="A792" s="56"/>
      <c r="B792" s="1"/>
      <c r="C792" s="1"/>
      <c r="D792" s="1"/>
      <c r="E792" s="1"/>
      <c r="F792" s="1"/>
      <c r="G792" s="60" t="s">
        <v>503</v>
      </c>
      <c r="H792" s="1" t="s">
        <v>476</v>
      </c>
      <c r="I792" s="1" t="str">
        <f>IFERROR(CONCATENATE(VLOOKUP(C792,PARAM!D:E,2,0),VLOOKUP(D792,PARAM!J:K,2,0),VLOOKUP(E792,PARAM!G:H,2,0),VLOOKUP(G792,PARAM!P:Q,2,0)),"")</f>
        <v/>
      </c>
      <c r="J792" s="1" t="str">
        <f>IFERROR(CONCATENATE("*",VLOOKUP(C792,PARAM!D:E,2,0),VLOOKUP(D792,PARAM!J:K,2,0),VLOOKUP(E792,PARAM!G:H,2,0),VLOOKUP(G792,PARAM!P:Q,2,0),"*"),"")</f>
        <v/>
      </c>
      <c r="K792" s="1" t="str">
        <f t="shared" si="1"/>
        <v>  </v>
      </c>
      <c r="L792" s="1"/>
    </row>
    <row r="793">
      <c r="A793" s="56"/>
      <c r="B793" s="1"/>
      <c r="C793" s="1"/>
      <c r="D793" s="1"/>
      <c r="E793" s="1"/>
      <c r="F793" s="1"/>
      <c r="G793" s="60" t="s">
        <v>503</v>
      </c>
      <c r="H793" s="1" t="s">
        <v>476</v>
      </c>
      <c r="I793" s="1" t="str">
        <f>IFERROR(CONCATENATE(VLOOKUP(C793,PARAM!D:E,2,0),VLOOKUP(D793,PARAM!J:K,2,0),VLOOKUP(E793,PARAM!G:H,2,0),VLOOKUP(G793,PARAM!P:Q,2,0)),"")</f>
        <v/>
      </c>
      <c r="J793" s="1" t="str">
        <f>IFERROR(CONCATENATE("*",VLOOKUP(C793,PARAM!D:E,2,0),VLOOKUP(D793,PARAM!J:K,2,0),VLOOKUP(E793,PARAM!G:H,2,0),VLOOKUP(G793,PARAM!P:Q,2,0),"*"),"")</f>
        <v/>
      </c>
      <c r="K793" s="1" t="str">
        <f t="shared" si="1"/>
        <v>  </v>
      </c>
      <c r="L793" s="1"/>
    </row>
    <row r="794">
      <c r="A794" s="56"/>
      <c r="B794" s="1"/>
      <c r="C794" s="1"/>
      <c r="D794" s="1"/>
      <c r="E794" s="1"/>
      <c r="F794" s="1"/>
      <c r="G794" s="60" t="s">
        <v>503</v>
      </c>
      <c r="H794" s="1" t="s">
        <v>476</v>
      </c>
      <c r="I794" s="1" t="str">
        <f>IFERROR(CONCATENATE(VLOOKUP(C794,PARAM!D:E,2,0),VLOOKUP(D794,PARAM!J:K,2,0),VLOOKUP(E794,PARAM!G:H,2,0),VLOOKUP(G794,PARAM!P:Q,2,0)),"")</f>
        <v/>
      </c>
      <c r="J794" s="1" t="str">
        <f>IFERROR(CONCATENATE("*",VLOOKUP(C794,PARAM!D:E,2,0),VLOOKUP(D794,PARAM!J:K,2,0),VLOOKUP(E794,PARAM!G:H,2,0),VLOOKUP(G794,PARAM!P:Q,2,0),"*"),"")</f>
        <v/>
      </c>
      <c r="K794" s="1" t="str">
        <f t="shared" si="1"/>
        <v>  </v>
      </c>
      <c r="L794" s="1"/>
    </row>
    <row r="795">
      <c r="A795" s="56"/>
      <c r="B795" s="1"/>
      <c r="C795" s="1"/>
      <c r="D795" s="1"/>
      <c r="E795" s="1"/>
      <c r="F795" s="1"/>
      <c r="G795" s="60" t="s">
        <v>503</v>
      </c>
      <c r="H795" s="1" t="s">
        <v>476</v>
      </c>
      <c r="I795" s="1" t="str">
        <f>IFERROR(CONCATENATE(VLOOKUP(C795,PARAM!D:E,2,0),VLOOKUP(D795,PARAM!J:K,2,0),VLOOKUP(E795,PARAM!G:H,2,0),VLOOKUP(G795,PARAM!P:Q,2,0)),"")</f>
        <v/>
      </c>
      <c r="J795" s="1" t="str">
        <f>IFERROR(CONCATENATE("*",VLOOKUP(C795,PARAM!D:E,2,0),VLOOKUP(D795,PARAM!J:K,2,0),VLOOKUP(E795,PARAM!G:H,2,0),VLOOKUP(G795,PARAM!P:Q,2,0),"*"),"")</f>
        <v/>
      </c>
      <c r="K795" s="1" t="str">
        <f t="shared" si="1"/>
        <v>  </v>
      </c>
      <c r="L795" s="1"/>
    </row>
    <row r="796">
      <c r="A796" s="56"/>
      <c r="B796" s="1"/>
      <c r="C796" s="1"/>
      <c r="D796" s="1"/>
      <c r="E796" s="1"/>
      <c r="F796" s="1"/>
      <c r="G796" s="60" t="s">
        <v>503</v>
      </c>
      <c r="H796" s="1" t="s">
        <v>476</v>
      </c>
      <c r="I796" s="1" t="str">
        <f>IFERROR(CONCATENATE(VLOOKUP(C796,PARAM!D:E,2,0),VLOOKUP(D796,PARAM!J:K,2,0),VLOOKUP(E796,PARAM!G:H,2,0),VLOOKUP(G796,PARAM!P:Q,2,0)),"")</f>
        <v/>
      </c>
      <c r="J796" s="1" t="str">
        <f>IFERROR(CONCATENATE("*",VLOOKUP(C796,PARAM!D:E,2,0),VLOOKUP(D796,PARAM!J:K,2,0),VLOOKUP(E796,PARAM!G:H,2,0),VLOOKUP(G796,PARAM!P:Q,2,0),"*"),"")</f>
        <v/>
      </c>
      <c r="K796" s="1" t="str">
        <f t="shared" si="1"/>
        <v>  </v>
      </c>
      <c r="L796" s="1"/>
    </row>
    <row r="797">
      <c r="A797" s="56"/>
      <c r="B797" s="1"/>
      <c r="C797" s="1"/>
      <c r="D797" s="1"/>
      <c r="E797" s="1"/>
      <c r="F797" s="1"/>
      <c r="G797" s="60" t="s">
        <v>503</v>
      </c>
      <c r="H797" s="1" t="s">
        <v>476</v>
      </c>
      <c r="I797" s="1" t="str">
        <f>IFERROR(CONCATENATE(VLOOKUP(C797,PARAM!D:E,2,0),VLOOKUP(D797,PARAM!J:K,2,0),VLOOKUP(E797,PARAM!G:H,2,0),VLOOKUP(G797,PARAM!P:Q,2,0)),"")</f>
        <v/>
      </c>
      <c r="J797" s="1" t="str">
        <f>IFERROR(CONCATENATE("*",VLOOKUP(C797,PARAM!D:E,2,0),VLOOKUP(D797,PARAM!J:K,2,0),VLOOKUP(E797,PARAM!G:H,2,0),VLOOKUP(G797,PARAM!P:Q,2,0),"*"),"")</f>
        <v/>
      </c>
      <c r="K797" s="1" t="str">
        <f t="shared" si="1"/>
        <v>  </v>
      </c>
      <c r="L797" s="1"/>
    </row>
    <row r="798">
      <c r="A798" s="56"/>
      <c r="B798" s="1"/>
      <c r="C798" s="1"/>
      <c r="D798" s="1"/>
      <c r="E798" s="1"/>
      <c r="F798" s="1"/>
      <c r="G798" s="60" t="s">
        <v>503</v>
      </c>
      <c r="H798" s="1" t="s">
        <v>476</v>
      </c>
      <c r="I798" s="1" t="str">
        <f>IFERROR(CONCATENATE(VLOOKUP(C798,PARAM!D:E,2,0),VLOOKUP(D798,PARAM!J:K,2,0),VLOOKUP(E798,PARAM!G:H,2,0),VLOOKUP(G798,PARAM!P:Q,2,0)),"")</f>
        <v/>
      </c>
      <c r="J798" s="1" t="str">
        <f>IFERROR(CONCATENATE("*",VLOOKUP(C798,PARAM!D:E,2,0),VLOOKUP(D798,PARAM!J:K,2,0),VLOOKUP(E798,PARAM!G:H,2,0),VLOOKUP(G798,PARAM!P:Q,2,0),"*"),"")</f>
        <v/>
      </c>
      <c r="K798" s="1" t="str">
        <f t="shared" si="1"/>
        <v>  </v>
      </c>
      <c r="L798" s="1"/>
    </row>
    <row r="799">
      <c r="A799" s="56"/>
      <c r="B799" s="1"/>
      <c r="C799" s="1"/>
      <c r="D799" s="1"/>
      <c r="E799" s="1"/>
      <c r="F799" s="1"/>
      <c r="G799" s="60" t="s">
        <v>503</v>
      </c>
      <c r="H799" s="1" t="s">
        <v>476</v>
      </c>
      <c r="I799" s="1" t="str">
        <f>IFERROR(CONCATENATE(VLOOKUP(C799,PARAM!D:E,2,0),VLOOKUP(D799,PARAM!J:K,2,0),VLOOKUP(E799,PARAM!G:H,2,0),VLOOKUP(G799,PARAM!P:Q,2,0)),"")</f>
        <v/>
      </c>
      <c r="J799" s="1" t="str">
        <f>IFERROR(CONCATENATE("*",VLOOKUP(C799,PARAM!D:E,2,0),VLOOKUP(D799,PARAM!J:K,2,0),VLOOKUP(E799,PARAM!G:H,2,0),VLOOKUP(G799,PARAM!P:Q,2,0),"*"),"")</f>
        <v/>
      </c>
      <c r="K799" s="1" t="str">
        <f t="shared" si="1"/>
        <v>  </v>
      </c>
      <c r="L799" s="1"/>
    </row>
    <row r="800">
      <c r="A800" s="56"/>
      <c r="B800" s="1"/>
      <c r="C800" s="1"/>
      <c r="D800" s="1"/>
      <c r="E800" s="1"/>
      <c r="F800" s="1"/>
      <c r="G800" s="60" t="s">
        <v>503</v>
      </c>
      <c r="H800" s="1" t="s">
        <v>476</v>
      </c>
      <c r="I800" s="1" t="str">
        <f>IFERROR(CONCATENATE(VLOOKUP(C800,PARAM!D:E,2,0),VLOOKUP(D800,PARAM!J:K,2,0),VLOOKUP(E800,PARAM!G:H,2,0),VLOOKUP(G800,PARAM!P:Q,2,0)),"")</f>
        <v/>
      </c>
      <c r="J800" s="1" t="str">
        <f>IFERROR(CONCATENATE("*",VLOOKUP(C800,PARAM!D:E,2,0),VLOOKUP(D800,PARAM!J:K,2,0),VLOOKUP(E800,PARAM!G:H,2,0),VLOOKUP(G800,PARAM!P:Q,2,0),"*"),"")</f>
        <v/>
      </c>
      <c r="K800" s="1" t="str">
        <f t="shared" si="1"/>
        <v>  </v>
      </c>
      <c r="L800" s="1"/>
    </row>
    <row r="801">
      <c r="A801" s="56"/>
      <c r="B801" s="1"/>
      <c r="C801" s="1"/>
      <c r="D801" s="1"/>
      <c r="E801" s="1"/>
      <c r="F801" s="1"/>
      <c r="G801" s="60" t="s">
        <v>503</v>
      </c>
      <c r="H801" s="1" t="s">
        <v>476</v>
      </c>
      <c r="I801" s="1" t="str">
        <f>IFERROR(CONCATENATE(VLOOKUP(C801,PARAM!D:E,2,0),VLOOKUP(D801,PARAM!J:K,2,0),VLOOKUP(E801,PARAM!G:H,2,0),VLOOKUP(G801,PARAM!P:Q,2,0)),"")</f>
        <v/>
      </c>
      <c r="J801" s="1" t="str">
        <f>IFERROR(CONCATENATE("*",VLOOKUP(C801,PARAM!D:E,2,0),VLOOKUP(D801,PARAM!J:K,2,0),VLOOKUP(E801,PARAM!G:H,2,0),VLOOKUP(G801,PARAM!P:Q,2,0),"*"),"")</f>
        <v/>
      </c>
      <c r="K801" s="1" t="str">
        <f t="shared" si="1"/>
        <v>  </v>
      </c>
      <c r="L801" s="1"/>
    </row>
    <row r="802">
      <c r="A802" s="56"/>
      <c r="B802" s="1"/>
      <c r="C802" s="1"/>
      <c r="D802" s="1"/>
      <c r="E802" s="1"/>
      <c r="F802" s="1"/>
      <c r="G802" s="60" t="s">
        <v>503</v>
      </c>
      <c r="H802" s="1" t="s">
        <v>476</v>
      </c>
      <c r="I802" s="1" t="str">
        <f>IFERROR(CONCATENATE(VLOOKUP(C802,PARAM!D:E,2,0),VLOOKUP(D802,PARAM!J:K,2,0),VLOOKUP(E802,PARAM!G:H,2,0),VLOOKUP(G802,PARAM!P:Q,2,0)),"")</f>
        <v/>
      </c>
      <c r="J802" s="1" t="str">
        <f>IFERROR(CONCATENATE("*",VLOOKUP(C802,PARAM!D:E,2,0),VLOOKUP(D802,PARAM!J:K,2,0),VLOOKUP(E802,PARAM!G:H,2,0),VLOOKUP(G802,PARAM!P:Q,2,0),"*"),"")</f>
        <v/>
      </c>
      <c r="K802" s="1" t="str">
        <f t="shared" si="1"/>
        <v>  </v>
      </c>
      <c r="L802" s="1"/>
    </row>
    <row r="803">
      <c r="A803" s="56"/>
      <c r="B803" s="1"/>
      <c r="C803" s="1"/>
      <c r="D803" s="1"/>
      <c r="E803" s="1"/>
      <c r="F803" s="1"/>
      <c r="G803" s="60" t="s">
        <v>503</v>
      </c>
      <c r="H803" s="1" t="s">
        <v>476</v>
      </c>
      <c r="I803" s="1" t="str">
        <f>IFERROR(CONCATENATE(VLOOKUP(C803,PARAM!D:E,2,0),VLOOKUP(D803,PARAM!J:K,2,0),VLOOKUP(E803,PARAM!G:H,2,0),VLOOKUP(G803,PARAM!P:Q,2,0)),"")</f>
        <v/>
      </c>
      <c r="J803" s="1" t="str">
        <f>IFERROR(CONCATENATE("*",VLOOKUP(C803,PARAM!D:E,2,0),VLOOKUP(D803,PARAM!J:K,2,0),VLOOKUP(E803,PARAM!G:H,2,0),VLOOKUP(G803,PARAM!P:Q,2,0),"*"),"")</f>
        <v/>
      </c>
      <c r="K803" s="1" t="str">
        <f t="shared" si="1"/>
        <v>  </v>
      </c>
      <c r="L803" s="1"/>
    </row>
    <row r="804">
      <c r="A804" s="56"/>
      <c r="B804" s="1"/>
      <c r="C804" s="1"/>
      <c r="D804" s="1"/>
      <c r="E804" s="1"/>
      <c r="F804" s="1"/>
      <c r="G804" s="60" t="s">
        <v>503</v>
      </c>
      <c r="H804" s="1" t="s">
        <v>476</v>
      </c>
      <c r="I804" s="1" t="str">
        <f>IFERROR(CONCATENATE(VLOOKUP(C804,PARAM!D:E,2,0),VLOOKUP(D804,PARAM!J:K,2,0),VLOOKUP(E804,PARAM!G:H,2,0),VLOOKUP(G804,PARAM!P:Q,2,0)),"")</f>
        <v/>
      </c>
      <c r="J804" s="1" t="str">
        <f>IFERROR(CONCATENATE("*",VLOOKUP(C804,PARAM!D:E,2,0),VLOOKUP(D804,PARAM!J:K,2,0),VLOOKUP(E804,PARAM!G:H,2,0),VLOOKUP(G804,PARAM!P:Q,2,0),"*"),"")</f>
        <v/>
      </c>
      <c r="K804" s="1" t="str">
        <f t="shared" si="1"/>
        <v>  </v>
      </c>
      <c r="L804" s="1"/>
    </row>
    <row r="805">
      <c r="A805" s="56"/>
      <c r="B805" s="1"/>
      <c r="C805" s="1"/>
      <c r="D805" s="1"/>
      <c r="E805" s="1"/>
      <c r="F805" s="1"/>
      <c r="G805" s="60" t="s">
        <v>503</v>
      </c>
      <c r="H805" s="1" t="s">
        <v>476</v>
      </c>
      <c r="I805" s="1" t="str">
        <f>IFERROR(CONCATENATE(VLOOKUP(C805,PARAM!D:E,2,0),VLOOKUP(D805,PARAM!J:K,2,0),VLOOKUP(E805,PARAM!G:H,2,0),VLOOKUP(G805,PARAM!P:Q,2,0)),"")</f>
        <v/>
      </c>
      <c r="J805" s="1" t="str">
        <f>IFERROR(CONCATENATE("*",VLOOKUP(C805,PARAM!D:E,2,0),VLOOKUP(D805,PARAM!J:K,2,0),VLOOKUP(E805,PARAM!G:H,2,0),VLOOKUP(G805,PARAM!P:Q,2,0),"*"),"")</f>
        <v/>
      </c>
      <c r="K805" s="1" t="str">
        <f t="shared" si="1"/>
        <v>  </v>
      </c>
      <c r="L805" s="1"/>
    </row>
    <row r="806">
      <c r="A806" s="56"/>
      <c r="B806" s="1"/>
      <c r="C806" s="1"/>
      <c r="D806" s="1"/>
      <c r="E806" s="1"/>
      <c r="F806" s="1"/>
      <c r="G806" s="60" t="s">
        <v>503</v>
      </c>
      <c r="H806" s="1" t="s">
        <v>476</v>
      </c>
      <c r="I806" s="1" t="str">
        <f>IFERROR(CONCATENATE(VLOOKUP(C806,PARAM!D:E,2,0),VLOOKUP(D806,PARAM!J:K,2,0),VLOOKUP(E806,PARAM!G:H,2,0),VLOOKUP(G806,PARAM!P:Q,2,0)),"")</f>
        <v/>
      </c>
      <c r="J806" s="1" t="str">
        <f>IFERROR(CONCATENATE("*",VLOOKUP(C806,PARAM!D:E,2,0),VLOOKUP(D806,PARAM!J:K,2,0),VLOOKUP(E806,PARAM!G:H,2,0),VLOOKUP(G806,PARAM!P:Q,2,0),"*"),"")</f>
        <v/>
      </c>
      <c r="K806" s="1" t="str">
        <f t="shared" si="1"/>
        <v>  </v>
      </c>
      <c r="L806" s="1"/>
    </row>
    <row r="807">
      <c r="A807" s="56"/>
      <c r="B807" s="1"/>
      <c r="C807" s="1"/>
      <c r="D807" s="1"/>
      <c r="E807" s="1"/>
      <c r="F807" s="1"/>
      <c r="G807" s="60" t="s">
        <v>503</v>
      </c>
      <c r="H807" s="1" t="s">
        <v>476</v>
      </c>
      <c r="I807" s="1" t="str">
        <f>IFERROR(CONCATENATE(VLOOKUP(C807,PARAM!D:E,2,0),VLOOKUP(D807,PARAM!J:K,2,0),VLOOKUP(E807,PARAM!G:H,2,0),VLOOKUP(G807,PARAM!P:Q,2,0)),"")</f>
        <v/>
      </c>
      <c r="J807" s="1" t="str">
        <f>IFERROR(CONCATENATE("*",VLOOKUP(C807,PARAM!D:E,2,0),VLOOKUP(D807,PARAM!J:K,2,0),VLOOKUP(E807,PARAM!G:H,2,0),VLOOKUP(G807,PARAM!P:Q,2,0),"*"),"")</f>
        <v/>
      </c>
      <c r="K807" s="1" t="str">
        <f t="shared" si="1"/>
        <v>  </v>
      </c>
      <c r="L807" s="1"/>
    </row>
    <row r="808">
      <c r="A808" s="56"/>
      <c r="B808" s="1"/>
      <c r="C808" s="1"/>
      <c r="D808" s="1"/>
      <c r="E808" s="1"/>
      <c r="F808" s="1"/>
      <c r="G808" s="60" t="s">
        <v>503</v>
      </c>
      <c r="H808" s="1" t="s">
        <v>476</v>
      </c>
      <c r="I808" s="1" t="str">
        <f>IFERROR(CONCATENATE(VLOOKUP(C808,PARAM!D:E,2,0),VLOOKUP(D808,PARAM!J:K,2,0),VLOOKUP(E808,PARAM!G:H,2,0),VLOOKUP(G808,PARAM!P:Q,2,0)),"")</f>
        <v/>
      </c>
      <c r="J808" s="1" t="str">
        <f>IFERROR(CONCATENATE("*",VLOOKUP(C808,PARAM!D:E,2,0),VLOOKUP(D808,PARAM!J:K,2,0),VLOOKUP(E808,PARAM!G:H,2,0),VLOOKUP(G808,PARAM!P:Q,2,0),"*"),"")</f>
        <v/>
      </c>
      <c r="K808" s="1" t="str">
        <f t="shared" si="1"/>
        <v>  </v>
      </c>
      <c r="L808" s="1"/>
    </row>
    <row r="809">
      <c r="A809" s="56"/>
      <c r="B809" s="1"/>
      <c r="C809" s="1"/>
      <c r="D809" s="1"/>
      <c r="E809" s="1"/>
      <c r="F809" s="1"/>
      <c r="G809" s="60" t="s">
        <v>503</v>
      </c>
      <c r="H809" s="1" t="s">
        <v>476</v>
      </c>
      <c r="I809" s="1" t="str">
        <f>IFERROR(CONCATENATE(VLOOKUP(C809,PARAM!D:E,2,0),VLOOKUP(D809,PARAM!J:K,2,0),VLOOKUP(E809,PARAM!G:H,2,0),VLOOKUP(G809,PARAM!P:Q,2,0)),"")</f>
        <v/>
      </c>
      <c r="J809" s="1" t="str">
        <f>IFERROR(CONCATENATE("*",VLOOKUP(C809,PARAM!D:E,2,0),VLOOKUP(D809,PARAM!J:K,2,0),VLOOKUP(E809,PARAM!G:H,2,0),VLOOKUP(G809,PARAM!P:Q,2,0),"*"),"")</f>
        <v/>
      </c>
      <c r="K809" s="1" t="str">
        <f t="shared" si="1"/>
        <v>  </v>
      </c>
      <c r="L809" s="1"/>
    </row>
    <row r="810">
      <c r="A810" s="56"/>
      <c r="B810" s="1"/>
      <c r="C810" s="1"/>
      <c r="D810" s="1"/>
      <c r="E810" s="1"/>
      <c r="F810" s="1"/>
      <c r="G810" s="60" t="s">
        <v>503</v>
      </c>
      <c r="H810" s="1" t="s">
        <v>476</v>
      </c>
      <c r="I810" s="1" t="str">
        <f>IFERROR(CONCATENATE(VLOOKUP(C810,PARAM!D:E,2,0),VLOOKUP(D810,PARAM!J:K,2,0),VLOOKUP(E810,PARAM!G:H,2,0),VLOOKUP(G810,PARAM!P:Q,2,0)),"")</f>
        <v/>
      </c>
      <c r="J810" s="1" t="str">
        <f>IFERROR(CONCATENATE("*",VLOOKUP(C810,PARAM!D:E,2,0),VLOOKUP(D810,PARAM!J:K,2,0),VLOOKUP(E810,PARAM!G:H,2,0),VLOOKUP(G810,PARAM!P:Q,2,0),"*"),"")</f>
        <v/>
      </c>
      <c r="K810" s="1" t="str">
        <f t="shared" si="1"/>
        <v>  </v>
      </c>
      <c r="L810" s="1"/>
    </row>
    <row r="811">
      <c r="A811" s="56"/>
      <c r="B811" s="1"/>
      <c r="C811" s="1"/>
      <c r="D811" s="1"/>
      <c r="E811" s="1"/>
      <c r="F811" s="1"/>
      <c r="G811" s="60" t="s">
        <v>503</v>
      </c>
      <c r="H811" s="1" t="s">
        <v>476</v>
      </c>
      <c r="I811" s="1" t="str">
        <f>IFERROR(CONCATENATE(VLOOKUP(C811,PARAM!D:E,2,0),VLOOKUP(D811,PARAM!J:K,2,0),VLOOKUP(E811,PARAM!G:H,2,0),VLOOKUP(G811,PARAM!P:Q,2,0)),"")</f>
        <v/>
      </c>
      <c r="J811" s="1" t="str">
        <f>IFERROR(CONCATENATE("*",VLOOKUP(C811,PARAM!D:E,2,0),VLOOKUP(D811,PARAM!J:K,2,0),VLOOKUP(E811,PARAM!G:H,2,0),VLOOKUP(G811,PARAM!P:Q,2,0),"*"),"")</f>
        <v/>
      </c>
      <c r="K811" s="1" t="str">
        <f t="shared" si="1"/>
        <v>  </v>
      </c>
      <c r="L811" s="1"/>
    </row>
    <row r="812">
      <c r="A812" s="56"/>
      <c r="B812" s="1"/>
      <c r="C812" s="1"/>
      <c r="D812" s="1"/>
      <c r="E812" s="1"/>
      <c r="F812" s="1"/>
      <c r="G812" s="60" t="s">
        <v>503</v>
      </c>
      <c r="H812" s="1" t="s">
        <v>476</v>
      </c>
      <c r="I812" s="1" t="str">
        <f>IFERROR(CONCATENATE(VLOOKUP(C812,PARAM!D:E,2,0),VLOOKUP(D812,PARAM!J:K,2,0),VLOOKUP(E812,PARAM!G:H,2,0),VLOOKUP(G812,PARAM!P:Q,2,0)),"")</f>
        <v/>
      </c>
      <c r="J812" s="1" t="str">
        <f>IFERROR(CONCATENATE("*",VLOOKUP(C812,PARAM!D:E,2,0),VLOOKUP(D812,PARAM!J:K,2,0),VLOOKUP(E812,PARAM!G:H,2,0),VLOOKUP(G812,PARAM!P:Q,2,0),"*"),"")</f>
        <v/>
      </c>
      <c r="K812" s="1" t="str">
        <f t="shared" si="1"/>
        <v>  </v>
      </c>
      <c r="L812" s="1"/>
    </row>
    <row r="813">
      <c r="A813" s="56"/>
      <c r="B813" s="1"/>
      <c r="C813" s="1"/>
      <c r="D813" s="1"/>
      <c r="E813" s="1"/>
      <c r="F813" s="1"/>
      <c r="G813" s="60" t="s">
        <v>503</v>
      </c>
      <c r="H813" s="1" t="s">
        <v>476</v>
      </c>
      <c r="I813" s="1" t="str">
        <f>IFERROR(CONCATENATE(VLOOKUP(C813,PARAM!D:E,2,0),VLOOKUP(D813,PARAM!J:K,2,0),VLOOKUP(E813,PARAM!G:H,2,0),VLOOKUP(G813,PARAM!P:Q,2,0)),"")</f>
        <v/>
      </c>
      <c r="J813" s="1" t="str">
        <f>IFERROR(CONCATENATE("*",VLOOKUP(C813,PARAM!D:E,2,0),VLOOKUP(D813,PARAM!J:K,2,0),VLOOKUP(E813,PARAM!G:H,2,0),VLOOKUP(G813,PARAM!P:Q,2,0),"*"),"")</f>
        <v/>
      </c>
      <c r="K813" s="1" t="str">
        <f t="shared" si="1"/>
        <v>  </v>
      </c>
      <c r="L813" s="1"/>
    </row>
    <row r="814">
      <c r="A814" s="56"/>
      <c r="B814" s="1"/>
      <c r="C814" s="1"/>
      <c r="D814" s="1"/>
      <c r="E814" s="1"/>
      <c r="F814" s="1"/>
      <c r="G814" s="60" t="s">
        <v>503</v>
      </c>
      <c r="H814" s="1" t="s">
        <v>476</v>
      </c>
      <c r="I814" s="1" t="str">
        <f>IFERROR(CONCATENATE(VLOOKUP(C814,PARAM!D:E,2,0),VLOOKUP(D814,PARAM!J:K,2,0),VLOOKUP(E814,PARAM!G:H,2,0),VLOOKUP(G814,PARAM!P:Q,2,0)),"")</f>
        <v/>
      </c>
      <c r="J814" s="1" t="str">
        <f>IFERROR(CONCATENATE("*",VLOOKUP(C814,PARAM!D:E,2,0),VLOOKUP(D814,PARAM!J:K,2,0),VLOOKUP(E814,PARAM!G:H,2,0),VLOOKUP(G814,PARAM!P:Q,2,0),"*"),"")</f>
        <v/>
      </c>
      <c r="K814" s="1" t="str">
        <f t="shared" si="1"/>
        <v>  </v>
      </c>
      <c r="L814" s="1"/>
    </row>
    <row r="815">
      <c r="A815" s="56"/>
      <c r="B815" s="1"/>
      <c r="C815" s="1"/>
      <c r="D815" s="1"/>
      <c r="E815" s="1"/>
      <c r="F815" s="1"/>
      <c r="G815" s="60" t="s">
        <v>503</v>
      </c>
      <c r="H815" s="1" t="s">
        <v>476</v>
      </c>
      <c r="I815" s="1" t="str">
        <f>IFERROR(CONCATENATE(VLOOKUP(C815,PARAM!D:E,2,0),VLOOKUP(D815,PARAM!J:K,2,0),VLOOKUP(E815,PARAM!G:H,2,0),VLOOKUP(G815,PARAM!P:Q,2,0)),"")</f>
        <v/>
      </c>
      <c r="J815" s="1" t="str">
        <f>IFERROR(CONCATENATE("*",VLOOKUP(C815,PARAM!D:E,2,0),VLOOKUP(D815,PARAM!J:K,2,0),VLOOKUP(E815,PARAM!G:H,2,0),VLOOKUP(G815,PARAM!P:Q,2,0),"*"),"")</f>
        <v/>
      </c>
      <c r="K815" s="1" t="str">
        <f t="shared" si="1"/>
        <v>  </v>
      </c>
      <c r="L815" s="1"/>
    </row>
    <row r="816">
      <c r="A816" s="56"/>
      <c r="B816" s="1"/>
      <c r="C816" s="1"/>
      <c r="D816" s="1"/>
      <c r="E816" s="1"/>
      <c r="F816" s="1"/>
      <c r="G816" s="60" t="s">
        <v>503</v>
      </c>
      <c r="H816" s="1" t="s">
        <v>476</v>
      </c>
      <c r="I816" s="1" t="str">
        <f>IFERROR(CONCATENATE(VLOOKUP(C816,PARAM!D:E,2,0),VLOOKUP(D816,PARAM!J:K,2,0),VLOOKUP(E816,PARAM!G:H,2,0),VLOOKUP(G816,PARAM!P:Q,2,0)),"")</f>
        <v/>
      </c>
      <c r="J816" s="1" t="str">
        <f>IFERROR(CONCATENATE("*",VLOOKUP(C816,PARAM!D:E,2,0),VLOOKUP(D816,PARAM!J:K,2,0),VLOOKUP(E816,PARAM!G:H,2,0),VLOOKUP(G816,PARAM!P:Q,2,0),"*"),"")</f>
        <v/>
      </c>
      <c r="K816" s="1" t="str">
        <f t="shared" si="1"/>
        <v>  </v>
      </c>
      <c r="L816" s="1"/>
    </row>
    <row r="817">
      <c r="A817" s="56"/>
      <c r="B817" s="1"/>
      <c r="C817" s="1"/>
      <c r="D817" s="1"/>
      <c r="E817" s="1"/>
      <c r="F817" s="1"/>
      <c r="G817" s="60" t="s">
        <v>503</v>
      </c>
      <c r="H817" s="1" t="s">
        <v>476</v>
      </c>
      <c r="I817" s="1" t="str">
        <f>IFERROR(CONCATENATE(VLOOKUP(C817,PARAM!D:E,2,0),VLOOKUP(D817,PARAM!J:K,2,0),VLOOKUP(E817,PARAM!G:H,2,0),VLOOKUP(G817,PARAM!P:Q,2,0)),"")</f>
        <v/>
      </c>
      <c r="J817" s="1" t="str">
        <f>IFERROR(CONCATENATE("*",VLOOKUP(C817,PARAM!D:E,2,0),VLOOKUP(D817,PARAM!J:K,2,0),VLOOKUP(E817,PARAM!G:H,2,0),VLOOKUP(G817,PARAM!P:Q,2,0),"*"),"")</f>
        <v/>
      </c>
      <c r="K817" s="1" t="str">
        <f t="shared" si="1"/>
        <v>  </v>
      </c>
      <c r="L817" s="1"/>
    </row>
    <row r="818">
      <c r="A818" s="56"/>
      <c r="B818" s="1"/>
      <c r="C818" s="1"/>
      <c r="D818" s="1"/>
      <c r="E818" s="1"/>
      <c r="F818" s="1"/>
      <c r="G818" s="60" t="s">
        <v>503</v>
      </c>
      <c r="H818" s="1" t="s">
        <v>476</v>
      </c>
      <c r="I818" s="1" t="str">
        <f>IFERROR(CONCATENATE(VLOOKUP(C818,PARAM!D:E,2,0),VLOOKUP(D818,PARAM!J:K,2,0),VLOOKUP(E818,PARAM!G:H,2,0),VLOOKUP(G818,PARAM!P:Q,2,0)),"")</f>
        <v/>
      </c>
      <c r="J818" s="1" t="str">
        <f>IFERROR(CONCATENATE("*",VLOOKUP(C818,PARAM!D:E,2,0),VLOOKUP(D818,PARAM!J:K,2,0),VLOOKUP(E818,PARAM!G:H,2,0),VLOOKUP(G818,PARAM!P:Q,2,0),"*"),"")</f>
        <v/>
      </c>
      <c r="K818" s="1" t="str">
        <f t="shared" si="1"/>
        <v>  </v>
      </c>
      <c r="L818" s="1"/>
    </row>
    <row r="819">
      <c r="A819" s="56"/>
      <c r="B819" s="1"/>
      <c r="C819" s="1"/>
      <c r="D819" s="1"/>
      <c r="E819" s="1"/>
      <c r="F819" s="1"/>
      <c r="G819" s="60" t="s">
        <v>503</v>
      </c>
      <c r="H819" s="1" t="s">
        <v>476</v>
      </c>
      <c r="I819" s="1" t="str">
        <f>IFERROR(CONCATENATE(VLOOKUP(C819,PARAM!D:E,2,0),VLOOKUP(D819,PARAM!J:K,2,0),VLOOKUP(E819,PARAM!G:H,2,0),VLOOKUP(G819,PARAM!P:Q,2,0)),"")</f>
        <v/>
      </c>
      <c r="J819" s="1" t="str">
        <f>IFERROR(CONCATENATE("*",VLOOKUP(C819,PARAM!D:E,2,0),VLOOKUP(D819,PARAM!J:K,2,0),VLOOKUP(E819,PARAM!G:H,2,0),VLOOKUP(G819,PARAM!P:Q,2,0),"*"),"")</f>
        <v/>
      </c>
      <c r="K819" s="1" t="str">
        <f t="shared" si="1"/>
        <v>  </v>
      </c>
      <c r="L819" s="1"/>
    </row>
    <row r="820">
      <c r="A820" s="56"/>
      <c r="B820" s="1"/>
      <c r="C820" s="1"/>
      <c r="D820" s="1"/>
      <c r="E820" s="1"/>
      <c r="F820" s="1"/>
      <c r="G820" s="60" t="s">
        <v>503</v>
      </c>
      <c r="H820" s="1" t="s">
        <v>476</v>
      </c>
      <c r="I820" s="1" t="str">
        <f>IFERROR(CONCATENATE(VLOOKUP(C820,PARAM!D:E,2,0),VLOOKUP(D820,PARAM!J:K,2,0),VLOOKUP(E820,PARAM!G:H,2,0),VLOOKUP(G820,PARAM!P:Q,2,0)),"")</f>
        <v/>
      </c>
      <c r="J820" s="1" t="str">
        <f>IFERROR(CONCATENATE("*",VLOOKUP(C820,PARAM!D:E,2,0),VLOOKUP(D820,PARAM!J:K,2,0),VLOOKUP(E820,PARAM!G:H,2,0),VLOOKUP(G820,PARAM!P:Q,2,0),"*"),"")</f>
        <v/>
      </c>
      <c r="K820" s="1" t="str">
        <f t="shared" si="1"/>
        <v>  </v>
      </c>
      <c r="L820" s="1"/>
    </row>
    <row r="821">
      <c r="A821" s="56"/>
      <c r="B821" s="1"/>
      <c r="C821" s="1"/>
      <c r="D821" s="1"/>
      <c r="E821" s="1"/>
      <c r="F821" s="1"/>
      <c r="G821" s="60" t="s">
        <v>503</v>
      </c>
      <c r="H821" s="1" t="s">
        <v>476</v>
      </c>
      <c r="I821" s="1" t="str">
        <f>IFERROR(CONCATENATE(VLOOKUP(C821,PARAM!D:E,2,0),VLOOKUP(D821,PARAM!J:K,2,0),VLOOKUP(E821,PARAM!G:H,2,0),VLOOKUP(G821,PARAM!P:Q,2,0)),"")</f>
        <v/>
      </c>
      <c r="J821" s="1" t="str">
        <f>IFERROR(CONCATENATE("*",VLOOKUP(C821,PARAM!D:E,2,0),VLOOKUP(D821,PARAM!J:K,2,0),VLOOKUP(E821,PARAM!G:H,2,0),VLOOKUP(G821,PARAM!P:Q,2,0),"*"),"")</f>
        <v/>
      </c>
      <c r="K821" s="1" t="str">
        <f t="shared" si="1"/>
        <v>  </v>
      </c>
      <c r="L821" s="1"/>
    </row>
    <row r="822">
      <c r="A822" s="56"/>
      <c r="B822" s="1"/>
      <c r="C822" s="1"/>
      <c r="D822" s="1"/>
      <c r="E822" s="1"/>
      <c r="F822" s="1"/>
      <c r="G822" s="60" t="s">
        <v>503</v>
      </c>
      <c r="H822" s="1" t="s">
        <v>476</v>
      </c>
      <c r="I822" s="1" t="str">
        <f>IFERROR(CONCATENATE(VLOOKUP(C822,PARAM!D:E,2,0),VLOOKUP(D822,PARAM!J:K,2,0),VLOOKUP(E822,PARAM!G:H,2,0),VLOOKUP(G822,PARAM!P:Q,2,0)),"")</f>
        <v/>
      </c>
      <c r="J822" s="1" t="str">
        <f>IFERROR(CONCATENATE("*",VLOOKUP(C822,PARAM!D:E,2,0),VLOOKUP(D822,PARAM!J:K,2,0),VLOOKUP(E822,PARAM!G:H,2,0),VLOOKUP(G822,PARAM!P:Q,2,0),"*"),"")</f>
        <v/>
      </c>
      <c r="K822" s="1" t="str">
        <f t="shared" si="1"/>
        <v>  </v>
      </c>
      <c r="L822" s="1"/>
    </row>
    <row r="823">
      <c r="A823" s="56"/>
      <c r="B823" s="1"/>
      <c r="C823" s="1"/>
      <c r="D823" s="1"/>
      <c r="E823" s="1"/>
      <c r="F823" s="1"/>
      <c r="G823" s="60" t="s">
        <v>503</v>
      </c>
      <c r="H823" s="1" t="s">
        <v>476</v>
      </c>
      <c r="I823" s="1" t="str">
        <f>IFERROR(CONCATENATE(VLOOKUP(C823,PARAM!D:E,2,0),VLOOKUP(D823,PARAM!J:K,2,0),VLOOKUP(E823,PARAM!G:H,2,0),VLOOKUP(G823,PARAM!P:Q,2,0)),"")</f>
        <v/>
      </c>
      <c r="J823" s="1" t="str">
        <f>IFERROR(CONCATENATE("*",VLOOKUP(C823,PARAM!D:E,2,0),VLOOKUP(D823,PARAM!J:K,2,0),VLOOKUP(E823,PARAM!G:H,2,0),VLOOKUP(G823,PARAM!P:Q,2,0),"*"),"")</f>
        <v/>
      </c>
      <c r="K823" s="1" t="str">
        <f t="shared" si="1"/>
        <v>  </v>
      </c>
      <c r="L823" s="1"/>
    </row>
    <row r="824">
      <c r="A824" s="56"/>
      <c r="B824" s="1"/>
      <c r="C824" s="1"/>
      <c r="D824" s="1"/>
      <c r="E824" s="1"/>
      <c r="F824" s="1"/>
      <c r="G824" s="60" t="s">
        <v>503</v>
      </c>
      <c r="H824" s="1" t="s">
        <v>476</v>
      </c>
      <c r="I824" s="1" t="str">
        <f>IFERROR(CONCATENATE(VLOOKUP(C824,PARAM!D:E,2,0),VLOOKUP(D824,PARAM!J:K,2,0),VLOOKUP(E824,PARAM!G:H,2,0),VLOOKUP(G824,PARAM!P:Q,2,0)),"")</f>
        <v/>
      </c>
      <c r="J824" s="1" t="str">
        <f>IFERROR(CONCATENATE("*",VLOOKUP(C824,PARAM!D:E,2,0),VLOOKUP(D824,PARAM!J:K,2,0),VLOOKUP(E824,PARAM!G:H,2,0),VLOOKUP(G824,PARAM!P:Q,2,0),"*"),"")</f>
        <v/>
      </c>
      <c r="K824" s="1" t="str">
        <f t="shared" si="1"/>
        <v>  </v>
      </c>
      <c r="L824" s="1"/>
    </row>
    <row r="825">
      <c r="A825" s="56"/>
      <c r="B825" s="1"/>
      <c r="C825" s="1"/>
      <c r="D825" s="1"/>
      <c r="E825" s="1"/>
      <c r="F825" s="1"/>
      <c r="G825" s="60" t="s">
        <v>503</v>
      </c>
      <c r="H825" s="1" t="s">
        <v>476</v>
      </c>
      <c r="I825" s="1" t="str">
        <f>IFERROR(CONCATENATE(VLOOKUP(C825,PARAM!D:E,2,0),VLOOKUP(D825,PARAM!J:K,2,0),VLOOKUP(E825,PARAM!G:H,2,0),VLOOKUP(G825,PARAM!P:Q,2,0)),"")</f>
        <v/>
      </c>
      <c r="J825" s="1" t="str">
        <f>IFERROR(CONCATENATE("*",VLOOKUP(C825,PARAM!D:E,2,0),VLOOKUP(D825,PARAM!J:K,2,0),VLOOKUP(E825,PARAM!G:H,2,0),VLOOKUP(G825,PARAM!P:Q,2,0),"*"),"")</f>
        <v/>
      </c>
      <c r="K825" s="1" t="str">
        <f t="shared" si="1"/>
        <v>  </v>
      </c>
      <c r="L825" s="1"/>
    </row>
    <row r="826">
      <c r="A826" s="56"/>
      <c r="B826" s="1"/>
      <c r="C826" s="1"/>
      <c r="D826" s="1"/>
      <c r="E826" s="1"/>
      <c r="F826" s="1"/>
      <c r="G826" s="60" t="s">
        <v>503</v>
      </c>
      <c r="H826" s="1" t="s">
        <v>476</v>
      </c>
      <c r="I826" s="1" t="str">
        <f>IFERROR(CONCATENATE(VLOOKUP(C826,PARAM!D:E,2,0),VLOOKUP(D826,PARAM!J:K,2,0),VLOOKUP(E826,PARAM!G:H,2,0),VLOOKUP(G826,PARAM!P:Q,2,0)),"")</f>
        <v/>
      </c>
      <c r="J826" s="1" t="str">
        <f>IFERROR(CONCATENATE("*",VLOOKUP(C826,PARAM!D:E,2,0),VLOOKUP(D826,PARAM!J:K,2,0),VLOOKUP(E826,PARAM!G:H,2,0),VLOOKUP(G826,PARAM!P:Q,2,0),"*"),"")</f>
        <v/>
      </c>
      <c r="K826" s="1" t="str">
        <f t="shared" si="1"/>
        <v>  </v>
      </c>
      <c r="L826" s="1"/>
    </row>
    <row r="827">
      <c r="A827" s="56"/>
      <c r="B827" s="1"/>
      <c r="C827" s="1"/>
      <c r="D827" s="1"/>
      <c r="E827" s="1"/>
      <c r="F827" s="1"/>
      <c r="G827" s="60" t="s">
        <v>503</v>
      </c>
      <c r="H827" s="1" t="s">
        <v>476</v>
      </c>
      <c r="I827" s="1" t="str">
        <f>IFERROR(CONCATENATE(VLOOKUP(C827,PARAM!D:E,2,0),VLOOKUP(D827,PARAM!J:K,2,0),VLOOKUP(E827,PARAM!G:H,2,0),VLOOKUP(G827,PARAM!P:Q,2,0)),"")</f>
        <v/>
      </c>
      <c r="J827" s="1" t="str">
        <f>IFERROR(CONCATENATE("*",VLOOKUP(C827,PARAM!D:E,2,0),VLOOKUP(D827,PARAM!J:K,2,0),VLOOKUP(E827,PARAM!G:H,2,0),VLOOKUP(G827,PARAM!P:Q,2,0),"*"),"")</f>
        <v/>
      </c>
      <c r="K827" s="1" t="str">
        <f t="shared" si="1"/>
        <v>  </v>
      </c>
      <c r="L827" s="1"/>
    </row>
    <row r="828">
      <c r="A828" s="56"/>
      <c r="B828" s="1"/>
      <c r="C828" s="1"/>
      <c r="D828" s="1"/>
      <c r="E828" s="1"/>
      <c r="F828" s="1"/>
      <c r="G828" s="60" t="s">
        <v>503</v>
      </c>
      <c r="H828" s="1" t="s">
        <v>476</v>
      </c>
      <c r="I828" s="1" t="str">
        <f>IFERROR(CONCATENATE(VLOOKUP(C828,PARAM!D:E,2,0),VLOOKUP(D828,PARAM!J:K,2,0),VLOOKUP(E828,PARAM!G:H,2,0),VLOOKUP(G828,PARAM!P:Q,2,0)),"")</f>
        <v/>
      </c>
      <c r="J828" s="1" t="str">
        <f>IFERROR(CONCATENATE("*",VLOOKUP(C828,PARAM!D:E,2,0),VLOOKUP(D828,PARAM!J:K,2,0),VLOOKUP(E828,PARAM!G:H,2,0),VLOOKUP(G828,PARAM!P:Q,2,0),"*"),"")</f>
        <v/>
      </c>
      <c r="K828" s="1" t="str">
        <f t="shared" si="1"/>
        <v>  </v>
      </c>
      <c r="L828" s="1"/>
    </row>
    <row r="829">
      <c r="A829" s="56"/>
      <c r="B829" s="1"/>
      <c r="C829" s="1"/>
      <c r="D829" s="1"/>
      <c r="E829" s="1"/>
      <c r="F829" s="1"/>
      <c r="G829" s="60" t="s">
        <v>503</v>
      </c>
      <c r="H829" s="1" t="s">
        <v>476</v>
      </c>
      <c r="I829" s="1" t="str">
        <f>IFERROR(CONCATENATE(VLOOKUP(C829,PARAM!D:E,2,0),VLOOKUP(D829,PARAM!J:K,2,0),VLOOKUP(E829,PARAM!G:H,2,0),VLOOKUP(G829,PARAM!P:Q,2,0)),"")</f>
        <v/>
      </c>
      <c r="J829" s="1" t="str">
        <f>IFERROR(CONCATENATE("*",VLOOKUP(C829,PARAM!D:E,2,0),VLOOKUP(D829,PARAM!J:K,2,0),VLOOKUP(E829,PARAM!G:H,2,0),VLOOKUP(G829,PARAM!P:Q,2,0),"*"),"")</f>
        <v/>
      </c>
      <c r="K829" s="1" t="str">
        <f t="shared" si="1"/>
        <v>  </v>
      </c>
      <c r="L829" s="1"/>
    </row>
    <row r="830">
      <c r="A830" s="56"/>
      <c r="B830" s="1"/>
      <c r="C830" s="1"/>
      <c r="D830" s="1"/>
      <c r="E830" s="1"/>
      <c r="F830" s="1"/>
      <c r="G830" s="60" t="s">
        <v>503</v>
      </c>
      <c r="H830" s="1" t="s">
        <v>476</v>
      </c>
      <c r="I830" s="1" t="str">
        <f>IFERROR(CONCATENATE(VLOOKUP(C830,PARAM!D:E,2,0),VLOOKUP(D830,PARAM!J:K,2,0),VLOOKUP(E830,PARAM!G:H,2,0),VLOOKUP(G830,PARAM!P:Q,2,0)),"")</f>
        <v/>
      </c>
      <c r="J830" s="1" t="str">
        <f>IFERROR(CONCATENATE("*",VLOOKUP(C830,PARAM!D:E,2,0),VLOOKUP(D830,PARAM!J:K,2,0),VLOOKUP(E830,PARAM!G:H,2,0),VLOOKUP(G830,PARAM!P:Q,2,0),"*"),"")</f>
        <v/>
      </c>
      <c r="K830" s="1" t="str">
        <f t="shared" si="1"/>
        <v>  </v>
      </c>
      <c r="L830" s="1"/>
    </row>
    <row r="831">
      <c r="A831" s="56"/>
      <c r="B831" s="1"/>
      <c r="C831" s="1"/>
      <c r="D831" s="1"/>
      <c r="E831" s="1"/>
      <c r="F831" s="1"/>
      <c r="G831" s="60" t="s">
        <v>503</v>
      </c>
      <c r="H831" s="1" t="s">
        <v>476</v>
      </c>
      <c r="I831" s="1" t="str">
        <f>IFERROR(CONCATENATE(VLOOKUP(C831,PARAM!D:E,2,0),VLOOKUP(D831,PARAM!J:K,2,0),VLOOKUP(E831,PARAM!G:H,2,0),VLOOKUP(G831,PARAM!P:Q,2,0)),"")</f>
        <v/>
      </c>
      <c r="J831" s="1" t="str">
        <f>IFERROR(CONCATENATE("*",VLOOKUP(C831,PARAM!D:E,2,0),VLOOKUP(D831,PARAM!J:K,2,0),VLOOKUP(E831,PARAM!G:H,2,0),VLOOKUP(G831,PARAM!P:Q,2,0),"*"),"")</f>
        <v/>
      </c>
      <c r="K831" s="1" t="str">
        <f t="shared" si="1"/>
        <v>  </v>
      </c>
      <c r="L831" s="1"/>
    </row>
    <row r="832">
      <c r="A832" s="56"/>
      <c r="B832" s="1"/>
      <c r="C832" s="1"/>
      <c r="D832" s="1"/>
      <c r="E832" s="1"/>
      <c r="F832" s="1"/>
      <c r="G832" s="60" t="s">
        <v>503</v>
      </c>
      <c r="H832" s="1" t="s">
        <v>476</v>
      </c>
      <c r="I832" s="1" t="str">
        <f>IFERROR(CONCATENATE(VLOOKUP(C832,PARAM!D:E,2,0),VLOOKUP(D832,PARAM!J:K,2,0),VLOOKUP(E832,PARAM!G:H,2,0),VLOOKUP(G832,PARAM!P:Q,2,0)),"")</f>
        <v/>
      </c>
      <c r="J832" s="1" t="str">
        <f>IFERROR(CONCATENATE("*",VLOOKUP(C832,PARAM!D:E,2,0),VLOOKUP(D832,PARAM!J:K,2,0),VLOOKUP(E832,PARAM!G:H,2,0),VLOOKUP(G832,PARAM!P:Q,2,0),"*"),"")</f>
        <v/>
      </c>
      <c r="K832" s="1" t="str">
        <f t="shared" si="1"/>
        <v>  </v>
      </c>
      <c r="L832" s="1"/>
    </row>
    <row r="833">
      <c r="A833" s="56"/>
      <c r="B833" s="1"/>
      <c r="C833" s="1"/>
      <c r="D833" s="1"/>
      <c r="E833" s="1"/>
      <c r="F833" s="1"/>
      <c r="G833" s="60" t="s">
        <v>503</v>
      </c>
      <c r="H833" s="1" t="s">
        <v>476</v>
      </c>
      <c r="I833" s="1" t="str">
        <f>IFERROR(CONCATENATE(VLOOKUP(C833,PARAM!D:E,2,0),VLOOKUP(D833,PARAM!J:K,2,0),VLOOKUP(E833,PARAM!G:H,2,0),VLOOKUP(G833,PARAM!P:Q,2,0)),"")</f>
        <v/>
      </c>
      <c r="J833" s="1" t="str">
        <f>IFERROR(CONCATENATE("*",VLOOKUP(C833,PARAM!D:E,2,0),VLOOKUP(D833,PARAM!J:K,2,0),VLOOKUP(E833,PARAM!G:H,2,0),VLOOKUP(G833,PARAM!P:Q,2,0),"*"),"")</f>
        <v/>
      </c>
      <c r="K833" s="1" t="str">
        <f t="shared" si="1"/>
        <v>  </v>
      </c>
      <c r="L833" s="1"/>
    </row>
    <row r="834">
      <c r="A834" s="56"/>
      <c r="B834" s="1"/>
      <c r="C834" s="1"/>
      <c r="D834" s="1"/>
      <c r="E834" s="1"/>
      <c r="F834" s="1"/>
      <c r="G834" s="60" t="s">
        <v>503</v>
      </c>
      <c r="H834" s="1" t="s">
        <v>476</v>
      </c>
      <c r="I834" s="1" t="str">
        <f>IFERROR(CONCATENATE(VLOOKUP(C834,PARAM!D:E,2,0),VLOOKUP(D834,PARAM!J:K,2,0),VLOOKUP(E834,PARAM!G:H,2,0),VLOOKUP(G834,PARAM!P:Q,2,0)),"")</f>
        <v/>
      </c>
      <c r="J834" s="1" t="str">
        <f>IFERROR(CONCATENATE("*",VLOOKUP(C834,PARAM!D:E,2,0),VLOOKUP(D834,PARAM!J:K,2,0),VLOOKUP(E834,PARAM!G:H,2,0),VLOOKUP(G834,PARAM!P:Q,2,0),"*"),"")</f>
        <v/>
      </c>
      <c r="K834" s="1" t="str">
        <f t="shared" si="1"/>
        <v>  </v>
      </c>
      <c r="L834" s="1"/>
    </row>
    <row r="835">
      <c r="A835" s="56"/>
      <c r="B835" s="1"/>
      <c r="C835" s="1"/>
      <c r="D835" s="1"/>
      <c r="E835" s="1"/>
      <c r="F835" s="1"/>
      <c r="G835" s="60" t="s">
        <v>503</v>
      </c>
      <c r="H835" s="1" t="s">
        <v>476</v>
      </c>
      <c r="I835" s="1" t="str">
        <f>IFERROR(CONCATENATE(VLOOKUP(C835,PARAM!D:E,2,0),VLOOKUP(D835,PARAM!J:K,2,0),VLOOKUP(E835,PARAM!G:H,2,0),VLOOKUP(G835,PARAM!P:Q,2,0)),"")</f>
        <v/>
      </c>
      <c r="J835" s="1" t="str">
        <f>IFERROR(CONCATENATE("*",VLOOKUP(C835,PARAM!D:E,2,0),VLOOKUP(D835,PARAM!J:K,2,0),VLOOKUP(E835,PARAM!G:H,2,0),VLOOKUP(G835,PARAM!P:Q,2,0),"*"),"")</f>
        <v/>
      </c>
      <c r="K835" s="1" t="str">
        <f t="shared" si="1"/>
        <v>  </v>
      </c>
      <c r="L835" s="1"/>
    </row>
    <row r="836">
      <c r="A836" s="56"/>
      <c r="B836" s="1"/>
      <c r="C836" s="1"/>
      <c r="D836" s="1"/>
      <c r="E836" s="1"/>
      <c r="F836" s="1"/>
      <c r="G836" s="60" t="s">
        <v>503</v>
      </c>
      <c r="H836" s="1" t="s">
        <v>476</v>
      </c>
      <c r="I836" s="1" t="str">
        <f>IFERROR(CONCATENATE(VLOOKUP(C836,PARAM!D:E,2,0),VLOOKUP(D836,PARAM!J:K,2,0),VLOOKUP(E836,PARAM!G:H,2,0),VLOOKUP(G836,PARAM!P:Q,2,0)),"")</f>
        <v/>
      </c>
      <c r="J836" s="1" t="str">
        <f>IFERROR(CONCATENATE("*",VLOOKUP(C836,PARAM!D:E,2,0),VLOOKUP(D836,PARAM!J:K,2,0),VLOOKUP(E836,PARAM!G:H,2,0),VLOOKUP(G836,PARAM!P:Q,2,0),"*"),"")</f>
        <v/>
      </c>
      <c r="K836" s="1" t="str">
        <f t="shared" si="1"/>
        <v>  </v>
      </c>
      <c r="L836" s="1"/>
    </row>
    <row r="837">
      <c r="A837" s="56"/>
      <c r="B837" s="1"/>
      <c r="C837" s="1"/>
      <c r="D837" s="1"/>
      <c r="E837" s="1"/>
      <c r="F837" s="1"/>
      <c r="G837" s="60" t="s">
        <v>503</v>
      </c>
      <c r="H837" s="1" t="s">
        <v>476</v>
      </c>
      <c r="I837" s="1" t="str">
        <f>IFERROR(CONCATENATE(VLOOKUP(C837,PARAM!D:E,2,0),VLOOKUP(D837,PARAM!J:K,2,0),VLOOKUP(E837,PARAM!G:H,2,0),VLOOKUP(G837,PARAM!P:Q,2,0)),"")</f>
        <v/>
      </c>
      <c r="J837" s="1" t="str">
        <f>IFERROR(CONCATENATE("*",VLOOKUP(C837,PARAM!D:E,2,0),VLOOKUP(D837,PARAM!J:K,2,0),VLOOKUP(E837,PARAM!G:H,2,0),VLOOKUP(G837,PARAM!P:Q,2,0),"*"),"")</f>
        <v/>
      </c>
      <c r="K837" s="1" t="str">
        <f t="shared" si="1"/>
        <v>  </v>
      </c>
      <c r="L837" s="1"/>
    </row>
    <row r="838">
      <c r="A838" s="56"/>
      <c r="B838" s="1"/>
      <c r="C838" s="1"/>
      <c r="D838" s="1"/>
      <c r="E838" s="1"/>
      <c r="F838" s="1"/>
      <c r="G838" s="60" t="s">
        <v>503</v>
      </c>
      <c r="H838" s="1" t="s">
        <v>476</v>
      </c>
      <c r="I838" s="1" t="str">
        <f>IFERROR(CONCATENATE(VLOOKUP(C838,PARAM!D:E,2,0),VLOOKUP(D838,PARAM!J:K,2,0),VLOOKUP(E838,PARAM!G:H,2,0),VLOOKUP(G838,PARAM!P:Q,2,0)),"")</f>
        <v/>
      </c>
      <c r="J838" s="1" t="str">
        <f>IFERROR(CONCATENATE("*",VLOOKUP(C838,PARAM!D:E,2,0),VLOOKUP(D838,PARAM!J:K,2,0),VLOOKUP(E838,PARAM!G:H,2,0),VLOOKUP(G838,PARAM!P:Q,2,0),"*"),"")</f>
        <v/>
      </c>
      <c r="K838" s="1" t="str">
        <f t="shared" si="1"/>
        <v>  </v>
      </c>
      <c r="L838" s="1"/>
    </row>
    <row r="839">
      <c r="A839" s="56"/>
      <c r="B839" s="1"/>
      <c r="C839" s="1"/>
      <c r="D839" s="1"/>
      <c r="E839" s="1"/>
      <c r="F839" s="1"/>
      <c r="G839" s="60" t="s">
        <v>503</v>
      </c>
      <c r="H839" s="1" t="s">
        <v>476</v>
      </c>
      <c r="I839" s="1" t="str">
        <f>IFERROR(CONCATENATE(VLOOKUP(C839,PARAM!D:E,2,0),VLOOKUP(D839,PARAM!J:K,2,0),VLOOKUP(E839,PARAM!G:H,2,0),VLOOKUP(G839,PARAM!P:Q,2,0)),"")</f>
        <v/>
      </c>
      <c r="J839" s="1" t="str">
        <f>IFERROR(CONCATENATE("*",VLOOKUP(C839,PARAM!D:E,2,0),VLOOKUP(D839,PARAM!J:K,2,0),VLOOKUP(E839,PARAM!G:H,2,0),VLOOKUP(G839,PARAM!P:Q,2,0),"*"),"")</f>
        <v/>
      </c>
      <c r="K839" s="1" t="str">
        <f t="shared" si="1"/>
        <v>  </v>
      </c>
      <c r="L839" s="1"/>
    </row>
    <row r="840">
      <c r="A840" s="56"/>
      <c r="B840" s="1"/>
      <c r="C840" s="1"/>
      <c r="D840" s="1"/>
      <c r="E840" s="1"/>
      <c r="F840" s="1"/>
      <c r="G840" s="60" t="s">
        <v>503</v>
      </c>
      <c r="H840" s="1" t="s">
        <v>476</v>
      </c>
      <c r="I840" s="1" t="str">
        <f>IFERROR(CONCATENATE(VLOOKUP(C840,PARAM!D:E,2,0),VLOOKUP(D840,PARAM!J:K,2,0),VLOOKUP(E840,PARAM!G:H,2,0),VLOOKUP(G840,PARAM!P:Q,2,0)),"")</f>
        <v/>
      </c>
      <c r="J840" s="1" t="str">
        <f>IFERROR(CONCATENATE("*",VLOOKUP(C840,PARAM!D:E,2,0),VLOOKUP(D840,PARAM!J:K,2,0),VLOOKUP(E840,PARAM!G:H,2,0),VLOOKUP(G840,PARAM!P:Q,2,0),"*"),"")</f>
        <v/>
      </c>
      <c r="K840" s="1" t="str">
        <f t="shared" si="1"/>
        <v>  </v>
      </c>
      <c r="L840" s="1"/>
    </row>
    <row r="841">
      <c r="A841" s="56"/>
      <c r="B841" s="1"/>
      <c r="C841" s="1"/>
      <c r="D841" s="1"/>
      <c r="E841" s="1"/>
      <c r="F841" s="1"/>
      <c r="G841" s="60" t="s">
        <v>503</v>
      </c>
      <c r="H841" s="1" t="s">
        <v>476</v>
      </c>
      <c r="I841" s="1" t="str">
        <f>IFERROR(CONCATENATE(VLOOKUP(C841,PARAM!D:E,2,0),VLOOKUP(D841,PARAM!J:K,2,0),VLOOKUP(E841,PARAM!G:H,2,0),VLOOKUP(G841,PARAM!P:Q,2,0)),"")</f>
        <v/>
      </c>
      <c r="J841" s="1" t="str">
        <f>IFERROR(CONCATENATE("*",VLOOKUP(C841,PARAM!D:E,2,0),VLOOKUP(D841,PARAM!J:K,2,0),VLOOKUP(E841,PARAM!G:H,2,0),VLOOKUP(G841,PARAM!P:Q,2,0),"*"),"")</f>
        <v/>
      </c>
      <c r="K841" s="1" t="str">
        <f t="shared" si="1"/>
        <v>  </v>
      </c>
      <c r="L841" s="1"/>
    </row>
    <row r="842">
      <c r="A842" s="56"/>
      <c r="B842" s="1"/>
      <c r="C842" s="1"/>
      <c r="D842" s="1"/>
      <c r="E842" s="1"/>
      <c r="F842" s="1"/>
      <c r="G842" s="60" t="s">
        <v>503</v>
      </c>
      <c r="H842" s="1" t="s">
        <v>476</v>
      </c>
      <c r="I842" s="1" t="str">
        <f>IFERROR(CONCATENATE(VLOOKUP(C842,PARAM!D:E,2,0),VLOOKUP(D842,PARAM!J:K,2,0),VLOOKUP(E842,PARAM!G:H,2,0),VLOOKUP(G842,PARAM!P:Q,2,0)),"")</f>
        <v/>
      </c>
      <c r="J842" s="1" t="str">
        <f>IFERROR(CONCATENATE("*",VLOOKUP(C842,PARAM!D:E,2,0),VLOOKUP(D842,PARAM!J:K,2,0),VLOOKUP(E842,PARAM!G:H,2,0),VLOOKUP(G842,PARAM!P:Q,2,0),"*"),"")</f>
        <v/>
      </c>
      <c r="K842" s="1" t="str">
        <f t="shared" si="1"/>
        <v>  </v>
      </c>
      <c r="L842" s="1"/>
    </row>
    <row r="843">
      <c r="A843" s="56"/>
      <c r="B843" s="1"/>
      <c r="C843" s="1"/>
      <c r="D843" s="1"/>
      <c r="E843" s="1"/>
      <c r="F843" s="1"/>
      <c r="G843" s="60" t="s">
        <v>503</v>
      </c>
      <c r="H843" s="1" t="s">
        <v>476</v>
      </c>
      <c r="I843" s="1" t="str">
        <f>IFERROR(CONCATENATE(VLOOKUP(C843,PARAM!D:E,2,0),VLOOKUP(D843,PARAM!J:K,2,0),VLOOKUP(E843,PARAM!G:H,2,0),VLOOKUP(G843,PARAM!P:Q,2,0)),"")</f>
        <v/>
      </c>
      <c r="J843" s="1" t="str">
        <f>IFERROR(CONCATENATE("*",VLOOKUP(C843,PARAM!D:E,2,0),VLOOKUP(D843,PARAM!J:K,2,0),VLOOKUP(E843,PARAM!G:H,2,0),VLOOKUP(G843,PARAM!P:Q,2,0),"*"),"")</f>
        <v/>
      </c>
      <c r="K843" s="1" t="str">
        <f t="shared" si="1"/>
        <v>  </v>
      </c>
      <c r="L843" s="1"/>
    </row>
    <row r="844">
      <c r="A844" s="56"/>
      <c r="B844" s="1"/>
      <c r="C844" s="1"/>
      <c r="D844" s="1"/>
      <c r="E844" s="1"/>
      <c r="F844" s="1"/>
      <c r="G844" s="60" t="s">
        <v>503</v>
      </c>
      <c r="H844" s="1" t="s">
        <v>476</v>
      </c>
      <c r="I844" s="1" t="str">
        <f>IFERROR(CONCATENATE(VLOOKUP(C844,PARAM!D:E,2,0),VLOOKUP(D844,PARAM!J:K,2,0),VLOOKUP(E844,PARAM!G:H,2,0),VLOOKUP(G844,PARAM!P:Q,2,0)),"")</f>
        <v/>
      </c>
      <c r="J844" s="1" t="str">
        <f>IFERROR(CONCATENATE("*",VLOOKUP(C844,PARAM!D:E,2,0),VLOOKUP(D844,PARAM!J:K,2,0),VLOOKUP(E844,PARAM!G:H,2,0),VLOOKUP(G844,PARAM!P:Q,2,0),"*"),"")</f>
        <v/>
      </c>
      <c r="K844" s="1" t="str">
        <f t="shared" si="1"/>
        <v>  </v>
      </c>
      <c r="L844" s="1"/>
    </row>
    <row r="845">
      <c r="A845" s="56"/>
      <c r="B845" s="1"/>
      <c r="C845" s="1"/>
      <c r="D845" s="1"/>
      <c r="E845" s="1"/>
      <c r="F845" s="1"/>
      <c r="G845" s="60" t="s">
        <v>503</v>
      </c>
      <c r="H845" s="1" t="s">
        <v>476</v>
      </c>
      <c r="I845" s="1" t="str">
        <f>IFERROR(CONCATENATE(VLOOKUP(C845,PARAM!D:E,2,0),VLOOKUP(D845,PARAM!J:K,2,0),VLOOKUP(E845,PARAM!G:H,2,0),VLOOKUP(G845,PARAM!P:Q,2,0)),"")</f>
        <v/>
      </c>
      <c r="J845" s="1" t="str">
        <f>IFERROR(CONCATENATE("*",VLOOKUP(C845,PARAM!D:E,2,0),VLOOKUP(D845,PARAM!J:K,2,0),VLOOKUP(E845,PARAM!G:H,2,0),VLOOKUP(G845,PARAM!P:Q,2,0),"*"),"")</f>
        <v/>
      </c>
      <c r="K845" s="1" t="str">
        <f t="shared" si="1"/>
        <v>  </v>
      </c>
      <c r="L845" s="1"/>
    </row>
    <row r="846">
      <c r="A846" s="56"/>
      <c r="B846" s="1"/>
      <c r="C846" s="1"/>
      <c r="D846" s="1"/>
      <c r="E846" s="1"/>
      <c r="F846" s="1"/>
      <c r="G846" s="60" t="s">
        <v>503</v>
      </c>
      <c r="H846" s="1" t="s">
        <v>476</v>
      </c>
      <c r="I846" s="1" t="str">
        <f>IFERROR(CONCATENATE(VLOOKUP(C846,PARAM!D:E,2,0),VLOOKUP(D846,PARAM!J:K,2,0),VLOOKUP(E846,PARAM!G:H,2,0),VLOOKUP(G846,PARAM!P:Q,2,0)),"")</f>
        <v/>
      </c>
      <c r="J846" s="1" t="str">
        <f>IFERROR(CONCATENATE("*",VLOOKUP(C846,PARAM!D:E,2,0),VLOOKUP(D846,PARAM!J:K,2,0),VLOOKUP(E846,PARAM!G:H,2,0),VLOOKUP(G846,PARAM!P:Q,2,0),"*"),"")</f>
        <v/>
      </c>
      <c r="K846" s="1" t="str">
        <f t="shared" si="1"/>
        <v>  </v>
      </c>
      <c r="L846" s="1"/>
    </row>
    <row r="847">
      <c r="A847" s="56"/>
      <c r="B847" s="1"/>
      <c r="C847" s="1"/>
      <c r="D847" s="1"/>
      <c r="E847" s="1"/>
      <c r="F847" s="1"/>
      <c r="G847" s="60" t="s">
        <v>503</v>
      </c>
      <c r="H847" s="1" t="s">
        <v>476</v>
      </c>
      <c r="I847" s="1" t="str">
        <f>IFERROR(CONCATENATE(VLOOKUP(C847,PARAM!D:E,2,0),VLOOKUP(D847,PARAM!J:K,2,0),VLOOKUP(E847,PARAM!G:H,2,0),VLOOKUP(G847,PARAM!P:Q,2,0)),"")</f>
        <v/>
      </c>
      <c r="J847" s="1" t="str">
        <f>IFERROR(CONCATENATE("*",VLOOKUP(C847,PARAM!D:E,2,0),VLOOKUP(D847,PARAM!J:K,2,0),VLOOKUP(E847,PARAM!G:H,2,0),VLOOKUP(G847,PARAM!P:Q,2,0),"*"),"")</f>
        <v/>
      </c>
      <c r="K847" s="1" t="str">
        <f t="shared" si="1"/>
        <v>  </v>
      </c>
      <c r="L847" s="1"/>
    </row>
    <row r="848">
      <c r="A848" s="56"/>
      <c r="B848" s="1"/>
      <c r="C848" s="1"/>
      <c r="D848" s="1"/>
      <c r="E848" s="1"/>
      <c r="F848" s="1"/>
      <c r="G848" s="60" t="s">
        <v>503</v>
      </c>
      <c r="H848" s="1" t="s">
        <v>476</v>
      </c>
      <c r="I848" s="1" t="str">
        <f>IFERROR(CONCATENATE(VLOOKUP(C848,PARAM!D:E,2,0),VLOOKUP(D848,PARAM!J:K,2,0),VLOOKUP(E848,PARAM!G:H,2,0),VLOOKUP(G848,PARAM!P:Q,2,0)),"")</f>
        <v/>
      </c>
      <c r="J848" s="1" t="str">
        <f>IFERROR(CONCATENATE("*",VLOOKUP(C848,PARAM!D:E,2,0),VLOOKUP(D848,PARAM!J:K,2,0),VLOOKUP(E848,PARAM!G:H,2,0),VLOOKUP(G848,PARAM!P:Q,2,0),"*"),"")</f>
        <v/>
      </c>
      <c r="K848" s="1" t="str">
        <f t="shared" si="1"/>
        <v>  </v>
      </c>
      <c r="L848" s="1"/>
    </row>
    <row r="849">
      <c r="A849" s="56"/>
      <c r="B849" s="1"/>
      <c r="C849" s="1"/>
      <c r="D849" s="1"/>
      <c r="E849" s="1"/>
      <c r="F849" s="1"/>
      <c r="G849" s="60" t="s">
        <v>503</v>
      </c>
      <c r="H849" s="1" t="s">
        <v>476</v>
      </c>
      <c r="I849" s="1" t="str">
        <f>IFERROR(CONCATENATE(VLOOKUP(C849,PARAM!D:E,2,0),VLOOKUP(D849,PARAM!J:K,2,0),VLOOKUP(E849,PARAM!G:H,2,0),VLOOKUP(G849,PARAM!P:Q,2,0)),"")</f>
        <v/>
      </c>
      <c r="J849" s="1" t="str">
        <f>IFERROR(CONCATENATE("*",VLOOKUP(C849,PARAM!D:E,2,0),VLOOKUP(D849,PARAM!J:K,2,0),VLOOKUP(E849,PARAM!G:H,2,0),VLOOKUP(G849,PARAM!P:Q,2,0),"*"),"")</f>
        <v/>
      </c>
      <c r="K849" s="1" t="str">
        <f t="shared" si="1"/>
        <v>  </v>
      </c>
      <c r="L849" s="1"/>
    </row>
    <row r="850">
      <c r="A850" s="56"/>
      <c r="B850" s="1"/>
      <c r="C850" s="1"/>
      <c r="D850" s="1"/>
      <c r="E850" s="1"/>
      <c r="F850" s="1"/>
      <c r="G850" s="60" t="s">
        <v>503</v>
      </c>
      <c r="H850" s="1" t="s">
        <v>476</v>
      </c>
      <c r="I850" s="1" t="str">
        <f>IFERROR(CONCATENATE(VLOOKUP(C850,PARAM!D:E,2,0),VLOOKUP(D850,PARAM!J:K,2,0),VLOOKUP(E850,PARAM!G:H,2,0),VLOOKUP(G850,PARAM!P:Q,2,0)),"")</f>
        <v/>
      </c>
      <c r="J850" s="1" t="str">
        <f>IFERROR(CONCATENATE("*",VLOOKUP(C850,PARAM!D:E,2,0),VLOOKUP(D850,PARAM!J:K,2,0),VLOOKUP(E850,PARAM!G:H,2,0),VLOOKUP(G850,PARAM!P:Q,2,0),"*"),"")</f>
        <v/>
      </c>
      <c r="K850" s="1" t="str">
        <f t="shared" si="1"/>
        <v>  </v>
      </c>
      <c r="L850" s="1"/>
    </row>
    <row r="851">
      <c r="A851" s="56"/>
      <c r="B851" s="1"/>
      <c r="C851" s="1"/>
      <c r="D851" s="1"/>
      <c r="E851" s="1"/>
      <c r="F851" s="1"/>
      <c r="G851" s="60" t="s">
        <v>503</v>
      </c>
      <c r="H851" s="1" t="s">
        <v>476</v>
      </c>
      <c r="I851" s="1" t="str">
        <f>IFERROR(CONCATENATE(VLOOKUP(C851,PARAM!D:E,2,0),VLOOKUP(D851,PARAM!J:K,2,0),VLOOKUP(E851,PARAM!G:H,2,0),VLOOKUP(G851,PARAM!P:Q,2,0)),"")</f>
        <v/>
      </c>
      <c r="J851" s="1" t="str">
        <f>IFERROR(CONCATENATE("*",VLOOKUP(C851,PARAM!D:E,2,0),VLOOKUP(D851,PARAM!J:K,2,0),VLOOKUP(E851,PARAM!G:H,2,0),VLOOKUP(G851,PARAM!P:Q,2,0),"*"),"")</f>
        <v/>
      </c>
      <c r="K851" s="1" t="str">
        <f t="shared" si="1"/>
        <v>  </v>
      </c>
      <c r="L851" s="1"/>
    </row>
    <row r="852">
      <c r="A852" s="56"/>
      <c r="B852" s="1"/>
      <c r="C852" s="1"/>
      <c r="D852" s="1"/>
      <c r="E852" s="1"/>
      <c r="F852" s="1"/>
      <c r="G852" s="60" t="s">
        <v>503</v>
      </c>
      <c r="H852" s="1" t="s">
        <v>476</v>
      </c>
      <c r="I852" s="1" t="str">
        <f>IFERROR(CONCATENATE(VLOOKUP(C852,PARAM!D:E,2,0),VLOOKUP(D852,PARAM!J:K,2,0),VLOOKUP(E852,PARAM!G:H,2,0),VLOOKUP(G852,PARAM!P:Q,2,0)),"")</f>
        <v/>
      </c>
      <c r="J852" s="1" t="str">
        <f>IFERROR(CONCATENATE("*",VLOOKUP(C852,PARAM!D:E,2,0),VLOOKUP(D852,PARAM!J:K,2,0),VLOOKUP(E852,PARAM!G:H,2,0),VLOOKUP(G852,PARAM!P:Q,2,0),"*"),"")</f>
        <v/>
      </c>
      <c r="K852" s="1" t="str">
        <f t="shared" si="1"/>
        <v>  </v>
      </c>
      <c r="L852" s="1"/>
    </row>
    <row r="853">
      <c r="A853" s="56"/>
      <c r="B853" s="1"/>
      <c r="C853" s="1"/>
      <c r="D853" s="1"/>
      <c r="E853" s="1"/>
      <c r="F853" s="1"/>
      <c r="G853" s="60" t="s">
        <v>503</v>
      </c>
      <c r="H853" s="1" t="s">
        <v>476</v>
      </c>
      <c r="I853" s="1" t="str">
        <f>IFERROR(CONCATENATE(VLOOKUP(C853,PARAM!D:E,2,0),VLOOKUP(D853,PARAM!J:K,2,0),VLOOKUP(E853,PARAM!G:H,2,0),VLOOKUP(G853,PARAM!P:Q,2,0)),"")</f>
        <v/>
      </c>
      <c r="J853" s="1" t="str">
        <f>IFERROR(CONCATENATE("*",VLOOKUP(C853,PARAM!D:E,2,0),VLOOKUP(D853,PARAM!J:K,2,0),VLOOKUP(E853,PARAM!G:H,2,0),VLOOKUP(G853,PARAM!P:Q,2,0),"*"),"")</f>
        <v/>
      </c>
      <c r="K853" s="1" t="str">
        <f t="shared" si="1"/>
        <v>  </v>
      </c>
      <c r="L853" s="1"/>
    </row>
    <row r="854">
      <c r="A854" s="56"/>
      <c r="B854" s="1"/>
      <c r="C854" s="1"/>
      <c r="D854" s="1"/>
      <c r="E854" s="1"/>
      <c r="F854" s="1"/>
      <c r="G854" s="60" t="s">
        <v>503</v>
      </c>
      <c r="H854" s="1" t="s">
        <v>476</v>
      </c>
      <c r="I854" s="1" t="str">
        <f>IFERROR(CONCATENATE(VLOOKUP(C854,PARAM!D:E,2,0),VLOOKUP(D854,PARAM!J:K,2,0),VLOOKUP(E854,PARAM!G:H,2,0),VLOOKUP(G854,PARAM!P:Q,2,0)),"")</f>
        <v/>
      </c>
      <c r="J854" s="1" t="str">
        <f>IFERROR(CONCATENATE("*",VLOOKUP(C854,PARAM!D:E,2,0),VLOOKUP(D854,PARAM!J:K,2,0),VLOOKUP(E854,PARAM!G:H,2,0),VLOOKUP(G854,PARAM!P:Q,2,0),"*"),"")</f>
        <v/>
      </c>
      <c r="K854" s="1" t="str">
        <f t="shared" si="1"/>
        <v>  </v>
      </c>
      <c r="L854" s="1"/>
    </row>
    <row r="855">
      <c r="A855" s="56"/>
      <c r="B855" s="1"/>
      <c r="C855" s="1"/>
      <c r="D855" s="1"/>
      <c r="E855" s="1"/>
      <c r="F855" s="1"/>
      <c r="G855" s="60" t="s">
        <v>503</v>
      </c>
      <c r="H855" s="1" t="s">
        <v>476</v>
      </c>
      <c r="I855" s="1" t="str">
        <f>IFERROR(CONCATENATE(VLOOKUP(C855,PARAM!D:E,2,0),VLOOKUP(D855,PARAM!J:K,2,0),VLOOKUP(E855,PARAM!G:H,2,0),VLOOKUP(G855,PARAM!P:Q,2,0)),"")</f>
        <v/>
      </c>
      <c r="J855" s="1" t="str">
        <f>IFERROR(CONCATENATE("*",VLOOKUP(C855,PARAM!D:E,2,0),VLOOKUP(D855,PARAM!J:K,2,0),VLOOKUP(E855,PARAM!G:H,2,0),VLOOKUP(G855,PARAM!P:Q,2,0),"*"),"")</f>
        <v/>
      </c>
      <c r="K855" s="1" t="str">
        <f t="shared" si="1"/>
        <v>  </v>
      </c>
      <c r="L855" s="1"/>
    </row>
    <row r="856">
      <c r="A856" s="56"/>
      <c r="B856" s="1"/>
      <c r="C856" s="1"/>
      <c r="D856" s="1"/>
      <c r="E856" s="1"/>
      <c r="F856" s="1"/>
      <c r="G856" s="60" t="s">
        <v>503</v>
      </c>
      <c r="H856" s="1" t="s">
        <v>476</v>
      </c>
      <c r="I856" s="1" t="str">
        <f>IFERROR(CONCATENATE(VLOOKUP(C856,PARAM!D:E,2,0),VLOOKUP(D856,PARAM!J:K,2,0),VLOOKUP(E856,PARAM!G:H,2,0),VLOOKUP(G856,PARAM!P:Q,2,0)),"")</f>
        <v/>
      </c>
      <c r="J856" s="1" t="str">
        <f>IFERROR(CONCATENATE("*",VLOOKUP(C856,PARAM!D:E,2,0),VLOOKUP(D856,PARAM!J:K,2,0),VLOOKUP(E856,PARAM!G:H,2,0),VLOOKUP(G856,PARAM!P:Q,2,0),"*"),"")</f>
        <v/>
      </c>
      <c r="K856" s="1" t="str">
        <f t="shared" si="1"/>
        <v>  </v>
      </c>
      <c r="L856" s="1"/>
    </row>
    <row r="857">
      <c r="A857" s="56"/>
      <c r="B857" s="1"/>
      <c r="C857" s="1"/>
      <c r="D857" s="1"/>
      <c r="E857" s="1"/>
      <c r="F857" s="1"/>
      <c r="G857" s="60" t="s">
        <v>503</v>
      </c>
      <c r="H857" s="1" t="s">
        <v>476</v>
      </c>
      <c r="I857" s="1" t="str">
        <f>IFERROR(CONCATENATE(VLOOKUP(C857,PARAM!D:E,2,0),VLOOKUP(D857,PARAM!J:K,2,0),VLOOKUP(E857,PARAM!G:H,2,0),VLOOKUP(G857,PARAM!P:Q,2,0)),"")</f>
        <v/>
      </c>
      <c r="J857" s="1" t="str">
        <f>IFERROR(CONCATENATE("*",VLOOKUP(C857,PARAM!D:E,2,0),VLOOKUP(D857,PARAM!J:K,2,0),VLOOKUP(E857,PARAM!G:H,2,0),VLOOKUP(G857,PARAM!P:Q,2,0),"*"),"")</f>
        <v/>
      </c>
      <c r="K857" s="1" t="str">
        <f t="shared" si="1"/>
        <v>  </v>
      </c>
      <c r="L857" s="1"/>
    </row>
    <row r="858">
      <c r="A858" s="56"/>
      <c r="B858" s="1"/>
      <c r="C858" s="1"/>
      <c r="D858" s="1"/>
      <c r="E858" s="1"/>
      <c r="F858" s="1"/>
      <c r="G858" s="60" t="s">
        <v>503</v>
      </c>
      <c r="H858" s="1" t="s">
        <v>476</v>
      </c>
      <c r="I858" s="1" t="str">
        <f>IFERROR(CONCATENATE(VLOOKUP(C858,PARAM!D:E,2,0),VLOOKUP(D858,PARAM!J:K,2,0),VLOOKUP(E858,PARAM!G:H,2,0),VLOOKUP(G858,PARAM!P:Q,2,0)),"")</f>
        <v/>
      </c>
      <c r="J858" s="1" t="str">
        <f>IFERROR(CONCATENATE("*",VLOOKUP(C858,PARAM!D:E,2,0),VLOOKUP(D858,PARAM!J:K,2,0),VLOOKUP(E858,PARAM!G:H,2,0),VLOOKUP(G858,PARAM!P:Q,2,0),"*"),"")</f>
        <v/>
      </c>
      <c r="K858" s="1" t="str">
        <f t="shared" si="1"/>
        <v>  </v>
      </c>
      <c r="L858" s="1"/>
    </row>
    <row r="859">
      <c r="A859" s="56"/>
      <c r="B859" s="1"/>
      <c r="C859" s="1"/>
      <c r="D859" s="1"/>
      <c r="E859" s="1"/>
      <c r="F859" s="1"/>
      <c r="G859" s="60" t="s">
        <v>503</v>
      </c>
      <c r="H859" s="1" t="s">
        <v>476</v>
      </c>
      <c r="I859" s="1" t="str">
        <f>IFERROR(CONCATENATE(VLOOKUP(C859,PARAM!D:E,2,0),VLOOKUP(D859,PARAM!J:K,2,0),VLOOKUP(E859,PARAM!G:H,2,0),VLOOKUP(G859,PARAM!P:Q,2,0)),"")</f>
        <v/>
      </c>
      <c r="J859" s="1" t="str">
        <f>IFERROR(CONCATENATE("*",VLOOKUP(C859,PARAM!D:E,2,0),VLOOKUP(D859,PARAM!J:K,2,0),VLOOKUP(E859,PARAM!G:H,2,0),VLOOKUP(G859,PARAM!P:Q,2,0),"*"),"")</f>
        <v/>
      </c>
      <c r="K859" s="1" t="str">
        <f t="shared" si="1"/>
        <v>  </v>
      </c>
      <c r="L859" s="1"/>
    </row>
    <row r="860">
      <c r="A860" s="56"/>
      <c r="B860" s="1"/>
      <c r="C860" s="1"/>
      <c r="D860" s="1"/>
      <c r="E860" s="1"/>
      <c r="F860" s="1"/>
      <c r="G860" s="60" t="s">
        <v>503</v>
      </c>
      <c r="H860" s="1" t="s">
        <v>476</v>
      </c>
      <c r="I860" s="1" t="str">
        <f>IFERROR(CONCATENATE(VLOOKUP(C860,PARAM!D:E,2,0),VLOOKUP(D860,PARAM!J:K,2,0),VLOOKUP(E860,PARAM!G:H,2,0),VLOOKUP(G860,PARAM!P:Q,2,0)),"")</f>
        <v/>
      </c>
      <c r="J860" s="1" t="str">
        <f>IFERROR(CONCATENATE("*",VLOOKUP(C860,PARAM!D:E,2,0),VLOOKUP(D860,PARAM!J:K,2,0),VLOOKUP(E860,PARAM!G:H,2,0),VLOOKUP(G860,PARAM!P:Q,2,0),"*"),"")</f>
        <v/>
      </c>
      <c r="K860" s="1" t="str">
        <f t="shared" si="1"/>
        <v>  </v>
      </c>
      <c r="L860" s="1"/>
    </row>
    <row r="861">
      <c r="A861" s="56"/>
      <c r="B861" s="1"/>
      <c r="C861" s="1"/>
      <c r="D861" s="1"/>
      <c r="E861" s="1"/>
      <c r="F861" s="1"/>
      <c r="G861" s="60" t="s">
        <v>503</v>
      </c>
      <c r="H861" s="1" t="s">
        <v>476</v>
      </c>
      <c r="I861" s="1" t="str">
        <f>IFERROR(CONCATENATE(VLOOKUP(C861,PARAM!D:E,2,0),VLOOKUP(D861,PARAM!J:K,2,0),VLOOKUP(E861,PARAM!G:H,2,0),VLOOKUP(G861,PARAM!P:Q,2,0)),"")</f>
        <v/>
      </c>
      <c r="J861" s="1" t="str">
        <f>IFERROR(CONCATENATE("*",VLOOKUP(C861,PARAM!D:E,2,0),VLOOKUP(D861,PARAM!J:K,2,0),VLOOKUP(E861,PARAM!G:H,2,0),VLOOKUP(G861,PARAM!P:Q,2,0),"*"),"")</f>
        <v/>
      </c>
      <c r="K861" s="1" t="str">
        <f t="shared" si="1"/>
        <v>  </v>
      </c>
      <c r="L861" s="1"/>
    </row>
    <row r="862">
      <c r="A862" s="56"/>
      <c r="B862" s="1"/>
      <c r="C862" s="1"/>
      <c r="D862" s="1"/>
      <c r="E862" s="1"/>
      <c r="F862" s="1"/>
      <c r="G862" s="60" t="s">
        <v>503</v>
      </c>
      <c r="H862" s="1" t="s">
        <v>476</v>
      </c>
      <c r="I862" s="1" t="str">
        <f>IFERROR(CONCATENATE(VLOOKUP(C862,PARAM!D:E,2,0),VLOOKUP(D862,PARAM!J:K,2,0),VLOOKUP(E862,PARAM!G:H,2,0),VLOOKUP(G862,PARAM!P:Q,2,0)),"")</f>
        <v/>
      </c>
      <c r="J862" s="1" t="str">
        <f>IFERROR(CONCATENATE("*",VLOOKUP(C862,PARAM!D:E,2,0),VLOOKUP(D862,PARAM!J:K,2,0),VLOOKUP(E862,PARAM!G:H,2,0),VLOOKUP(G862,PARAM!P:Q,2,0),"*"),"")</f>
        <v/>
      </c>
      <c r="K862" s="1" t="str">
        <f t="shared" si="1"/>
        <v>  </v>
      </c>
      <c r="L862" s="1"/>
    </row>
    <row r="863">
      <c r="A863" s="56"/>
      <c r="B863" s="1"/>
      <c r="C863" s="1"/>
      <c r="D863" s="1"/>
      <c r="E863" s="1"/>
      <c r="F863" s="1"/>
      <c r="G863" s="60" t="s">
        <v>503</v>
      </c>
      <c r="H863" s="1" t="s">
        <v>476</v>
      </c>
      <c r="I863" s="1" t="str">
        <f>IFERROR(CONCATENATE(VLOOKUP(C863,PARAM!D:E,2,0),VLOOKUP(D863,PARAM!J:K,2,0),VLOOKUP(E863,PARAM!G:H,2,0),VLOOKUP(G863,PARAM!P:Q,2,0)),"")</f>
        <v/>
      </c>
      <c r="J863" s="1" t="str">
        <f>IFERROR(CONCATENATE("*",VLOOKUP(C863,PARAM!D:E,2,0),VLOOKUP(D863,PARAM!J:K,2,0),VLOOKUP(E863,PARAM!G:H,2,0),VLOOKUP(G863,PARAM!P:Q,2,0),"*"),"")</f>
        <v/>
      </c>
      <c r="K863" s="1" t="str">
        <f t="shared" si="1"/>
        <v>  </v>
      </c>
      <c r="L863" s="1"/>
    </row>
    <row r="864">
      <c r="A864" s="56"/>
      <c r="B864" s="1"/>
      <c r="C864" s="1"/>
      <c r="D864" s="1"/>
      <c r="E864" s="1"/>
      <c r="F864" s="1"/>
      <c r="G864" s="60" t="s">
        <v>503</v>
      </c>
      <c r="H864" s="1" t="s">
        <v>476</v>
      </c>
      <c r="I864" s="1" t="str">
        <f>IFERROR(CONCATENATE(VLOOKUP(C864,PARAM!D:E,2,0),VLOOKUP(D864,PARAM!J:K,2,0),VLOOKUP(E864,PARAM!G:H,2,0),VLOOKUP(G864,PARAM!P:Q,2,0)),"")</f>
        <v/>
      </c>
      <c r="J864" s="1" t="str">
        <f>IFERROR(CONCATENATE("*",VLOOKUP(C864,PARAM!D:E,2,0),VLOOKUP(D864,PARAM!J:K,2,0),VLOOKUP(E864,PARAM!G:H,2,0),VLOOKUP(G864,PARAM!P:Q,2,0),"*"),"")</f>
        <v/>
      </c>
      <c r="K864" s="1" t="str">
        <f t="shared" si="1"/>
        <v>  </v>
      </c>
      <c r="L864" s="1"/>
    </row>
    <row r="865">
      <c r="A865" s="56"/>
      <c r="B865" s="1"/>
      <c r="C865" s="1"/>
      <c r="D865" s="1"/>
      <c r="E865" s="1"/>
      <c r="F865" s="1"/>
      <c r="G865" s="60" t="s">
        <v>503</v>
      </c>
      <c r="H865" s="1" t="s">
        <v>476</v>
      </c>
      <c r="I865" s="1" t="str">
        <f>IFERROR(CONCATENATE(VLOOKUP(C865,PARAM!D:E,2,0),VLOOKUP(D865,PARAM!J:K,2,0),VLOOKUP(E865,PARAM!G:H,2,0),VLOOKUP(G865,PARAM!P:Q,2,0)),"")</f>
        <v/>
      </c>
      <c r="J865" s="1" t="str">
        <f>IFERROR(CONCATENATE("*",VLOOKUP(C865,PARAM!D:E,2,0),VLOOKUP(D865,PARAM!J:K,2,0),VLOOKUP(E865,PARAM!G:H,2,0),VLOOKUP(G865,PARAM!P:Q,2,0),"*"),"")</f>
        <v/>
      </c>
      <c r="K865" s="1" t="str">
        <f t="shared" si="1"/>
        <v>  </v>
      </c>
      <c r="L865" s="1"/>
    </row>
    <row r="866">
      <c r="A866" s="56"/>
      <c r="B866" s="1"/>
      <c r="C866" s="1"/>
      <c r="D866" s="1"/>
      <c r="E866" s="1"/>
      <c r="F866" s="1"/>
      <c r="G866" s="60" t="s">
        <v>503</v>
      </c>
      <c r="H866" s="1" t="s">
        <v>476</v>
      </c>
      <c r="I866" s="1" t="str">
        <f>IFERROR(CONCATENATE(VLOOKUP(C866,PARAM!D:E,2,0),VLOOKUP(D866,PARAM!J:K,2,0),VLOOKUP(E866,PARAM!G:H,2,0),VLOOKUP(G866,PARAM!P:Q,2,0)),"")</f>
        <v/>
      </c>
      <c r="J866" s="1" t="str">
        <f>IFERROR(CONCATENATE("*",VLOOKUP(C866,PARAM!D:E,2,0),VLOOKUP(D866,PARAM!J:K,2,0),VLOOKUP(E866,PARAM!G:H,2,0),VLOOKUP(G866,PARAM!P:Q,2,0),"*"),"")</f>
        <v/>
      </c>
      <c r="K866" s="1" t="str">
        <f t="shared" si="1"/>
        <v>  </v>
      </c>
      <c r="L866" s="1"/>
    </row>
    <row r="867">
      <c r="A867" s="56"/>
      <c r="B867" s="1"/>
      <c r="C867" s="1"/>
      <c r="D867" s="1"/>
      <c r="E867" s="1"/>
      <c r="F867" s="1"/>
      <c r="G867" s="60" t="s">
        <v>503</v>
      </c>
      <c r="H867" s="1" t="s">
        <v>476</v>
      </c>
      <c r="I867" s="1" t="str">
        <f>IFERROR(CONCATENATE(VLOOKUP(C867,PARAM!D:E,2,0),VLOOKUP(D867,PARAM!J:K,2,0),VLOOKUP(E867,PARAM!G:H,2,0),VLOOKUP(G867,PARAM!P:Q,2,0)),"")</f>
        <v/>
      </c>
      <c r="J867" s="1" t="str">
        <f>IFERROR(CONCATENATE("*",VLOOKUP(C867,PARAM!D:E,2,0),VLOOKUP(D867,PARAM!J:K,2,0),VLOOKUP(E867,PARAM!G:H,2,0),VLOOKUP(G867,PARAM!P:Q,2,0),"*"),"")</f>
        <v/>
      </c>
      <c r="K867" s="1" t="str">
        <f t="shared" si="1"/>
        <v>  </v>
      </c>
      <c r="L867" s="1"/>
    </row>
    <row r="868">
      <c r="A868" s="56"/>
      <c r="B868" s="1"/>
      <c r="C868" s="1"/>
      <c r="D868" s="1"/>
      <c r="E868" s="1"/>
      <c r="F868" s="1"/>
      <c r="G868" s="60" t="s">
        <v>503</v>
      </c>
      <c r="H868" s="1" t="s">
        <v>476</v>
      </c>
      <c r="I868" s="1" t="str">
        <f>IFERROR(CONCATENATE(VLOOKUP(C868,PARAM!D:E,2,0),VLOOKUP(D868,PARAM!J:K,2,0),VLOOKUP(E868,PARAM!G:H,2,0),VLOOKUP(G868,PARAM!P:Q,2,0)),"")</f>
        <v/>
      </c>
      <c r="J868" s="1" t="str">
        <f>IFERROR(CONCATENATE("*",VLOOKUP(C868,PARAM!D:E,2,0),VLOOKUP(D868,PARAM!J:K,2,0),VLOOKUP(E868,PARAM!G:H,2,0),VLOOKUP(G868,PARAM!P:Q,2,0),"*"),"")</f>
        <v/>
      </c>
      <c r="K868" s="1" t="str">
        <f t="shared" si="1"/>
        <v>  </v>
      </c>
      <c r="L868" s="1"/>
    </row>
    <row r="869">
      <c r="A869" s="56"/>
      <c r="B869" s="1"/>
      <c r="C869" s="1"/>
      <c r="D869" s="1"/>
      <c r="E869" s="1"/>
      <c r="F869" s="1"/>
      <c r="G869" s="60" t="s">
        <v>503</v>
      </c>
      <c r="H869" s="1" t="s">
        <v>476</v>
      </c>
      <c r="I869" s="1" t="str">
        <f>IFERROR(CONCATENATE(VLOOKUP(C869,PARAM!D:E,2,0),VLOOKUP(D869,PARAM!J:K,2,0),VLOOKUP(E869,PARAM!G:H,2,0),VLOOKUP(G869,PARAM!P:Q,2,0)),"")</f>
        <v/>
      </c>
      <c r="J869" s="1" t="str">
        <f>IFERROR(CONCATENATE("*",VLOOKUP(C869,PARAM!D:E,2,0),VLOOKUP(D869,PARAM!J:K,2,0),VLOOKUP(E869,PARAM!G:H,2,0),VLOOKUP(G869,PARAM!P:Q,2,0),"*"),"")</f>
        <v/>
      </c>
      <c r="K869" s="1" t="str">
        <f t="shared" si="1"/>
        <v>  </v>
      </c>
      <c r="L869" s="1"/>
    </row>
    <row r="870">
      <c r="A870" s="56"/>
      <c r="B870" s="1"/>
      <c r="C870" s="1"/>
      <c r="D870" s="1"/>
      <c r="E870" s="1"/>
      <c r="F870" s="1"/>
      <c r="G870" s="60" t="s">
        <v>503</v>
      </c>
      <c r="H870" s="1" t="s">
        <v>476</v>
      </c>
      <c r="I870" s="1" t="str">
        <f>IFERROR(CONCATENATE(VLOOKUP(C870,PARAM!D:E,2,0),VLOOKUP(D870,PARAM!J:K,2,0),VLOOKUP(E870,PARAM!G:H,2,0),VLOOKUP(G870,PARAM!P:Q,2,0)),"")</f>
        <v/>
      </c>
      <c r="J870" s="1" t="str">
        <f>IFERROR(CONCATENATE("*",VLOOKUP(C870,PARAM!D:E,2,0),VLOOKUP(D870,PARAM!J:K,2,0),VLOOKUP(E870,PARAM!G:H,2,0),VLOOKUP(G870,PARAM!P:Q,2,0),"*"),"")</f>
        <v/>
      </c>
      <c r="K870" s="1" t="str">
        <f t="shared" si="1"/>
        <v>  </v>
      </c>
      <c r="L870" s="1"/>
    </row>
    <row r="871">
      <c r="A871" s="56"/>
      <c r="B871" s="1"/>
      <c r="C871" s="1"/>
      <c r="D871" s="1"/>
      <c r="E871" s="1"/>
      <c r="F871" s="1"/>
      <c r="G871" s="60" t="s">
        <v>503</v>
      </c>
      <c r="H871" s="1" t="s">
        <v>476</v>
      </c>
      <c r="I871" s="1" t="str">
        <f>IFERROR(CONCATENATE(VLOOKUP(C871,PARAM!D:E,2,0),VLOOKUP(D871,PARAM!J:K,2,0),VLOOKUP(E871,PARAM!G:H,2,0),VLOOKUP(G871,PARAM!P:Q,2,0)),"")</f>
        <v/>
      </c>
      <c r="J871" s="1" t="str">
        <f>IFERROR(CONCATENATE("*",VLOOKUP(C871,PARAM!D:E,2,0),VLOOKUP(D871,PARAM!J:K,2,0),VLOOKUP(E871,PARAM!G:H,2,0),VLOOKUP(G871,PARAM!P:Q,2,0),"*"),"")</f>
        <v/>
      </c>
      <c r="K871" s="1" t="str">
        <f t="shared" si="1"/>
        <v>  </v>
      </c>
      <c r="L871" s="1"/>
    </row>
    <row r="872">
      <c r="A872" s="56"/>
      <c r="B872" s="1"/>
      <c r="C872" s="1"/>
      <c r="D872" s="1"/>
      <c r="E872" s="1"/>
      <c r="F872" s="1"/>
      <c r="G872" s="60" t="s">
        <v>503</v>
      </c>
      <c r="H872" s="1" t="s">
        <v>476</v>
      </c>
      <c r="I872" s="1" t="str">
        <f>IFERROR(CONCATENATE(VLOOKUP(C872,PARAM!D:E,2,0),VLOOKUP(D872,PARAM!J:K,2,0),VLOOKUP(E872,PARAM!G:H,2,0),VLOOKUP(G872,PARAM!P:Q,2,0)),"")</f>
        <v/>
      </c>
      <c r="J872" s="1" t="str">
        <f>IFERROR(CONCATENATE("*",VLOOKUP(C872,PARAM!D:E,2,0),VLOOKUP(D872,PARAM!J:K,2,0),VLOOKUP(E872,PARAM!G:H,2,0),VLOOKUP(G872,PARAM!P:Q,2,0),"*"),"")</f>
        <v/>
      </c>
      <c r="K872" s="1" t="str">
        <f t="shared" si="1"/>
        <v>  </v>
      </c>
      <c r="L872" s="1"/>
    </row>
    <row r="873">
      <c r="A873" s="56"/>
      <c r="B873" s="1"/>
      <c r="C873" s="1"/>
      <c r="D873" s="1"/>
      <c r="E873" s="1"/>
      <c r="F873" s="1"/>
      <c r="G873" s="60" t="s">
        <v>503</v>
      </c>
      <c r="H873" s="1" t="s">
        <v>476</v>
      </c>
      <c r="I873" s="1" t="str">
        <f>IFERROR(CONCATENATE(VLOOKUP(C873,PARAM!D:E,2,0),VLOOKUP(D873,PARAM!J:K,2,0),VLOOKUP(E873,PARAM!G:H,2,0),VLOOKUP(G873,PARAM!P:Q,2,0)),"")</f>
        <v/>
      </c>
      <c r="J873" s="1" t="str">
        <f>IFERROR(CONCATENATE("*",VLOOKUP(C873,PARAM!D:E,2,0),VLOOKUP(D873,PARAM!J:K,2,0),VLOOKUP(E873,PARAM!G:H,2,0),VLOOKUP(G873,PARAM!P:Q,2,0),"*"),"")</f>
        <v/>
      </c>
      <c r="K873" s="1" t="str">
        <f t="shared" si="1"/>
        <v>  </v>
      </c>
      <c r="L873" s="1"/>
    </row>
    <row r="874">
      <c r="A874" s="56"/>
      <c r="B874" s="1"/>
      <c r="C874" s="1"/>
      <c r="D874" s="1"/>
      <c r="E874" s="1"/>
      <c r="F874" s="1"/>
      <c r="G874" s="60" t="s">
        <v>503</v>
      </c>
      <c r="H874" s="1" t="s">
        <v>476</v>
      </c>
      <c r="I874" s="1" t="str">
        <f>IFERROR(CONCATENATE(VLOOKUP(C874,PARAM!D:E,2,0),VLOOKUP(D874,PARAM!J:K,2,0),VLOOKUP(E874,PARAM!G:H,2,0),VLOOKUP(G874,PARAM!P:Q,2,0)),"")</f>
        <v/>
      </c>
      <c r="J874" s="1" t="str">
        <f>IFERROR(CONCATENATE("*",VLOOKUP(C874,PARAM!D:E,2,0),VLOOKUP(D874,PARAM!J:K,2,0),VLOOKUP(E874,PARAM!G:H,2,0),VLOOKUP(G874,PARAM!P:Q,2,0),"*"),"")</f>
        <v/>
      </c>
      <c r="K874" s="1" t="str">
        <f t="shared" si="1"/>
        <v>  </v>
      </c>
      <c r="L874" s="1"/>
    </row>
    <row r="875">
      <c r="A875" s="56"/>
      <c r="B875" s="1"/>
      <c r="C875" s="1"/>
      <c r="D875" s="1"/>
      <c r="E875" s="1"/>
      <c r="F875" s="1"/>
      <c r="G875" s="60" t="s">
        <v>503</v>
      </c>
      <c r="H875" s="1" t="s">
        <v>476</v>
      </c>
      <c r="I875" s="1" t="str">
        <f>IFERROR(CONCATENATE(VLOOKUP(C875,PARAM!D:E,2,0),VLOOKUP(D875,PARAM!J:K,2,0),VLOOKUP(E875,PARAM!G:H,2,0),VLOOKUP(G875,PARAM!P:Q,2,0)),"")</f>
        <v/>
      </c>
      <c r="J875" s="1" t="str">
        <f>IFERROR(CONCATENATE("*",VLOOKUP(C875,PARAM!D:E,2,0),VLOOKUP(D875,PARAM!J:K,2,0),VLOOKUP(E875,PARAM!G:H,2,0),VLOOKUP(G875,PARAM!P:Q,2,0),"*"),"")</f>
        <v/>
      </c>
      <c r="K875" s="1" t="str">
        <f t="shared" si="1"/>
        <v>  </v>
      </c>
      <c r="L875" s="1"/>
    </row>
    <row r="876">
      <c r="A876" s="56"/>
      <c r="B876" s="1"/>
      <c r="C876" s="1"/>
      <c r="D876" s="1"/>
      <c r="E876" s="1"/>
      <c r="F876" s="1"/>
      <c r="G876" s="60" t="s">
        <v>503</v>
      </c>
      <c r="H876" s="1" t="s">
        <v>476</v>
      </c>
      <c r="I876" s="1" t="str">
        <f>IFERROR(CONCATENATE(VLOOKUP(C876,PARAM!D:E,2,0),VLOOKUP(D876,PARAM!J:K,2,0),VLOOKUP(E876,PARAM!G:H,2,0),VLOOKUP(G876,PARAM!P:Q,2,0)),"")</f>
        <v/>
      </c>
      <c r="J876" s="1" t="str">
        <f>IFERROR(CONCATENATE("*",VLOOKUP(C876,PARAM!D:E,2,0),VLOOKUP(D876,PARAM!J:K,2,0),VLOOKUP(E876,PARAM!G:H,2,0),VLOOKUP(G876,PARAM!P:Q,2,0),"*"),"")</f>
        <v/>
      </c>
      <c r="K876" s="1" t="str">
        <f t="shared" si="1"/>
        <v>  </v>
      </c>
      <c r="L876" s="1"/>
    </row>
    <row r="877">
      <c r="A877" s="56"/>
      <c r="B877" s="1"/>
      <c r="C877" s="1"/>
      <c r="D877" s="1"/>
      <c r="E877" s="1"/>
      <c r="F877" s="1"/>
      <c r="G877" s="60" t="s">
        <v>503</v>
      </c>
      <c r="H877" s="1" t="s">
        <v>476</v>
      </c>
      <c r="I877" s="1" t="str">
        <f>IFERROR(CONCATENATE(VLOOKUP(C877,PARAM!D:E,2,0),VLOOKUP(D877,PARAM!J:K,2,0),VLOOKUP(E877,PARAM!G:H,2,0),VLOOKUP(G877,PARAM!P:Q,2,0)),"")</f>
        <v/>
      </c>
      <c r="J877" s="1" t="str">
        <f>IFERROR(CONCATENATE("*",VLOOKUP(C877,PARAM!D:E,2,0),VLOOKUP(D877,PARAM!J:K,2,0),VLOOKUP(E877,PARAM!G:H,2,0),VLOOKUP(G877,PARAM!P:Q,2,0),"*"),"")</f>
        <v/>
      </c>
      <c r="K877" s="1" t="str">
        <f t="shared" si="1"/>
        <v>  </v>
      </c>
      <c r="L877" s="1"/>
    </row>
    <row r="878">
      <c r="A878" s="56"/>
      <c r="B878" s="1"/>
      <c r="C878" s="1"/>
      <c r="D878" s="1"/>
      <c r="E878" s="1"/>
      <c r="F878" s="1"/>
      <c r="G878" s="60" t="s">
        <v>503</v>
      </c>
      <c r="H878" s="1" t="s">
        <v>476</v>
      </c>
      <c r="I878" s="1" t="str">
        <f>IFERROR(CONCATENATE(VLOOKUP(C878,PARAM!D:E,2,0),VLOOKUP(D878,PARAM!J:K,2,0),VLOOKUP(E878,PARAM!G:H,2,0),VLOOKUP(G878,PARAM!P:Q,2,0)),"")</f>
        <v/>
      </c>
      <c r="J878" s="1" t="str">
        <f>IFERROR(CONCATENATE("*",VLOOKUP(C878,PARAM!D:E,2,0),VLOOKUP(D878,PARAM!J:K,2,0),VLOOKUP(E878,PARAM!G:H,2,0),VLOOKUP(G878,PARAM!P:Q,2,0),"*"),"")</f>
        <v/>
      </c>
      <c r="K878" s="1" t="str">
        <f t="shared" si="1"/>
        <v>  </v>
      </c>
      <c r="L878" s="1"/>
    </row>
    <row r="879">
      <c r="A879" s="56"/>
      <c r="B879" s="1"/>
      <c r="C879" s="1"/>
      <c r="D879" s="1"/>
      <c r="E879" s="1"/>
      <c r="F879" s="1"/>
      <c r="G879" s="60" t="s">
        <v>503</v>
      </c>
      <c r="H879" s="1" t="s">
        <v>476</v>
      </c>
      <c r="I879" s="1" t="str">
        <f>IFERROR(CONCATENATE(VLOOKUP(C879,PARAM!D:E,2,0),VLOOKUP(D879,PARAM!J:K,2,0),VLOOKUP(E879,PARAM!G:H,2,0),VLOOKUP(G879,PARAM!P:Q,2,0)),"")</f>
        <v/>
      </c>
      <c r="J879" s="1" t="str">
        <f>IFERROR(CONCATENATE("*",VLOOKUP(C879,PARAM!D:E,2,0),VLOOKUP(D879,PARAM!J:K,2,0),VLOOKUP(E879,PARAM!G:H,2,0),VLOOKUP(G879,PARAM!P:Q,2,0),"*"),"")</f>
        <v/>
      </c>
      <c r="K879" s="1" t="str">
        <f t="shared" si="1"/>
        <v>  </v>
      </c>
      <c r="L879" s="1"/>
    </row>
    <row r="880">
      <c r="A880" s="56"/>
      <c r="B880" s="1"/>
      <c r="C880" s="1"/>
      <c r="D880" s="1"/>
      <c r="E880" s="1"/>
      <c r="F880" s="1"/>
      <c r="G880" s="60" t="s">
        <v>503</v>
      </c>
      <c r="H880" s="1" t="s">
        <v>476</v>
      </c>
      <c r="I880" s="1" t="str">
        <f>IFERROR(CONCATENATE(VLOOKUP(C880,PARAM!D:E,2,0),VLOOKUP(D880,PARAM!J:K,2,0),VLOOKUP(E880,PARAM!G:H,2,0),VLOOKUP(G880,PARAM!P:Q,2,0)),"")</f>
        <v/>
      </c>
      <c r="J880" s="1" t="str">
        <f>IFERROR(CONCATENATE("*",VLOOKUP(C880,PARAM!D:E,2,0),VLOOKUP(D880,PARAM!J:K,2,0),VLOOKUP(E880,PARAM!G:H,2,0),VLOOKUP(G880,PARAM!P:Q,2,0),"*"),"")</f>
        <v/>
      </c>
      <c r="K880" s="1" t="str">
        <f t="shared" si="1"/>
        <v>  </v>
      </c>
      <c r="L880" s="1"/>
    </row>
    <row r="881">
      <c r="A881" s="56"/>
      <c r="B881" s="1"/>
      <c r="C881" s="1"/>
      <c r="D881" s="1"/>
      <c r="E881" s="1"/>
      <c r="F881" s="1"/>
      <c r="G881" s="60" t="s">
        <v>503</v>
      </c>
      <c r="H881" s="1" t="s">
        <v>476</v>
      </c>
      <c r="I881" s="1" t="str">
        <f>IFERROR(CONCATENATE(VLOOKUP(C881,PARAM!D:E,2,0),VLOOKUP(D881,PARAM!J:K,2,0),VLOOKUP(E881,PARAM!G:H,2,0),VLOOKUP(G881,PARAM!P:Q,2,0)),"")</f>
        <v/>
      </c>
      <c r="J881" s="1" t="str">
        <f>IFERROR(CONCATENATE("*",VLOOKUP(C881,PARAM!D:E,2,0),VLOOKUP(D881,PARAM!J:K,2,0),VLOOKUP(E881,PARAM!G:H,2,0),VLOOKUP(G881,PARAM!P:Q,2,0),"*"),"")</f>
        <v/>
      </c>
      <c r="K881" s="1" t="str">
        <f t="shared" si="1"/>
        <v>  </v>
      </c>
      <c r="L881" s="1"/>
    </row>
    <row r="882">
      <c r="A882" s="56"/>
      <c r="B882" s="1"/>
      <c r="C882" s="1"/>
      <c r="D882" s="1"/>
      <c r="E882" s="1"/>
      <c r="F882" s="1"/>
      <c r="G882" s="60" t="s">
        <v>503</v>
      </c>
      <c r="H882" s="1" t="s">
        <v>476</v>
      </c>
      <c r="I882" s="1" t="str">
        <f>IFERROR(CONCATENATE(VLOOKUP(C882,PARAM!D:E,2,0),VLOOKUP(D882,PARAM!J:K,2,0),VLOOKUP(E882,PARAM!G:H,2,0),VLOOKUP(G882,PARAM!P:Q,2,0)),"")</f>
        <v/>
      </c>
      <c r="J882" s="1" t="str">
        <f>IFERROR(CONCATENATE("*",VLOOKUP(C882,PARAM!D:E,2,0),VLOOKUP(D882,PARAM!J:K,2,0),VLOOKUP(E882,PARAM!G:H,2,0),VLOOKUP(G882,PARAM!P:Q,2,0),"*"),"")</f>
        <v/>
      </c>
      <c r="K882" s="1" t="str">
        <f t="shared" si="1"/>
        <v>  </v>
      </c>
      <c r="L882" s="1"/>
    </row>
    <row r="883">
      <c r="A883" s="56"/>
      <c r="B883" s="1"/>
      <c r="C883" s="1"/>
      <c r="D883" s="1"/>
      <c r="E883" s="1"/>
      <c r="F883" s="1"/>
      <c r="G883" s="60" t="s">
        <v>503</v>
      </c>
      <c r="H883" s="1" t="s">
        <v>476</v>
      </c>
      <c r="I883" s="1" t="str">
        <f>IFERROR(CONCATENATE(VLOOKUP(C883,PARAM!D:E,2,0),VLOOKUP(D883,PARAM!J:K,2,0),VLOOKUP(E883,PARAM!G:H,2,0),VLOOKUP(G883,PARAM!P:Q,2,0)),"")</f>
        <v/>
      </c>
      <c r="J883" s="1" t="str">
        <f>IFERROR(CONCATENATE("*",VLOOKUP(C883,PARAM!D:E,2,0),VLOOKUP(D883,PARAM!J:K,2,0),VLOOKUP(E883,PARAM!G:H,2,0),VLOOKUP(G883,PARAM!P:Q,2,0),"*"),"")</f>
        <v/>
      </c>
      <c r="K883" s="1" t="str">
        <f t="shared" si="1"/>
        <v>  </v>
      </c>
      <c r="L883" s="1"/>
    </row>
    <row r="884">
      <c r="A884" s="56"/>
      <c r="B884" s="1"/>
      <c r="C884" s="1"/>
      <c r="D884" s="1"/>
      <c r="E884" s="1"/>
      <c r="F884" s="1"/>
      <c r="G884" s="60" t="s">
        <v>503</v>
      </c>
      <c r="H884" s="1" t="s">
        <v>476</v>
      </c>
      <c r="I884" s="1" t="str">
        <f>IFERROR(CONCATENATE(VLOOKUP(C884,PARAM!D:E,2,0),VLOOKUP(D884,PARAM!J:K,2,0),VLOOKUP(E884,PARAM!G:H,2,0),VLOOKUP(G884,PARAM!P:Q,2,0)),"")</f>
        <v/>
      </c>
      <c r="J884" s="1" t="str">
        <f>IFERROR(CONCATENATE("*",VLOOKUP(C884,PARAM!D:E,2,0),VLOOKUP(D884,PARAM!J:K,2,0),VLOOKUP(E884,PARAM!G:H,2,0),VLOOKUP(G884,PARAM!P:Q,2,0),"*"),"")</f>
        <v/>
      </c>
      <c r="K884" s="1" t="str">
        <f t="shared" si="1"/>
        <v>  </v>
      </c>
      <c r="L884" s="1"/>
    </row>
    <row r="885">
      <c r="A885" s="56"/>
      <c r="B885" s="1"/>
      <c r="C885" s="1"/>
      <c r="D885" s="1"/>
      <c r="E885" s="1"/>
      <c r="F885" s="1"/>
      <c r="G885" s="60" t="s">
        <v>503</v>
      </c>
      <c r="H885" s="1" t="s">
        <v>476</v>
      </c>
      <c r="I885" s="1" t="str">
        <f>IFERROR(CONCATENATE(VLOOKUP(C885,PARAM!D:E,2,0),VLOOKUP(D885,PARAM!J:K,2,0),VLOOKUP(E885,PARAM!G:H,2,0),VLOOKUP(G885,PARAM!P:Q,2,0)),"")</f>
        <v/>
      </c>
      <c r="J885" s="1" t="str">
        <f>IFERROR(CONCATENATE("*",VLOOKUP(C885,PARAM!D:E,2,0),VLOOKUP(D885,PARAM!J:K,2,0),VLOOKUP(E885,PARAM!G:H,2,0),VLOOKUP(G885,PARAM!P:Q,2,0),"*"),"")</f>
        <v/>
      </c>
      <c r="K885" s="1" t="str">
        <f t="shared" si="1"/>
        <v>  </v>
      </c>
      <c r="L885" s="1"/>
    </row>
    <row r="886">
      <c r="A886" s="56"/>
      <c r="B886" s="1"/>
      <c r="C886" s="1"/>
      <c r="D886" s="1"/>
      <c r="E886" s="1"/>
      <c r="F886" s="1"/>
      <c r="G886" s="60" t="s">
        <v>503</v>
      </c>
      <c r="H886" s="1" t="s">
        <v>476</v>
      </c>
      <c r="I886" s="1" t="str">
        <f>IFERROR(CONCATENATE(VLOOKUP(C886,PARAM!D:E,2,0),VLOOKUP(D886,PARAM!J:K,2,0),VLOOKUP(E886,PARAM!G:H,2,0),VLOOKUP(G886,PARAM!P:Q,2,0)),"")</f>
        <v/>
      </c>
      <c r="J886" s="1" t="str">
        <f>IFERROR(CONCATENATE("*",VLOOKUP(C886,PARAM!D:E,2,0),VLOOKUP(D886,PARAM!J:K,2,0),VLOOKUP(E886,PARAM!G:H,2,0),VLOOKUP(G886,PARAM!P:Q,2,0),"*"),"")</f>
        <v/>
      </c>
      <c r="K886" s="1" t="str">
        <f t="shared" si="1"/>
        <v>  </v>
      </c>
      <c r="L886" s="1"/>
    </row>
    <row r="887">
      <c r="A887" s="56"/>
      <c r="B887" s="1"/>
      <c r="C887" s="1"/>
      <c r="D887" s="1"/>
      <c r="E887" s="1"/>
      <c r="F887" s="1"/>
      <c r="G887" s="60" t="s">
        <v>503</v>
      </c>
      <c r="H887" s="1" t="s">
        <v>476</v>
      </c>
      <c r="I887" s="1" t="str">
        <f>IFERROR(CONCATENATE(VLOOKUP(C887,PARAM!D:E,2,0),VLOOKUP(D887,PARAM!J:K,2,0),VLOOKUP(E887,PARAM!G:H,2,0),VLOOKUP(G887,PARAM!P:Q,2,0)),"")</f>
        <v/>
      </c>
      <c r="J887" s="1" t="str">
        <f>IFERROR(CONCATENATE("*",VLOOKUP(C887,PARAM!D:E,2,0),VLOOKUP(D887,PARAM!J:K,2,0),VLOOKUP(E887,PARAM!G:H,2,0),VLOOKUP(G887,PARAM!P:Q,2,0),"*"),"")</f>
        <v/>
      </c>
      <c r="K887" s="1" t="str">
        <f t="shared" si="1"/>
        <v>  </v>
      </c>
      <c r="L887" s="1"/>
    </row>
    <row r="888">
      <c r="A888" s="56"/>
      <c r="B888" s="1"/>
      <c r="C888" s="1"/>
      <c r="D888" s="1"/>
      <c r="E888" s="1"/>
      <c r="F888" s="1"/>
      <c r="G888" s="60" t="s">
        <v>503</v>
      </c>
      <c r="H888" s="1" t="s">
        <v>476</v>
      </c>
      <c r="I888" s="1" t="str">
        <f>IFERROR(CONCATENATE(VLOOKUP(C888,PARAM!D:E,2,0),VLOOKUP(D888,PARAM!J:K,2,0),VLOOKUP(E888,PARAM!G:H,2,0),VLOOKUP(G888,PARAM!P:Q,2,0)),"")</f>
        <v/>
      </c>
      <c r="J888" s="1" t="str">
        <f>IFERROR(CONCATENATE("*",VLOOKUP(C888,PARAM!D:E,2,0),VLOOKUP(D888,PARAM!J:K,2,0),VLOOKUP(E888,PARAM!G:H,2,0),VLOOKUP(G888,PARAM!P:Q,2,0),"*"),"")</f>
        <v/>
      </c>
      <c r="K888" s="1" t="str">
        <f t="shared" si="1"/>
        <v>  </v>
      </c>
      <c r="L888" s="1"/>
    </row>
    <row r="889">
      <c r="A889" s="56"/>
      <c r="B889" s="1"/>
      <c r="C889" s="1"/>
      <c r="D889" s="1"/>
      <c r="E889" s="1"/>
      <c r="F889" s="1"/>
      <c r="G889" s="60" t="s">
        <v>503</v>
      </c>
      <c r="H889" s="1" t="s">
        <v>476</v>
      </c>
      <c r="I889" s="1" t="str">
        <f>IFERROR(CONCATENATE(VLOOKUP(C889,PARAM!D:E,2,0),VLOOKUP(D889,PARAM!J:K,2,0),VLOOKUP(E889,PARAM!G:H,2,0),VLOOKUP(G889,PARAM!P:Q,2,0)),"")</f>
        <v/>
      </c>
      <c r="J889" s="1" t="str">
        <f>IFERROR(CONCATENATE("*",VLOOKUP(C889,PARAM!D:E,2,0),VLOOKUP(D889,PARAM!J:K,2,0),VLOOKUP(E889,PARAM!G:H,2,0),VLOOKUP(G889,PARAM!P:Q,2,0),"*"),"")</f>
        <v/>
      </c>
      <c r="K889" s="1" t="str">
        <f t="shared" si="1"/>
        <v>  </v>
      </c>
      <c r="L889" s="1"/>
    </row>
    <row r="890">
      <c r="A890" s="56"/>
      <c r="B890" s="1"/>
      <c r="C890" s="1"/>
      <c r="D890" s="1"/>
      <c r="E890" s="1"/>
      <c r="F890" s="1"/>
      <c r="G890" s="60" t="s">
        <v>503</v>
      </c>
      <c r="H890" s="1" t="s">
        <v>476</v>
      </c>
      <c r="I890" s="1" t="str">
        <f>IFERROR(CONCATENATE(VLOOKUP(C890,PARAM!D:E,2,0),VLOOKUP(D890,PARAM!J:K,2,0),VLOOKUP(E890,PARAM!G:H,2,0),VLOOKUP(G890,PARAM!P:Q,2,0)),"")</f>
        <v/>
      </c>
      <c r="J890" s="1" t="str">
        <f>IFERROR(CONCATENATE("*",VLOOKUP(C890,PARAM!D:E,2,0),VLOOKUP(D890,PARAM!J:K,2,0),VLOOKUP(E890,PARAM!G:H,2,0),VLOOKUP(G890,PARAM!P:Q,2,0),"*"),"")</f>
        <v/>
      </c>
      <c r="K890" s="1" t="str">
        <f t="shared" si="1"/>
        <v>  </v>
      </c>
      <c r="L890" s="1"/>
    </row>
    <row r="891">
      <c r="A891" s="56"/>
      <c r="B891" s="1"/>
      <c r="C891" s="1"/>
      <c r="D891" s="1"/>
      <c r="E891" s="1"/>
      <c r="F891" s="1"/>
      <c r="G891" s="60" t="s">
        <v>503</v>
      </c>
      <c r="H891" s="1" t="s">
        <v>476</v>
      </c>
      <c r="I891" s="1" t="str">
        <f>IFERROR(CONCATENATE(VLOOKUP(C891,PARAM!D:E,2,0),VLOOKUP(D891,PARAM!J:K,2,0),VLOOKUP(E891,PARAM!G:H,2,0),VLOOKUP(G891,PARAM!P:Q,2,0)),"")</f>
        <v/>
      </c>
      <c r="J891" s="1" t="str">
        <f>IFERROR(CONCATENATE("*",VLOOKUP(C891,PARAM!D:E,2,0),VLOOKUP(D891,PARAM!J:K,2,0),VLOOKUP(E891,PARAM!G:H,2,0),VLOOKUP(G891,PARAM!P:Q,2,0),"*"),"")</f>
        <v/>
      </c>
      <c r="K891" s="1" t="str">
        <f t="shared" si="1"/>
        <v>  </v>
      </c>
      <c r="L891" s="1"/>
    </row>
    <row r="892">
      <c r="A892" s="56"/>
      <c r="B892" s="1"/>
      <c r="C892" s="1"/>
      <c r="D892" s="1"/>
      <c r="E892" s="1"/>
      <c r="F892" s="1"/>
      <c r="G892" s="60" t="s">
        <v>503</v>
      </c>
      <c r="H892" s="1" t="s">
        <v>476</v>
      </c>
      <c r="I892" s="1" t="str">
        <f>IFERROR(CONCATENATE(VLOOKUP(C892,PARAM!D:E,2,0),VLOOKUP(D892,PARAM!J:K,2,0),VLOOKUP(E892,PARAM!G:H,2,0),VLOOKUP(G892,PARAM!P:Q,2,0)),"")</f>
        <v/>
      </c>
      <c r="J892" s="1" t="str">
        <f>IFERROR(CONCATENATE("*",VLOOKUP(C892,PARAM!D:E,2,0),VLOOKUP(D892,PARAM!J:K,2,0),VLOOKUP(E892,PARAM!G:H,2,0),VLOOKUP(G892,PARAM!P:Q,2,0),"*"),"")</f>
        <v/>
      </c>
      <c r="K892" s="1" t="str">
        <f t="shared" si="1"/>
        <v>  </v>
      </c>
      <c r="L892" s="1"/>
    </row>
    <row r="893">
      <c r="A893" s="56"/>
      <c r="B893" s="1"/>
      <c r="C893" s="1"/>
      <c r="D893" s="1"/>
      <c r="E893" s="1"/>
      <c r="F893" s="1"/>
      <c r="G893" s="60" t="s">
        <v>503</v>
      </c>
      <c r="H893" s="1" t="s">
        <v>476</v>
      </c>
      <c r="I893" s="1" t="str">
        <f>IFERROR(CONCATENATE(VLOOKUP(C893,PARAM!D:E,2,0),VLOOKUP(D893,PARAM!J:K,2,0),VLOOKUP(E893,PARAM!G:H,2,0),VLOOKUP(G893,PARAM!P:Q,2,0)),"")</f>
        <v/>
      </c>
      <c r="J893" s="1" t="str">
        <f>IFERROR(CONCATENATE("*",VLOOKUP(C893,PARAM!D:E,2,0),VLOOKUP(D893,PARAM!J:K,2,0),VLOOKUP(E893,PARAM!G:H,2,0),VLOOKUP(G893,PARAM!P:Q,2,0),"*"),"")</f>
        <v/>
      </c>
      <c r="K893" s="1" t="str">
        <f t="shared" si="1"/>
        <v>  </v>
      </c>
      <c r="L893" s="1"/>
    </row>
    <row r="894">
      <c r="A894" s="56"/>
      <c r="B894" s="1"/>
      <c r="C894" s="1"/>
      <c r="D894" s="1"/>
      <c r="E894" s="1"/>
      <c r="F894" s="1"/>
      <c r="G894" s="60" t="s">
        <v>503</v>
      </c>
      <c r="H894" s="1" t="s">
        <v>476</v>
      </c>
      <c r="I894" s="1" t="str">
        <f>IFERROR(CONCATENATE(VLOOKUP(C894,PARAM!D:E,2,0),VLOOKUP(D894,PARAM!J:K,2,0),VLOOKUP(E894,PARAM!G:H,2,0),VLOOKUP(G894,PARAM!P:Q,2,0)),"")</f>
        <v/>
      </c>
      <c r="J894" s="1" t="str">
        <f>IFERROR(CONCATENATE("*",VLOOKUP(C894,PARAM!D:E,2,0),VLOOKUP(D894,PARAM!J:K,2,0),VLOOKUP(E894,PARAM!G:H,2,0),VLOOKUP(G894,PARAM!P:Q,2,0),"*"),"")</f>
        <v/>
      </c>
      <c r="K894" s="1" t="str">
        <f t="shared" si="1"/>
        <v>  </v>
      </c>
      <c r="L894" s="1"/>
    </row>
    <row r="895">
      <c r="A895" s="56"/>
      <c r="B895" s="1"/>
      <c r="C895" s="1"/>
      <c r="D895" s="1"/>
      <c r="E895" s="1"/>
      <c r="F895" s="1"/>
      <c r="G895" s="60" t="s">
        <v>503</v>
      </c>
      <c r="H895" s="1" t="s">
        <v>476</v>
      </c>
      <c r="I895" s="1" t="str">
        <f>IFERROR(CONCATENATE(VLOOKUP(C895,PARAM!D:E,2,0),VLOOKUP(D895,PARAM!J:K,2,0),VLOOKUP(E895,PARAM!G:H,2,0),VLOOKUP(G895,PARAM!P:Q,2,0)),"")</f>
        <v/>
      </c>
      <c r="J895" s="1" t="str">
        <f>IFERROR(CONCATENATE("*",VLOOKUP(C895,PARAM!D:E,2,0),VLOOKUP(D895,PARAM!J:K,2,0),VLOOKUP(E895,PARAM!G:H,2,0),VLOOKUP(G895,PARAM!P:Q,2,0),"*"),"")</f>
        <v/>
      </c>
      <c r="K895" s="1" t="str">
        <f t="shared" si="1"/>
        <v>  </v>
      </c>
      <c r="L895" s="1"/>
    </row>
    <row r="896">
      <c r="A896" s="56"/>
      <c r="B896" s="1"/>
      <c r="C896" s="1"/>
      <c r="D896" s="1"/>
      <c r="E896" s="1"/>
      <c r="F896" s="1"/>
      <c r="G896" s="60" t="s">
        <v>503</v>
      </c>
      <c r="H896" s="1" t="s">
        <v>476</v>
      </c>
      <c r="I896" s="1" t="str">
        <f>IFERROR(CONCATENATE(VLOOKUP(C896,PARAM!D:E,2,0),VLOOKUP(D896,PARAM!J:K,2,0),VLOOKUP(E896,PARAM!G:H,2,0),VLOOKUP(G896,PARAM!P:Q,2,0)),"")</f>
        <v/>
      </c>
      <c r="J896" s="1" t="str">
        <f>IFERROR(CONCATENATE("*",VLOOKUP(C896,PARAM!D:E,2,0),VLOOKUP(D896,PARAM!J:K,2,0),VLOOKUP(E896,PARAM!G:H,2,0),VLOOKUP(G896,PARAM!P:Q,2,0),"*"),"")</f>
        <v/>
      </c>
      <c r="K896" s="1" t="str">
        <f t="shared" si="1"/>
        <v>  </v>
      </c>
      <c r="L896" s="1"/>
    </row>
    <row r="897">
      <c r="A897" s="56"/>
      <c r="B897" s="1"/>
      <c r="C897" s="1"/>
      <c r="D897" s="1"/>
      <c r="E897" s="1"/>
      <c r="F897" s="1"/>
      <c r="G897" s="60" t="s">
        <v>503</v>
      </c>
      <c r="H897" s="1" t="s">
        <v>476</v>
      </c>
      <c r="I897" s="1" t="str">
        <f>IFERROR(CONCATENATE(VLOOKUP(C897,PARAM!D:E,2,0),VLOOKUP(D897,PARAM!J:K,2,0),VLOOKUP(E897,PARAM!G:H,2,0),VLOOKUP(G897,PARAM!P:Q,2,0)),"")</f>
        <v/>
      </c>
      <c r="J897" s="1" t="str">
        <f>IFERROR(CONCATENATE("*",VLOOKUP(C897,PARAM!D:E,2,0),VLOOKUP(D897,PARAM!J:K,2,0),VLOOKUP(E897,PARAM!G:H,2,0),VLOOKUP(G897,PARAM!P:Q,2,0),"*"),"")</f>
        <v/>
      </c>
      <c r="K897" s="1" t="str">
        <f t="shared" si="1"/>
        <v>  </v>
      </c>
      <c r="L897" s="1"/>
    </row>
    <row r="898">
      <c r="A898" s="56"/>
      <c r="B898" s="1"/>
      <c r="C898" s="1"/>
      <c r="D898" s="1"/>
      <c r="E898" s="1"/>
      <c r="F898" s="1"/>
      <c r="G898" s="60" t="s">
        <v>503</v>
      </c>
      <c r="H898" s="1" t="s">
        <v>476</v>
      </c>
      <c r="I898" s="1" t="str">
        <f>IFERROR(CONCATENATE(VLOOKUP(C898,PARAM!D:E,2,0),VLOOKUP(D898,PARAM!J:K,2,0),VLOOKUP(E898,PARAM!G:H,2,0),VLOOKUP(G898,PARAM!P:Q,2,0)),"")</f>
        <v/>
      </c>
      <c r="J898" s="1" t="str">
        <f>IFERROR(CONCATENATE("*",VLOOKUP(C898,PARAM!D:E,2,0),VLOOKUP(D898,PARAM!J:K,2,0),VLOOKUP(E898,PARAM!G:H,2,0),VLOOKUP(G898,PARAM!P:Q,2,0),"*"),"")</f>
        <v/>
      </c>
      <c r="K898" s="1" t="str">
        <f t="shared" si="1"/>
        <v>  </v>
      </c>
      <c r="L898" s="1"/>
    </row>
    <row r="899">
      <c r="A899" s="56"/>
      <c r="B899" s="1"/>
      <c r="C899" s="1"/>
      <c r="D899" s="1"/>
      <c r="E899" s="1"/>
      <c r="F899" s="1"/>
      <c r="G899" s="60" t="s">
        <v>503</v>
      </c>
      <c r="H899" s="1" t="s">
        <v>476</v>
      </c>
      <c r="I899" s="1" t="str">
        <f>IFERROR(CONCATENATE(VLOOKUP(C899,PARAM!D:E,2,0),VLOOKUP(D899,PARAM!J:K,2,0),VLOOKUP(E899,PARAM!G:H,2,0),VLOOKUP(G899,PARAM!P:Q,2,0)),"")</f>
        <v/>
      </c>
      <c r="J899" s="1" t="str">
        <f>IFERROR(CONCATENATE("*",VLOOKUP(C899,PARAM!D:E,2,0),VLOOKUP(D899,PARAM!J:K,2,0),VLOOKUP(E899,PARAM!G:H,2,0),VLOOKUP(G899,PARAM!P:Q,2,0),"*"),"")</f>
        <v/>
      </c>
      <c r="K899" s="1" t="str">
        <f t="shared" si="1"/>
        <v>  </v>
      </c>
      <c r="L899" s="1"/>
    </row>
    <row r="900">
      <c r="A900" s="56"/>
      <c r="B900" s="1"/>
      <c r="C900" s="1"/>
      <c r="D900" s="1"/>
      <c r="E900" s="1"/>
      <c r="F900" s="1"/>
      <c r="G900" s="60" t="s">
        <v>503</v>
      </c>
      <c r="H900" s="1" t="s">
        <v>476</v>
      </c>
      <c r="I900" s="1" t="str">
        <f>IFERROR(CONCATENATE(VLOOKUP(C900,PARAM!D:E,2,0),VLOOKUP(D900,PARAM!J:K,2,0),VLOOKUP(E900,PARAM!G:H,2,0),VLOOKUP(G900,PARAM!P:Q,2,0)),"")</f>
        <v/>
      </c>
      <c r="J900" s="1" t="str">
        <f>IFERROR(CONCATENATE("*",VLOOKUP(C900,PARAM!D:E,2,0),VLOOKUP(D900,PARAM!J:K,2,0),VLOOKUP(E900,PARAM!G:H,2,0),VLOOKUP(G900,PARAM!P:Q,2,0),"*"),"")</f>
        <v/>
      </c>
      <c r="K900" s="1" t="str">
        <f t="shared" si="1"/>
        <v>  </v>
      </c>
      <c r="L900" s="1"/>
    </row>
    <row r="901">
      <c r="A901" s="56"/>
      <c r="B901" s="1"/>
      <c r="C901" s="1"/>
      <c r="D901" s="1"/>
      <c r="E901" s="1"/>
      <c r="F901" s="1"/>
      <c r="G901" s="60" t="s">
        <v>503</v>
      </c>
      <c r="H901" s="1" t="s">
        <v>476</v>
      </c>
      <c r="I901" s="1" t="str">
        <f>IFERROR(CONCATENATE(VLOOKUP(C901,PARAM!D:E,2,0),VLOOKUP(D901,PARAM!J:K,2,0),VLOOKUP(E901,PARAM!G:H,2,0),VLOOKUP(G901,PARAM!P:Q,2,0)),"")</f>
        <v/>
      </c>
      <c r="J901" s="1" t="str">
        <f>IFERROR(CONCATENATE("*",VLOOKUP(C901,PARAM!D:E,2,0),VLOOKUP(D901,PARAM!J:K,2,0),VLOOKUP(E901,PARAM!G:H,2,0),VLOOKUP(G901,PARAM!P:Q,2,0),"*"),"")</f>
        <v/>
      </c>
      <c r="K901" s="1" t="str">
        <f t="shared" si="1"/>
        <v>  </v>
      </c>
      <c r="L901" s="1"/>
    </row>
    <row r="902">
      <c r="A902" s="56"/>
      <c r="B902" s="1"/>
      <c r="C902" s="1"/>
      <c r="D902" s="1"/>
      <c r="E902" s="1"/>
      <c r="F902" s="1"/>
      <c r="G902" s="60" t="s">
        <v>503</v>
      </c>
      <c r="H902" s="1" t="s">
        <v>476</v>
      </c>
      <c r="I902" s="1" t="str">
        <f>IFERROR(CONCATENATE(VLOOKUP(C902,PARAM!D:E,2,0),VLOOKUP(D902,PARAM!J:K,2,0),VLOOKUP(E902,PARAM!G:H,2,0),VLOOKUP(G902,PARAM!P:Q,2,0)),"")</f>
        <v/>
      </c>
      <c r="J902" s="1" t="str">
        <f>IFERROR(CONCATENATE("*",VLOOKUP(C902,PARAM!D:E,2,0),VLOOKUP(D902,PARAM!J:K,2,0),VLOOKUP(E902,PARAM!G:H,2,0),VLOOKUP(G902,PARAM!P:Q,2,0),"*"),"")</f>
        <v/>
      </c>
      <c r="K902" s="1" t="str">
        <f t="shared" si="1"/>
        <v>  </v>
      </c>
      <c r="L902" s="1"/>
    </row>
    <row r="903">
      <c r="A903" s="56"/>
      <c r="B903" s="1"/>
      <c r="C903" s="1"/>
      <c r="D903" s="1"/>
      <c r="E903" s="1"/>
      <c r="F903" s="1"/>
      <c r="G903" s="60" t="s">
        <v>503</v>
      </c>
      <c r="H903" s="1" t="s">
        <v>476</v>
      </c>
      <c r="I903" s="1" t="str">
        <f>IFERROR(CONCATENATE(VLOOKUP(C903,PARAM!D:E,2,0),VLOOKUP(D903,PARAM!J:K,2,0),VLOOKUP(E903,PARAM!G:H,2,0),VLOOKUP(G903,PARAM!P:Q,2,0)),"")</f>
        <v/>
      </c>
      <c r="J903" s="1" t="str">
        <f>IFERROR(CONCATENATE("*",VLOOKUP(C903,PARAM!D:E,2,0),VLOOKUP(D903,PARAM!J:K,2,0),VLOOKUP(E903,PARAM!G:H,2,0),VLOOKUP(G903,PARAM!P:Q,2,0),"*"),"")</f>
        <v/>
      </c>
      <c r="K903" s="1" t="str">
        <f t="shared" si="1"/>
        <v>  </v>
      </c>
      <c r="L903" s="1"/>
    </row>
    <row r="904">
      <c r="A904" s="56"/>
      <c r="B904" s="1"/>
      <c r="C904" s="1"/>
      <c r="D904" s="1"/>
      <c r="E904" s="1"/>
      <c r="F904" s="1"/>
      <c r="G904" s="60" t="s">
        <v>503</v>
      </c>
      <c r="H904" s="1" t="s">
        <v>476</v>
      </c>
      <c r="I904" s="1" t="str">
        <f>IFERROR(CONCATENATE(VLOOKUP(C904,PARAM!D:E,2,0),VLOOKUP(D904,PARAM!J:K,2,0),VLOOKUP(E904,PARAM!G:H,2,0),VLOOKUP(G904,PARAM!P:Q,2,0)),"")</f>
        <v/>
      </c>
      <c r="J904" s="1" t="str">
        <f>IFERROR(CONCATENATE("*",VLOOKUP(C904,PARAM!D:E,2,0),VLOOKUP(D904,PARAM!J:K,2,0),VLOOKUP(E904,PARAM!G:H,2,0),VLOOKUP(G904,PARAM!P:Q,2,0),"*"),"")</f>
        <v/>
      </c>
      <c r="K904" s="1" t="str">
        <f t="shared" si="1"/>
        <v>  </v>
      </c>
      <c r="L904" s="1"/>
    </row>
    <row r="905">
      <c r="A905" s="56"/>
      <c r="B905" s="1"/>
      <c r="C905" s="1"/>
      <c r="D905" s="1"/>
      <c r="E905" s="1"/>
      <c r="F905" s="1"/>
      <c r="G905" s="60" t="s">
        <v>503</v>
      </c>
      <c r="H905" s="1" t="s">
        <v>476</v>
      </c>
      <c r="I905" s="1" t="str">
        <f>IFERROR(CONCATENATE(VLOOKUP(C905,PARAM!D:E,2,0),VLOOKUP(D905,PARAM!J:K,2,0),VLOOKUP(E905,PARAM!G:H,2,0),VLOOKUP(G905,PARAM!P:Q,2,0)),"")</f>
        <v/>
      </c>
      <c r="J905" s="1" t="str">
        <f>IFERROR(CONCATENATE("*",VLOOKUP(C905,PARAM!D:E,2,0),VLOOKUP(D905,PARAM!J:K,2,0),VLOOKUP(E905,PARAM!G:H,2,0),VLOOKUP(G905,PARAM!P:Q,2,0),"*"),"")</f>
        <v/>
      </c>
      <c r="K905" s="1" t="str">
        <f t="shared" si="1"/>
        <v>  </v>
      </c>
      <c r="L905" s="1"/>
    </row>
    <row r="906">
      <c r="A906" s="56"/>
      <c r="B906" s="1"/>
      <c r="C906" s="1"/>
      <c r="D906" s="1"/>
      <c r="E906" s="1"/>
      <c r="F906" s="1"/>
      <c r="G906" s="60" t="s">
        <v>503</v>
      </c>
      <c r="H906" s="1" t="s">
        <v>476</v>
      </c>
      <c r="I906" s="1" t="str">
        <f>IFERROR(CONCATENATE(VLOOKUP(C906,PARAM!D:E,2,0),VLOOKUP(D906,PARAM!J:K,2,0),VLOOKUP(E906,PARAM!G:H,2,0),VLOOKUP(G906,PARAM!P:Q,2,0)),"")</f>
        <v/>
      </c>
      <c r="J906" s="1" t="str">
        <f>IFERROR(CONCATENATE("*",VLOOKUP(C906,PARAM!D:E,2,0),VLOOKUP(D906,PARAM!J:K,2,0),VLOOKUP(E906,PARAM!G:H,2,0),VLOOKUP(G906,PARAM!P:Q,2,0),"*"),"")</f>
        <v/>
      </c>
      <c r="K906" s="1" t="str">
        <f t="shared" si="1"/>
        <v>  </v>
      </c>
      <c r="L906" s="1"/>
    </row>
    <row r="907">
      <c r="A907" s="56"/>
      <c r="B907" s="1"/>
      <c r="C907" s="1"/>
      <c r="D907" s="1"/>
      <c r="E907" s="1"/>
      <c r="F907" s="1"/>
      <c r="G907" s="60" t="s">
        <v>503</v>
      </c>
      <c r="H907" s="1" t="s">
        <v>476</v>
      </c>
      <c r="I907" s="1" t="str">
        <f>IFERROR(CONCATENATE(VLOOKUP(C907,PARAM!D:E,2,0),VLOOKUP(D907,PARAM!J:K,2,0),VLOOKUP(E907,PARAM!G:H,2,0),VLOOKUP(G907,PARAM!P:Q,2,0)),"")</f>
        <v/>
      </c>
      <c r="J907" s="1" t="str">
        <f>IFERROR(CONCATENATE("*",VLOOKUP(C907,PARAM!D:E,2,0),VLOOKUP(D907,PARAM!J:K,2,0),VLOOKUP(E907,PARAM!G:H,2,0),VLOOKUP(G907,PARAM!P:Q,2,0),"*"),"")</f>
        <v/>
      </c>
      <c r="K907" s="1" t="str">
        <f t="shared" si="1"/>
        <v>  </v>
      </c>
      <c r="L907" s="1"/>
    </row>
    <row r="908">
      <c r="A908" s="56"/>
      <c r="B908" s="1"/>
      <c r="C908" s="1"/>
      <c r="D908" s="1"/>
      <c r="E908" s="1"/>
      <c r="F908" s="1"/>
      <c r="G908" s="60" t="s">
        <v>503</v>
      </c>
      <c r="H908" s="1" t="s">
        <v>476</v>
      </c>
      <c r="I908" s="1" t="str">
        <f>IFERROR(CONCATENATE(VLOOKUP(C908,PARAM!D:E,2,0),VLOOKUP(D908,PARAM!J:K,2,0),VLOOKUP(E908,PARAM!G:H,2,0),VLOOKUP(G908,PARAM!P:Q,2,0)),"")</f>
        <v/>
      </c>
      <c r="J908" s="1" t="str">
        <f>IFERROR(CONCATENATE("*",VLOOKUP(C908,PARAM!D:E,2,0),VLOOKUP(D908,PARAM!J:K,2,0),VLOOKUP(E908,PARAM!G:H,2,0),VLOOKUP(G908,PARAM!P:Q,2,0),"*"),"")</f>
        <v/>
      </c>
      <c r="K908" s="1" t="str">
        <f t="shared" si="1"/>
        <v>  </v>
      </c>
      <c r="L908" s="1"/>
    </row>
    <row r="909">
      <c r="A909" s="56"/>
      <c r="B909" s="1"/>
      <c r="C909" s="1"/>
      <c r="D909" s="1"/>
      <c r="E909" s="1"/>
      <c r="F909" s="1"/>
      <c r="G909" s="60" t="s">
        <v>503</v>
      </c>
      <c r="H909" s="1" t="s">
        <v>476</v>
      </c>
      <c r="I909" s="1" t="str">
        <f>IFERROR(CONCATENATE(VLOOKUP(C909,PARAM!D:E,2,0),VLOOKUP(D909,PARAM!J:K,2,0),VLOOKUP(E909,PARAM!G:H,2,0),VLOOKUP(G909,PARAM!P:Q,2,0)),"")</f>
        <v/>
      </c>
      <c r="J909" s="1" t="str">
        <f>IFERROR(CONCATENATE("*",VLOOKUP(C909,PARAM!D:E,2,0),VLOOKUP(D909,PARAM!J:K,2,0),VLOOKUP(E909,PARAM!G:H,2,0),VLOOKUP(G909,PARAM!P:Q,2,0),"*"),"")</f>
        <v/>
      </c>
      <c r="K909" s="1" t="str">
        <f t="shared" si="1"/>
        <v>  </v>
      </c>
      <c r="L909" s="1"/>
    </row>
    <row r="910">
      <c r="A910" s="56"/>
      <c r="B910" s="1"/>
      <c r="C910" s="1"/>
      <c r="D910" s="1"/>
      <c r="E910" s="1"/>
      <c r="F910" s="1"/>
      <c r="G910" s="60" t="s">
        <v>503</v>
      </c>
      <c r="H910" s="1" t="s">
        <v>476</v>
      </c>
      <c r="I910" s="1" t="str">
        <f>IFERROR(CONCATENATE(VLOOKUP(C910,PARAM!D:E,2,0),VLOOKUP(D910,PARAM!J:K,2,0),VLOOKUP(E910,PARAM!G:H,2,0),VLOOKUP(G910,PARAM!P:Q,2,0)),"")</f>
        <v/>
      </c>
      <c r="J910" s="1" t="str">
        <f>IFERROR(CONCATENATE("*",VLOOKUP(C910,PARAM!D:E,2,0),VLOOKUP(D910,PARAM!J:K,2,0),VLOOKUP(E910,PARAM!G:H,2,0),VLOOKUP(G910,PARAM!P:Q,2,0),"*"),"")</f>
        <v/>
      </c>
      <c r="K910" s="1" t="str">
        <f t="shared" si="1"/>
        <v>  </v>
      </c>
      <c r="L910" s="1"/>
    </row>
    <row r="911">
      <c r="A911" s="56"/>
      <c r="B911" s="1"/>
      <c r="C911" s="1"/>
      <c r="D911" s="1"/>
      <c r="E911" s="1"/>
      <c r="F911" s="1"/>
      <c r="G911" s="60" t="s">
        <v>503</v>
      </c>
      <c r="H911" s="1" t="s">
        <v>476</v>
      </c>
      <c r="I911" s="1" t="str">
        <f>IFERROR(CONCATENATE(VLOOKUP(C911,PARAM!D:E,2,0),VLOOKUP(D911,PARAM!J:K,2,0),VLOOKUP(E911,PARAM!G:H,2,0),VLOOKUP(G911,PARAM!P:Q,2,0)),"")</f>
        <v/>
      </c>
      <c r="J911" s="1" t="str">
        <f>IFERROR(CONCATENATE("*",VLOOKUP(C911,PARAM!D:E,2,0),VLOOKUP(D911,PARAM!J:K,2,0),VLOOKUP(E911,PARAM!G:H,2,0),VLOOKUP(G911,PARAM!P:Q,2,0),"*"),"")</f>
        <v/>
      </c>
      <c r="K911" s="1" t="str">
        <f t="shared" si="1"/>
        <v>  </v>
      </c>
      <c r="L911" s="1"/>
    </row>
    <row r="912">
      <c r="A912" s="56"/>
      <c r="B912" s="1"/>
      <c r="C912" s="1"/>
      <c r="D912" s="1"/>
      <c r="E912" s="1"/>
      <c r="F912" s="1"/>
      <c r="G912" s="60" t="s">
        <v>503</v>
      </c>
      <c r="H912" s="1" t="s">
        <v>476</v>
      </c>
      <c r="I912" s="1" t="str">
        <f>IFERROR(CONCATENATE(VLOOKUP(C912,PARAM!D:E,2,0),VLOOKUP(D912,PARAM!J:K,2,0),VLOOKUP(E912,PARAM!G:H,2,0),VLOOKUP(G912,PARAM!P:Q,2,0)),"")</f>
        <v/>
      </c>
      <c r="J912" s="1" t="str">
        <f>IFERROR(CONCATENATE("*",VLOOKUP(C912,PARAM!D:E,2,0),VLOOKUP(D912,PARAM!J:K,2,0),VLOOKUP(E912,PARAM!G:H,2,0),VLOOKUP(G912,PARAM!P:Q,2,0),"*"),"")</f>
        <v/>
      </c>
      <c r="K912" s="1" t="str">
        <f t="shared" si="1"/>
        <v>  </v>
      </c>
      <c r="L912" s="1"/>
    </row>
    <row r="913">
      <c r="A913" s="56"/>
      <c r="B913" s="1"/>
      <c r="C913" s="1"/>
      <c r="D913" s="1"/>
      <c r="E913" s="1"/>
      <c r="F913" s="1"/>
      <c r="G913" s="60" t="s">
        <v>503</v>
      </c>
      <c r="H913" s="1" t="s">
        <v>476</v>
      </c>
      <c r="I913" s="1" t="str">
        <f>IFERROR(CONCATENATE(VLOOKUP(C913,PARAM!D:E,2,0),VLOOKUP(D913,PARAM!J:K,2,0),VLOOKUP(E913,PARAM!G:H,2,0),VLOOKUP(G913,PARAM!P:Q,2,0)),"")</f>
        <v/>
      </c>
      <c r="J913" s="1" t="str">
        <f>IFERROR(CONCATENATE("*",VLOOKUP(C913,PARAM!D:E,2,0),VLOOKUP(D913,PARAM!J:K,2,0),VLOOKUP(E913,PARAM!G:H,2,0),VLOOKUP(G913,PARAM!P:Q,2,0),"*"),"")</f>
        <v/>
      </c>
      <c r="K913" s="1" t="str">
        <f t="shared" si="1"/>
        <v>  </v>
      </c>
      <c r="L913" s="1"/>
    </row>
    <row r="914">
      <c r="A914" s="56"/>
      <c r="B914" s="1"/>
      <c r="C914" s="1"/>
      <c r="D914" s="1"/>
      <c r="E914" s="1"/>
      <c r="F914" s="1"/>
      <c r="G914" s="60" t="s">
        <v>503</v>
      </c>
      <c r="H914" s="1" t="s">
        <v>476</v>
      </c>
      <c r="I914" s="1" t="str">
        <f>IFERROR(CONCATENATE(VLOOKUP(C914,PARAM!D:E,2,0),VLOOKUP(D914,PARAM!J:K,2,0),VLOOKUP(E914,PARAM!G:H,2,0),VLOOKUP(G914,PARAM!P:Q,2,0)),"")</f>
        <v/>
      </c>
      <c r="J914" s="1" t="str">
        <f>IFERROR(CONCATENATE("*",VLOOKUP(C914,PARAM!D:E,2,0),VLOOKUP(D914,PARAM!J:K,2,0),VLOOKUP(E914,PARAM!G:H,2,0),VLOOKUP(G914,PARAM!P:Q,2,0),"*"),"")</f>
        <v/>
      </c>
      <c r="K914" s="1" t="str">
        <f t="shared" si="1"/>
        <v>  </v>
      </c>
      <c r="L914" s="1"/>
    </row>
    <row r="915">
      <c r="A915" s="56"/>
      <c r="B915" s="1"/>
      <c r="C915" s="1"/>
      <c r="D915" s="1"/>
      <c r="E915" s="1"/>
      <c r="F915" s="1"/>
      <c r="G915" s="60" t="s">
        <v>503</v>
      </c>
      <c r="H915" s="1" t="s">
        <v>476</v>
      </c>
      <c r="I915" s="1" t="str">
        <f>IFERROR(CONCATENATE(VLOOKUP(C915,PARAM!D:E,2,0),VLOOKUP(D915,PARAM!J:K,2,0),VLOOKUP(E915,PARAM!G:H,2,0),VLOOKUP(G915,PARAM!P:Q,2,0)),"")</f>
        <v/>
      </c>
      <c r="J915" s="1" t="str">
        <f>IFERROR(CONCATENATE("*",VLOOKUP(C915,PARAM!D:E,2,0),VLOOKUP(D915,PARAM!J:K,2,0),VLOOKUP(E915,PARAM!G:H,2,0),VLOOKUP(G915,PARAM!P:Q,2,0),"*"),"")</f>
        <v/>
      </c>
      <c r="K915" s="1" t="str">
        <f t="shared" si="1"/>
        <v>  </v>
      </c>
      <c r="L915" s="1"/>
    </row>
    <row r="916">
      <c r="A916" s="56"/>
      <c r="B916" s="1"/>
      <c r="C916" s="1"/>
      <c r="D916" s="1"/>
      <c r="E916" s="1"/>
      <c r="F916" s="1"/>
      <c r="G916" s="60" t="s">
        <v>503</v>
      </c>
      <c r="H916" s="1" t="s">
        <v>476</v>
      </c>
      <c r="I916" s="1" t="str">
        <f>IFERROR(CONCATENATE(VLOOKUP(C916,PARAM!D:E,2,0),VLOOKUP(D916,PARAM!J:K,2,0),VLOOKUP(E916,PARAM!G:H,2,0),VLOOKUP(G916,PARAM!P:Q,2,0)),"")</f>
        <v/>
      </c>
      <c r="J916" s="1" t="str">
        <f>IFERROR(CONCATENATE("*",VLOOKUP(C916,PARAM!D:E,2,0),VLOOKUP(D916,PARAM!J:K,2,0),VLOOKUP(E916,PARAM!G:H,2,0),VLOOKUP(G916,PARAM!P:Q,2,0),"*"),"")</f>
        <v/>
      </c>
      <c r="K916" s="1" t="str">
        <f t="shared" si="1"/>
        <v>  </v>
      </c>
      <c r="L916" s="1"/>
    </row>
    <row r="917">
      <c r="A917" s="56"/>
      <c r="B917" s="1"/>
      <c r="C917" s="1"/>
      <c r="D917" s="1"/>
      <c r="E917" s="1"/>
      <c r="F917" s="1"/>
      <c r="G917" s="60" t="s">
        <v>503</v>
      </c>
      <c r="H917" s="1" t="s">
        <v>476</v>
      </c>
      <c r="I917" s="1" t="str">
        <f>IFERROR(CONCATENATE(VLOOKUP(C917,PARAM!D:E,2,0),VLOOKUP(D917,PARAM!J:K,2,0),VLOOKUP(E917,PARAM!G:H,2,0),VLOOKUP(G917,PARAM!P:Q,2,0)),"")</f>
        <v/>
      </c>
      <c r="J917" s="1" t="str">
        <f>IFERROR(CONCATENATE("*",VLOOKUP(C917,PARAM!D:E,2,0),VLOOKUP(D917,PARAM!J:K,2,0),VLOOKUP(E917,PARAM!G:H,2,0),VLOOKUP(G917,PARAM!P:Q,2,0),"*"),"")</f>
        <v/>
      </c>
      <c r="K917" s="1" t="str">
        <f t="shared" si="1"/>
        <v>  </v>
      </c>
      <c r="L917" s="1"/>
    </row>
    <row r="918">
      <c r="A918" s="56"/>
      <c r="B918" s="1"/>
      <c r="C918" s="1"/>
      <c r="D918" s="1"/>
      <c r="E918" s="1"/>
      <c r="F918" s="1"/>
      <c r="G918" s="60" t="s">
        <v>503</v>
      </c>
      <c r="H918" s="1" t="s">
        <v>476</v>
      </c>
      <c r="I918" s="1" t="str">
        <f>IFERROR(CONCATENATE(VLOOKUP(C918,PARAM!D:E,2,0),VLOOKUP(D918,PARAM!J:K,2,0),VLOOKUP(E918,PARAM!G:H,2,0),VLOOKUP(G918,PARAM!P:Q,2,0)),"")</f>
        <v/>
      </c>
      <c r="J918" s="1" t="str">
        <f>IFERROR(CONCATENATE("*",VLOOKUP(C918,PARAM!D:E,2,0),VLOOKUP(D918,PARAM!J:K,2,0),VLOOKUP(E918,PARAM!G:H,2,0),VLOOKUP(G918,PARAM!P:Q,2,0),"*"),"")</f>
        <v/>
      </c>
      <c r="K918" s="1" t="str">
        <f t="shared" si="1"/>
        <v>  </v>
      </c>
      <c r="L918" s="1"/>
    </row>
    <row r="919">
      <c r="A919" s="56"/>
      <c r="B919" s="1"/>
      <c r="C919" s="1"/>
      <c r="D919" s="1"/>
      <c r="E919" s="1"/>
      <c r="F919" s="1"/>
      <c r="G919" s="60" t="s">
        <v>503</v>
      </c>
      <c r="H919" s="1" t="s">
        <v>476</v>
      </c>
      <c r="I919" s="1" t="str">
        <f>IFERROR(CONCATENATE(VLOOKUP(C919,PARAM!D:E,2,0),VLOOKUP(D919,PARAM!J:K,2,0),VLOOKUP(E919,PARAM!G:H,2,0),VLOOKUP(G919,PARAM!P:Q,2,0)),"")</f>
        <v/>
      </c>
      <c r="J919" s="1" t="str">
        <f>IFERROR(CONCATENATE("*",VLOOKUP(C919,PARAM!D:E,2,0),VLOOKUP(D919,PARAM!J:K,2,0),VLOOKUP(E919,PARAM!G:H,2,0),VLOOKUP(G919,PARAM!P:Q,2,0),"*"),"")</f>
        <v/>
      </c>
      <c r="K919" s="1" t="str">
        <f t="shared" si="1"/>
        <v>  </v>
      </c>
      <c r="L919" s="1"/>
    </row>
    <row r="920">
      <c r="A920" s="56"/>
      <c r="B920" s="1"/>
      <c r="C920" s="1"/>
      <c r="D920" s="1"/>
      <c r="E920" s="1"/>
      <c r="F920" s="1"/>
      <c r="G920" s="60" t="s">
        <v>503</v>
      </c>
      <c r="H920" s="1" t="s">
        <v>476</v>
      </c>
      <c r="I920" s="1" t="str">
        <f>IFERROR(CONCATENATE(VLOOKUP(C920,PARAM!D:E,2,0),VLOOKUP(D920,PARAM!J:K,2,0),VLOOKUP(E920,PARAM!G:H,2,0),VLOOKUP(G920,PARAM!P:Q,2,0)),"")</f>
        <v/>
      </c>
      <c r="J920" s="1" t="str">
        <f>IFERROR(CONCATENATE("*",VLOOKUP(C920,PARAM!D:E,2,0),VLOOKUP(D920,PARAM!J:K,2,0),VLOOKUP(E920,PARAM!G:H,2,0),VLOOKUP(G920,PARAM!P:Q,2,0),"*"),"")</f>
        <v/>
      </c>
      <c r="K920" s="1" t="str">
        <f t="shared" si="1"/>
        <v>  </v>
      </c>
      <c r="L920" s="1"/>
    </row>
    <row r="921">
      <c r="A921" s="56"/>
      <c r="B921" s="1"/>
      <c r="C921" s="1"/>
      <c r="D921" s="1"/>
      <c r="E921" s="1"/>
      <c r="F921" s="1"/>
      <c r="G921" s="60" t="s">
        <v>503</v>
      </c>
      <c r="H921" s="1" t="s">
        <v>476</v>
      </c>
      <c r="I921" s="1" t="str">
        <f>IFERROR(CONCATENATE(VLOOKUP(C921,PARAM!D:E,2,0),VLOOKUP(D921,PARAM!J:K,2,0),VLOOKUP(E921,PARAM!G:H,2,0),VLOOKUP(G921,PARAM!P:Q,2,0)),"")</f>
        <v/>
      </c>
      <c r="J921" s="1" t="str">
        <f>IFERROR(CONCATENATE("*",VLOOKUP(C921,PARAM!D:E,2,0),VLOOKUP(D921,PARAM!J:K,2,0),VLOOKUP(E921,PARAM!G:H,2,0),VLOOKUP(G921,PARAM!P:Q,2,0),"*"),"")</f>
        <v/>
      </c>
      <c r="K921" s="1" t="str">
        <f t="shared" si="1"/>
        <v>  </v>
      </c>
      <c r="L921" s="1"/>
    </row>
    <row r="922">
      <c r="A922" s="56"/>
      <c r="B922" s="1"/>
      <c r="C922" s="1"/>
      <c r="D922" s="1"/>
      <c r="E922" s="1"/>
      <c r="F922" s="1"/>
      <c r="G922" s="60" t="s">
        <v>503</v>
      </c>
      <c r="H922" s="1" t="s">
        <v>476</v>
      </c>
      <c r="I922" s="1" t="str">
        <f>IFERROR(CONCATENATE(VLOOKUP(C922,PARAM!D:E,2,0),VLOOKUP(D922,PARAM!J:K,2,0),VLOOKUP(E922,PARAM!G:H,2,0),VLOOKUP(G922,PARAM!P:Q,2,0)),"")</f>
        <v/>
      </c>
      <c r="J922" s="1" t="str">
        <f>IFERROR(CONCATENATE("*",VLOOKUP(C922,PARAM!D:E,2,0),VLOOKUP(D922,PARAM!J:K,2,0),VLOOKUP(E922,PARAM!G:H,2,0),VLOOKUP(G922,PARAM!P:Q,2,0),"*"),"")</f>
        <v/>
      </c>
      <c r="K922" s="1" t="str">
        <f t="shared" si="1"/>
        <v>  </v>
      </c>
      <c r="L922" s="1"/>
    </row>
    <row r="923">
      <c r="A923" s="56"/>
      <c r="B923" s="1"/>
      <c r="C923" s="1"/>
      <c r="D923" s="1"/>
      <c r="E923" s="1"/>
      <c r="F923" s="1"/>
      <c r="G923" s="60" t="s">
        <v>503</v>
      </c>
      <c r="H923" s="1" t="s">
        <v>476</v>
      </c>
      <c r="I923" s="1" t="str">
        <f>IFERROR(CONCATENATE(VLOOKUP(C923,PARAM!D:E,2,0),VLOOKUP(D923,PARAM!J:K,2,0),VLOOKUP(E923,PARAM!G:H,2,0),VLOOKUP(G923,PARAM!P:Q,2,0)),"")</f>
        <v/>
      </c>
      <c r="J923" s="1" t="str">
        <f>IFERROR(CONCATENATE("*",VLOOKUP(C923,PARAM!D:E,2,0),VLOOKUP(D923,PARAM!J:K,2,0),VLOOKUP(E923,PARAM!G:H,2,0),VLOOKUP(G923,PARAM!P:Q,2,0),"*"),"")</f>
        <v/>
      </c>
      <c r="K923" s="1" t="str">
        <f t="shared" si="1"/>
        <v>  </v>
      </c>
      <c r="L923" s="1"/>
    </row>
    <row r="924">
      <c r="A924" s="56"/>
      <c r="B924" s="1"/>
      <c r="C924" s="1"/>
      <c r="D924" s="1"/>
      <c r="E924" s="1"/>
      <c r="F924" s="1"/>
      <c r="G924" s="60" t="s">
        <v>503</v>
      </c>
      <c r="H924" s="1" t="s">
        <v>476</v>
      </c>
      <c r="I924" s="1" t="str">
        <f>IFERROR(CONCATENATE(VLOOKUP(C924,PARAM!D:E,2,0),VLOOKUP(D924,PARAM!J:K,2,0),VLOOKUP(E924,PARAM!G:H,2,0),VLOOKUP(G924,PARAM!P:Q,2,0)),"")</f>
        <v/>
      </c>
      <c r="J924" s="1" t="str">
        <f>IFERROR(CONCATENATE("*",VLOOKUP(C924,PARAM!D:E,2,0),VLOOKUP(D924,PARAM!J:K,2,0),VLOOKUP(E924,PARAM!G:H,2,0),VLOOKUP(G924,PARAM!P:Q,2,0),"*"),"")</f>
        <v/>
      </c>
      <c r="K924" s="1" t="str">
        <f t="shared" si="1"/>
        <v>  </v>
      </c>
      <c r="L924" s="1"/>
    </row>
    <row r="925">
      <c r="A925" s="56"/>
      <c r="B925" s="1"/>
      <c r="C925" s="1"/>
      <c r="D925" s="1"/>
      <c r="E925" s="1"/>
      <c r="F925" s="1"/>
      <c r="G925" s="60" t="s">
        <v>503</v>
      </c>
      <c r="H925" s="1" t="s">
        <v>476</v>
      </c>
      <c r="I925" s="1" t="str">
        <f>IFERROR(CONCATENATE(VLOOKUP(C925,PARAM!D:E,2,0),VLOOKUP(D925,PARAM!J:K,2,0),VLOOKUP(E925,PARAM!G:H,2,0),VLOOKUP(G925,PARAM!P:Q,2,0)),"")</f>
        <v/>
      </c>
      <c r="J925" s="1" t="str">
        <f>IFERROR(CONCATENATE("*",VLOOKUP(C925,PARAM!D:E,2,0),VLOOKUP(D925,PARAM!J:K,2,0),VLOOKUP(E925,PARAM!G:H,2,0),VLOOKUP(G925,PARAM!P:Q,2,0),"*"),"")</f>
        <v/>
      </c>
      <c r="K925" s="1" t="str">
        <f t="shared" si="1"/>
        <v>  </v>
      </c>
      <c r="L925" s="1"/>
    </row>
    <row r="926">
      <c r="A926" s="56"/>
      <c r="B926" s="1"/>
      <c r="C926" s="1"/>
      <c r="D926" s="1"/>
      <c r="E926" s="1"/>
      <c r="F926" s="1"/>
      <c r="G926" s="60" t="s">
        <v>503</v>
      </c>
      <c r="H926" s="1" t="s">
        <v>476</v>
      </c>
      <c r="I926" s="1" t="str">
        <f>IFERROR(CONCATENATE(VLOOKUP(C926,PARAM!D:E,2,0),VLOOKUP(D926,PARAM!J:K,2,0),VLOOKUP(E926,PARAM!G:H,2,0),VLOOKUP(G926,PARAM!P:Q,2,0)),"")</f>
        <v/>
      </c>
      <c r="J926" s="1" t="str">
        <f>IFERROR(CONCATENATE("*",VLOOKUP(C926,PARAM!D:E,2,0),VLOOKUP(D926,PARAM!J:K,2,0),VLOOKUP(E926,PARAM!G:H,2,0),VLOOKUP(G926,PARAM!P:Q,2,0),"*"),"")</f>
        <v/>
      </c>
      <c r="K926" s="1" t="str">
        <f t="shared" si="1"/>
        <v>  </v>
      </c>
      <c r="L926" s="1"/>
    </row>
    <row r="927">
      <c r="A927" s="56"/>
      <c r="B927" s="1"/>
      <c r="C927" s="1"/>
      <c r="D927" s="1"/>
      <c r="E927" s="1"/>
      <c r="F927" s="1"/>
      <c r="G927" s="60" t="s">
        <v>503</v>
      </c>
      <c r="H927" s="1" t="s">
        <v>476</v>
      </c>
      <c r="I927" s="1" t="str">
        <f>IFERROR(CONCATENATE(VLOOKUP(C927,PARAM!D:E,2,0),VLOOKUP(D927,PARAM!J:K,2,0),VLOOKUP(E927,PARAM!G:H,2,0),VLOOKUP(G927,PARAM!P:Q,2,0)),"")</f>
        <v/>
      </c>
      <c r="J927" s="1" t="str">
        <f>IFERROR(CONCATENATE("*",VLOOKUP(C927,PARAM!D:E,2,0),VLOOKUP(D927,PARAM!J:K,2,0),VLOOKUP(E927,PARAM!G:H,2,0),VLOOKUP(G927,PARAM!P:Q,2,0),"*"),"")</f>
        <v/>
      </c>
      <c r="K927" s="1" t="str">
        <f t="shared" si="1"/>
        <v>  </v>
      </c>
      <c r="L927" s="1"/>
    </row>
    <row r="928">
      <c r="A928" s="56"/>
      <c r="B928" s="1"/>
      <c r="C928" s="1"/>
      <c r="D928" s="1"/>
      <c r="E928" s="1"/>
      <c r="F928" s="1"/>
      <c r="G928" s="60" t="s">
        <v>503</v>
      </c>
      <c r="H928" s="1" t="s">
        <v>476</v>
      </c>
      <c r="I928" s="1" t="str">
        <f>IFERROR(CONCATENATE(VLOOKUP(C928,PARAM!D:E,2,0),VLOOKUP(D928,PARAM!J:K,2,0),VLOOKUP(E928,PARAM!G:H,2,0),VLOOKUP(G928,PARAM!P:Q,2,0)),"")</f>
        <v/>
      </c>
      <c r="J928" s="1" t="str">
        <f>IFERROR(CONCATENATE("*",VLOOKUP(C928,PARAM!D:E,2,0),VLOOKUP(D928,PARAM!J:K,2,0),VLOOKUP(E928,PARAM!G:H,2,0),VLOOKUP(G928,PARAM!P:Q,2,0),"*"),"")</f>
        <v/>
      </c>
      <c r="K928" s="1" t="str">
        <f t="shared" si="1"/>
        <v>  </v>
      </c>
      <c r="L928" s="1"/>
    </row>
    <row r="929">
      <c r="A929" s="56"/>
      <c r="B929" s="1"/>
      <c r="C929" s="1"/>
      <c r="D929" s="1"/>
      <c r="E929" s="1"/>
      <c r="F929" s="1"/>
      <c r="G929" s="60" t="s">
        <v>503</v>
      </c>
      <c r="H929" s="1" t="s">
        <v>476</v>
      </c>
      <c r="I929" s="1" t="str">
        <f>IFERROR(CONCATENATE(VLOOKUP(C929,PARAM!D:E,2,0),VLOOKUP(D929,PARAM!J:K,2,0),VLOOKUP(E929,PARAM!G:H,2,0),VLOOKUP(G929,PARAM!P:Q,2,0)),"")</f>
        <v/>
      </c>
      <c r="J929" s="1" t="str">
        <f>IFERROR(CONCATENATE("*",VLOOKUP(C929,PARAM!D:E,2,0),VLOOKUP(D929,PARAM!J:K,2,0),VLOOKUP(E929,PARAM!G:H,2,0),VLOOKUP(G929,PARAM!P:Q,2,0),"*"),"")</f>
        <v/>
      </c>
      <c r="K929" s="1" t="str">
        <f t="shared" si="1"/>
        <v>  </v>
      </c>
      <c r="L929" s="1"/>
    </row>
    <row r="930">
      <c r="A930" s="56"/>
      <c r="B930" s="1"/>
      <c r="C930" s="1"/>
      <c r="D930" s="1"/>
      <c r="E930" s="1"/>
      <c r="F930" s="1"/>
      <c r="G930" s="60" t="s">
        <v>503</v>
      </c>
      <c r="H930" s="1" t="s">
        <v>476</v>
      </c>
      <c r="I930" s="1" t="str">
        <f>IFERROR(CONCATENATE(VLOOKUP(C930,PARAM!D:E,2,0),VLOOKUP(D930,PARAM!J:K,2,0),VLOOKUP(E930,PARAM!G:H,2,0),VLOOKUP(G930,PARAM!P:Q,2,0)),"")</f>
        <v/>
      </c>
      <c r="J930" s="1" t="str">
        <f>IFERROR(CONCATENATE("*",VLOOKUP(C930,PARAM!D:E,2,0),VLOOKUP(D930,PARAM!J:K,2,0),VLOOKUP(E930,PARAM!G:H,2,0),VLOOKUP(G930,PARAM!P:Q,2,0),"*"),"")</f>
        <v/>
      </c>
      <c r="K930" s="1" t="str">
        <f t="shared" si="1"/>
        <v>  </v>
      </c>
      <c r="L930" s="1"/>
    </row>
    <row r="931">
      <c r="A931" s="56"/>
      <c r="B931" s="1"/>
      <c r="C931" s="1"/>
      <c r="D931" s="1"/>
      <c r="E931" s="1"/>
      <c r="F931" s="1"/>
      <c r="G931" s="60" t="s">
        <v>503</v>
      </c>
      <c r="H931" s="1" t="s">
        <v>476</v>
      </c>
      <c r="I931" s="1" t="str">
        <f>IFERROR(CONCATENATE(VLOOKUP(C931,PARAM!D:E,2,0),VLOOKUP(D931,PARAM!J:K,2,0),VLOOKUP(E931,PARAM!G:H,2,0),VLOOKUP(G931,PARAM!P:Q,2,0)),"")</f>
        <v/>
      </c>
      <c r="J931" s="1" t="str">
        <f>IFERROR(CONCATENATE("*",VLOOKUP(C931,PARAM!D:E,2,0),VLOOKUP(D931,PARAM!J:K,2,0),VLOOKUP(E931,PARAM!G:H,2,0),VLOOKUP(G931,PARAM!P:Q,2,0),"*"),"")</f>
        <v/>
      </c>
      <c r="K931" s="1" t="str">
        <f t="shared" si="1"/>
        <v>  </v>
      </c>
      <c r="L931" s="1"/>
    </row>
    <row r="932">
      <c r="A932" s="56"/>
      <c r="B932" s="1"/>
      <c r="C932" s="1"/>
      <c r="D932" s="1"/>
      <c r="E932" s="1"/>
      <c r="F932" s="1"/>
      <c r="G932" s="60" t="s">
        <v>503</v>
      </c>
      <c r="H932" s="1" t="s">
        <v>476</v>
      </c>
      <c r="I932" s="1" t="str">
        <f>IFERROR(CONCATENATE(VLOOKUP(C932,PARAM!D:E,2,0),VLOOKUP(D932,PARAM!J:K,2,0),VLOOKUP(E932,PARAM!G:H,2,0),VLOOKUP(G932,PARAM!P:Q,2,0)),"")</f>
        <v/>
      </c>
      <c r="J932" s="1" t="str">
        <f>IFERROR(CONCATENATE("*",VLOOKUP(C932,PARAM!D:E,2,0),VLOOKUP(D932,PARAM!J:K,2,0),VLOOKUP(E932,PARAM!G:H,2,0),VLOOKUP(G932,PARAM!P:Q,2,0),"*"),"")</f>
        <v/>
      </c>
      <c r="K932" s="1" t="str">
        <f t="shared" si="1"/>
        <v>  </v>
      </c>
      <c r="L932" s="1"/>
    </row>
    <row r="933">
      <c r="A933" s="56"/>
      <c r="B933" s="1"/>
      <c r="C933" s="1"/>
      <c r="D933" s="1"/>
      <c r="E933" s="1"/>
      <c r="F933" s="1"/>
      <c r="G933" s="60" t="s">
        <v>503</v>
      </c>
      <c r="H933" s="1" t="s">
        <v>476</v>
      </c>
      <c r="I933" s="1" t="str">
        <f>IFERROR(CONCATENATE(VLOOKUP(C933,PARAM!D:E,2,0),VLOOKUP(D933,PARAM!J:K,2,0),VLOOKUP(E933,PARAM!G:H,2,0),VLOOKUP(G933,PARAM!P:Q,2,0)),"")</f>
        <v/>
      </c>
      <c r="J933" s="1" t="str">
        <f>IFERROR(CONCATENATE("*",VLOOKUP(C933,PARAM!D:E,2,0),VLOOKUP(D933,PARAM!J:K,2,0),VLOOKUP(E933,PARAM!G:H,2,0),VLOOKUP(G933,PARAM!P:Q,2,0),"*"),"")</f>
        <v/>
      </c>
      <c r="K933" s="1" t="str">
        <f t="shared" si="1"/>
        <v>  </v>
      </c>
      <c r="L933" s="1"/>
    </row>
    <row r="934">
      <c r="A934" s="56"/>
      <c r="B934" s="1"/>
      <c r="C934" s="1"/>
      <c r="D934" s="1"/>
      <c r="E934" s="1"/>
      <c r="F934" s="1"/>
      <c r="G934" s="60" t="s">
        <v>503</v>
      </c>
      <c r="H934" s="1" t="s">
        <v>476</v>
      </c>
      <c r="I934" s="1" t="str">
        <f>IFERROR(CONCATENATE(VLOOKUP(C934,PARAM!D:E,2,0),VLOOKUP(D934,PARAM!J:K,2,0),VLOOKUP(E934,PARAM!G:H,2,0),VLOOKUP(G934,PARAM!P:Q,2,0)),"")</f>
        <v/>
      </c>
      <c r="J934" s="1" t="str">
        <f>IFERROR(CONCATENATE("*",VLOOKUP(C934,PARAM!D:E,2,0),VLOOKUP(D934,PARAM!J:K,2,0),VLOOKUP(E934,PARAM!G:H,2,0),VLOOKUP(G934,PARAM!P:Q,2,0),"*"),"")</f>
        <v/>
      </c>
      <c r="K934" s="1" t="str">
        <f t="shared" si="1"/>
        <v>  </v>
      </c>
      <c r="L934" s="1"/>
    </row>
    <row r="935">
      <c r="A935" s="56"/>
      <c r="B935" s="1"/>
      <c r="C935" s="1"/>
      <c r="D935" s="1"/>
      <c r="E935" s="1"/>
      <c r="F935" s="1"/>
      <c r="G935" s="60" t="s">
        <v>503</v>
      </c>
      <c r="H935" s="1" t="s">
        <v>476</v>
      </c>
      <c r="I935" s="1" t="str">
        <f>IFERROR(CONCATENATE(VLOOKUP(C935,PARAM!D:E,2,0),VLOOKUP(D935,PARAM!J:K,2,0),VLOOKUP(E935,PARAM!G:H,2,0),VLOOKUP(G935,PARAM!P:Q,2,0)),"")</f>
        <v/>
      </c>
      <c r="J935" s="1" t="str">
        <f>IFERROR(CONCATENATE("*",VLOOKUP(C935,PARAM!D:E,2,0),VLOOKUP(D935,PARAM!J:K,2,0),VLOOKUP(E935,PARAM!G:H,2,0),VLOOKUP(G935,PARAM!P:Q,2,0),"*"),"")</f>
        <v/>
      </c>
      <c r="K935" s="1" t="str">
        <f t="shared" si="1"/>
        <v>  </v>
      </c>
      <c r="L935" s="1"/>
    </row>
    <row r="936">
      <c r="A936" s="56"/>
      <c r="B936" s="1"/>
      <c r="C936" s="1"/>
      <c r="D936" s="1"/>
      <c r="E936" s="1"/>
      <c r="F936" s="1"/>
      <c r="G936" s="60" t="s">
        <v>503</v>
      </c>
      <c r="H936" s="1" t="s">
        <v>476</v>
      </c>
      <c r="I936" s="1" t="str">
        <f>IFERROR(CONCATENATE(VLOOKUP(C936,PARAM!D:E,2,0),VLOOKUP(D936,PARAM!J:K,2,0),VLOOKUP(E936,PARAM!G:H,2,0),VLOOKUP(G936,PARAM!P:Q,2,0)),"")</f>
        <v/>
      </c>
      <c r="J936" s="1" t="str">
        <f>IFERROR(CONCATENATE("*",VLOOKUP(C936,PARAM!D:E,2,0),VLOOKUP(D936,PARAM!J:K,2,0),VLOOKUP(E936,PARAM!G:H,2,0),VLOOKUP(G936,PARAM!P:Q,2,0),"*"),"")</f>
        <v/>
      </c>
      <c r="K936" s="1" t="str">
        <f t="shared" si="1"/>
        <v>  </v>
      </c>
      <c r="L936" s="1"/>
    </row>
    <row r="937">
      <c r="A937" s="56"/>
      <c r="B937" s="1"/>
      <c r="C937" s="1"/>
      <c r="D937" s="1"/>
      <c r="E937" s="1"/>
      <c r="F937" s="1"/>
      <c r="G937" s="60" t="s">
        <v>503</v>
      </c>
      <c r="H937" s="1" t="s">
        <v>476</v>
      </c>
      <c r="I937" s="1" t="str">
        <f>IFERROR(CONCATENATE(VLOOKUP(C937,PARAM!D:E,2,0),VLOOKUP(D937,PARAM!J:K,2,0),VLOOKUP(E937,PARAM!G:H,2,0),VLOOKUP(G937,PARAM!P:Q,2,0)),"")</f>
        <v/>
      </c>
      <c r="J937" s="1" t="str">
        <f>IFERROR(CONCATENATE("*",VLOOKUP(C937,PARAM!D:E,2,0),VLOOKUP(D937,PARAM!J:K,2,0),VLOOKUP(E937,PARAM!G:H,2,0),VLOOKUP(G937,PARAM!P:Q,2,0),"*"),"")</f>
        <v/>
      </c>
      <c r="K937" s="1" t="str">
        <f t="shared" si="1"/>
        <v>  </v>
      </c>
      <c r="L937" s="1"/>
    </row>
    <row r="938">
      <c r="A938" s="56"/>
      <c r="B938" s="1"/>
      <c r="C938" s="1"/>
      <c r="D938" s="1"/>
      <c r="E938" s="1"/>
      <c r="F938" s="1"/>
      <c r="G938" s="60" t="s">
        <v>503</v>
      </c>
      <c r="H938" s="1" t="s">
        <v>476</v>
      </c>
      <c r="I938" s="1" t="str">
        <f>IFERROR(CONCATENATE(VLOOKUP(C938,PARAM!D:E,2,0),VLOOKUP(D938,PARAM!J:K,2,0),VLOOKUP(E938,PARAM!G:H,2,0),VLOOKUP(G938,PARAM!P:Q,2,0)),"")</f>
        <v/>
      </c>
      <c r="J938" s="1" t="str">
        <f>IFERROR(CONCATENATE("*",VLOOKUP(C938,PARAM!D:E,2,0),VLOOKUP(D938,PARAM!J:K,2,0),VLOOKUP(E938,PARAM!G:H,2,0),VLOOKUP(G938,PARAM!P:Q,2,0),"*"),"")</f>
        <v/>
      </c>
      <c r="K938" s="1" t="str">
        <f t="shared" si="1"/>
        <v>  </v>
      </c>
      <c r="L938" s="1"/>
    </row>
    <row r="939">
      <c r="A939" s="56"/>
      <c r="B939" s="1"/>
      <c r="C939" s="1"/>
      <c r="D939" s="1"/>
      <c r="E939" s="1"/>
      <c r="F939" s="1"/>
      <c r="G939" s="60" t="s">
        <v>503</v>
      </c>
      <c r="H939" s="1" t="s">
        <v>476</v>
      </c>
      <c r="I939" s="1" t="str">
        <f>IFERROR(CONCATENATE(VLOOKUP(C939,PARAM!D:E,2,0),VLOOKUP(D939,PARAM!J:K,2,0),VLOOKUP(E939,PARAM!G:H,2,0),VLOOKUP(G939,PARAM!P:Q,2,0)),"")</f>
        <v/>
      </c>
      <c r="J939" s="1" t="str">
        <f>IFERROR(CONCATENATE("*",VLOOKUP(C939,PARAM!D:E,2,0),VLOOKUP(D939,PARAM!J:K,2,0),VLOOKUP(E939,PARAM!G:H,2,0),VLOOKUP(G939,PARAM!P:Q,2,0),"*"),"")</f>
        <v/>
      </c>
      <c r="K939" s="1" t="str">
        <f t="shared" si="1"/>
        <v>  </v>
      </c>
      <c r="L939" s="1"/>
    </row>
    <row r="940">
      <c r="A940" s="56"/>
      <c r="B940" s="1"/>
      <c r="C940" s="1"/>
      <c r="D940" s="1"/>
      <c r="E940" s="1"/>
      <c r="F940" s="1"/>
      <c r="G940" s="60" t="s">
        <v>503</v>
      </c>
      <c r="H940" s="1" t="s">
        <v>476</v>
      </c>
      <c r="I940" s="1" t="str">
        <f>IFERROR(CONCATENATE(VLOOKUP(C940,PARAM!D:E,2,0),VLOOKUP(D940,PARAM!J:K,2,0),VLOOKUP(E940,PARAM!G:H,2,0),VLOOKUP(G940,PARAM!P:Q,2,0)),"")</f>
        <v/>
      </c>
      <c r="J940" s="1" t="str">
        <f>IFERROR(CONCATENATE("*",VLOOKUP(C940,PARAM!D:E,2,0),VLOOKUP(D940,PARAM!J:K,2,0),VLOOKUP(E940,PARAM!G:H,2,0),VLOOKUP(G940,PARAM!P:Q,2,0),"*"),"")</f>
        <v/>
      </c>
      <c r="K940" s="1" t="str">
        <f t="shared" si="1"/>
        <v>  </v>
      </c>
      <c r="L940" s="1"/>
    </row>
    <row r="941">
      <c r="A941" s="56"/>
      <c r="B941" s="1"/>
      <c r="C941" s="1"/>
      <c r="D941" s="1"/>
      <c r="E941" s="1"/>
      <c r="F941" s="1"/>
      <c r="G941" s="60" t="s">
        <v>503</v>
      </c>
      <c r="H941" s="1" t="s">
        <v>476</v>
      </c>
      <c r="I941" s="1" t="str">
        <f>IFERROR(CONCATENATE(VLOOKUP(C941,PARAM!D:E,2,0),VLOOKUP(D941,PARAM!J:K,2,0),VLOOKUP(E941,PARAM!G:H,2,0),VLOOKUP(G941,PARAM!P:Q,2,0)),"")</f>
        <v/>
      </c>
      <c r="J941" s="1" t="str">
        <f>IFERROR(CONCATENATE("*",VLOOKUP(C941,PARAM!D:E,2,0),VLOOKUP(D941,PARAM!J:K,2,0),VLOOKUP(E941,PARAM!G:H,2,0),VLOOKUP(G941,PARAM!P:Q,2,0),"*"),"")</f>
        <v/>
      </c>
      <c r="K941" s="1" t="str">
        <f t="shared" si="1"/>
        <v>  </v>
      </c>
      <c r="L941" s="1"/>
    </row>
    <row r="942">
      <c r="A942" s="56"/>
      <c r="B942" s="1"/>
      <c r="C942" s="1"/>
      <c r="D942" s="1"/>
      <c r="E942" s="1"/>
      <c r="F942" s="1"/>
      <c r="G942" s="60" t="s">
        <v>503</v>
      </c>
      <c r="H942" s="1" t="s">
        <v>476</v>
      </c>
      <c r="I942" s="1" t="str">
        <f>IFERROR(CONCATENATE(VLOOKUP(C942,PARAM!D:E,2,0),VLOOKUP(D942,PARAM!J:K,2,0),VLOOKUP(E942,PARAM!G:H,2,0),VLOOKUP(G942,PARAM!P:Q,2,0)),"")</f>
        <v/>
      </c>
      <c r="J942" s="1" t="str">
        <f>IFERROR(CONCATENATE("*",VLOOKUP(C942,PARAM!D:E,2,0),VLOOKUP(D942,PARAM!J:K,2,0),VLOOKUP(E942,PARAM!G:H,2,0),VLOOKUP(G942,PARAM!P:Q,2,0),"*"),"")</f>
        <v/>
      </c>
      <c r="K942" s="1" t="str">
        <f t="shared" si="1"/>
        <v>  </v>
      </c>
      <c r="L942" s="1"/>
    </row>
    <row r="943">
      <c r="A943" s="56"/>
      <c r="B943" s="1"/>
      <c r="C943" s="1"/>
      <c r="D943" s="1"/>
      <c r="E943" s="1"/>
      <c r="F943" s="1"/>
      <c r="G943" s="60" t="s">
        <v>503</v>
      </c>
      <c r="H943" s="1" t="s">
        <v>476</v>
      </c>
      <c r="I943" s="1" t="str">
        <f>IFERROR(CONCATENATE(VLOOKUP(C943,PARAM!D:E,2,0),VLOOKUP(D943,PARAM!J:K,2,0),VLOOKUP(E943,PARAM!G:H,2,0),VLOOKUP(G943,PARAM!P:Q,2,0)),"")</f>
        <v/>
      </c>
      <c r="J943" s="1" t="str">
        <f>IFERROR(CONCATENATE("*",VLOOKUP(C943,PARAM!D:E,2,0),VLOOKUP(D943,PARAM!J:K,2,0),VLOOKUP(E943,PARAM!G:H,2,0),VLOOKUP(G943,PARAM!P:Q,2,0),"*"),"")</f>
        <v/>
      </c>
      <c r="K943" s="1" t="str">
        <f t="shared" si="1"/>
        <v>  </v>
      </c>
      <c r="L943" s="1"/>
    </row>
    <row r="944">
      <c r="A944" s="56"/>
      <c r="B944" s="1"/>
      <c r="C944" s="1"/>
      <c r="D944" s="1"/>
      <c r="E944" s="1"/>
      <c r="F944" s="1"/>
      <c r="G944" s="60" t="s">
        <v>503</v>
      </c>
      <c r="H944" s="1" t="s">
        <v>476</v>
      </c>
      <c r="I944" s="1" t="str">
        <f>IFERROR(CONCATENATE(VLOOKUP(C944,PARAM!D:E,2,0),VLOOKUP(D944,PARAM!J:K,2,0),VLOOKUP(E944,PARAM!G:H,2,0),VLOOKUP(G944,PARAM!P:Q,2,0)),"")</f>
        <v/>
      </c>
      <c r="J944" s="1" t="str">
        <f>IFERROR(CONCATENATE("*",VLOOKUP(C944,PARAM!D:E,2,0),VLOOKUP(D944,PARAM!J:K,2,0),VLOOKUP(E944,PARAM!G:H,2,0),VLOOKUP(G944,PARAM!P:Q,2,0),"*"),"")</f>
        <v/>
      </c>
      <c r="K944" s="1" t="str">
        <f t="shared" si="1"/>
        <v>  </v>
      </c>
      <c r="L944" s="1"/>
    </row>
    <row r="945">
      <c r="A945" s="56"/>
      <c r="B945" s="1"/>
      <c r="C945" s="1"/>
      <c r="D945" s="1"/>
      <c r="E945" s="1"/>
      <c r="F945" s="1"/>
      <c r="G945" s="60" t="s">
        <v>503</v>
      </c>
      <c r="H945" s="1" t="s">
        <v>476</v>
      </c>
      <c r="I945" s="1" t="str">
        <f>IFERROR(CONCATENATE(VLOOKUP(C945,PARAM!D:E,2,0),VLOOKUP(D945,PARAM!J:K,2,0),VLOOKUP(E945,PARAM!G:H,2,0),VLOOKUP(G945,PARAM!P:Q,2,0)),"")</f>
        <v/>
      </c>
      <c r="J945" s="1" t="str">
        <f>IFERROR(CONCATENATE("*",VLOOKUP(C945,PARAM!D:E,2,0),VLOOKUP(D945,PARAM!J:K,2,0),VLOOKUP(E945,PARAM!G:H,2,0),VLOOKUP(G945,PARAM!P:Q,2,0),"*"),"")</f>
        <v/>
      </c>
      <c r="K945" s="1" t="str">
        <f t="shared" si="1"/>
        <v>  </v>
      </c>
      <c r="L945" s="1"/>
    </row>
    <row r="946">
      <c r="A946" s="56"/>
      <c r="B946" s="1"/>
      <c r="C946" s="1"/>
      <c r="D946" s="1"/>
      <c r="E946" s="1"/>
      <c r="F946" s="1"/>
      <c r="G946" s="60" t="s">
        <v>503</v>
      </c>
      <c r="H946" s="1" t="s">
        <v>476</v>
      </c>
      <c r="I946" s="1" t="str">
        <f>IFERROR(CONCATENATE(VLOOKUP(C946,PARAM!D:E,2,0),VLOOKUP(D946,PARAM!J:K,2,0),VLOOKUP(E946,PARAM!G:H,2,0),VLOOKUP(G946,PARAM!P:Q,2,0)),"")</f>
        <v/>
      </c>
      <c r="J946" s="1" t="str">
        <f>IFERROR(CONCATENATE("*",VLOOKUP(C946,PARAM!D:E,2,0),VLOOKUP(D946,PARAM!J:K,2,0),VLOOKUP(E946,PARAM!G:H,2,0),VLOOKUP(G946,PARAM!P:Q,2,0),"*"),"")</f>
        <v/>
      </c>
      <c r="K946" s="1" t="str">
        <f t="shared" si="1"/>
        <v>  </v>
      </c>
      <c r="L946" s="1"/>
    </row>
    <row r="947">
      <c r="A947" s="56"/>
      <c r="B947" s="1"/>
      <c r="C947" s="1"/>
      <c r="D947" s="1"/>
      <c r="E947" s="1"/>
      <c r="F947" s="1"/>
      <c r="G947" s="60" t="s">
        <v>503</v>
      </c>
      <c r="H947" s="1" t="s">
        <v>476</v>
      </c>
      <c r="I947" s="1" t="str">
        <f>IFERROR(CONCATENATE(VLOOKUP(C947,PARAM!D:E,2,0),VLOOKUP(D947,PARAM!J:K,2,0),VLOOKUP(E947,PARAM!G:H,2,0),VLOOKUP(G947,PARAM!P:Q,2,0)),"")</f>
        <v/>
      </c>
      <c r="J947" s="1" t="str">
        <f>IFERROR(CONCATENATE("*",VLOOKUP(C947,PARAM!D:E,2,0),VLOOKUP(D947,PARAM!J:K,2,0),VLOOKUP(E947,PARAM!G:H,2,0),VLOOKUP(G947,PARAM!P:Q,2,0),"*"),"")</f>
        <v/>
      </c>
      <c r="K947" s="1" t="str">
        <f t="shared" si="1"/>
        <v>  </v>
      </c>
      <c r="L947" s="1"/>
    </row>
    <row r="948">
      <c r="A948" s="56"/>
      <c r="B948" s="1"/>
      <c r="C948" s="1"/>
      <c r="D948" s="1"/>
      <c r="E948" s="1"/>
      <c r="F948" s="1"/>
      <c r="G948" s="60" t="s">
        <v>503</v>
      </c>
      <c r="H948" s="1" t="s">
        <v>476</v>
      </c>
      <c r="I948" s="1" t="str">
        <f>IFERROR(CONCATENATE(VLOOKUP(C948,PARAM!D:E,2,0),VLOOKUP(D948,PARAM!J:K,2,0),VLOOKUP(E948,PARAM!G:H,2,0),VLOOKUP(G948,PARAM!P:Q,2,0)),"")</f>
        <v/>
      </c>
      <c r="J948" s="1" t="str">
        <f>IFERROR(CONCATENATE("*",VLOOKUP(C948,PARAM!D:E,2,0),VLOOKUP(D948,PARAM!J:K,2,0),VLOOKUP(E948,PARAM!G:H,2,0),VLOOKUP(G948,PARAM!P:Q,2,0),"*"),"")</f>
        <v/>
      </c>
      <c r="K948" s="1" t="str">
        <f t="shared" si="1"/>
        <v>  </v>
      </c>
      <c r="L948" s="1"/>
    </row>
    <row r="949">
      <c r="A949" s="56"/>
      <c r="B949" s="1"/>
      <c r="C949" s="1"/>
      <c r="D949" s="1"/>
      <c r="E949" s="1"/>
      <c r="F949" s="1"/>
      <c r="G949" s="60" t="s">
        <v>503</v>
      </c>
      <c r="H949" s="1" t="s">
        <v>476</v>
      </c>
      <c r="I949" s="1" t="str">
        <f>IFERROR(CONCATENATE(VLOOKUP(C949,PARAM!D:E,2,0),VLOOKUP(D949,PARAM!J:K,2,0),VLOOKUP(E949,PARAM!G:H,2,0),VLOOKUP(G949,PARAM!P:Q,2,0)),"")</f>
        <v/>
      </c>
      <c r="J949" s="1" t="str">
        <f>IFERROR(CONCATENATE("*",VLOOKUP(C949,PARAM!D:E,2,0),VLOOKUP(D949,PARAM!J:K,2,0),VLOOKUP(E949,PARAM!G:H,2,0),VLOOKUP(G949,PARAM!P:Q,2,0),"*"),"")</f>
        <v/>
      </c>
      <c r="K949" s="1" t="str">
        <f t="shared" si="1"/>
        <v>  </v>
      </c>
      <c r="L949" s="1"/>
    </row>
    <row r="950">
      <c r="A950" s="56"/>
      <c r="B950" s="1"/>
      <c r="C950" s="1"/>
      <c r="D950" s="1"/>
      <c r="E950" s="1"/>
      <c r="F950" s="1"/>
      <c r="G950" s="60" t="s">
        <v>503</v>
      </c>
      <c r="H950" s="1" t="s">
        <v>476</v>
      </c>
      <c r="I950" s="1" t="str">
        <f>IFERROR(CONCATENATE(VLOOKUP(C950,PARAM!D:E,2,0),VLOOKUP(D950,PARAM!J:K,2,0),VLOOKUP(E950,PARAM!G:H,2,0),VLOOKUP(G950,PARAM!P:Q,2,0)),"")</f>
        <v/>
      </c>
      <c r="J950" s="1" t="str">
        <f>IFERROR(CONCATENATE("*",VLOOKUP(C950,PARAM!D:E,2,0),VLOOKUP(D950,PARAM!J:K,2,0),VLOOKUP(E950,PARAM!G:H,2,0),VLOOKUP(G950,PARAM!P:Q,2,0),"*"),"")</f>
        <v/>
      </c>
      <c r="K950" s="1" t="str">
        <f t="shared" si="1"/>
        <v>  </v>
      </c>
      <c r="L950" s="1"/>
    </row>
    <row r="951">
      <c r="A951" s="56"/>
      <c r="B951" s="1"/>
      <c r="C951" s="1"/>
      <c r="D951" s="1"/>
      <c r="E951" s="1"/>
      <c r="F951" s="1"/>
      <c r="G951" s="60" t="s">
        <v>503</v>
      </c>
      <c r="H951" s="1" t="s">
        <v>476</v>
      </c>
      <c r="I951" s="1" t="str">
        <f>IFERROR(CONCATENATE(VLOOKUP(C951,PARAM!D:E,2,0),VLOOKUP(D951,PARAM!J:K,2,0),VLOOKUP(E951,PARAM!G:H,2,0),VLOOKUP(G951,PARAM!P:Q,2,0)),"")</f>
        <v/>
      </c>
      <c r="J951" s="1" t="str">
        <f>IFERROR(CONCATENATE("*",VLOOKUP(C951,PARAM!D:E,2,0),VLOOKUP(D951,PARAM!J:K,2,0),VLOOKUP(E951,PARAM!G:H,2,0),VLOOKUP(G951,PARAM!P:Q,2,0),"*"),"")</f>
        <v/>
      </c>
      <c r="K951" s="1" t="str">
        <f t="shared" si="1"/>
        <v>  </v>
      </c>
      <c r="L951" s="1"/>
    </row>
    <row r="952">
      <c r="A952" s="56"/>
      <c r="B952" s="1"/>
      <c r="C952" s="1"/>
      <c r="D952" s="1"/>
      <c r="E952" s="1"/>
      <c r="F952" s="1"/>
      <c r="G952" s="60" t="s">
        <v>503</v>
      </c>
      <c r="H952" s="1" t="s">
        <v>476</v>
      </c>
      <c r="I952" s="1" t="str">
        <f>IFERROR(CONCATENATE(VLOOKUP(C952,PARAM!D:E,2,0),VLOOKUP(D952,PARAM!J:K,2,0),VLOOKUP(E952,PARAM!G:H,2,0),VLOOKUP(G952,PARAM!P:Q,2,0)),"")</f>
        <v/>
      </c>
      <c r="J952" s="1" t="str">
        <f>IFERROR(CONCATENATE("*",VLOOKUP(C952,PARAM!D:E,2,0),VLOOKUP(D952,PARAM!J:K,2,0),VLOOKUP(E952,PARAM!G:H,2,0),VLOOKUP(G952,PARAM!P:Q,2,0),"*"),"")</f>
        <v/>
      </c>
      <c r="K952" s="1" t="str">
        <f t="shared" si="1"/>
        <v>  </v>
      </c>
      <c r="L952" s="1"/>
    </row>
    <row r="953">
      <c r="A953" s="56"/>
      <c r="B953" s="1"/>
      <c r="C953" s="1"/>
      <c r="D953" s="1"/>
      <c r="E953" s="1"/>
      <c r="F953" s="1"/>
      <c r="G953" s="60" t="s">
        <v>503</v>
      </c>
      <c r="H953" s="1" t="s">
        <v>476</v>
      </c>
      <c r="I953" s="1" t="str">
        <f>IFERROR(CONCATENATE(VLOOKUP(C953,PARAM!D:E,2,0),VLOOKUP(D953,PARAM!J:K,2,0),VLOOKUP(E953,PARAM!G:H,2,0),VLOOKUP(G953,PARAM!P:Q,2,0)),"")</f>
        <v/>
      </c>
      <c r="J953" s="1" t="str">
        <f>IFERROR(CONCATENATE("*",VLOOKUP(C953,PARAM!D:E,2,0),VLOOKUP(D953,PARAM!J:K,2,0),VLOOKUP(E953,PARAM!G:H,2,0),VLOOKUP(G953,PARAM!P:Q,2,0),"*"),"")</f>
        <v/>
      </c>
      <c r="K953" s="1" t="str">
        <f t="shared" si="1"/>
        <v>  </v>
      </c>
      <c r="L953" s="1"/>
    </row>
    <row r="954">
      <c r="A954" s="56"/>
      <c r="B954" s="1"/>
      <c r="C954" s="1"/>
      <c r="D954" s="1"/>
      <c r="E954" s="1"/>
      <c r="F954" s="1"/>
      <c r="G954" s="60" t="s">
        <v>503</v>
      </c>
      <c r="H954" s="1" t="s">
        <v>476</v>
      </c>
      <c r="I954" s="1" t="str">
        <f>IFERROR(CONCATENATE(VLOOKUP(C954,PARAM!D:E,2,0),VLOOKUP(D954,PARAM!J:K,2,0),VLOOKUP(E954,PARAM!G:H,2,0),VLOOKUP(G954,PARAM!P:Q,2,0)),"")</f>
        <v/>
      </c>
      <c r="J954" s="1" t="str">
        <f>IFERROR(CONCATENATE("*",VLOOKUP(C954,PARAM!D:E,2,0),VLOOKUP(D954,PARAM!J:K,2,0),VLOOKUP(E954,PARAM!G:H,2,0),VLOOKUP(G954,PARAM!P:Q,2,0),"*"),"")</f>
        <v/>
      </c>
      <c r="K954" s="1" t="str">
        <f t="shared" si="1"/>
        <v>  </v>
      </c>
      <c r="L954" s="1"/>
    </row>
    <row r="955">
      <c r="A955" s="56"/>
      <c r="B955" s="1"/>
      <c r="C955" s="1"/>
      <c r="D955" s="1"/>
      <c r="E955" s="1"/>
      <c r="F955" s="1"/>
      <c r="G955" s="60" t="s">
        <v>503</v>
      </c>
      <c r="H955" s="1" t="s">
        <v>476</v>
      </c>
      <c r="I955" s="1" t="str">
        <f>IFERROR(CONCATENATE(VLOOKUP(C955,PARAM!D:E,2,0),VLOOKUP(D955,PARAM!J:K,2,0),VLOOKUP(E955,PARAM!G:H,2,0),VLOOKUP(G955,PARAM!P:Q,2,0)),"")</f>
        <v/>
      </c>
      <c r="J955" s="1" t="str">
        <f>IFERROR(CONCATENATE("*",VLOOKUP(C955,PARAM!D:E,2,0),VLOOKUP(D955,PARAM!J:K,2,0),VLOOKUP(E955,PARAM!G:H,2,0),VLOOKUP(G955,PARAM!P:Q,2,0),"*"),"")</f>
        <v/>
      </c>
      <c r="K955" s="1" t="str">
        <f t="shared" si="1"/>
        <v>  </v>
      </c>
      <c r="L955" s="1"/>
    </row>
    <row r="956">
      <c r="A956" s="56"/>
      <c r="B956" s="1"/>
      <c r="C956" s="1"/>
      <c r="D956" s="1"/>
      <c r="E956" s="1"/>
      <c r="F956" s="1"/>
      <c r="G956" s="60" t="s">
        <v>503</v>
      </c>
      <c r="H956" s="1" t="s">
        <v>476</v>
      </c>
      <c r="I956" s="1" t="str">
        <f>IFERROR(CONCATENATE(VLOOKUP(C956,PARAM!D:E,2,0),VLOOKUP(D956,PARAM!J:K,2,0),VLOOKUP(E956,PARAM!G:H,2,0),VLOOKUP(G956,PARAM!P:Q,2,0)),"")</f>
        <v/>
      </c>
      <c r="J956" s="1" t="str">
        <f>IFERROR(CONCATENATE("*",VLOOKUP(C956,PARAM!D:E,2,0),VLOOKUP(D956,PARAM!J:K,2,0),VLOOKUP(E956,PARAM!G:H,2,0),VLOOKUP(G956,PARAM!P:Q,2,0),"*"),"")</f>
        <v/>
      </c>
      <c r="K956" s="1" t="str">
        <f t="shared" si="1"/>
        <v>  </v>
      </c>
      <c r="L956" s="1"/>
    </row>
    <row r="957">
      <c r="A957" s="56"/>
      <c r="B957" s="1"/>
      <c r="C957" s="1"/>
      <c r="D957" s="1"/>
      <c r="E957" s="1"/>
      <c r="F957" s="1"/>
      <c r="G957" s="60" t="s">
        <v>503</v>
      </c>
      <c r="H957" s="1" t="s">
        <v>476</v>
      </c>
      <c r="I957" s="1" t="str">
        <f>IFERROR(CONCATENATE(VLOOKUP(C957,PARAM!D:E,2,0),VLOOKUP(D957,PARAM!J:K,2,0),VLOOKUP(E957,PARAM!G:H,2,0),VLOOKUP(G957,PARAM!P:Q,2,0)),"")</f>
        <v/>
      </c>
      <c r="J957" s="1" t="str">
        <f>IFERROR(CONCATENATE("*",VLOOKUP(C957,PARAM!D:E,2,0),VLOOKUP(D957,PARAM!J:K,2,0),VLOOKUP(E957,PARAM!G:H,2,0),VLOOKUP(G957,PARAM!P:Q,2,0),"*"),"")</f>
        <v/>
      </c>
      <c r="K957" s="1" t="str">
        <f t="shared" si="1"/>
        <v>  </v>
      </c>
      <c r="L957" s="1"/>
    </row>
    <row r="958">
      <c r="A958" s="56"/>
      <c r="B958" s="1"/>
      <c r="C958" s="1"/>
      <c r="D958" s="1"/>
      <c r="E958" s="1"/>
      <c r="F958" s="1"/>
      <c r="G958" s="60" t="s">
        <v>503</v>
      </c>
      <c r="H958" s="1" t="s">
        <v>476</v>
      </c>
      <c r="I958" s="1" t="str">
        <f>IFERROR(CONCATENATE(VLOOKUP(C958,PARAM!D:E,2,0),VLOOKUP(D958,PARAM!J:K,2,0),VLOOKUP(E958,PARAM!G:H,2,0),VLOOKUP(G958,PARAM!P:Q,2,0)),"")</f>
        <v/>
      </c>
      <c r="J958" s="1" t="str">
        <f>IFERROR(CONCATENATE("*",VLOOKUP(C958,PARAM!D:E,2,0),VLOOKUP(D958,PARAM!J:K,2,0),VLOOKUP(E958,PARAM!G:H,2,0),VLOOKUP(G958,PARAM!P:Q,2,0),"*"),"")</f>
        <v/>
      </c>
      <c r="K958" s="1" t="str">
        <f t="shared" si="1"/>
        <v>  </v>
      </c>
      <c r="L958" s="1"/>
    </row>
    <row r="959">
      <c r="A959" s="56"/>
      <c r="B959" s="1"/>
      <c r="C959" s="1"/>
      <c r="D959" s="1"/>
      <c r="E959" s="1"/>
      <c r="F959" s="1"/>
      <c r="G959" s="60" t="s">
        <v>503</v>
      </c>
      <c r="H959" s="1" t="s">
        <v>476</v>
      </c>
      <c r="I959" s="1" t="str">
        <f>IFERROR(CONCATENATE(VLOOKUP(C959,PARAM!D:E,2,0),VLOOKUP(D959,PARAM!J:K,2,0),VLOOKUP(E959,PARAM!G:H,2,0),VLOOKUP(G959,PARAM!P:Q,2,0)),"")</f>
        <v/>
      </c>
      <c r="J959" s="1" t="str">
        <f>IFERROR(CONCATENATE("*",VLOOKUP(C959,PARAM!D:E,2,0),VLOOKUP(D959,PARAM!J:K,2,0),VLOOKUP(E959,PARAM!G:H,2,0),VLOOKUP(G959,PARAM!P:Q,2,0),"*"),"")</f>
        <v/>
      </c>
      <c r="K959" s="1" t="str">
        <f t="shared" si="1"/>
        <v>  </v>
      </c>
      <c r="L959" s="1"/>
    </row>
    <row r="960">
      <c r="A960" s="56"/>
      <c r="B960" s="1"/>
      <c r="C960" s="1"/>
      <c r="D960" s="1"/>
      <c r="E960" s="1"/>
      <c r="F960" s="1"/>
      <c r="G960" s="60" t="s">
        <v>503</v>
      </c>
      <c r="H960" s="1" t="s">
        <v>476</v>
      </c>
      <c r="I960" s="1" t="str">
        <f>IFERROR(CONCATENATE(VLOOKUP(C960,PARAM!D:E,2,0),VLOOKUP(D960,PARAM!J:K,2,0),VLOOKUP(E960,PARAM!G:H,2,0),VLOOKUP(G960,PARAM!P:Q,2,0)),"")</f>
        <v/>
      </c>
      <c r="J960" s="1" t="str">
        <f>IFERROR(CONCATENATE("*",VLOOKUP(C960,PARAM!D:E,2,0),VLOOKUP(D960,PARAM!J:K,2,0),VLOOKUP(E960,PARAM!G:H,2,0),VLOOKUP(G960,PARAM!P:Q,2,0),"*"),"")</f>
        <v/>
      </c>
      <c r="K960" s="1" t="str">
        <f t="shared" si="1"/>
        <v>  </v>
      </c>
      <c r="L960" s="1"/>
    </row>
    <row r="961">
      <c r="A961" s="56"/>
      <c r="B961" s="1"/>
      <c r="C961" s="1"/>
      <c r="D961" s="1"/>
      <c r="E961" s="1"/>
      <c r="F961" s="1"/>
      <c r="G961" s="60" t="s">
        <v>503</v>
      </c>
      <c r="H961" s="1" t="s">
        <v>476</v>
      </c>
      <c r="I961" s="1" t="str">
        <f>IFERROR(CONCATENATE(VLOOKUP(C961,PARAM!D:E,2,0),VLOOKUP(D961,PARAM!J:K,2,0),VLOOKUP(E961,PARAM!G:H,2,0),VLOOKUP(G961,PARAM!P:Q,2,0)),"")</f>
        <v/>
      </c>
      <c r="J961" s="1" t="str">
        <f>IFERROR(CONCATENATE("*",VLOOKUP(C961,PARAM!D:E,2,0),VLOOKUP(D961,PARAM!J:K,2,0),VLOOKUP(E961,PARAM!G:H,2,0),VLOOKUP(G961,PARAM!P:Q,2,0),"*"),"")</f>
        <v/>
      </c>
      <c r="K961" s="1" t="str">
        <f t="shared" si="1"/>
        <v>  </v>
      </c>
      <c r="L961" s="1"/>
    </row>
    <row r="962">
      <c r="A962" s="56"/>
      <c r="B962" s="1"/>
      <c r="C962" s="1"/>
      <c r="D962" s="1"/>
      <c r="E962" s="1"/>
      <c r="F962" s="1"/>
      <c r="G962" s="60" t="s">
        <v>503</v>
      </c>
      <c r="H962" s="1" t="s">
        <v>476</v>
      </c>
      <c r="I962" s="1" t="str">
        <f>IFERROR(CONCATENATE(VLOOKUP(C962,PARAM!D:E,2,0),VLOOKUP(D962,PARAM!J:K,2,0),VLOOKUP(E962,PARAM!G:H,2,0),VLOOKUP(G962,PARAM!P:Q,2,0)),"")</f>
        <v/>
      </c>
      <c r="J962" s="1" t="str">
        <f>IFERROR(CONCATENATE("*",VLOOKUP(C962,PARAM!D:E,2,0),VLOOKUP(D962,PARAM!J:K,2,0),VLOOKUP(E962,PARAM!G:H,2,0),VLOOKUP(G962,PARAM!P:Q,2,0),"*"),"")</f>
        <v/>
      </c>
      <c r="K962" s="1" t="str">
        <f t="shared" si="1"/>
        <v>  </v>
      </c>
      <c r="L962" s="1"/>
    </row>
    <row r="963">
      <c r="A963" s="56"/>
      <c r="B963" s="1"/>
      <c r="C963" s="1"/>
      <c r="D963" s="1"/>
      <c r="E963" s="1"/>
      <c r="F963" s="1"/>
      <c r="G963" s="60" t="s">
        <v>503</v>
      </c>
      <c r="H963" s="1" t="s">
        <v>476</v>
      </c>
      <c r="I963" s="1" t="str">
        <f>IFERROR(CONCATENATE(VLOOKUP(C963,PARAM!D:E,2,0),VLOOKUP(D963,PARAM!J:K,2,0),VLOOKUP(E963,PARAM!G:H,2,0),VLOOKUP(G963,PARAM!P:Q,2,0)),"")</f>
        <v/>
      </c>
      <c r="J963" s="1" t="str">
        <f>IFERROR(CONCATENATE("*",VLOOKUP(C963,PARAM!D:E,2,0),VLOOKUP(D963,PARAM!J:K,2,0),VLOOKUP(E963,PARAM!G:H,2,0),VLOOKUP(G963,PARAM!P:Q,2,0),"*"),"")</f>
        <v/>
      </c>
      <c r="K963" s="1" t="str">
        <f t="shared" si="1"/>
        <v>  </v>
      </c>
      <c r="L963" s="1"/>
    </row>
    <row r="964">
      <c r="A964" s="56"/>
      <c r="B964" s="1"/>
      <c r="C964" s="1"/>
      <c r="D964" s="1"/>
      <c r="E964" s="1"/>
      <c r="F964" s="1"/>
      <c r="G964" s="60" t="s">
        <v>503</v>
      </c>
      <c r="H964" s="1" t="s">
        <v>476</v>
      </c>
      <c r="I964" s="1" t="str">
        <f>IFERROR(CONCATENATE(VLOOKUP(C964,PARAM!D:E,2,0),VLOOKUP(D964,PARAM!J:K,2,0),VLOOKUP(E964,PARAM!G:H,2,0),VLOOKUP(G964,PARAM!P:Q,2,0)),"")</f>
        <v/>
      </c>
      <c r="J964" s="1" t="str">
        <f>IFERROR(CONCATENATE("*",VLOOKUP(C964,PARAM!D:E,2,0),VLOOKUP(D964,PARAM!J:K,2,0),VLOOKUP(E964,PARAM!G:H,2,0),VLOOKUP(G964,PARAM!P:Q,2,0),"*"),"")</f>
        <v/>
      </c>
      <c r="K964" s="1" t="str">
        <f t="shared" si="1"/>
        <v>  </v>
      </c>
      <c r="L964" s="1"/>
    </row>
    <row r="965">
      <c r="A965" s="56"/>
      <c r="B965" s="1"/>
      <c r="C965" s="1"/>
      <c r="D965" s="1"/>
      <c r="E965" s="1"/>
      <c r="F965" s="1"/>
      <c r="G965" s="60" t="s">
        <v>503</v>
      </c>
      <c r="H965" s="1" t="s">
        <v>476</v>
      </c>
      <c r="I965" s="1" t="str">
        <f>IFERROR(CONCATENATE(VLOOKUP(C965,PARAM!D:E,2,0),VLOOKUP(D965,PARAM!J:K,2,0),VLOOKUP(E965,PARAM!G:H,2,0),VLOOKUP(G965,PARAM!P:Q,2,0)),"")</f>
        <v/>
      </c>
      <c r="J965" s="1" t="str">
        <f>IFERROR(CONCATENATE("*",VLOOKUP(C965,PARAM!D:E,2,0),VLOOKUP(D965,PARAM!J:K,2,0),VLOOKUP(E965,PARAM!G:H,2,0),VLOOKUP(G965,PARAM!P:Q,2,0),"*"),"")</f>
        <v/>
      </c>
      <c r="K965" s="1" t="str">
        <f t="shared" si="1"/>
        <v>  </v>
      </c>
      <c r="L965" s="1"/>
    </row>
    <row r="966">
      <c r="A966" s="56"/>
      <c r="B966" s="1"/>
      <c r="C966" s="1"/>
      <c r="D966" s="1"/>
      <c r="E966" s="1"/>
      <c r="F966" s="1"/>
      <c r="G966" s="60" t="s">
        <v>503</v>
      </c>
      <c r="H966" s="1" t="s">
        <v>476</v>
      </c>
      <c r="I966" s="1" t="str">
        <f>IFERROR(CONCATENATE(VLOOKUP(C966,PARAM!D:E,2,0),VLOOKUP(D966,PARAM!J:K,2,0),VLOOKUP(E966,PARAM!G:H,2,0),VLOOKUP(G966,PARAM!P:Q,2,0)),"")</f>
        <v/>
      </c>
      <c r="J966" s="1" t="str">
        <f>IFERROR(CONCATENATE("*",VLOOKUP(C966,PARAM!D:E,2,0),VLOOKUP(D966,PARAM!J:K,2,0),VLOOKUP(E966,PARAM!G:H,2,0),VLOOKUP(G966,PARAM!P:Q,2,0),"*"),"")</f>
        <v/>
      </c>
      <c r="K966" s="1" t="str">
        <f t="shared" si="1"/>
        <v>  </v>
      </c>
      <c r="L966" s="1"/>
    </row>
    <row r="967">
      <c r="A967" s="56"/>
      <c r="B967" s="1"/>
      <c r="C967" s="1"/>
      <c r="D967" s="1"/>
      <c r="E967" s="1"/>
      <c r="F967" s="1"/>
      <c r="G967" s="60" t="s">
        <v>503</v>
      </c>
      <c r="H967" s="1" t="s">
        <v>476</v>
      </c>
      <c r="I967" s="1" t="str">
        <f>IFERROR(CONCATENATE(VLOOKUP(C967,PARAM!D:E,2,0),VLOOKUP(D967,PARAM!J:K,2,0),VLOOKUP(E967,PARAM!G:H,2,0),VLOOKUP(G967,PARAM!P:Q,2,0)),"")</f>
        <v/>
      </c>
      <c r="J967" s="1" t="str">
        <f>IFERROR(CONCATENATE("*",VLOOKUP(C967,PARAM!D:E,2,0),VLOOKUP(D967,PARAM!J:K,2,0),VLOOKUP(E967,PARAM!G:H,2,0),VLOOKUP(G967,PARAM!P:Q,2,0),"*"),"")</f>
        <v/>
      </c>
      <c r="K967" s="1" t="str">
        <f t="shared" si="1"/>
        <v>  </v>
      </c>
      <c r="L967" s="1"/>
    </row>
    <row r="968">
      <c r="A968" s="56"/>
      <c r="B968" s="1"/>
      <c r="C968" s="1"/>
      <c r="D968" s="1"/>
      <c r="E968" s="1"/>
      <c r="F968" s="1"/>
      <c r="G968" s="60" t="s">
        <v>503</v>
      </c>
      <c r="H968" s="1" t="s">
        <v>476</v>
      </c>
      <c r="I968" s="1" t="str">
        <f>IFERROR(CONCATENATE(VLOOKUP(C968,PARAM!D:E,2,0),VLOOKUP(D968,PARAM!J:K,2,0),VLOOKUP(E968,PARAM!G:H,2,0),VLOOKUP(G968,PARAM!P:Q,2,0)),"")</f>
        <v/>
      </c>
      <c r="J968" s="1" t="str">
        <f>IFERROR(CONCATENATE("*",VLOOKUP(C968,PARAM!D:E,2,0),VLOOKUP(D968,PARAM!J:K,2,0),VLOOKUP(E968,PARAM!G:H,2,0),VLOOKUP(G968,PARAM!P:Q,2,0),"*"),"")</f>
        <v/>
      </c>
      <c r="K968" s="1" t="str">
        <f t="shared" si="1"/>
        <v>  </v>
      </c>
      <c r="L968" s="1"/>
    </row>
    <row r="969">
      <c r="A969" s="56"/>
      <c r="B969" s="1"/>
      <c r="C969" s="1"/>
      <c r="D969" s="1"/>
      <c r="E969" s="1"/>
      <c r="F969" s="1"/>
      <c r="G969" s="60" t="s">
        <v>503</v>
      </c>
      <c r="H969" s="1" t="s">
        <v>476</v>
      </c>
      <c r="I969" s="1" t="str">
        <f>IFERROR(CONCATENATE(VLOOKUP(C969,PARAM!D:E,2,0),VLOOKUP(D969,PARAM!J:K,2,0),VLOOKUP(E969,PARAM!G:H,2,0),VLOOKUP(G969,PARAM!P:Q,2,0)),"")</f>
        <v/>
      </c>
      <c r="J969" s="1" t="str">
        <f>IFERROR(CONCATENATE("*",VLOOKUP(C969,PARAM!D:E,2,0),VLOOKUP(D969,PARAM!J:K,2,0),VLOOKUP(E969,PARAM!G:H,2,0),VLOOKUP(G969,PARAM!P:Q,2,0),"*"),"")</f>
        <v/>
      </c>
      <c r="K969" s="1" t="str">
        <f t="shared" si="1"/>
        <v>  </v>
      </c>
      <c r="L969" s="1"/>
    </row>
    <row r="970">
      <c r="A970" s="56"/>
      <c r="B970" s="1"/>
      <c r="C970" s="1"/>
      <c r="D970" s="1"/>
      <c r="E970" s="1"/>
      <c r="F970" s="1"/>
      <c r="G970" s="60" t="s">
        <v>503</v>
      </c>
      <c r="H970" s="1" t="s">
        <v>476</v>
      </c>
      <c r="I970" s="1" t="str">
        <f>IFERROR(CONCATENATE(VLOOKUP(C970,PARAM!D:E,2,0),VLOOKUP(D970,PARAM!J:K,2,0),VLOOKUP(E970,PARAM!G:H,2,0),VLOOKUP(G970,PARAM!P:Q,2,0)),"")</f>
        <v/>
      </c>
      <c r="J970" s="1" t="str">
        <f>IFERROR(CONCATENATE("*",VLOOKUP(C970,PARAM!D:E,2,0),VLOOKUP(D970,PARAM!J:K,2,0),VLOOKUP(E970,PARAM!G:H,2,0),VLOOKUP(G970,PARAM!P:Q,2,0),"*"),"")</f>
        <v/>
      </c>
      <c r="K970" s="1" t="str">
        <f t="shared" si="1"/>
        <v>  </v>
      </c>
      <c r="L970" s="1"/>
    </row>
    <row r="971">
      <c r="A971" s="56"/>
      <c r="B971" s="1"/>
      <c r="C971" s="1"/>
      <c r="D971" s="1"/>
      <c r="E971" s="1"/>
      <c r="F971" s="1"/>
      <c r="G971" s="60" t="s">
        <v>503</v>
      </c>
      <c r="H971" s="1" t="s">
        <v>476</v>
      </c>
      <c r="I971" s="1" t="str">
        <f>IFERROR(CONCATENATE(VLOOKUP(C971,PARAM!D:E,2,0),VLOOKUP(D971,PARAM!J:K,2,0),VLOOKUP(E971,PARAM!G:H,2,0),VLOOKUP(G971,PARAM!P:Q,2,0)),"")</f>
        <v/>
      </c>
      <c r="J971" s="1" t="str">
        <f>IFERROR(CONCATENATE("*",VLOOKUP(C971,PARAM!D:E,2,0),VLOOKUP(D971,PARAM!J:K,2,0),VLOOKUP(E971,PARAM!G:H,2,0),VLOOKUP(G971,PARAM!P:Q,2,0),"*"),"")</f>
        <v/>
      </c>
      <c r="K971" s="1" t="str">
        <f t="shared" si="1"/>
        <v>  </v>
      </c>
      <c r="L971" s="1"/>
    </row>
    <row r="972">
      <c r="A972" s="56"/>
      <c r="B972" s="1"/>
      <c r="C972" s="1"/>
      <c r="D972" s="1"/>
      <c r="E972" s="1"/>
      <c r="F972" s="1"/>
      <c r="G972" s="60" t="s">
        <v>503</v>
      </c>
      <c r="H972" s="1" t="s">
        <v>476</v>
      </c>
      <c r="I972" s="1" t="str">
        <f>IFERROR(CONCATENATE(VLOOKUP(C972,PARAM!D:E,2,0),VLOOKUP(D972,PARAM!J:K,2,0),VLOOKUP(E972,PARAM!G:H,2,0),VLOOKUP(G972,PARAM!P:Q,2,0)),"")</f>
        <v/>
      </c>
      <c r="J972" s="1" t="str">
        <f>IFERROR(CONCATENATE("*",VLOOKUP(C972,PARAM!D:E,2,0),VLOOKUP(D972,PARAM!J:K,2,0),VLOOKUP(E972,PARAM!G:H,2,0),VLOOKUP(G972,PARAM!P:Q,2,0),"*"),"")</f>
        <v/>
      </c>
      <c r="K972" s="1" t="str">
        <f t="shared" si="1"/>
        <v>  </v>
      </c>
      <c r="L972" s="1"/>
    </row>
    <row r="973">
      <c r="A973" s="56"/>
      <c r="B973" s="1"/>
      <c r="C973" s="1"/>
      <c r="D973" s="1"/>
      <c r="E973" s="1"/>
      <c r="F973" s="1"/>
      <c r="G973" s="60" t="s">
        <v>503</v>
      </c>
      <c r="H973" s="1" t="s">
        <v>476</v>
      </c>
      <c r="I973" s="1" t="str">
        <f>IFERROR(CONCATENATE(VLOOKUP(C973,PARAM!D:E,2,0),VLOOKUP(D973,PARAM!J:K,2,0),VLOOKUP(E973,PARAM!G:H,2,0),VLOOKUP(G973,PARAM!P:Q,2,0)),"")</f>
        <v/>
      </c>
      <c r="J973" s="1" t="str">
        <f>IFERROR(CONCATENATE("*",VLOOKUP(C973,PARAM!D:E,2,0),VLOOKUP(D973,PARAM!J:K,2,0),VLOOKUP(E973,PARAM!G:H,2,0),VLOOKUP(G973,PARAM!P:Q,2,0),"*"),"")</f>
        <v/>
      </c>
      <c r="K973" s="1" t="str">
        <f t="shared" si="1"/>
        <v>  </v>
      </c>
      <c r="L973" s="1"/>
    </row>
    <row r="974">
      <c r="A974" s="56"/>
      <c r="B974" s="1"/>
      <c r="C974" s="1"/>
      <c r="D974" s="1"/>
      <c r="E974" s="1"/>
      <c r="F974" s="1"/>
      <c r="G974" s="60" t="s">
        <v>503</v>
      </c>
      <c r="H974" s="1" t="s">
        <v>476</v>
      </c>
      <c r="I974" s="1" t="str">
        <f>IFERROR(CONCATENATE(VLOOKUP(C974,PARAM!D:E,2,0),VLOOKUP(D974,PARAM!J:K,2,0),VLOOKUP(E974,PARAM!G:H,2,0),VLOOKUP(G974,PARAM!P:Q,2,0)),"")</f>
        <v/>
      </c>
      <c r="J974" s="1" t="str">
        <f>IFERROR(CONCATENATE("*",VLOOKUP(C974,PARAM!D:E,2,0),VLOOKUP(D974,PARAM!J:K,2,0),VLOOKUP(E974,PARAM!G:H,2,0),VLOOKUP(G974,PARAM!P:Q,2,0),"*"),"")</f>
        <v/>
      </c>
      <c r="K974" s="1" t="str">
        <f t="shared" si="1"/>
        <v>  </v>
      </c>
      <c r="L974" s="1"/>
    </row>
    <row r="975">
      <c r="A975" s="56"/>
      <c r="B975" s="1"/>
      <c r="C975" s="1"/>
      <c r="D975" s="1"/>
      <c r="E975" s="1"/>
      <c r="F975" s="1"/>
      <c r="G975" s="60" t="s">
        <v>503</v>
      </c>
      <c r="H975" s="1" t="s">
        <v>476</v>
      </c>
      <c r="I975" s="1" t="str">
        <f>IFERROR(CONCATENATE(VLOOKUP(C975,PARAM!D:E,2,0),VLOOKUP(D975,PARAM!J:K,2,0),VLOOKUP(E975,PARAM!G:H,2,0),VLOOKUP(G975,PARAM!P:Q,2,0)),"")</f>
        <v/>
      </c>
      <c r="J975" s="1" t="str">
        <f>IFERROR(CONCATENATE("*",VLOOKUP(C975,PARAM!D:E,2,0),VLOOKUP(D975,PARAM!J:K,2,0),VLOOKUP(E975,PARAM!G:H,2,0),VLOOKUP(G975,PARAM!P:Q,2,0),"*"),"")</f>
        <v/>
      </c>
      <c r="K975" s="1" t="str">
        <f t="shared" si="1"/>
        <v>  </v>
      </c>
      <c r="L975" s="1"/>
    </row>
    <row r="976">
      <c r="A976" s="56"/>
      <c r="B976" s="1"/>
      <c r="C976" s="1"/>
      <c r="D976" s="1"/>
      <c r="E976" s="1"/>
      <c r="F976" s="1"/>
      <c r="G976" s="60" t="s">
        <v>503</v>
      </c>
      <c r="H976" s="1" t="s">
        <v>476</v>
      </c>
      <c r="I976" s="1" t="str">
        <f>IFERROR(CONCATENATE(VLOOKUP(C976,PARAM!D:E,2,0),VLOOKUP(D976,PARAM!J:K,2,0),VLOOKUP(E976,PARAM!G:H,2,0),VLOOKUP(G976,PARAM!P:Q,2,0)),"")</f>
        <v/>
      </c>
      <c r="J976" s="1" t="str">
        <f>IFERROR(CONCATENATE("*",VLOOKUP(C976,PARAM!D:E,2,0),VLOOKUP(D976,PARAM!J:K,2,0),VLOOKUP(E976,PARAM!G:H,2,0),VLOOKUP(G976,PARAM!P:Q,2,0),"*"),"")</f>
        <v/>
      </c>
      <c r="K976" s="1" t="str">
        <f t="shared" si="1"/>
        <v>  </v>
      </c>
      <c r="L976" s="1"/>
    </row>
    <row r="977">
      <c r="A977" s="56"/>
      <c r="B977" s="1"/>
      <c r="C977" s="1"/>
      <c r="D977" s="1"/>
      <c r="E977" s="1"/>
      <c r="F977" s="1"/>
      <c r="G977" s="60" t="s">
        <v>503</v>
      </c>
      <c r="H977" s="1" t="s">
        <v>476</v>
      </c>
      <c r="I977" s="1" t="str">
        <f>IFERROR(CONCATENATE(VLOOKUP(C977,PARAM!D:E,2,0),VLOOKUP(D977,PARAM!J:K,2,0),VLOOKUP(E977,PARAM!G:H,2,0),VLOOKUP(G977,PARAM!P:Q,2,0)),"")</f>
        <v/>
      </c>
      <c r="J977" s="1" t="str">
        <f>IFERROR(CONCATENATE("*",VLOOKUP(C977,PARAM!D:E,2,0),VLOOKUP(D977,PARAM!J:K,2,0),VLOOKUP(E977,PARAM!G:H,2,0),VLOOKUP(G977,PARAM!P:Q,2,0),"*"),"")</f>
        <v/>
      </c>
      <c r="K977" s="1" t="str">
        <f t="shared" si="1"/>
        <v>  </v>
      </c>
      <c r="L977" s="1"/>
    </row>
    <row r="978">
      <c r="A978" s="56"/>
      <c r="B978" s="1"/>
      <c r="C978" s="1"/>
      <c r="D978" s="1"/>
      <c r="E978" s="1"/>
      <c r="F978" s="1"/>
      <c r="G978" s="60" t="s">
        <v>503</v>
      </c>
      <c r="H978" s="1" t="s">
        <v>476</v>
      </c>
      <c r="I978" s="1" t="str">
        <f>IFERROR(CONCATENATE(VLOOKUP(C978,PARAM!D:E,2,0),VLOOKUP(D978,PARAM!J:K,2,0),VLOOKUP(E978,PARAM!G:H,2,0),VLOOKUP(G978,PARAM!P:Q,2,0)),"")</f>
        <v/>
      </c>
      <c r="J978" s="1" t="str">
        <f>IFERROR(CONCATENATE("*",VLOOKUP(C978,PARAM!D:E,2,0),VLOOKUP(D978,PARAM!J:K,2,0),VLOOKUP(E978,PARAM!G:H,2,0),VLOOKUP(G978,PARAM!P:Q,2,0),"*"),"")</f>
        <v/>
      </c>
      <c r="K978" s="1" t="str">
        <f t="shared" si="1"/>
        <v>  </v>
      </c>
      <c r="L978" s="1"/>
    </row>
    <row r="979">
      <c r="A979" s="56"/>
      <c r="B979" s="1"/>
      <c r="C979" s="1"/>
      <c r="D979" s="1"/>
      <c r="E979" s="1"/>
      <c r="F979" s="1"/>
      <c r="G979" s="60" t="s">
        <v>503</v>
      </c>
      <c r="H979" s="1" t="s">
        <v>476</v>
      </c>
      <c r="I979" s="1" t="str">
        <f>IFERROR(CONCATENATE(VLOOKUP(C979,PARAM!D:E,2,0),VLOOKUP(D979,PARAM!J:K,2,0),VLOOKUP(E979,PARAM!G:H,2,0),VLOOKUP(G979,PARAM!P:Q,2,0)),"")</f>
        <v/>
      </c>
      <c r="J979" s="1" t="str">
        <f>IFERROR(CONCATENATE("*",VLOOKUP(C979,PARAM!D:E,2,0),VLOOKUP(D979,PARAM!J:K,2,0),VLOOKUP(E979,PARAM!G:H,2,0),VLOOKUP(G979,PARAM!P:Q,2,0),"*"),"")</f>
        <v/>
      </c>
      <c r="K979" s="1" t="str">
        <f t="shared" si="1"/>
        <v>  </v>
      </c>
      <c r="L979" s="1"/>
    </row>
    <row r="980">
      <c r="A980" s="56"/>
      <c r="B980" s="1"/>
      <c r="C980" s="1"/>
      <c r="D980" s="1"/>
      <c r="E980" s="1"/>
      <c r="F980" s="1"/>
      <c r="G980" s="60" t="s">
        <v>503</v>
      </c>
      <c r="H980" s="1" t="s">
        <v>476</v>
      </c>
      <c r="I980" s="1" t="str">
        <f>IFERROR(CONCATENATE(VLOOKUP(C980,PARAM!D:E,2,0),VLOOKUP(D980,PARAM!J:K,2,0),VLOOKUP(E980,PARAM!G:H,2,0),VLOOKUP(G980,PARAM!P:Q,2,0)),"")</f>
        <v/>
      </c>
      <c r="J980" s="1" t="str">
        <f>IFERROR(CONCATENATE("*",VLOOKUP(C980,PARAM!D:E,2,0),VLOOKUP(D980,PARAM!J:K,2,0),VLOOKUP(E980,PARAM!G:H,2,0),VLOOKUP(G980,PARAM!P:Q,2,0),"*"),"")</f>
        <v/>
      </c>
      <c r="K980" s="1" t="str">
        <f t="shared" si="1"/>
        <v>  </v>
      </c>
      <c r="L980" s="1"/>
    </row>
    <row r="981">
      <c r="A981" s="56"/>
      <c r="B981" s="1"/>
      <c r="C981" s="1"/>
      <c r="D981" s="1"/>
      <c r="E981" s="1"/>
      <c r="F981" s="1"/>
      <c r="G981" s="60" t="s">
        <v>503</v>
      </c>
      <c r="H981" s="1" t="s">
        <v>476</v>
      </c>
      <c r="I981" s="1" t="str">
        <f>IFERROR(CONCATENATE(VLOOKUP(C981,PARAM!D:E,2,0),VLOOKUP(D981,PARAM!J:K,2,0),VLOOKUP(E981,PARAM!G:H,2,0),VLOOKUP(G981,PARAM!P:Q,2,0)),"")</f>
        <v/>
      </c>
      <c r="J981" s="1" t="str">
        <f>IFERROR(CONCATENATE("*",VLOOKUP(C981,PARAM!D:E,2,0),VLOOKUP(D981,PARAM!J:K,2,0),VLOOKUP(E981,PARAM!G:H,2,0),VLOOKUP(G981,PARAM!P:Q,2,0),"*"),"")</f>
        <v/>
      </c>
      <c r="K981" s="1" t="str">
        <f t="shared" si="1"/>
        <v>  </v>
      </c>
      <c r="L981" s="1"/>
    </row>
    <row r="982">
      <c r="A982" s="56"/>
      <c r="B982" s="1"/>
      <c r="C982" s="1"/>
      <c r="D982" s="1"/>
      <c r="E982" s="1"/>
      <c r="F982" s="1"/>
      <c r="G982" s="60" t="s">
        <v>503</v>
      </c>
      <c r="H982" s="1" t="s">
        <v>476</v>
      </c>
      <c r="I982" s="1" t="str">
        <f>IFERROR(CONCATENATE(VLOOKUP(C982,PARAM!D:E,2,0),VLOOKUP(D982,PARAM!J:K,2,0),VLOOKUP(E982,PARAM!G:H,2,0),VLOOKUP(G982,PARAM!P:Q,2,0)),"")</f>
        <v/>
      </c>
      <c r="J982" s="1" t="str">
        <f>IFERROR(CONCATENATE("*",VLOOKUP(C982,PARAM!D:E,2,0),VLOOKUP(D982,PARAM!J:K,2,0),VLOOKUP(E982,PARAM!G:H,2,0),VLOOKUP(G982,PARAM!P:Q,2,0),"*"),"")</f>
        <v/>
      </c>
      <c r="K982" s="1" t="str">
        <f t="shared" si="1"/>
        <v>  </v>
      </c>
      <c r="L982" s="1"/>
    </row>
    <row r="983">
      <c r="A983" s="56"/>
      <c r="B983" s="1"/>
      <c r="C983" s="1"/>
      <c r="D983" s="1"/>
      <c r="E983" s="1"/>
      <c r="F983" s="1"/>
      <c r="G983" s="60" t="s">
        <v>503</v>
      </c>
      <c r="H983" s="1" t="s">
        <v>476</v>
      </c>
      <c r="I983" s="1" t="str">
        <f>IFERROR(CONCATENATE(VLOOKUP(C983,PARAM!D:E,2,0),VLOOKUP(D983,PARAM!J:K,2,0),VLOOKUP(E983,PARAM!G:H,2,0),VLOOKUP(G983,PARAM!P:Q,2,0)),"")</f>
        <v/>
      </c>
      <c r="J983" s="1" t="str">
        <f>IFERROR(CONCATENATE("*",VLOOKUP(C983,PARAM!D:E,2,0),VLOOKUP(D983,PARAM!J:K,2,0),VLOOKUP(E983,PARAM!G:H,2,0),VLOOKUP(G983,PARAM!P:Q,2,0),"*"),"")</f>
        <v/>
      </c>
      <c r="K983" s="1" t="str">
        <f t="shared" si="1"/>
        <v>  </v>
      </c>
      <c r="L983" s="1"/>
    </row>
    <row r="984">
      <c r="A984" s="56"/>
      <c r="B984" s="1"/>
      <c r="C984" s="1"/>
      <c r="D984" s="1"/>
      <c r="E984" s="1"/>
      <c r="F984" s="1"/>
      <c r="G984" s="60" t="s">
        <v>503</v>
      </c>
      <c r="H984" s="1" t="s">
        <v>476</v>
      </c>
      <c r="I984" s="1" t="str">
        <f>IFERROR(CONCATENATE(VLOOKUP(C984,PARAM!D:E,2,0),VLOOKUP(D984,PARAM!J:K,2,0),VLOOKUP(E984,PARAM!G:H,2,0),VLOOKUP(G984,PARAM!P:Q,2,0)),"")</f>
        <v/>
      </c>
      <c r="J984" s="1" t="str">
        <f>IFERROR(CONCATENATE("*",VLOOKUP(C984,PARAM!D:E,2,0),VLOOKUP(D984,PARAM!J:K,2,0),VLOOKUP(E984,PARAM!G:H,2,0),VLOOKUP(G984,PARAM!P:Q,2,0),"*"),"")</f>
        <v/>
      </c>
      <c r="K984" s="1" t="str">
        <f t="shared" si="1"/>
        <v>  </v>
      </c>
      <c r="L984" s="1"/>
    </row>
    <row r="985">
      <c r="A985" s="56"/>
      <c r="B985" s="1"/>
      <c r="C985" s="1"/>
      <c r="D985" s="1"/>
      <c r="E985" s="1"/>
      <c r="F985" s="1"/>
      <c r="G985" s="60" t="s">
        <v>503</v>
      </c>
      <c r="H985" s="1" t="s">
        <v>476</v>
      </c>
      <c r="I985" s="1" t="str">
        <f>IFERROR(CONCATENATE(VLOOKUP(C985,PARAM!D:E,2,0),VLOOKUP(D985,PARAM!J:K,2,0),VLOOKUP(E985,PARAM!G:H,2,0),VLOOKUP(G985,PARAM!P:Q,2,0)),"")</f>
        <v/>
      </c>
      <c r="J985" s="1" t="str">
        <f>IFERROR(CONCATENATE("*",VLOOKUP(C985,PARAM!D:E,2,0),VLOOKUP(D985,PARAM!J:K,2,0),VLOOKUP(E985,PARAM!G:H,2,0),VLOOKUP(G985,PARAM!P:Q,2,0),"*"),"")</f>
        <v/>
      </c>
      <c r="K985" s="1" t="str">
        <f t="shared" si="1"/>
        <v>  </v>
      </c>
      <c r="L985" s="1"/>
    </row>
    <row r="986">
      <c r="A986" s="56"/>
      <c r="B986" s="1"/>
      <c r="C986" s="1"/>
      <c r="D986" s="1"/>
      <c r="E986" s="1"/>
      <c r="F986" s="1"/>
      <c r="G986" s="60" t="s">
        <v>503</v>
      </c>
      <c r="H986" s="1" t="s">
        <v>476</v>
      </c>
      <c r="I986" s="1" t="str">
        <f>IFERROR(CONCATENATE(VLOOKUP(C986,PARAM!D:E,2,0),VLOOKUP(D986,PARAM!J:K,2,0),VLOOKUP(E986,PARAM!G:H,2,0),VLOOKUP(G986,PARAM!P:Q,2,0)),"")</f>
        <v/>
      </c>
      <c r="J986" s="1" t="str">
        <f>IFERROR(CONCATENATE("*",VLOOKUP(C986,PARAM!D:E,2,0),VLOOKUP(D986,PARAM!J:K,2,0),VLOOKUP(E986,PARAM!G:H,2,0),VLOOKUP(G986,PARAM!P:Q,2,0),"*"),"")</f>
        <v/>
      </c>
      <c r="K986" s="1" t="str">
        <f t="shared" si="1"/>
        <v>  </v>
      </c>
      <c r="L986" s="1"/>
    </row>
    <row r="987">
      <c r="A987" s="56"/>
      <c r="B987" s="1"/>
      <c r="C987" s="1"/>
      <c r="D987" s="1"/>
      <c r="E987" s="1"/>
      <c r="F987" s="1"/>
      <c r="G987" s="60" t="s">
        <v>503</v>
      </c>
      <c r="H987" s="1" t="s">
        <v>476</v>
      </c>
      <c r="I987" s="1" t="str">
        <f>IFERROR(CONCATENATE(VLOOKUP(C987,PARAM!D:E,2,0),VLOOKUP(D987,PARAM!J:K,2,0),VLOOKUP(E987,PARAM!G:H,2,0),VLOOKUP(G987,PARAM!P:Q,2,0)),"")</f>
        <v/>
      </c>
      <c r="J987" s="1" t="str">
        <f>IFERROR(CONCATENATE("*",VLOOKUP(C987,PARAM!D:E,2,0),VLOOKUP(D987,PARAM!J:K,2,0),VLOOKUP(E987,PARAM!G:H,2,0),VLOOKUP(G987,PARAM!P:Q,2,0),"*"),"")</f>
        <v/>
      </c>
      <c r="K987" s="1" t="str">
        <f t="shared" si="1"/>
        <v>  </v>
      </c>
      <c r="L987" s="1"/>
    </row>
    <row r="988">
      <c r="A988" s="56"/>
      <c r="B988" s="1"/>
      <c r="C988" s="1"/>
      <c r="D988" s="1"/>
      <c r="E988" s="1"/>
      <c r="F988" s="1"/>
      <c r="G988" s="60" t="s">
        <v>503</v>
      </c>
      <c r="H988" s="1" t="s">
        <v>476</v>
      </c>
      <c r="I988" s="1" t="str">
        <f>IFERROR(CONCATENATE(VLOOKUP(C988,PARAM!D:E,2,0),VLOOKUP(D988,PARAM!J:K,2,0),VLOOKUP(E988,PARAM!G:H,2,0),VLOOKUP(G988,PARAM!P:Q,2,0)),"")</f>
        <v/>
      </c>
      <c r="J988" s="1" t="str">
        <f>IFERROR(CONCATENATE("*",VLOOKUP(C988,PARAM!D:E,2,0),VLOOKUP(D988,PARAM!J:K,2,0),VLOOKUP(E988,PARAM!G:H,2,0),VLOOKUP(G988,PARAM!P:Q,2,0),"*"),"")</f>
        <v/>
      </c>
      <c r="K988" s="1" t="str">
        <f t="shared" si="1"/>
        <v>  </v>
      </c>
      <c r="L988" s="1"/>
    </row>
    <row r="989">
      <c r="A989" s="56"/>
      <c r="B989" s="1"/>
      <c r="C989" s="1"/>
      <c r="D989" s="1"/>
      <c r="E989" s="1"/>
      <c r="F989" s="1"/>
      <c r="G989" s="60" t="s">
        <v>503</v>
      </c>
      <c r="H989" s="1" t="s">
        <v>476</v>
      </c>
      <c r="I989" s="1" t="str">
        <f>IFERROR(CONCATENATE(VLOOKUP(C989,PARAM!D:E,2,0),VLOOKUP(D989,PARAM!J:K,2,0),VLOOKUP(E989,PARAM!G:H,2,0),VLOOKUP(G989,PARAM!P:Q,2,0)),"")</f>
        <v/>
      </c>
      <c r="J989" s="1" t="str">
        <f>IFERROR(CONCATENATE("*",VLOOKUP(C989,PARAM!D:E,2,0),VLOOKUP(D989,PARAM!J:K,2,0),VLOOKUP(E989,PARAM!G:H,2,0),VLOOKUP(G989,PARAM!P:Q,2,0),"*"),"")</f>
        <v/>
      </c>
      <c r="K989" s="1" t="str">
        <f t="shared" si="1"/>
        <v>  </v>
      </c>
      <c r="L989" s="1"/>
    </row>
    <row r="990">
      <c r="A990" s="56"/>
      <c r="B990" s="1"/>
      <c r="C990" s="1"/>
      <c r="D990" s="1"/>
      <c r="E990" s="1"/>
      <c r="F990" s="1"/>
      <c r="G990" s="60" t="s">
        <v>503</v>
      </c>
      <c r="H990" s="1" t="s">
        <v>476</v>
      </c>
      <c r="I990" s="1" t="str">
        <f>IFERROR(CONCATENATE(VLOOKUP(C990,PARAM!D:E,2,0),VLOOKUP(D990,PARAM!J:K,2,0),VLOOKUP(E990,PARAM!G:H,2,0),VLOOKUP(G990,PARAM!P:Q,2,0)),"")</f>
        <v/>
      </c>
      <c r="J990" s="1" t="str">
        <f>IFERROR(CONCATENATE("*",VLOOKUP(C990,PARAM!D:E,2,0),VLOOKUP(D990,PARAM!J:K,2,0),VLOOKUP(E990,PARAM!G:H,2,0),VLOOKUP(G990,PARAM!P:Q,2,0),"*"),"")</f>
        <v/>
      </c>
      <c r="K990" s="1" t="str">
        <f t="shared" si="1"/>
        <v>  </v>
      </c>
      <c r="L990" s="1"/>
    </row>
    <row r="991">
      <c r="A991" s="56"/>
      <c r="B991" s="1"/>
      <c r="C991" s="1"/>
      <c r="D991" s="1"/>
      <c r="E991" s="1"/>
      <c r="F991" s="1"/>
      <c r="G991" s="60" t="s">
        <v>503</v>
      </c>
      <c r="H991" s="1" t="s">
        <v>476</v>
      </c>
      <c r="I991" s="1" t="str">
        <f>IFERROR(CONCATENATE(VLOOKUP(C991,PARAM!D:E,2,0),VLOOKUP(D991,PARAM!J:K,2,0),VLOOKUP(E991,PARAM!G:H,2,0),VLOOKUP(G991,PARAM!P:Q,2,0)),"")</f>
        <v/>
      </c>
      <c r="J991" s="1" t="str">
        <f>IFERROR(CONCATENATE("*",VLOOKUP(C991,PARAM!D:E,2,0),VLOOKUP(D991,PARAM!J:K,2,0),VLOOKUP(E991,PARAM!G:H,2,0),VLOOKUP(G991,PARAM!P:Q,2,0),"*"),"")</f>
        <v/>
      </c>
      <c r="K991" s="1" t="str">
        <f t="shared" si="1"/>
        <v>  </v>
      </c>
      <c r="L991" s="1"/>
    </row>
    <row r="992">
      <c r="A992" s="56"/>
      <c r="B992" s="1"/>
      <c r="C992" s="1"/>
      <c r="D992" s="1"/>
      <c r="E992" s="1"/>
      <c r="F992" s="1"/>
      <c r="G992" s="60" t="s">
        <v>503</v>
      </c>
      <c r="H992" s="1" t="s">
        <v>476</v>
      </c>
      <c r="I992" s="1" t="str">
        <f>IFERROR(CONCATENATE(VLOOKUP(C992,PARAM!D:E,2,0),VLOOKUP(D992,PARAM!J:K,2,0),VLOOKUP(E992,PARAM!G:H,2,0),VLOOKUP(G992,PARAM!P:Q,2,0)),"")</f>
        <v/>
      </c>
      <c r="J992" s="1" t="str">
        <f>IFERROR(CONCATENATE("*",VLOOKUP(C992,PARAM!D:E,2,0),VLOOKUP(D992,PARAM!J:K,2,0),VLOOKUP(E992,PARAM!G:H,2,0),VLOOKUP(G992,PARAM!P:Q,2,0),"*"),"")</f>
        <v/>
      </c>
      <c r="K992" s="1" t="str">
        <f t="shared" si="1"/>
        <v>  </v>
      </c>
      <c r="L992" s="1"/>
    </row>
    <row r="993">
      <c r="A993" s="56"/>
      <c r="B993" s="1"/>
      <c r="C993" s="1"/>
      <c r="D993" s="1"/>
      <c r="E993" s="1"/>
      <c r="F993" s="1"/>
      <c r="G993" s="60" t="s">
        <v>503</v>
      </c>
      <c r="H993" s="1" t="s">
        <v>476</v>
      </c>
      <c r="I993" s="1" t="str">
        <f>IFERROR(CONCATENATE(VLOOKUP(C993,PARAM!D:E,2,0),VLOOKUP(D993,PARAM!J:K,2,0),VLOOKUP(E993,PARAM!G:H,2,0),VLOOKUP(G993,PARAM!P:Q,2,0)),"")</f>
        <v/>
      </c>
      <c r="J993" s="1" t="str">
        <f>IFERROR(CONCATENATE("*",VLOOKUP(C993,PARAM!D:E,2,0),VLOOKUP(D993,PARAM!J:K,2,0),VLOOKUP(E993,PARAM!G:H,2,0),VLOOKUP(G993,PARAM!P:Q,2,0),"*"),"")</f>
        <v/>
      </c>
      <c r="K993" s="1" t="str">
        <f t="shared" si="1"/>
        <v>  </v>
      </c>
      <c r="L993" s="1"/>
    </row>
    <row r="994">
      <c r="A994" s="56"/>
      <c r="B994" s="1"/>
      <c r="C994" s="1"/>
      <c r="D994" s="1"/>
      <c r="E994" s="1"/>
      <c r="F994" s="1"/>
      <c r="G994" s="60" t="s">
        <v>503</v>
      </c>
      <c r="H994" s="1" t="s">
        <v>476</v>
      </c>
      <c r="I994" s="1" t="str">
        <f>IFERROR(CONCATENATE(VLOOKUP(C994,PARAM!D:E,2,0),VLOOKUP(D994,PARAM!J:K,2,0),VLOOKUP(E994,PARAM!G:H,2,0),VLOOKUP(G994,PARAM!P:Q,2,0)),"")</f>
        <v/>
      </c>
      <c r="J994" s="1" t="str">
        <f>IFERROR(CONCATENATE("*",VLOOKUP(C994,PARAM!D:E,2,0),VLOOKUP(D994,PARAM!J:K,2,0),VLOOKUP(E994,PARAM!G:H,2,0),VLOOKUP(G994,PARAM!P:Q,2,0),"*"),"")</f>
        <v/>
      </c>
      <c r="K994" s="1" t="str">
        <f t="shared" si="1"/>
        <v>  </v>
      </c>
      <c r="L994" s="1"/>
    </row>
    <row r="995">
      <c r="A995" s="56"/>
      <c r="B995" s="1"/>
      <c r="C995" s="1"/>
      <c r="D995" s="1"/>
      <c r="E995" s="1"/>
      <c r="F995" s="1"/>
      <c r="G995" s="60" t="s">
        <v>503</v>
      </c>
      <c r="H995" s="1" t="s">
        <v>476</v>
      </c>
      <c r="I995" s="1" t="str">
        <f>IFERROR(CONCATENATE(VLOOKUP(C995,PARAM!D:E,2,0),VLOOKUP(D995,PARAM!J:K,2,0),VLOOKUP(E995,PARAM!G:H,2,0),VLOOKUP(G995,PARAM!P:Q,2,0)),"")</f>
        <v/>
      </c>
      <c r="J995" s="1" t="str">
        <f>IFERROR(CONCATENATE("*",VLOOKUP(C995,PARAM!D:E,2,0),VLOOKUP(D995,PARAM!J:K,2,0),VLOOKUP(E995,PARAM!G:H,2,0),VLOOKUP(G995,PARAM!P:Q,2,0),"*"),"")</f>
        <v/>
      </c>
      <c r="K995" s="1" t="str">
        <f t="shared" si="1"/>
        <v>  </v>
      </c>
      <c r="L995" s="1"/>
    </row>
    <row r="996">
      <c r="A996" s="56"/>
      <c r="B996" s="1"/>
      <c r="C996" s="1"/>
      <c r="D996" s="1"/>
      <c r="E996" s="1"/>
      <c r="F996" s="1"/>
      <c r="G996" s="60" t="s">
        <v>503</v>
      </c>
      <c r="H996" s="1" t="s">
        <v>476</v>
      </c>
      <c r="I996" s="1" t="str">
        <f>IFERROR(CONCATENATE(VLOOKUP(C996,PARAM!D:E,2,0),VLOOKUP(D996,PARAM!J:K,2,0),VLOOKUP(E996,PARAM!G:H,2,0),VLOOKUP(G996,PARAM!P:Q,2,0)),"")</f>
        <v/>
      </c>
      <c r="J996" s="1" t="str">
        <f>IFERROR(CONCATENATE("*",VLOOKUP(C996,PARAM!D:E,2,0),VLOOKUP(D996,PARAM!J:K,2,0),VLOOKUP(E996,PARAM!G:H,2,0),VLOOKUP(G996,PARAM!P:Q,2,0),"*"),"")</f>
        <v/>
      </c>
      <c r="K996" s="1" t="str">
        <f t="shared" si="1"/>
        <v>  </v>
      </c>
      <c r="L996" s="1"/>
    </row>
    <row r="997">
      <c r="A997" s="56"/>
      <c r="B997" s="1"/>
      <c r="C997" s="1"/>
      <c r="D997" s="1"/>
      <c r="E997" s="1"/>
      <c r="F997" s="1"/>
      <c r="G997" s="60" t="s">
        <v>503</v>
      </c>
      <c r="H997" s="1" t="s">
        <v>476</v>
      </c>
      <c r="I997" s="1" t="str">
        <f>IFERROR(CONCATENATE(VLOOKUP(C997,PARAM!D:E,2,0),VLOOKUP(D997,PARAM!J:K,2,0),VLOOKUP(E997,PARAM!G:H,2,0),VLOOKUP(G997,PARAM!P:Q,2,0)),"")</f>
        <v/>
      </c>
      <c r="J997" s="1" t="str">
        <f>IFERROR(CONCATENATE("*",VLOOKUP(C997,PARAM!D:E,2,0),VLOOKUP(D997,PARAM!J:K,2,0),VLOOKUP(E997,PARAM!G:H,2,0),VLOOKUP(G997,PARAM!P:Q,2,0),"*"),"")</f>
        <v/>
      </c>
      <c r="K997" s="1" t="str">
        <f t="shared" si="1"/>
        <v>  </v>
      </c>
      <c r="L997" s="1"/>
    </row>
    <row r="998">
      <c r="A998" s="56"/>
      <c r="B998" s="1"/>
      <c r="C998" s="1"/>
      <c r="D998" s="1"/>
      <c r="E998" s="1"/>
      <c r="F998" s="1"/>
      <c r="G998" s="60" t="s">
        <v>503</v>
      </c>
      <c r="H998" s="1" t="s">
        <v>476</v>
      </c>
      <c r="I998" s="1" t="str">
        <f>IFERROR(CONCATENATE(VLOOKUP(C998,PARAM!D:E,2,0),VLOOKUP(D998,PARAM!J:K,2,0),VLOOKUP(E998,PARAM!G:H,2,0),VLOOKUP(G998,PARAM!P:Q,2,0)),"")</f>
        <v/>
      </c>
      <c r="J998" s="1" t="str">
        <f>IFERROR(CONCATENATE("*",VLOOKUP(C998,PARAM!D:E,2,0),VLOOKUP(D998,PARAM!J:K,2,0),VLOOKUP(E998,PARAM!G:H,2,0),VLOOKUP(G998,PARAM!P:Q,2,0),"*"),"")</f>
        <v/>
      </c>
      <c r="K998" s="1" t="str">
        <f t="shared" si="1"/>
        <v>  </v>
      </c>
      <c r="L998" s="1"/>
    </row>
    <row r="999">
      <c r="A999" s="56"/>
      <c r="B999" s="1"/>
      <c r="C999" s="1"/>
      <c r="D999" s="1"/>
      <c r="E999" s="1"/>
      <c r="F999" s="1"/>
      <c r="G999" s="60" t="s">
        <v>503</v>
      </c>
      <c r="H999" s="1" t="s">
        <v>476</v>
      </c>
      <c r="I999" s="1" t="str">
        <f>IFERROR(CONCATENATE(VLOOKUP(C999,PARAM!D:E,2,0),VLOOKUP(D999,PARAM!J:K,2,0),VLOOKUP(E999,PARAM!G:H,2,0),VLOOKUP(G999,PARAM!P:Q,2,0)),"")</f>
        <v/>
      </c>
      <c r="J999" s="1" t="str">
        <f>IFERROR(CONCATENATE("*",VLOOKUP(C999,PARAM!D:E,2,0),VLOOKUP(D999,PARAM!J:K,2,0),VLOOKUP(E999,PARAM!G:H,2,0),VLOOKUP(G999,PARAM!P:Q,2,0),"*"),"")</f>
        <v/>
      </c>
      <c r="K999" s="1" t="str">
        <f t="shared" si="1"/>
        <v>  </v>
      </c>
      <c r="L999" s="1"/>
    </row>
    <row r="1000">
      <c r="A1000" s="56"/>
      <c r="B1000" s="1"/>
      <c r="C1000" s="1"/>
      <c r="D1000" s="1"/>
      <c r="E1000" s="1"/>
      <c r="F1000" s="1"/>
      <c r="G1000" s="60" t="s">
        <v>503</v>
      </c>
      <c r="H1000" s="1" t="s">
        <v>476</v>
      </c>
      <c r="I1000" s="1" t="str">
        <f>IFERROR(CONCATENATE(VLOOKUP(C1000,PARAM!D:E,2,0),VLOOKUP(D1000,PARAM!J:K,2,0),VLOOKUP(E1000,PARAM!G:H,2,0),VLOOKUP(G1000,PARAM!P:Q,2,0)),"")</f>
        <v/>
      </c>
      <c r="J1000" s="1" t="str">
        <f>IFERROR(CONCATENATE("*",VLOOKUP(C1000,PARAM!D:E,2,0),VLOOKUP(D1000,PARAM!J:K,2,0),VLOOKUP(E1000,PARAM!G:H,2,0),VLOOKUP(G1000,PARAM!P:Q,2,0),"*"),"")</f>
        <v/>
      </c>
      <c r="K1000" s="1" t="str">
        <f t="shared" si="1"/>
        <v>  </v>
      </c>
      <c r="L1000" s="1"/>
    </row>
    <row r="1001">
      <c r="A1001" s="56"/>
      <c r="B1001" s="1"/>
      <c r="C1001" s="1"/>
      <c r="D1001" s="1"/>
      <c r="E1001" s="1"/>
      <c r="F1001" s="1"/>
      <c r="G1001" s="60" t="s">
        <v>503</v>
      </c>
      <c r="H1001" s="1" t="s">
        <v>476</v>
      </c>
      <c r="I1001" s="1" t="str">
        <f>IFERROR(CONCATENATE(VLOOKUP(C1001,PARAM!D:E,2,0),VLOOKUP(D1001,PARAM!J:K,2,0),VLOOKUP(E1001,PARAM!G:H,2,0),VLOOKUP(G1001,PARAM!P:Q,2,0)),"")</f>
        <v/>
      </c>
      <c r="J1001" s="1" t="str">
        <f>IFERROR(CONCATENATE("*",VLOOKUP(C1001,PARAM!D:E,2,0),VLOOKUP(D1001,PARAM!J:K,2,0),VLOOKUP(E1001,PARAM!G:H,2,0),VLOOKUP(G1001,PARAM!P:Q,2,0),"*"),"")</f>
        <v/>
      </c>
      <c r="K1001" s="1" t="str">
        <f t="shared" si="1"/>
        <v>  </v>
      </c>
      <c r="L1001" s="1"/>
    </row>
    <row r="1002">
      <c r="A1002" s="56"/>
      <c r="B1002" s="1"/>
      <c r="C1002" s="1"/>
      <c r="D1002" s="1"/>
      <c r="E1002" s="1"/>
      <c r="F1002" s="1"/>
      <c r="G1002" s="60" t="s">
        <v>503</v>
      </c>
      <c r="H1002" s="1" t="s">
        <v>476</v>
      </c>
      <c r="I1002" s="1" t="str">
        <f>IFERROR(CONCATENATE(VLOOKUP(C1002,PARAM!D:E,2,0),VLOOKUP(D1002,PARAM!J:K,2,0),VLOOKUP(E1002,PARAM!G:H,2,0),VLOOKUP(G1002,PARAM!P:Q,2,0)),"")</f>
        <v/>
      </c>
      <c r="J1002" s="1" t="str">
        <f>IFERROR(CONCATENATE("*",VLOOKUP(C1002,PARAM!D:E,2,0),VLOOKUP(D1002,PARAM!J:K,2,0),VLOOKUP(E1002,PARAM!G:H,2,0),VLOOKUP(G1002,PARAM!P:Q,2,0),"*"),"")</f>
        <v/>
      </c>
      <c r="K1002" s="1" t="str">
        <f t="shared" si="1"/>
        <v>  </v>
      </c>
      <c r="L1002" s="1"/>
    </row>
    <row r="1003">
      <c r="A1003" s="56"/>
      <c r="B1003" s="1"/>
      <c r="C1003" s="1"/>
      <c r="D1003" s="1"/>
      <c r="E1003" s="1"/>
      <c r="F1003" s="1"/>
      <c r="G1003" s="60" t="s">
        <v>503</v>
      </c>
      <c r="H1003" s="1" t="s">
        <v>476</v>
      </c>
      <c r="I1003" s="1" t="str">
        <f>IFERROR(CONCATENATE(VLOOKUP(C1003,PARAM!D:E,2,0),VLOOKUP(D1003,PARAM!J:K,2,0),VLOOKUP(E1003,PARAM!G:H,2,0),VLOOKUP(G1003,PARAM!P:Q,2,0)),"")</f>
        <v/>
      </c>
      <c r="J1003" s="1" t="str">
        <f>IFERROR(CONCATENATE("*",VLOOKUP(C1003,PARAM!D:E,2,0),VLOOKUP(D1003,PARAM!J:K,2,0),VLOOKUP(E1003,PARAM!G:H,2,0),VLOOKUP(G1003,PARAM!P:Q,2,0),"*"),"")</f>
        <v/>
      </c>
      <c r="K1003" s="1" t="str">
        <f t="shared" si="1"/>
        <v>  </v>
      </c>
      <c r="L1003" s="1"/>
    </row>
    <row r="1004">
      <c r="A1004" s="56"/>
      <c r="B1004" s="1"/>
      <c r="C1004" s="1"/>
      <c r="D1004" s="1"/>
      <c r="E1004" s="1"/>
      <c r="F1004" s="1"/>
      <c r="G1004" s="60" t="s">
        <v>503</v>
      </c>
      <c r="H1004" s="1" t="s">
        <v>476</v>
      </c>
      <c r="I1004" s="1" t="str">
        <f>IFERROR(CONCATENATE(VLOOKUP(C1004,PARAM!D:E,2,0),VLOOKUP(D1004,PARAM!J:K,2,0),VLOOKUP(E1004,PARAM!G:H,2,0),VLOOKUP(G1004,PARAM!P:Q,2,0)),"")</f>
        <v/>
      </c>
      <c r="J1004" s="1" t="str">
        <f>IFERROR(CONCATENATE("*",VLOOKUP(C1004,PARAM!D:E,2,0),VLOOKUP(D1004,PARAM!J:K,2,0),VLOOKUP(E1004,PARAM!G:H,2,0),VLOOKUP(G1004,PARAM!P:Q,2,0),"*"),"")</f>
        <v/>
      </c>
      <c r="K1004" s="1" t="str">
        <f t="shared" si="1"/>
        <v>  </v>
      </c>
      <c r="L1004" s="1"/>
    </row>
    <row r="1005">
      <c r="A1005" s="56"/>
      <c r="B1005" s="1"/>
      <c r="C1005" s="1"/>
      <c r="D1005" s="1"/>
      <c r="E1005" s="1"/>
      <c r="F1005" s="1"/>
      <c r="G1005" s="60" t="s">
        <v>503</v>
      </c>
      <c r="H1005" s="1" t="s">
        <v>476</v>
      </c>
      <c r="I1005" s="1" t="str">
        <f>IFERROR(CONCATENATE(VLOOKUP(C1005,PARAM!D:E,2,0),VLOOKUP(D1005,PARAM!J:K,2,0),VLOOKUP(E1005,PARAM!G:H,2,0),VLOOKUP(G1005,PARAM!P:Q,2,0)),"")</f>
        <v/>
      </c>
      <c r="J1005" s="1" t="str">
        <f>IFERROR(CONCATENATE("*",VLOOKUP(C1005,PARAM!D:E,2,0),VLOOKUP(D1005,PARAM!J:K,2,0),VLOOKUP(E1005,PARAM!G:H,2,0),VLOOKUP(G1005,PARAM!P:Q,2,0),"*"),"")</f>
        <v/>
      </c>
      <c r="K1005" s="1" t="str">
        <f t="shared" si="1"/>
        <v>  </v>
      </c>
      <c r="L1005" s="1"/>
    </row>
    <row r="1006">
      <c r="A1006" s="56"/>
      <c r="B1006" s="1"/>
      <c r="C1006" s="1"/>
      <c r="D1006" s="1"/>
      <c r="E1006" s="1"/>
      <c r="F1006" s="1"/>
      <c r="G1006" s="60" t="s">
        <v>503</v>
      </c>
      <c r="H1006" s="1" t="s">
        <v>476</v>
      </c>
      <c r="I1006" s="1" t="str">
        <f>IFERROR(CONCATENATE(VLOOKUP(C1006,PARAM!D:E,2,0),VLOOKUP(D1006,PARAM!J:K,2,0),VLOOKUP(E1006,PARAM!G:H,2,0),VLOOKUP(G1006,PARAM!P:Q,2,0)),"")</f>
        <v/>
      </c>
      <c r="J1006" s="1" t="str">
        <f>IFERROR(CONCATENATE("*",VLOOKUP(C1006,PARAM!D:E,2,0),VLOOKUP(D1006,PARAM!J:K,2,0),VLOOKUP(E1006,PARAM!G:H,2,0),VLOOKUP(G1006,PARAM!P:Q,2,0),"*"),"")</f>
        <v/>
      </c>
      <c r="K1006" s="1" t="str">
        <f t="shared" si="1"/>
        <v>  </v>
      </c>
      <c r="L1006" s="1"/>
    </row>
    <row r="1007">
      <c r="A1007" s="56"/>
      <c r="B1007" s="1"/>
      <c r="C1007" s="1"/>
      <c r="D1007" s="1"/>
      <c r="E1007" s="1"/>
      <c r="F1007" s="1"/>
      <c r="G1007" s="60" t="s">
        <v>503</v>
      </c>
      <c r="H1007" s="1" t="s">
        <v>476</v>
      </c>
      <c r="I1007" s="1" t="str">
        <f>IFERROR(CONCATENATE(VLOOKUP(C1007,PARAM!D:E,2,0),VLOOKUP(D1007,PARAM!J:K,2,0),VLOOKUP(E1007,PARAM!G:H,2,0),VLOOKUP(G1007,PARAM!P:Q,2,0)),"")</f>
        <v/>
      </c>
      <c r="J1007" s="1" t="str">
        <f>IFERROR(CONCATENATE("*",VLOOKUP(C1007,PARAM!D:E,2,0),VLOOKUP(D1007,PARAM!J:K,2,0),VLOOKUP(E1007,PARAM!G:H,2,0),VLOOKUP(G1007,PARAM!P:Q,2,0),"*"),"")</f>
        <v/>
      </c>
      <c r="K1007" s="1" t="str">
        <f t="shared" si="1"/>
        <v>  </v>
      </c>
      <c r="L1007" s="1"/>
    </row>
    <row r="1008">
      <c r="A1008" s="56"/>
      <c r="B1008" s="1"/>
      <c r="C1008" s="1"/>
      <c r="D1008" s="1"/>
      <c r="E1008" s="1"/>
      <c r="F1008" s="1"/>
      <c r="G1008" s="60" t="s">
        <v>503</v>
      </c>
      <c r="H1008" s="1" t="s">
        <v>476</v>
      </c>
      <c r="I1008" s="1" t="str">
        <f>IFERROR(CONCATENATE(VLOOKUP(C1008,PARAM!D:E,2,0),VLOOKUP(D1008,PARAM!J:K,2,0),VLOOKUP(E1008,PARAM!G:H,2,0),VLOOKUP(G1008,PARAM!P:Q,2,0)),"")</f>
        <v/>
      </c>
      <c r="J1008" s="1" t="str">
        <f>IFERROR(CONCATENATE("*",VLOOKUP(C1008,PARAM!D:E,2,0),VLOOKUP(D1008,PARAM!J:K,2,0),VLOOKUP(E1008,PARAM!G:H,2,0),VLOOKUP(G1008,PARAM!P:Q,2,0),"*"),"")</f>
        <v/>
      </c>
      <c r="K1008" s="1" t="str">
        <f t="shared" si="1"/>
        <v>  </v>
      </c>
      <c r="L1008" s="1"/>
    </row>
    <row r="1009">
      <c r="A1009" s="56"/>
      <c r="B1009" s="1"/>
      <c r="C1009" s="1"/>
      <c r="D1009" s="1"/>
      <c r="E1009" s="1"/>
      <c r="F1009" s="1"/>
      <c r="G1009" s="60" t="s">
        <v>503</v>
      </c>
      <c r="H1009" s="1" t="s">
        <v>476</v>
      </c>
      <c r="I1009" s="1" t="str">
        <f>IFERROR(CONCATENATE(VLOOKUP(C1009,PARAM!D:E,2,0),VLOOKUP(D1009,PARAM!J:K,2,0),VLOOKUP(E1009,PARAM!G:H,2,0),VLOOKUP(G1009,PARAM!P:Q,2,0)),"")</f>
        <v/>
      </c>
      <c r="J1009" s="1" t="str">
        <f>IFERROR(CONCATENATE("*",VLOOKUP(C1009,PARAM!D:E,2,0),VLOOKUP(D1009,PARAM!J:K,2,0),VLOOKUP(E1009,PARAM!G:H,2,0),VLOOKUP(G1009,PARAM!P:Q,2,0),"*"),"")</f>
        <v/>
      </c>
      <c r="K1009" s="1" t="str">
        <f t="shared" si="1"/>
        <v>  </v>
      </c>
      <c r="L1009" s="1"/>
    </row>
    <row r="1010">
      <c r="A1010" s="56"/>
      <c r="B1010" s="1"/>
      <c r="C1010" s="1"/>
      <c r="D1010" s="1"/>
      <c r="E1010" s="1"/>
      <c r="F1010" s="1"/>
      <c r="G1010" s="60" t="s">
        <v>503</v>
      </c>
      <c r="H1010" s="1" t="s">
        <v>476</v>
      </c>
      <c r="I1010" s="1" t="str">
        <f>IFERROR(CONCATENATE(VLOOKUP(C1010,PARAM!D:E,2,0),VLOOKUP(D1010,PARAM!J:K,2,0),VLOOKUP(E1010,PARAM!G:H,2,0),VLOOKUP(G1010,PARAM!P:Q,2,0)),"")</f>
        <v/>
      </c>
      <c r="J1010" s="1" t="str">
        <f>IFERROR(CONCATENATE("*",VLOOKUP(C1010,PARAM!D:E,2,0),VLOOKUP(D1010,PARAM!J:K,2,0),VLOOKUP(E1010,PARAM!G:H,2,0),VLOOKUP(G1010,PARAM!P:Q,2,0),"*"),"")</f>
        <v/>
      </c>
      <c r="K1010" s="1" t="str">
        <f t="shared" si="1"/>
        <v>  </v>
      </c>
      <c r="L1010" s="1"/>
    </row>
    <row r="1011">
      <c r="A1011" s="56"/>
      <c r="B1011" s="1"/>
      <c r="C1011" s="1"/>
      <c r="D1011" s="1"/>
      <c r="E1011" s="1"/>
      <c r="F1011" s="1"/>
      <c r="G1011" s="60" t="s">
        <v>503</v>
      </c>
      <c r="H1011" s="1" t="s">
        <v>476</v>
      </c>
      <c r="I1011" s="1" t="str">
        <f>IFERROR(CONCATENATE(VLOOKUP(C1011,PARAM!D:E,2,0),VLOOKUP(D1011,PARAM!J:K,2,0),VLOOKUP(E1011,PARAM!G:H,2,0),VLOOKUP(G1011,PARAM!P:Q,2,0)),"")</f>
        <v/>
      </c>
      <c r="J1011" s="1" t="str">
        <f>IFERROR(CONCATENATE("*",VLOOKUP(C1011,PARAM!D:E,2,0),VLOOKUP(D1011,PARAM!J:K,2,0),VLOOKUP(E1011,PARAM!G:H,2,0),VLOOKUP(G1011,PARAM!P:Q,2,0),"*"),"")</f>
        <v/>
      </c>
      <c r="K1011" s="1" t="str">
        <f t="shared" si="1"/>
        <v>  </v>
      </c>
      <c r="L1011" s="1"/>
    </row>
    <row r="1012">
      <c r="A1012" s="56"/>
      <c r="B1012" s="1"/>
      <c r="C1012" s="1"/>
      <c r="D1012" s="1"/>
      <c r="E1012" s="1"/>
      <c r="F1012" s="1"/>
      <c r="G1012" s="60" t="s">
        <v>503</v>
      </c>
      <c r="H1012" s="1" t="s">
        <v>476</v>
      </c>
      <c r="I1012" s="1" t="str">
        <f>IFERROR(CONCATENATE(VLOOKUP(C1012,PARAM!D:E,2,0),VLOOKUP(D1012,PARAM!J:K,2,0),VLOOKUP(E1012,PARAM!G:H,2,0),VLOOKUP(G1012,PARAM!P:Q,2,0)),"")</f>
        <v/>
      </c>
      <c r="J1012" s="1" t="str">
        <f>IFERROR(CONCATENATE("*",VLOOKUP(C1012,PARAM!D:E,2,0),VLOOKUP(D1012,PARAM!J:K,2,0),VLOOKUP(E1012,PARAM!G:H,2,0),VLOOKUP(G1012,PARAM!P:Q,2,0),"*"),"")</f>
        <v/>
      </c>
      <c r="K1012" s="1" t="str">
        <f t="shared" si="1"/>
        <v>  </v>
      </c>
      <c r="L1012" s="1"/>
    </row>
    <row r="1013">
      <c r="A1013" s="56"/>
      <c r="B1013" s="1"/>
      <c r="C1013" s="1"/>
      <c r="D1013" s="1"/>
      <c r="E1013" s="1"/>
      <c r="F1013" s="1"/>
      <c r="G1013" s="60" t="s">
        <v>503</v>
      </c>
      <c r="H1013" s="1" t="s">
        <v>476</v>
      </c>
      <c r="I1013" s="1" t="str">
        <f>IFERROR(CONCATENATE(VLOOKUP(C1013,PARAM!D:E,2,0),VLOOKUP(D1013,PARAM!J:K,2,0),VLOOKUP(E1013,PARAM!G:H,2,0),VLOOKUP(G1013,PARAM!P:Q,2,0)),"")</f>
        <v/>
      </c>
      <c r="J1013" s="1" t="str">
        <f>IFERROR(CONCATENATE("*",VLOOKUP(C1013,PARAM!D:E,2,0),VLOOKUP(D1013,PARAM!J:K,2,0),VLOOKUP(E1013,PARAM!G:H,2,0),VLOOKUP(G1013,PARAM!P:Q,2,0),"*"),"")</f>
        <v/>
      </c>
      <c r="K1013" s="1" t="str">
        <f t="shared" si="1"/>
        <v>  </v>
      </c>
      <c r="L1013" s="1"/>
    </row>
    <row r="1014">
      <c r="A1014" s="56"/>
      <c r="B1014" s="1"/>
      <c r="C1014" s="1"/>
      <c r="D1014" s="1"/>
      <c r="E1014" s="1"/>
      <c r="F1014" s="1"/>
      <c r="G1014" s="60" t="s">
        <v>503</v>
      </c>
      <c r="H1014" s="1" t="s">
        <v>476</v>
      </c>
      <c r="I1014" s="1" t="str">
        <f>IFERROR(CONCATENATE(VLOOKUP(C1014,PARAM!D:E,2,0),VLOOKUP(D1014,PARAM!J:K,2,0),VLOOKUP(E1014,PARAM!G:H,2,0),VLOOKUP(G1014,PARAM!P:Q,2,0)),"")</f>
        <v/>
      </c>
      <c r="J1014" s="1" t="str">
        <f>IFERROR(CONCATENATE("*",VLOOKUP(C1014,PARAM!D:E,2,0),VLOOKUP(D1014,PARAM!J:K,2,0),VLOOKUP(E1014,PARAM!G:H,2,0),VLOOKUP(G1014,PARAM!P:Q,2,0),"*"),"")</f>
        <v/>
      </c>
      <c r="K1014" s="1" t="str">
        <f t="shared" si="1"/>
        <v>  </v>
      </c>
      <c r="L1014" s="1"/>
    </row>
  </sheetData>
  <autoFilter ref="$A$3:$L$1014"/>
  <conditionalFormatting sqref="B4:B1014">
    <cfRule type="notContainsBlanks" dxfId="5" priority="1">
      <formula>LEN(TRIM(B4))&gt;0</formula>
    </cfRule>
  </conditionalFormatting>
  <conditionalFormatting sqref="E4:E1014">
    <cfRule type="notContainsBlanks" dxfId="5" priority="2">
      <formula>LEN(TRIM(E4))&gt;0</formula>
    </cfRule>
  </conditionalFormatting>
  <conditionalFormatting sqref="A4:A1014">
    <cfRule type="notContainsBlanks" dxfId="5" priority="3">
      <formula>LEN(TRIM(A4))&gt;0</formula>
    </cfRule>
  </conditionalFormatting>
  <dataValidations>
    <dataValidation type="list" allowBlank="1" showErrorMessage="1" sqref="F4:F67 F69:F1014">
      <formula1>PARAM!$M$2:$M$1013</formula1>
    </dataValidation>
    <dataValidation type="custom" allowBlank="1" showDropDown="1" showErrorMessage="1" sqref="A4:A1014">
      <formula1>OR(NOT(ISERROR(DATEVALUE(A4))), AND(ISNUMBER(A4), LEFT(CELL("format", A4))="D"))</formula1>
    </dataValidation>
    <dataValidation type="list" allowBlank="1" showErrorMessage="1" sqref="C4:C1014">
      <formula1>PARAM!$D$1:$D$1013</formula1>
    </dataValidation>
    <dataValidation type="list" allowBlank="1" showErrorMessage="1" sqref="B4:B1014">
      <formula1>PARAM!$A$2:$A$1013</formula1>
    </dataValidation>
    <dataValidation type="list" allowBlank="1" showErrorMessage="1" sqref="D4:D65 D69:D1014">
      <formula1>PARAM!$J$2:$J$1013</formula1>
    </dataValidation>
    <dataValidation type="list" allowBlank="1" showErrorMessage="1" sqref="E4:E1014">
      <formula1>"-,1 BOTON,1 BOTON BOTA RECTA,3/4 VALANT,4 BOTONES,4 BOTONES SIN BOLSILLO,A RODILLA,ABIERTA AIR,ACANALADA,ACANALADO CORTO,ACANALADO LARGO,ACOLCHADA,ACOLCHADA LARGA,ADIDAS,AFELPADO,ALEMANIA AAA LOCAL,ALGODON,ALGODON AJUSTADA,ALGODON CAPOTA ESTAMPADO,ALGODON"&amp;" CON CAPOTA ESTAMPADO CREMALLERA,ALGODON CORTA E U,ALGODON CUELLO REDONDO ESTAMPADO,ALGODON OLGADA,ALGODON SIN ESTAMPADO,AMBAR,ANILLO 1,ANILLO 2,ANILLO 3,ANILLO 4,ANILLO 5,ANILLO 6,ANILLO 7,APLICADOR SOMBRA,ARGENTINA AAA LOCAL,ASIMETRICA 1 HOMBRO,ATLETICO"&amp;" MADRID AAA LOCAL 2025,ATLETICO NACIONAL 1.1 LOCAL 2025,ATLETICO NACIONAL AAA 2025,ATLETICO NACIONAL AAA 2026,BAGGI,BAGGI CON BRILLANTES,BALACA TELA,BAMBA SATIN,BARCELONA,BARCELONA AAA VISITANTE 2025,BASICA ALGODON,BAUL,BODY COSMO,BOMBA,BORDADA VALANT,BOT"&amp;"ONES,BRASIL AAA,BRILLANTE,BRILLANTES FIGURAS,BRILLO,BRONCE CAIMAN,BULLS,CADENA DORADA,CAIMAN BRILLO,CAJA GRIS,CAJA GUCCI,CAJA HERMES,CAJA VERSACE,CALVIN KLEIN,CAMISETA ESTAMPADO ALGODON LARGA,CAMPEON,CAMUFLADO,CANDONGA MEDIANA,CANGURO AIR,CANILLERA ADULTO"&amp;",CAPOTA LANA,CAPRIATY,CEREZAS BRILLANTE,CHAPA DORADA,CINTURON ANCHO,CLASICA DRILL,CLASICA FINA,CLASICAS,CLASICO,COLLAR 1,COLLAR 2,COLLAR 3,COLLAR 4,COLLAR 5,COLLAR 6,COLLAR 7,COLOMBIA,COLOMBIA 1.1 LOCAL,COLOMBIA AAA,COLOMBIA CENTENARIO,CON BORDADOS,CON BR"&amp;"ILLANTES,CON CAPOTA,CON CAPOTA ESTAMPADO CREMALLERA,CON PEPAS,CON SIRENA,CONCEDER YEAHKISS,CORAZON LOVE,CORAZON LOVE 1,CORAZON LOVE 2,CORAZON LOVE 3,CORAZON LOVE 4,CORTO,COSMETIQUERA COLORES,CREMALLERA OVERSIZE,CUADRADA 1,CUADRADA 2,CUADRADA 3,CUELLO REDO"&amp;"NDO,CUELLO REDONDO COMBINADO,CUTE RABBIT,DE COLOMBIA,DE TIRAS,DEPORTIVA,DEPORTIVAS,DEPORTIVO,DIADEMA DELGADA,DIADEMA MEDIANA,DIFERENTES MARCAS,DIY BEAR,DOS COLORES,DRILL,DUO,EAR CUFF,ECONOMICA,ELEGANTE,ENTERIZO DEPORTIVO,EQUIPOS,ESPAÑA 1.1 LOCAL,ESPAÑA AA"&amp;"A LOCAL,ESPEJOS LOVE,ESTAMPADO,FASHION,FERREGAMO,FINA HOLALA,FINA MEDIA,FLORES PELUCHE Y DEMAS,GAMUSA,GIRL POWER - DELICIUS CHEESE,GRANDE,H M LUN SIN CAPOTA,HEBILLA ESTRELLA,HEBILLA NEGRA *3,HUGO BOSS,ILUMINADORES SKIN,IMPERMEABLE,IMPORTADA,INGLATERRA AAA"&amp;" LOCAL,INTER DE MILAN AAA LOCAL 2025,INTER MIAMI 1.1 VISITANTE MESSI,ITALIA 90,JAPON AAA LOCAL,JEAN,JEAN CLASICA,JEAN OVEJERA,JEAN TORERA OVEJERA,JOGGER,JUNIOR AAA VISITANTE 2024,JUVENIL,KAIZHELUN, CON CAPOTA,LABIAL,LABIAL CORAZON,LABIAL THE OILY LIPS,LAK"&amp;"ERS,LAPIZ UBC,LARGA HOLALA,LEGGINS UNICOLOR,LICRA,LICRA ACANALADA,LICRA CATTO KIEWO,LICRADA MANGA CORTA,LICRADA MANGA LARGA,LICRADO,LICRADO CORTOS,LICRADO LARGO,LISA ACOLCHADA,LIVERPOOL AAA LOCAL 2025,LIVERPOOL AAA VISITANTE 2025,LOUIS VUITTON,MANCHESTER "&amp;"CITY AAA LOCAL 2025,MANGA CORTA,MANGA LARGA,MANOS LIBRES,MARCADA HOLALA,MARIPOSA,MEDIA CREMALLERA COMBINADO,MEDIANO MURANO DORADO,MEXICO AAA LOCAL,MILLONARIOS 1.1 LOCAL 2025,MILLONARIOS AAA LOCAL 2025,MILLONARIOS CAMISA,MONT BLANC,MOÑAS COLERA,MOÑOS COLOM"&amp;"BIA,MUNDIAL 2026,MURANO BRILLOS,NEGRA CAFE BEIGE,NOCHE,OSCURO CAFE,OTRA CLASE,OVEJERA CUERINA,OVEJERA HAN CHENG,OVERSIZE,OVERSIZE DOS ESTAMPADOS,PACIFIC LICRA,PAÑO,PAQUETE CAUCHOS,PEPAS CHINILLO,PEPITAS BRILLANTES,PEQUEÑO DORADO MURANO ,PESTAÑINAS PAGEVIN"&amp;"E,PINK MINI,PINTUCARA TRICOLOR,PINZAS CABELLO,PLATEADO MEDIANO MURANO,PLAYERO TOUS,POLO,POLO ROMBOS ALGODON,POLO SEDA FRIA,POLO SENCILLA,POLO TIPO GALLETA,POLVO ROSADO,PORTUGAL 1.1 VISITANTE,PORTUGAL AAA,PULSERA 1,PULSERA 2,PULSERA 3,PULSERA 4,PULSERA 5,P"&amp;"ULSERA 6,PULSERA COMBO,RAYAS COMBINADAS,REAL MADRID,REDONDA 1,REDONDA 2,REDONDA 3,RESORTADO CON CAPOTA,RIBETE,RIVER PLATE AAA LOCAL 2025,RODILLA,ROMA,ROMBA,ROMBOS,ROTONDA,RUBOR CORAZON,RUBOR RIMOCOO,RUNNING,SACO ABIERTO,SEDA FRIA,SEDA FRÍA,SHORT,SHORT ARO"&amp;",SHORT PACIFIC,SOMBRA BIGCAKE,SPRAY GROUND,TALONERA HOLALA,TALONERA TOBILLERA,TAPA CONCHA,TEJIDO RAYAS,TERCO NYLON,THE NORTH FACE CON CAPOTA,TINTAS ENGOIL,TIPO GALLETA,TIRA CUELLO,TOBILLERA COTLINE,TOBILLERA GRUESA,TOPO SEGURIDAD,TOPOS DE SEGURIDAD 1,TOPO"&amp;"S DE SEGURIDAD 2,TOPOS DE SEGURIDAD 3,TOTTENHAM AAA LOCAL 2025,TULA,UN ESTAMPADO,UN SOLO HOMBRO,VALANT,VARIOS,VIOTO,YOGA LICRA,ZARCILLO 1,ZARCILLO 2,ZARCILLO 3,ZARCILLO 4,ZARCILLO 5"</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1444</v>
      </c>
      <c r="B1" s="4" t="s">
        <v>1445</v>
      </c>
      <c r="C1" s="4"/>
      <c r="D1" s="4" t="s">
        <v>1446</v>
      </c>
      <c r="E1" s="4" t="s">
        <v>1447</v>
      </c>
      <c r="F1" s="4"/>
      <c r="G1" s="4" t="s">
        <v>1055</v>
      </c>
      <c r="H1" s="4" t="s">
        <v>1448</v>
      </c>
      <c r="I1" s="4"/>
      <c r="J1" s="4" t="s">
        <v>1054</v>
      </c>
      <c r="K1" s="4" t="s">
        <v>1449</v>
      </c>
      <c r="L1" s="4"/>
      <c r="M1" s="4" t="s">
        <v>1056</v>
      </c>
      <c r="N1" s="4" t="s">
        <v>1450</v>
      </c>
      <c r="O1" s="1"/>
      <c r="P1" s="4" t="s">
        <v>1057</v>
      </c>
      <c r="Q1" s="4" t="s">
        <v>1451</v>
      </c>
      <c r="R1" s="1"/>
      <c r="S1" s="4" t="s">
        <v>433</v>
      </c>
      <c r="T1" s="4" t="s">
        <v>1452</v>
      </c>
      <c r="U1" s="1"/>
      <c r="V1" s="1"/>
      <c r="W1" s="1"/>
      <c r="X1" s="1"/>
      <c r="Y1" s="1"/>
      <c r="Z1" s="1"/>
      <c r="AA1" s="1"/>
    </row>
    <row r="2">
      <c r="A2" s="4" t="s">
        <v>1058</v>
      </c>
      <c r="B2" s="4">
        <v>1.0</v>
      </c>
      <c r="C2" s="4"/>
      <c r="D2" s="4" t="s">
        <v>1059</v>
      </c>
      <c r="E2" s="4">
        <v>1.0</v>
      </c>
      <c r="F2" s="4"/>
      <c r="G2" s="1" t="s">
        <v>503</v>
      </c>
      <c r="H2" s="4">
        <v>0.0</v>
      </c>
      <c r="I2" s="4"/>
      <c r="J2" s="4" t="s">
        <v>1060</v>
      </c>
      <c r="K2" s="4">
        <v>1.0</v>
      </c>
      <c r="L2" s="1"/>
      <c r="M2" s="4" t="s">
        <v>503</v>
      </c>
      <c r="N2" s="4">
        <v>0.0</v>
      </c>
      <c r="O2" s="1"/>
      <c r="P2" s="4" t="s">
        <v>503</v>
      </c>
      <c r="Q2" s="4">
        <v>0.0</v>
      </c>
      <c r="R2" s="1"/>
      <c r="S2" s="4" t="s">
        <v>503</v>
      </c>
      <c r="T2" s="4">
        <v>0.0</v>
      </c>
      <c r="U2" s="1"/>
      <c r="V2" s="1"/>
      <c r="W2" s="1"/>
      <c r="X2" s="1"/>
      <c r="Y2" s="1"/>
      <c r="Z2" s="1"/>
      <c r="AA2" s="1"/>
    </row>
    <row r="3">
      <c r="A3" s="4" t="s">
        <v>1078</v>
      </c>
      <c r="B3" s="1">
        <v>2.0</v>
      </c>
      <c r="C3" s="4"/>
      <c r="D3" s="4" t="s">
        <v>1158</v>
      </c>
      <c r="E3" s="1">
        <v>2.0</v>
      </c>
      <c r="F3" s="4"/>
      <c r="G3" s="1" t="s">
        <v>1064</v>
      </c>
      <c r="H3" s="4">
        <f t="shared" ref="H3:H284" si="1">H2+1</f>
        <v>1</v>
      </c>
      <c r="I3" s="4"/>
      <c r="J3" s="4" t="s">
        <v>1080</v>
      </c>
      <c r="K3" s="4">
        <v>2.0</v>
      </c>
      <c r="L3" s="1"/>
      <c r="M3" s="4" t="s">
        <v>1311</v>
      </c>
      <c r="N3" s="1">
        <v>1.0</v>
      </c>
      <c r="O3" s="1"/>
      <c r="P3" s="1">
        <v>6.0</v>
      </c>
      <c r="Q3" s="4">
        <v>1.0</v>
      </c>
      <c r="R3" s="1"/>
      <c r="S3" s="1" t="s">
        <v>806</v>
      </c>
      <c r="T3" s="1">
        <f t="shared" ref="T3:T49" si="2">T2+1</f>
        <v>1</v>
      </c>
      <c r="U3" s="1"/>
      <c r="V3" s="1"/>
      <c r="W3" s="1"/>
      <c r="X3" s="1"/>
      <c r="Y3" s="1"/>
      <c r="Z3" s="1"/>
      <c r="AA3" s="1"/>
    </row>
    <row r="4">
      <c r="A4" s="4" t="s">
        <v>1191</v>
      </c>
      <c r="B4" s="1">
        <v>3.0</v>
      </c>
      <c r="C4" s="4"/>
      <c r="D4" s="4" t="s">
        <v>1213</v>
      </c>
      <c r="E4" s="1">
        <v>3.0</v>
      </c>
      <c r="F4" s="4"/>
      <c r="G4" s="1" t="s">
        <v>1065</v>
      </c>
      <c r="H4" s="4">
        <f t="shared" si="1"/>
        <v>2</v>
      </c>
      <c r="I4" s="4"/>
      <c r="J4" s="4" t="s">
        <v>1101</v>
      </c>
      <c r="K4" s="4">
        <v>3.0</v>
      </c>
      <c r="L4" s="1"/>
      <c r="M4" s="4" t="s">
        <v>1067</v>
      </c>
      <c r="N4" s="1">
        <v>2.0</v>
      </c>
      <c r="O4" s="1"/>
      <c r="P4" s="1">
        <v>8.0</v>
      </c>
      <c r="Q4" s="1">
        <v>2.0</v>
      </c>
      <c r="R4" s="1"/>
      <c r="S4" s="1" t="s">
        <v>522</v>
      </c>
      <c r="T4" s="1">
        <f t="shared" si="2"/>
        <v>2</v>
      </c>
      <c r="U4" s="1"/>
      <c r="V4" s="1"/>
      <c r="W4" s="1"/>
      <c r="X4" s="1"/>
      <c r="Y4" s="1"/>
      <c r="Z4" s="1"/>
      <c r="AA4" s="1"/>
    </row>
    <row r="5">
      <c r="A5" s="4" t="s">
        <v>427</v>
      </c>
      <c r="B5" s="1">
        <v>4.0</v>
      </c>
      <c r="C5" s="4"/>
      <c r="D5" s="4" t="s">
        <v>1089</v>
      </c>
      <c r="E5" s="1">
        <v>4.0</v>
      </c>
      <c r="F5" s="4"/>
      <c r="G5" s="1" t="s">
        <v>1151</v>
      </c>
      <c r="H5" s="4">
        <f t="shared" si="1"/>
        <v>3</v>
      </c>
      <c r="I5" s="4"/>
      <c r="J5" s="4" t="s">
        <v>1240</v>
      </c>
      <c r="K5" s="4">
        <v>4.0</v>
      </c>
      <c r="L5" s="1"/>
      <c r="M5" s="4" t="s">
        <v>1087</v>
      </c>
      <c r="N5" s="1">
        <v>3.0</v>
      </c>
      <c r="O5" s="1"/>
      <c r="P5" s="1">
        <v>10.0</v>
      </c>
      <c r="Q5" s="1">
        <v>3.0</v>
      </c>
      <c r="R5" s="1"/>
      <c r="S5" s="1" t="s">
        <v>778</v>
      </c>
      <c r="T5" s="1">
        <f t="shared" si="2"/>
        <v>3</v>
      </c>
      <c r="U5" s="1"/>
      <c r="V5" s="1"/>
      <c r="W5" s="1"/>
      <c r="X5" s="1"/>
      <c r="Y5" s="1"/>
      <c r="Z5" s="1"/>
      <c r="AA5" s="1"/>
    </row>
    <row r="6">
      <c r="A6" s="4" t="s">
        <v>1187</v>
      </c>
      <c r="B6" s="1">
        <v>5.0</v>
      </c>
      <c r="C6" s="4"/>
      <c r="D6" s="4" t="s">
        <v>1079</v>
      </c>
      <c r="E6" s="1">
        <v>5.0</v>
      </c>
      <c r="F6" s="4"/>
      <c r="G6" s="1" t="s">
        <v>1061</v>
      </c>
      <c r="H6" s="4">
        <f t="shared" si="1"/>
        <v>4</v>
      </c>
      <c r="I6" s="4"/>
      <c r="J6" s="4" t="s">
        <v>503</v>
      </c>
      <c r="K6" s="4">
        <v>0.0</v>
      </c>
      <c r="L6" s="1"/>
      <c r="M6" s="4" t="s">
        <v>1084</v>
      </c>
      <c r="N6" s="1">
        <v>4.0</v>
      </c>
      <c r="O6" s="1"/>
      <c r="P6" s="1">
        <v>12.0</v>
      </c>
      <c r="Q6" s="1">
        <v>4.0</v>
      </c>
      <c r="R6" s="1"/>
      <c r="S6" s="1" t="s">
        <v>484</v>
      </c>
      <c r="T6" s="1">
        <f t="shared" si="2"/>
        <v>4</v>
      </c>
      <c r="U6" s="1"/>
      <c r="V6" s="1"/>
      <c r="W6" s="1"/>
      <c r="X6" s="1"/>
      <c r="Y6" s="1"/>
      <c r="Z6" s="1"/>
      <c r="AA6" s="1"/>
    </row>
    <row r="7">
      <c r="A7" s="4" t="s">
        <v>1071</v>
      </c>
      <c r="B7" s="4">
        <v>6.0</v>
      </c>
      <c r="C7" s="4"/>
      <c r="D7" s="4" t="s">
        <v>421</v>
      </c>
      <c r="E7" s="1">
        <v>6.0</v>
      </c>
      <c r="F7" s="1"/>
      <c r="G7" s="1" t="s">
        <v>1063</v>
      </c>
      <c r="H7" s="4">
        <f t="shared" si="1"/>
        <v>5</v>
      </c>
      <c r="I7" s="1"/>
      <c r="J7" s="1"/>
      <c r="K7" s="1"/>
      <c r="L7" s="1"/>
      <c r="M7" s="4" t="s">
        <v>1082</v>
      </c>
      <c r="N7" s="1">
        <v>5.0</v>
      </c>
      <c r="O7" s="1"/>
      <c r="P7" s="1">
        <v>14.0</v>
      </c>
      <c r="Q7" s="1">
        <v>5.0</v>
      </c>
      <c r="R7" s="1"/>
      <c r="S7" s="1" t="s">
        <v>560</v>
      </c>
      <c r="T7" s="1">
        <f t="shared" si="2"/>
        <v>5</v>
      </c>
      <c r="U7" s="1"/>
      <c r="V7" s="1"/>
      <c r="W7" s="1"/>
      <c r="X7" s="1"/>
      <c r="Y7" s="1"/>
      <c r="Z7" s="1"/>
      <c r="AA7" s="1"/>
    </row>
    <row r="8">
      <c r="A8" s="4" t="s">
        <v>1093</v>
      </c>
      <c r="B8" s="4">
        <v>7.0</v>
      </c>
      <c r="C8" s="4"/>
      <c r="D8" s="4" t="s">
        <v>1142</v>
      </c>
      <c r="E8" s="1">
        <v>7.0</v>
      </c>
      <c r="F8" s="1"/>
      <c r="G8" s="1" t="s">
        <v>1214</v>
      </c>
      <c r="H8" s="4">
        <f t="shared" si="1"/>
        <v>6</v>
      </c>
      <c r="I8" s="1"/>
      <c r="J8" s="1"/>
      <c r="K8" s="1"/>
      <c r="L8" s="1"/>
      <c r="M8" s="4" t="s">
        <v>1320</v>
      </c>
      <c r="N8" s="1">
        <v>6.0</v>
      </c>
      <c r="O8" s="1"/>
      <c r="P8" s="1">
        <v>16.0</v>
      </c>
      <c r="Q8" s="1">
        <v>6.0</v>
      </c>
      <c r="R8" s="1"/>
      <c r="S8" s="1" t="s">
        <v>647</v>
      </c>
      <c r="T8" s="1">
        <f t="shared" si="2"/>
        <v>6</v>
      </c>
      <c r="U8" s="1"/>
      <c r="V8" s="1"/>
      <c r="W8" s="1"/>
      <c r="X8" s="1"/>
      <c r="Y8" s="1"/>
      <c r="Z8" s="1"/>
      <c r="AA8" s="1"/>
    </row>
    <row r="9">
      <c r="A9" s="4" t="s">
        <v>1096</v>
      </c>
      <c r="B9" s="4">
        <v>8.0</v>
      </c>
      <c r="C9" s="4"/>
      <c r="D9" s="4" t="s">
        <v>1136</v>
      </c>
      <c r="E9" s="1">
        <v>8.0</v>
      </c>
      <c r="F9" s="1"/>
      <c r="G9" s="1" t="s">
        <v>1201</v>
      </c>
      <c r="H9" s="4">
        <f t="shared" si="1"/>
        <v>7</v>
      </c>
      <c r="I9" s="1"/>
      <c r="J9" s="1"/>
      <c r="K9" s="1"/>
      <c r="L9" s="1"/>
      <c r="M9" s="4" t="s">
        <v>1352</v>
      </c>
      <c r="N9" s="1">
        <v>7.0</v>
      </c>
      <c r="O9" s="1"/>
      <c r="P9" s="1">
        <v>18.0</v>
      </c>
      <c r="Q9" s="1">
        <v>7.0</v>
      </c>
      <c r="R9" s="1"/>
      <c r="S9" s="1" t="s">
        <v>651</v>
      </c>
      <c r="T9" s="1">
        <f t="shared" si="2"/>
        <v>7</v>
      </c>
      <c r="U9" s="1"/>
      <c r="V9" s="1"/>
      <c r="W9" s="1"/>
      <c r="X9" s="1"/>
      <c r="Y9" s="1"/>
      <c r="Z9" s="1"/>
      <c r="AA9" s="1"/>
    </row>
    <row r="10">
      <c r="A10" s="1"/>
      <c r="B10" s="1"/>
      <c r="C10" s="4"/>
      <c r="D10" s="4" t="s">
        <v>1185</v>
      </c>
      <c r="E10" s="1">
        <v>9.0</v>
      </c>
      <c r="F10" s="1"/>
      <c r="G10" s="1" t="s">
        <v>1233</v>
      </c>
      <c r="H10" s="4">
        <f t="shared" si="1"/>
        <v>8</v>
      </c>
      <c r="I10" s="1"/>
      <c r="J10" s="1"/>
      <c r="K10" s="1"/>
      <c r="L10" s="1"/>
      <c r="M10" s="4" t="s">
        <v>1083</v>
      </c>
      <c r="N10" s="1">
        <v>8.0</v>
      </c>
      <c r="O10" s="1"/>
      <c r="P10" s="1">
        <v>20.0</v>
      </c>
      <c r="Q10" s="1">
        <v>8.0</v>
      </c>
      <c r="R10" s="1"/>
      <c r="S10" s="1" t="s">
        <v>539</v>
      </c>
      <c r="T10" s="1">
        <f t="shared" si="2"/>
        <v>8</v>
      </c>
      <c r="U10" s="1"/>
      <c r="V10" s="1"/>
      <c r="W10" s="1"/>
      <c r="X10" s="1"/>
      <c r="Y10" s="1"/>
      <c r="Z10" s="1"/>
      <c r="AA10" s="1"/>
    </row>
    <row r="11">
      <c r="A11" s="1"/>
      <c r="B11" s="1"/>
      <c r="C11" s="4"/>
      <c r="D11" s="4" t="s">
        <v>1173</v>
      </c>
      <c r="E11" s="1">
        <v>10.0</v>
      </c>
      <c r="F11" s="1"/>
      <c r="G11" s="1" t="s">
        <v>1235</v>
      </c>
      <c r="H11" s="4">
        <f t="shared" si="1"/>
        <v>9</v>
      </c>
      <c r="I11" s="1"/>
      <c r="J11" s="1"/>
      <c r="K11" s="1"/>
      <c r="L11" s="1"/>
      <c r="M11" s="4" t="s">
        <v>1453</v>
      </c>
      <c r="N11" s="1">
        <v>9.0</v>
      </c>
      <c r="O11" s="1"/>
      <c r="P11" s="1">
        <v>22.0</v>
      </c>
      <c r="Q11" s="1">
        <v>9.0</v>
      </c>
      <c r="R11" s="1"/>
      <c r="S11" s="1" t="s">
        <v>879</v>
      </c>
      <c r="T11" s="1">
        <f t="shared" si="2"/>
        <v>9</v>
      </c>
      <c r="U11" s="1"/>
      <c r="V11" s="1"/>
      <c r="W11" s="1"/>
      <c r="X11" s="1"/>
      <c r="Y11" s="1"/>
      <c r="Z11" s="1"/>
      <c r="AA11" s="1"/>
    </row>
    <row r="12">
      <c r="A12" s="1"/>
      <c r="B12" s="1"/>
      <c r="C12" s="4"/>
      <c r="D12" s="4" t="s">
        <v>1171</v>
      </c>
      <c r="E12" s="1">
        <v>11.0</v>
      </c>
      <c r="F12" s="1"/>
      <c r="G12" s="1" t="s">
        <v>1236</v>
      </c>
      <c r="H12" s="4">
        <f t="shared" si="1"/>
        <v>10</v>
      </c>
      <c r="I12" s="1"/>
      <c r="J12" s="1"/>
      <c r="K12" s="1"/>
      <c r="L12" s="1"/>
      <c r="M12" s="4" t="s">
        <v>1062</v>
      </c>
      <c r="N12" s="1">
        <v>10.0</v>
      </c>
      <c r="O12" s="1"/>
      <c r="P12" s="1">
        <v>24.0</v>
      </c>
      <c r="Q12" s="1">
        <v>10.0</v>
      </c>
      <c r="R12" s="1"/>
      <c r="S12" s="1" t="s">
        <v>526</v>
      </c>
      <c r="T12" s="1">
        <f t="shared" si="2"/>
        <v>10</v>
      </c>
      <c r="U12" s="1"/>
      <c r="V12" s="1"/>
      <c r="W12" s="1"/>
      <c r="X12" s="1"/>
      <c r="Y12" s="1"/>
      <c r="Z12" s="1"/>
      <c r="AA12" s="1"/>
    </row>
    <row r="13">
      <c r="A13" s="1"/>
      <c r="B13" s="1"/>
      <c r="C13" s="4"/>
      <c r="D13" s="4" t="s">
        <v>1094</v>
      </c>
      <c r="E13" s="1">
        <v>12.0</v>
      </c>
      <c r="F13" s="1"/>
      <c r="G13" s="1" t="s">
        <v>1358</v>
      </c>
      <c r="H13" s="4">
        <f t="shared" si="1"/>
        <v>11</v>
      </c>
      <c r="I13" s="1"/>
      <c r="J13" s="1"/>
      <c r="K13" s="1"/>
      <c r="L13" s="1"/>
      <c r="M13" s="4" t="s">
        <v>1364</v>
      </c>
      <c r="N13" s="1">
        <v>11.0</v>
      </c>
      <c r="O13" s="1"/>
      <c r="P13" s="1">
        <v>26.0</v>
      </c>
      <c r="Q13" s="1">
        <v>11.0</v>
      </c>
      <c r="R13" s="1"/>
      <c r="S13" s="1" t="s">
        <v>704</v>
      </c>
      <c r="T13" s="1">
        <f t="shared" si="2"/>
        <v>11</v>
      </c>
      <c r="U13" s="1"/>
      <c r="V13" s="1"/>
      <c r="W13" s="1"/>
      <c r="X13" s="1"/>
      <c r="Y13" s="1"/>
      <c r="Z13" s="1"/>
      <c r="AA13" s="1"/>
    </row>
    <row r="14">
      <c r="A14" s="1"/>
      <c r="B14" s="1"/>
      <c r="C14" s="4"/>
      <c r="D14" s="4" t="s">
        <v>1096</v>
      </c>
      <c r="E14" s="1">
        <v>13.0</v>
      </c>
      <c r="F14" s="1"/>
      <c r="G14" s="1" t="s">
        <v>1360</v>
      </c>
      <c r="H14" s="4">
        <f t="shared" si="1"/>
        <v>12</v>
      </c>
      <c r="I14" s="1"/>
      <c r="J14" s="1"/>
      <c r="K14" s="1"/>
      <c r="L14" s="1"/>
      <c r="M14" s="4" t="s">
        <v>1066</v>
      </c>
      <c r="N14" s="1">
        <v>12.0</v>
      </c>
      <c r="O14" s="1"/>
      <c r="P14" s="1">
        <v>28.0</v>
      </c>
      <c r="Q14" s="1">
        <v>12.0</v>
      </c>
      <c r="R14" s="1"/>
      <c r="S14" s="1" t="s">
        <v>729</v>
      </c>
      <c r="T14" s="1">
        <f t="shared" si="2"/>
        <v>12</v>
      </c>
      <c r="U14" s="1"/>
      <c r="V14" s="1"/>
      <c r="W14" s="1"/>
      <c r="X14" s="1"/>
      <c r="Y14" s="1"/>
      <c r="Z14" s="1"/>
      <c r="AA14" s="1"/>
    </row>
    <row r="15">
      <c r="A15" s="1"/>
      <c r="B15" s="1"/>
      <c r="C15" s="4"/>
      <c r="D15" s="4" t="s">
        <v>1100</v>
      </c>
      <c r="E15" s="1">
        <v>14.0</v>
      </c>
      <c r="F15" s="1"/>
      <c r="G15" s="1" t="s">
        <v>806</v>
      </c>
      <c r="H15" s="4">
        <f t="shared" si="1"/>
        <v>13</v>
      </c>
      <c r="I15" s="1"/>
      <c r="J15" s="1"/>
      <c r="K15" s="1"/>
      <c r="L15" s="1"/>
      <c r="M15" s="4" t="s">
        <v>1454</v>
      </c>
      <c r="N15" s="1">
        <v>13.0</v>
      </c>
      <c r="O15" s="1"/>
      <c r="P15" s="1">
        <v>30.0</v>
      </c>
      <c r="Q15" s="1">
        <v>13.0</v>
      </c>
      <c r="R15" s="1"/>
      <c r="S15" s="1" t="s">
        <v>587</v>
      </c>
      <c r="T15" s="1">
        <f t="shared" si="2"/>
        <v>13</v>
      </c>
      <c r="U15" s="1"/>
      <c r="V15" s="1"/>
      <c r="W15" s="1"/>
      <c r="X15" s="1"/>
      <c r="Y15" s="1"/>
      <c r="Z15" s="1"/>
      <c r="AA15" s="1"/>
    </row>
    <row r="16">
      <c r="A16" s="1"/>
      <c r="B16" s="1"/>
      <c r="C16" s="4"/>
      <c r="D16" s="4" t="s">
        <v>1104</v>
      </c>
      <c r="E16" s="1">
        <v>15.0</v>
      </c>
      <c r="F16" s="1"/>
      <c r="G16" s="1" t="s">
        <v>1176</v>
      </c>
      <c r="H16" s="4">
        <f t="shared" si="1"/>
        <v>14</v>
      </c>
      <c r="I16" s="1"/>
      <c r="J16" s="1"/>
      <c r="K16" s="1"/>
      <c r="L16" s="1"/>
      <c r="M16" s="4" t="s">
        <v>1122</v>
      </c>
      <c r="N16" s="1">
        <v>14.0</v>
      </c>
      <c r="O16" s="1"/>
      <c r="P16" s="1">
        <v>32.0</v>
      </c>
      <c r="Q16" s="1">
        <v>14.0</v>
      </c>
      <c r="R16" s="1"/>
      <c r="S16" s="1" t="s">
        <v>831</v>
      </c>
      <c r="T16" s="1">
        <f t="shared" si="2"/>
        <v>14</v>
      </c>
      <c r="U16" s="1"/>
      <c r="V16" s="1"/>
      <c r="W16" s="1"/>
      <c r="X16" s="1"/>
      <c r="Y16" s="1"/>
      <c r="Z16" s="1"/>
      <c r="AA16" s="1"/>
    </row>
    <row r="17">
      <c r="A17" s="1"/>
      <c r="B17" s="1"/>
      <c r="C17" s="4"/>
      <c r="D17" s="4" t="s">
        <v>1106</v>
      </c>
      <c r="E17" s="1">
        <v>16.0</v>
      </c>
      <c r="F17" s="1"/>
      <c r="G17" s="1" t="s">
        <v>1322</v>
      </c>
      <c r="H17" s="4">
        <f t="shared" si="1"/>
        <v>15</v>
      </c>
      <c r="I17" s="1"/>
      <c r="J17" s="1"/>
      <c r="K17" s="1"/>
      <c r="L17" s="1"/>
      <c r="M17" s="4" t="s">
        <v>1359</v>
      </c>
      <c r="N17" s="1">
        <v>15.0</v>
      </c>
      <c r="O17" s="1"/>
      <c r="P17" s="1">
        <v>34.0</v>
      </c>
      <c r="Q17" s="1">
        <v>15.0</v>
      </c>
      <c r="R17" s="1"/>
      <c r="S17" s="1" t="s">
        <v>884</v>
      </c>
      <c r="T17" s="1">
        <f t="shared" si="2"/>
        <v>15</v>
      </c>
      <c r="U17" s="1"/>
      <c r="V17" s="1"/>
      <c r="W17" s="1"/>
      <c r="X17" s="1"/>
      <c r="Y17" s="1"/>
      <c r="Z17" s="1"/>
      <c r="AA17" s="1"/>
    </row>
    <row r="18">
      <c r="A18" s="1"/>
      <c r="B18" s="1"/>
      <c r="C18" s="4"/>
      <c r="D18" s="4" t="s">
        <v>418</v>
      </c>
      <c r="E18" s="1">
        <v>17.0</v>
      </c>
      <c r="F18" s="1"/>
      <c r="G18" s="1" t="s">
        <v>1073</v>
      </c>
      <c r="H18" s="4">
        <f t="shared" si="1"/>
        <v>16</v>
      </c>
      <c r="I18" s="1"/>
      <c r="J18" s="1"/>
      <c r="K18" s="1"/>
      <c r="L18" s="1"/>
      <c r="M18" s="4" t="s">
        <v>1069</v>
      </c>
      <c r="N18" s="1">
        <v>16.0</v>
      </c>
      <c r="O18" s="1"/>
      <c r="P18" s="1">
        <v>36.0</v>
      </c>
      <c r="Q18" s="1">
        <v>16.0</v>
      </c>
      <c r="R18" s="1"/>
      <c r="S18" s="1" t="s">
        <v>658</v>
      </c>
      <c r="T18" s="1">
        <f t="shared" si="2"/>
        <v>16</v>
      </c>
      <c r="U18" s="1"/>
      <c r="V18" s="1"/>
      <c r="W18" s="1"/>
      <c r="X18" s="1"/>
      <c r="Y18" s="1"/>
      <c r="Z18" s="1"/>
      <c r="AA18" s="1"/>
    </row>
    <row r="19">
      <c r="A19" s="1"/>
      <c r="B19" s="1"/>
      <c r="C19" s="4"/>
      <c r="D19" s="4" t="s">
        <v>1112</v>
      </c>
      <c r="E19" s="1">
        <v>18.0</v>
      </c>
      <c r="F19" s="1"/>
      <c r="G19" s="1" t="s">
        <v>1342</v>
      </c>
      <c r="H19" s="4">
        <f t="shared" si="1"/>
        <v>17</v>
      </c>
      <c r="I19" s="1"/>
      <c r="J19" s="1"/>
      <c r="K19" s="1"/>
      <c r="L19" s="1"/>
      <c r="M19" s="4" t="s">
        <v>1069</v>
      </c>
      <c r="N19" s="1">
        <v>17.0</v>
      </c>
      <c r="O19" s="1"/>
      <c r="P19" s="1" t="s">
        <v>1075</v>
      </c>
      <c r="Q19" s="1">
        <v>18.0</v>
      </c>
      <c r="R19" s="1"/>
      <c r="S19" s="1" t="s">
        <v>463</v>
      </c>
      <c r="T19" s="1">
        <f t="shared" si="2"/>
        <v>17</v>
      </c>
      <c r="U19" s="1"/>
      <c r="V19" s="1"/>
      <c r="W19" s="1"/>
      <c r="X19" s="1"/>
      <c r="Y19" s="1"/>
      <c r="Z19" s="1"/>
      <c r="AA19" s="1"/>
    </row>
    <row r="20">
      <c r="A20" s="1"/>
      <c r="B20" s="1"/>
      <c r="C20" s="4"/>
      <c r="D20" s="4" t="s">
        <v>1113</v>
      </c>
      <c r="E20" s="1">
        <v>19.0</v>
      </c>
      <c r="F20" s="1"/>
      <c r="G20" s="1" t="s">
        <v>1305</v>
      </c>
      <c r="H20" s="4">
        <f t="shared" si="1"/>
        <v>18</v>
      </c>
      <c r="I20" s="1"/>
      <c r="J20" s="1"/>
      <c r="K20" s="1"/>
      <c r="L20" s="1"/>
      <c r="M20" s="4" t="s">
        <v>1085</v>
      </c>
      <c r="N20" s="1">
        <v>18.0</v>
      </c>
      <c r="O20" s="1"/>
      <c r="P20" s="1" t="s">
        <v>1368</v>
      </c>
      <c r="Q20" s="1">
        <v>19.0</v>
      </c>
      <c r="R20" s="1"/>
      <c r="S20" s="1" t="s">
        <v>481</v>
      </c>
      <c r="T20" s="1">
        <f t="shared" si="2"/>
        <v>18</v>
      </c>
      <c r="U20" s="1"/>
      <c r="V20" s="1"/>
      <c r="W20" s="1"/>
      <c r="X20" s="1"/>
      <c r="Y20" s="1"/>
      <c r="Z20" s="1"/>
      <c r="AA20" s="1"/>
    </row>
    <row r="21">
      <c r="A21" s="1"/>
      <c r="B21" s="1"/>
      <c r="C21" s="4"/>
      <c r="D21" s="4" t="s">
        <v>1115</v>
      </c>
      <c r="E21" s="1">
        <v>20.0</v>
      </c>
      <c r="F21" s="1"/>
      <c r="G21" s="1" t="s">
        <v>1304</v>
      </c>
      <c r="H21" s="4">
        <f t="shared" si="1"/>
        <v>19</v>
      </c>
      <c r="I21" s="1"/>
      <c r="J21" s="1"/>
      <c r="K21" s="1"/>
      <c r="L21" s="1"/>
      <c r="M21" s="4" t="s">
        <v>1088</v>
      </c>
      <c r="N21" s="1">
        <v>19.0</v>
      </c>
      <c r="O21" s="1"/>
      <c r="P21" s="1" t="s">
        <v>1361</v>
      </c>
      <c r="Q21" s="1">
        <v>20.0</v>
      </c>
      <c r="R21" s="1"/>
      <c r="S21" s="1" t="s">
        <v>573</v>
      </c>
      <c r="T21" s="1">
        <f t="shared" si="2"/>
        <v>19</v>
      </c>
      <c r="U21" s="1"/>
      <c r="V21" s="1"/>
      <c r="W21" s="1"/>
      <c r="X21" s="1"/>
      <c r="Y21" s="1"/>
      <c r="Z21" s="1"/>
      <c r="AA21" s="1"/>
    </row>
    <row r="22">
      <c r="A22" s="1"/>
      <c r="B22" s="1"/>
      <c r="C22" s="4"/>
      <c r="D22" s="4" t="s">
        <v>1124</v>
      </c>
      <c r="E22" s="1">
        <v>21.0</v>
      </c>
      <c r="F22" s="1"/>
      <c r="G22" s="1" t="s">
        <v>1329</v>
      </c>
      <c r="H22" s="4">
        <f t="shared" si="1"/>
        <v>20</v>
      </c>
      <c r="I22" s="1"/>
      <c r="J22" s="1"/>
      <c r="K22" s="1"/>
      <c r="L22" s="1"/>
      <c r="M22" s="4" t="s">
        <v>1116</v>
      </c>
      <c r="N22" s="1">
        <f>N21+1</f>
        <v>20</v>
      </c>
      <c r="O22" s="1"/>
      <c r="P22" s="1" t="s">
        <v>1353</v>
      </c>
      <c r="Q22" s="1">
        <v>21.0</v>
      </c>
      <c r="R22" s="1"/>
      <c r="S22" s="1" t="s">
        <v>628</v>
      </c>
      <c r="T22" s="1">
        <f t="shared" si="2"/>
        <v>20</v>
      </c>
      <c r="U22" s="1"/>
      <c r="V22" s="1"/>
      <c r="W22" s="1"/>
      <c r="X22" s="1"/>
      <c r="Y22" s="1"/>
      <c r="Z22" s="1"/>
      <c r="AA22" s="1"/>
    </row>
    <row r="23">
      <c r="A23" s="1"/>
      <c r="B23" s="1"/>
      <c r="C23" s="4"/>
      <c r="D23" s="4" t="s">
        <v>1110</v>
      </c>
      <c r="E23" s="1">
        <v>22.0</v>
      </c>
      <c r="F23" s="1"/>
      <c r="G23" s="1" t="s">
        <v>1306</v>
      </c>
      <c r="H23" s="4">
        <f t="shared" si="1"/>
        <v>21</v>
      </c>
      <c r="I23" s="1"/>
      <c r="J23" s="1"/>
      <c r="K23" s="1"/>
      <c r="L23" s="1"/>
      <c r="M23" s="1"/>
      <c r="N23" s="1"/>
      <c r="O23" s="1"/>
      <c r="P23" s="1" t="s">
        <v>1354</v>
      </c>
      <c r="Q23" s="1">
        <v>22.0</v>
      </c>
      <c r="R23" s="1"/>
      <c r="S23" s="1" t="s">
        <v>670</v>
      </c>
      <c r="T23" s="1">
        <f t="shared" si="2"/>
        <v>21</v>
      </c>
      <c r="U23" s="1"/>
      <c r="V23" s="1"/>
      <c r="W23" s="1"/>
      <c r="X23" s="1"/>
      <c r="Y23" s="1"/>
      <c r="Z23" s="1"/>
      <c r="AA23" s="1"/>
    </row>
    <row r="24">
      <c r="A24" s="1"/>
      <c r="B24" s="1"/>
      <c r="C24" s="4"/>
      <c r="D24" s="4" t="s">
        <v>1132</v>
      </c>
      <c r="E24" s="1">
        <v>23.0</v>
      </c>
      <c r="F24" s="1"/>
      <c r="G24" s="1" t="s">
        <v>1341</v>
      </c>
      <c r="H24" s="4">
        <f t="shared" si="1"/>
        <v>22</v>
      </c>
      <c r="I24" s="1"/>
      <c r="J24" s="1"/>
      <c r="K24" s="1"/>
      <c r="L24" s="1"/>
      <c r="M24" s="1"/>
      <c r="N24" s="1"/>
      <c r="O24" s="1"/>
      <c r="P24" s="1" t="s">
        <v>1165</v>
      </c>
      <c r="Q24" s="1">
        <v>23.0</v>
      </c>
      <c r="R24" s="1"/>
      <c r="S24" s="1" t="s">
        <v>546</v>
      </c>
      <c r="T24" s="1">
        <f t="shared" si="2"/>
        <v>22</v>
      </c>
      <c r="U24" s="1"/>
      <c r="V24" s="1"/>
      <c r="W24" s="1"/>
      <c r="X24" s="1"/>
      <c r="Y24" s="1"/>
      <c r="Z24" s="1"/>
      <c r="AA24" s="1"/>
    </row>
    <row r="25">
      <c r="A25" s="1"/>
      <c r="B25" s="1"/>
      <c r="C25" s="4"/>
      <c r="D25" s="4" t="s">
        <v>426</v>
      </c>
      <c r="E25" s="1">
        <v>24.0</v>
      </c>
      <c r="F25" s="1"/>
      <c r="G25" s="1" t="s">
        <v>1307</v>
      </c>
      <c r="H25" s="4">
        <f t="shared" si="1"/>
        <v>23</v>
      </c>
      <c r="I25" s="1"/>
      <c r="J25" s="1"/>
      <c r="K25" s="1"/>
      <c r="L25" s="1"/>
      <c r="M25" s="1"/>
      <c r="N25" s="1"/>
      <c r="O25" s="1"/>
      <c r="P25" s="1" t="s">
        <v>1218</v>
      </c>
      <c r="Q25" s="1">
        <v>24.0</v>
      </c>
      <c r="R25" s="1"/>
      <c r="S25" s="1" t="s">
        <v>712</v>
      </c>
      <c r="T25" s="1">
        <f t="shared" si="2"/>
        <v>23</v>
      </c>
      <c r="U25" s="1"/>
      <c r="V25" s="1"/>
      <c r="W25" s="1"/>
      <c r="X25" s="1"/>
      <c r="Y25" s="1"/>
      <c r="Z25" s="1"/>
      <c r="AA25" s="1"/>
    </row>
    <row r="26">
      <c r="A26" s="1"/>
      <c r="B26" s="1"/>
      <c r="C26" s="4"/>
      <c r="D26" s="4" t="s">
        <v>1162</v>
      </c>
      <c r="E26" s="1">
        <v>25.0</v>
      </c>
      <c r="F26" s="1"/>
      <c r="G26" s="1" t="s">
        <v>1178</v>
      </c>
      <c r="H26" s="4">
        <f t="shared" si="1"/>
        <v>24</v>
      </c>
      <c r="I26" s="1"/>
      <c r="J26" s="1"/>
      <c r="K26" s="1"/>
      <c r="L26" s="1"/>
      <c r="M26" s="1"/>
      <c r="N26" s="1"/>
      <c r="O26" s="1"/>
      <c r="P26" s="1" t="s">
        <v>1164</v>
      </c>
      <c r="Q26" s="1">
        <v>25.0</v>
      </c>
      <c r="R26" s="1"/>
      <c r="S26" s="1" t="s">
        <v>1006</v>
      </c>
      <c r="T26" s="1">
        <f t="shared" si="2"/>
        <v>24</v>
      </c>
      <c r="U26" s="1"/>
      <c r="V26" s="1"/>
      <c r="W26" s="1"/>
      <c r="X26" s="1"/>
      <c r="Y26" s="1"/>
      <c r="Z26" s="1"/>
      <c r="AA26" s="1"/>
    </row>
    <row r="27">
      <c r="A27" s="1"/>
      <c r="B27" s="1"/>
      <c r="C27" s="4"/>
      <c r="D27" s="4" t="s">
        <v>1194</v>
      </c>
      <c r="E27" s="1">
        <v>26.0</v>
      </c>
      <c r="F27" s="1"/>
      <c r="G27" s="1" t="s">
        <v>1249</v>
      </c>
      <c r="H27" s="4">
        <f t="shared" si="1"/>
        <v>25</v>
      </c>
      <c r="I27" s="1"/>
      <c r="J27" s="1"/>
      <c r="K27" s="1"/>
      <c r="L27" s="1"/>
      <c r="M27" s="1"/>
      <c r="N27" s="1"/>
      <c r="O27" s="1"/>
      <c r="P27" s="1" t="s">
        <v>1074</v>
      </c>
      <c r="Q27" s="1">
        <v>26.0</v>
      </c>
      <c r="R27" s="1"/>
      <c r="S27" s="1" t="s">
        <v>457</v>
      </c>
      <c r="T27" s="1">
        <f t="shared" si="2"/>
        <v>25</v>
      </c>
      <c r="U27" s="1"/>
      <c r="V27" s="1"/>
      <c r="W27" s="1"/>
      <c r="X27" s="1"/>
      <c r="Y27" s="1"/>
      <c r="Z27" s="1"/>
      <c r="AA27" s="1"/>
    </row>
    <row r="28">
      <c r="A28" s="1"/>
      <c r="B28" s="1"/>
      <c r="C28" s="4"/>
      <c r="D28" s="4" t="s">
        <v>1238</v>
      </c>
      <c r="E28" s="1">
        <v>27.0</v>
      </c>
      <c r="F28" s="1"/>
      <c r="G28" s="1" t="s">
        <v>1250</v>
      </c>
      <c r="H28" s="4">
        <f t="shared" si="1"/>
        <v>26</v>
      </c>
      <c r="I28" s="1"/>
      <c r="J28" s="1"/>
      <c r="K28" s="1"/>
      <c r="L28" s="1"/>
      <c r="M28" s="1"/>
      <c r="N28" s="1"/>
      <c r="O28" s="1"/>
      <c r="P28" s="1" t="s">
        <v>1168</v>
      </c>
      <c r="Q28" s="1">
        <v>27.0</v>
      </c>
      <c r="R28" s="1"/>
      <c r="S28" s="1" t="s">
        <v>616</v>
      </c>
      <c r="T28" s="1">
        <f t="shared" si="2"/>
        <v>26</v>
      </c>
      <c r="U28" s="1"/>
      <c r="V28" s="1"/>
      <c r="W28" s="1"/>
      <c r="X28" s="1"/>
      <c r="Y28" s="1"/>
      <c r="Z28" s="1"/>
      <c r="AA28" s="1"/>
    </row>
    <row r="29">
      <c r="A29" s="1"/>
      <c r="B29" s="1"/>
      <c r="C29" s="4"/>
      <c r="D29" s="4" t="s">
        <v>1248</v>
      </c>
      <c r="E29" s="1">
        <v>28.0</v>
      </c>
      <c r="F29" s="1"/>
      <c r="G29" s="1" t="s">
        <v>1251</v>
      </c>
      <c r="H29" s="4">
        <f t="shared" si="1"/>
        <v>27</v>
      </c>
      <c r="I29" s="1"/>
      <c r="J29" s="1"/>
      <c r="K29" s="1"/>
      <c r="L29" s="1"/>
      <c r="M29" s="1"/>
      <c r="N29" s="1"/>
      <c r="O29" s="1"/>
      <c r="P29" s="1" t="s">
        <v>1217</v>
      </c>
      <c r="Q29" s="1">
        <v>28.0</v>
      </c>
      <c r="R29" s="1"/>
      <c r="S29" s="1" t="s">
        <v>613</v>
      </c>
      <c r="T29" s="1">
        <f t="shared" si="2"/>
        <v>27</v>
      </c>
      <c r="U29" s="1"/>
      <c r="V29" s="1"/>
      <c r="W29" s="1"/>
      <c r="X29" s="1"/>
      <c r="Y29" s="1"/>
      <c r="Z29" s="1"/>
      <c r="AA29" s="1"/>
    </row>
    <row r="30">
      <c r="A30" s="1"/>
      <c r="B30" s="1"/>
      <c r="C30" s="4"/>
      <c r="D30" s="4" t="s">
        <v>1256</v>
      </c>
      <c r="E30" s="1">
        <v>29.0</v>
      </c>
      <c r="F30" s="1"/>
      <c r="G30" s="1" t="s">
        <v>1252</v>
      </c>
      <c r="H30" s="4">
        <f t="shared" si="1"/>
        <v>28</v>
      </c>
      <c r="I30" s="1"/>
      <c r="J30" s="1"/>
      <c r="K30" s="1"/>
      <c r="L30" s="1"/>
      <c r="M30" s="1"/>
      <c r="N30" s="1"/>
      <c r="O30" s="1"/>
      <c r="P30" s="1" t="s">
        <v>1221</v>
      </c>
      <c r="Q30" s="1">
        <v>29.0</v>
      </c>
      <c r="R30" s="1"/>
      <c r="S30" s="1" t="s">
        <v>926</v>
      </c>
      <c r="T30" s="1">
        <f t="shared" si="2"/>
        <v>28</v>
      </c>
      <c r="U30" s="1"/>
      <c r="V30" s="1"/>
      <c r="W30" s="1"/>
      <c r="X30" s="1"/>
      <c r="Y30" s="1"/>
      <c r="Z30" s="1"/>
      <c r="AA30" s="1"/>
    </row>
    <row r="31">
      <c r="A31" s="1"/>
      <c r="B31" s="1"/>
      <c r="C31" s="4"/>
      <c r="D31" s="4" t="s">
        <v>1261</v>
      </c>
      <c r="E31" s="1">
        <v>30.0</v>
      </c>
      <c r="F31" s="1"/>
      <c r="G31" s="1" t="s">
        <v>1253</v>
      </c>
      <c r="H31" s="4">
        <f t="shared" si="1"/>
        <v>29</v>
      </c>
      <c r="I31" s="1"/>
      <c r="J31" s="1"/>
      <c r="K31" s="1"/>
      <c r="L31" s="1"/>
      <c r="M31" s="1"/>
      <c r="N31" s="1"/>
      <c r="O31" s="1"/>
      <c r="P31" s="1" t="s">
        <v>1103</v>
      </c>
      <c r="Q31" s="1">
        <v>30.0</v>
      </c>
      <c r="R31" s="1"/>
      <c r="S31" s="1" t="s">
        <v>954</v>
      </c>
      <c r="T31" s="1">
        <f t="shared" si="2"/>
        <v>29</v>
      </c>
      <c r="U31" s="1"/>
      <c r="V31" s="1"/>
      <c r="W31" s="1"/>
      <c r="X31" s="1"/>
      <c r="Y31" s="1"/>
      <c r="Z31" s="1"/>
      <c r="AA31" s="1"/>
    </row>
    <row r="32">
      <c r="A32" s="1"/>
      <c r="B32" s="1"/>
      <c r="C32" s="4"/>
      <c r="D32" s="4" t="s">
        <v>1269</v>
      </c>
      <c r="E32" s="1">
        <v>31.0</v>
      </c>
      <c r="F32" s="1"/>
      <c r="G32" s="1" t="s">
        <v>1254</v>
      </c>
      <c r="H32" s="4">
        <f t="shared" si="1"/>
        <v>30</v>
      </c>
      <c r="I32" s="1"/>
      <c r="J32" s="1"/>
      <c r="K32" s="1"/>
      <c r="L32" s="1"/>
      <c r="M32" s="1"/>
      <c r="N32" s="1"/>
      <c r="O32" s="1"/>
      <c r="P32" s="1" t="s">
        <v>1070</v>
      </c>
      <c r="Q32" s="1">
        <v>31.0</v>
      </c>
      <c r="R32" s="1"/>
      <c r="S32" s="1" t="s">
        <v>966</v>
      </c>
      <c r="T32" s="1">
        <f t="shared" si="2"/>
        <v>30</v>
      </c>
      <c r="U32" s="1"/>
      <c r="V32" s="1"/>
      <c r="W32" s="1"/>
      <c r="X32" s="1"/>
      <c r="Y32" s="1"/>
      <c r="Z32" s="1"/>
      <c r="AA32" s="1"/>
    </row>
    <row r="33">
      <c r="A33" s="1"/>
      <c r="B33" s="1"/>
      <c r="C33" s="4"/>
      <c r="D33" s="4" t="s">
        <v>1276</v>
      </c>
      <c r="E33" s="1">
        <v>32.0</v>
      </c>
      <c r="F33" s="1"/>
      <c r="G33" s="1" t="s">
        <v>1255</v>
      </c>
      <c r="H33" s="4">
        <f t="shared" si="1"/>
        <v>31</v>
      </c>
      <c r="I33" s="1"/>
      <c r="J33" s="1"/>
      <c r="K33" s="1"/>
      <c r="L33" s="1"/>
      <c r="M33" s="1"/>
      <c r="N33" s="1"/>
      <c r="O33" s="1"/>
      <c r="P33" s="1" t="s">
        <v>1077</v>
      </c>
      <c r="Q33" s="1">
        <v>32.0</v>
      </c>
      <c r="R33" s="1"/>
      <c r="S33" s="1" t="s">
        <v>934</v>
      </c>
      <c r="T33" s="1">
        <f t="shared" si="2"/>
        <v>31</v>
      </c>
      <c r="U33" s="1"/>
      <c r="V33" s="1"/>
      <c r="W33" s="1"/>
      <c r="X33" s="1"/>
      <c r="Y33" s="1"/>
      <c r="Z33" s="1"/>
      <c r="AA33" s="1"/>
    </row>
    <row r="34">
      <c r="A34" s="1"/>
      <c r="B34" s="1"/>
      <c r="C34" s="4"/>
      <c r="D34" s="4" t="s">
        <v>1294</v>
      </c>
      <c r="E34" s="1">
        <v>33.0</v>
      </c>
      <c r="F34" s="1"/>
      <c r="G34" s="1" t="s">
        <v>1434</v>
      </c>
      <c r="H34" s="4">
        <f t="shared" si="1"/>
        <v>32</v>
      </c>
      <c r="I34" s="1"/>
      <c r="J34" s="1"/>
      <c r="K34" s="1"/>
      <c r="L34" s="1"/>
      <c r="M34" s="1"/>
      <c r="N34" s="1"/>
      <c r="O34" s="1"/>
      <c r="P34" s="1" t="s">
        <v>1204</v>
      </c>
      <c r="Q34" s="1">
        <v>33.0</v>
      </c>
      <c r="R34" s="1"/>
      <c r="S34" s="1" t="s">
        <v>949</v>
      </c>
      <c r="T34" s="1">
        <f t="shared" si="2"/>
        <v>32</v>
      </c>
      <c r="U34" s="1"/>
      <c r="V34" s="1"/>
      <c r="W34" s="1"/>
      <c r="X34" s="1"/>
      <c r="Y34" s="1"/>
      <c r="Z34" s="1"/>
      <c r="AA34" s="1"/>
    </row>
    <row r="35">
      <c r="A35" s="1"/>
      <c r="B35" s="1"/>
      <c r="C35" s="4"/>
      <c r="D35" s="4" t="s">
        <v>1280</v>
      </c>
      <c r="E35" s="1">
        <v>34.0</v>
      </c>
      <c r="F35" s="1"/>
      <c r="G35" s="1" t="s">
        <v>1349</v>
      </c>
      <c r="H35" s="4">
        <f t="shared" si="1"/>
        <v>33</v>
      </c>
      <c r="I35" s="1"/>
      <c r="J35" s="1"/>
      <c r="K35" s="1"/>
      <c r="L35" s="1"/>
      <c r="M35" s="1"/>
      <c r="N35" s="1"/>
      <c r="O35" s="1"/>
      <c r="P35" s="1" t="s">
        <v>1189</v>
      </c>
      <c r="Q35" s="1">
        <v>34.0</v>
      </c>
      <c r="R35" s="1"/>
      <c r="S35" s="1" t="s">
        <v>940</v>
      </c>
      <c r="T35" s="1">
        <f t="shared" si="2"/>
        <v>33</v>
      </c>
      <c r="U35" s="1"/>
      <c r="V35" s="1"/>
      <c r="W35" s="1"/>
      <c r="X35" s="1"/>
      <c r="Y35" s="1"/>
      <c r="Z35" s="1"/>
      <c r="AA35" s="1"/>
    </row>
    <row r="36">
      <c r="A36" s="1"/>
      <c r="B36" s="1"/>
      <c r="C36" s="4"/>
      <c r="D36" s="4" t="s">
        <v>420</v>
      </c>
      <c r="E36" s="1">
        <v>35.0</v>
      </c>
      <c r="F36" s="1"/>
      <c r="G36" s="1" t="s">
        <v>1139</v>
      </c>
      <c r="H36" s="4">
        <f t="shared" si="1"/>
        <v>34</v>
      </c>
      <c r="I36" s="1"/>
      <c r="J36" s="1"/>
      <c r="K36" s="1"/>
      <c r="L36" s="1"/>
      <c r="M36" s="1"/>
      <c r="N36" s="1"/>
      <c r="O36" s="1"/>
      <c r="P36" s="1"/>
      <c r="Q36" s="1"/>
      <c r="R36" s="1"/>
      <c r="S36" s="1" t="s">
        <v>937</v>
      </c>
      <c r="T36" s="1">
        <f t="shared" si="2"/>
        <v>34</v>
      </c>
      <c r="U36" s="1"/>
      <c r="V36" s="1"/>
      <c r="W36" s="1"/>
      <c r="X36" s="1"/>
      <c r="Y36" s="1"/>
      <c r="Z36" s="1"/>
      <c r="AA36" s="1"/>
    </row>
    <row r="37">
      <c r="A37" s="1"/>
      <c r="B37" s="1"/>
      <c r="C37" s="4"/>
      <c r="D37" s="4" t="s">
        <v>1300</v>
      </c>
      <c r="E37" s="1">
        <v>36.0</v>
      </c>
      <c r="F37" s="1"/>
      <c r="G37" s="1" t="s">
        <v>1365</v>
      </c>
      <c r="H37" s="4">
        <f t="shared" si="1"/>
        <v>35</v>
      </c>
      <c r="I37" s="1"/>
      <c r="J37" s="1"/>
      <c r="K37" s="1"/>
      <c r="L37" s="1"/>
      <c r="M37" s="1"/>
      <c r="N37" s="1"/>
      <c r="O37" s="1"/>
      <c r="P37" s="1"/>
      <c r="Q37" s="1"/>
      <c r="R37" s="1"/>
      <c r="S37" s="1" t="s">
        <v>932</v>
      </c>
      <c r="T37" s="1">
        <f t="shared" si="2"/>
        <v>35</v>
      </c>
      <c r="U37" s="1"/>
      <c r="V37" s="1"/>
      <c r="W37" s="1"/>
      <c r="X37" s="1"/>
      <c r="Y37" s="1"/>
      <c r="Z37" s="1"/>
      <c r="AA37" s="1"/>
    </row>
    <row r="38">
      <c r="A38" s="1"/>
      <c r="B38" s="1"/>
      <c r="C38" s="4"/>
      <c r="D38" s="4" t="s">
        <v>1234</v>
      </c>
      <c r="E38" s="1">
        <v>37.0</v>
      </c>
      <c r="F38" s="1"/>
      <c r="G38" s="1" t="s">
        <v>1376</v>
      </c>
      <c r="H38" s="4">
        <f t="shared" si="1"/>
        <v>36</v>
      </c>
      <c r="I38" s="1"/>
      <c r="J38" s="1"/>
      <c r="K38" s="1"/>
      <c r="L38" s="1"/>
      <c r="M38" s="1"/>
      <c r="N38" s="1"/>
      <c r="O38" s="1"/>
      <c r="P38" s="1"/>
      <c r="Q38" s="1"/>
      <c r="R38" s="1"/>
      <c r="S38" s="1" t="s">
        <v>610</v>
      </c>
      <c r="T38" s="1">
        <f t="shared" si="2"/>
        <v>36</v>
      </c>
      <c r="U38" s="1"/>
      <c r="V38" s="1"/>
      <c r="W38" s="1"/>
      <c r="X38" s="1"/>
      <c r="Y38" s="1"/>
      <c r="Z38" s="1"/>
      <c r="AA38" s="1"/>
    </row>
    <row r="39">
      <c r="A39" s="1"/>
      <c r="B39" s="1"/>
      <c r="C39" s="4"/>
      <c r="D39" s="4" t="s">
        <v>1175</v>
      </c>
      <c r="E39" s="1">
        <v>38.0</v>
      </c>
      <c r="F39" s="1"/>
      <c r="G39" s="1" t="s">
        <v>1318</v>
      </c>
      <c r="H39" s="4">
        <f t="shared" si="1"/>
        <v>37</v>
      </c>
      <c r="I39" s="1"/>
      <c r="J39" s="1"/>
      <c r="K39" s="1"/>
      <c r="L39" s="1"/>
      <c r="M39" s="1"/>
      <c r="N39" s="1"/>
      <c r="O39" s="1"/>
      <c r="P39" s="1"/>
      <c r="Q39" s="1"/>
      <c r="R39" s="1"/>
      <c r="S39" s="1" t="s">
        <v>842</v>
      </c>
      <c r="T39" s="1">
        <f t="shared" si="2"/>
        <v>37</v>
      </c>
      <c r="U39" s="1"/>
      <c r="V39" s="1"/>
      <c r="W39" s="1"/>
      <c r="X39" s="1"/>
      <c r="Y39" s="1"/>
      <c r="Z39" s="1"/>
      <c r="AA39" s="1"/>
    </row>
    <row r="40">
      <c r="A40" s="1"/>
      <c r="B40" s="1"/>
      <c r="C40" s="4"/>
      <c r="D40" s="4" t="s">
        <v>1227</v>
      </c>
      <c r="E40" s="1">
        <v>39.0</v>
      </c>
      <c r="F40" s="1"/>
      <c r="G40" s="1" t="s">
        <v>1317</v>
      </c>
      <c r="H40" s="4">
        <f t="shared" si="1"/>
        <v>38</v>
      </c>
      <c r="I40" s="1"/>
      <c r="J40" s="1"/>
      <c r="K40" s="1"/>
      <c r="L40" s="1"/>
      <c r="M40" s="1"/>
      <c r="N40" s="1"/>
      <c r="O40" s="1"/>
      <c r="P40" s="1"/>
      <c r="Q40" s="1"/>
      <c r="R40" s="1"/>
      <c r="S40" s="1" t="s">
        <v>639</v>
      </c>
      <c r="T40" s="1">
        <f t="shared" si="2"/>
        <v>38</v>
      </c>
      <c r="U40" s="1"/>
      <c r="V40" s="1"/>
      <c r="W40" s="1"/>
      <c r="X40" s="1"/>
      <c r="Y40" s="1"/>
      <c r="Z40" s="1"/>
      <c r="AA40" s="1"/>
    </row>
    <row r="41">
      <c r="A41" s="1"/>
      <c r="B41" s="1"/>
      <c r="C41" s="4"/>
      <c r="D41" s="4" t="s">
        <v>1314</v>
      </c>
      <c r="E41" s="1">
        <v>40.0</v>
      </c>
      <c r="F41" s="1"/>
      <c r="G41" s="1" t="s">
        <v>1169</v>
      </c>
      <c r="H41" s="4">
        <f t="shared" si="1"/>
        <v>39</v>
      </c>
      <c r="I41" s="1"/>
      <c r="J41" s="1"/>
      <c r="K41" s="1"/>
      <c r="L41" s="1"/>
      <c r="M41" s="1"/>
      <c r="N41" s="1"/>
      <c r="O41" s="1"/>
      <c r="P41" s="1"/>
      <c r="Q41" s="1"/>
      <c r="R41" s="1"/>
      <c r="S41" s="1" t="s">
        <v>865</v>
      </c>
      <c r="T41" s="1">
        <f t="shared" si="2"/>
        <v>39</v>
      </c>
      <c r="U41" s="1"/>
      <c r="V41" s="1"/>
      <c r="W41" s="1"/>
      <c r="X41" s="1"/>
      <c r="Y41" s="1"/>
      <c r="Z41" s="1"/>
      <c r="AA41" s="1"/>
    </row>
    <row r="42">
      <c r="A42" s="1"/>
      <c r="B42" s="1"/>
      <c r="C42" s="4"/>
      <c r="D42" s="4" t="s">
        <v>1192</v>
      </c>
      <c r="E42" s="1">
        <v>41.0</v>
      </c>
      <c r="F42" s="1"/>
      <c r="G42" s="1" t="s">
        <v>1170</v>
      </c>
      <c r="H42" s="4">
        <f t="shared" si="1"/>
        <v>40</v>
      </c>
      <c r="I42" s="1"/>
      <c r="J42" s="1"/>
      <c r="K42" s="1"/>
      <c r="L42" s="1"/>
      <c r="M42" s="1"/>
      <c r="N42" s="1"/>
      <c r="O42" s="1"/>
      <c r="P42" s="1"/>
      <c r="Q42" s="1"/>
      <c r="R42" s="1"/>
      <c r="S42" s="1" t="s">
        <v>837</v>
      </c>
      <c r="T42" s="1">
        <f t="shared" si="2"/>
        <v>40</v>
      </c>
      <c r="U42" s="1"/>
      <c r="V42" s="1"/>
      <c r="W42" s="1"/>
      <c r="X42" s="1"/>
      <c r="Y42" s="1"/>
      <c r="Z42" s="1"/>
      <c r="AA42" s="1"/>
    </row>
    <row r="43">
      <c r="A43" s="1"/>
      <c r="B43" s="1"/>
      <c r="C43" s="4"/>
      <c r="D43" s="4" t="s">
        <v>1092</v>
      </c>
      <c r="E43" s="1">
        <v>42.0</v>
      </c>
      <c r="F43" s="1"/>
      <c r="G43" s="1" t="s">
        <v>1400</v>
      </c>
      <c r="H43" s="4">
        <f t="shared" si="1"/>
        <v>41</v>
      </c>
      <c r="I43" s="1"/>
      <c r="J43" s="1"/>
      <c r="K43" s="1"/>
      <c r="L43" s="1"/>
      <c r="M43" s="1"/>
      <c r="N43" s="1"/>
      <c r="O43" s="1"/>
      <c r="P43" s="1"/>
      <c r="Q43" s="1"/>
      <c r="R43" s="1"/>
      <c r="S43" s="1" t="s">
        <v>441</v>
      </c>
      <c r="T43" s="1">
        <f t="shared" si="2"/>
        <v>41</v>
      </c>
      <c r="U43" s="1"/>
      <c r="V43" s="1"/>
      <c r="W43" s="1"/>
      <c r="X43" s="1"/>
      <c r="Y43" s="1"/>
      <c r="Z43" s="1"/>
      <c r="AA43" s="1"/>
    </row>
    <row r="44">
      <c r="A44" s="1"/>
      <c r="B44" s="1"/>
      <c r="C44" s="4"/>
      <c r="D44" s="4" t="s">
        <v>503</v>
      </c>
      <c r="E44" s="4">
        <v>0.0</v>
      </c>
      <c r="F44" s="1"/>
      <c r="G44" s="1" t="s">
        <v>1405</v>
      </c>
      <c r="H44" s="4">
        <f t="shared" si="1"/>
        <v>42</v>
      </c>
      <c r="I44" s="1"/>
      <c r="J44" s="1"/>
      <c r="K44" s="1"/>
      <c r="L44" s="1"/>
      <c r="M44" s="1"/>
      <c r="N44" s="1"/>
      <c r="O44" s="1"/>
      <c r="P44" s="1"/>
      <c r="Q44" s="1"/>
      <c r="R44" s="1"/>
      <c r="S44" s="1" t="s">
        <v>602</v>
      </c>
      <c r="T44" s="1">
        <f t="shared" si="2"/>
        <v>42</v>
      </c>
      <c r="U44" s="1"/>
      <c r="V44" s="1"/>
      <c r="W44" s="1"/>
      <c r="X44" s="1"/>
      <c r="Y44" s="1"/>
      <c r="Z44" s="1"/>
      <c r="AA44" s="1"/>
    </row>
    <row r="45">
      <c r="A45" s="1"/>
      <c r="B45" s="1"/>
      <c r="C45" s="1"/>
      <c r="D45" s="4" t="s">
        <v>1072</v>
      </c>
      <c r="E45" s="4">
        <v>43.0</v>
      </c>
      <c r="F45" s="1"/>
      <c r="G45" s="1" t="s">
        <v>1380</v>
      </c>
      <c r="H45" s="4">
        <f t="shared" si="1"/>
        <v>43</v>
      </c>
      <c r="I45" s="1"/>
      <c r="J45" s="1"/>
      <c r="K45" s="1"/>
      <c r="L45" s="1"/>
      <c r="M45" s="1"/>
      <c r="N45" s="1"/>
      <c r="O45" s="1"/>
      <c r="P45" s="1"/>
      <c r="Q45" s="1"/>
      <c r="R45" s="1"/>
      <c r="S45" s="1" t="s">
        <v>891</v>
      </c>
      <c r="T45" s="1">
        <f t="shared" si="2"/>
        <v>43</v>
      </c>
      <c r="U45" s="1"/>
      <c r="V45" s="1"/>
      <c r="W45" s="1"/>
      <c r="X45" s="1"/>
      <c r="Y45" s="1"/>
      <c r="Z45" s="1"/>
      <c r="AA45" s="1"/>
    </row>
    <row r="46">
      <c r="A46" s="1"/>
      <c r="B46" s="1"/>
      <c r="C46" s="1"/>
      <c r="D46" s="4" t="s">
        <v>1076</v>
      </c>
      <c r="E46" s="4">
        <v>44.0</v>
      </c>
      <c r="F46" s="1"/>
      <c r="G46" s="1" t="s">
        <v>1363</v>
      </c>
      <c r="H46" s="4">
        <f t="shared" si="1"/>
        <v>44</v>
      </c>
      <c r="I46" s="1"/>
      <c r="J46" s="1"/>
      <c r="K46" s="1"/>
      <c r="L46" s="1"/>
      <c r="M46" s="1"/>
      <c r="N46" s="1"/>
      <c r="O46" s="1"/>
      <c r="P46" s="1"/>
      <c r="Q46" s="1"/>
      <c r="R46" s="1"/>
      <c r="S46" s="1" t="s">
        <v>517</v>
      </c>
      <c r="T46" s="1">
        <f t="shared" si="2"/>
        <v>44</v>
      </c>
      <c r="U46" s="1"/>
      <c r="V46" s="1"/>
      <c r="W46" s="1"/>
      <c r="X46" s="1"/>
      <c r="Y46" s="1"/>
      <c r="Z46" s="1"/>
      <c r="AA46" s="1"/>
    </row>
    <row r="47">
      <c r="A47" s="1"/>
      <c r="B47" s="1"/>
      <c r="C47" s="1"/>
      <c r="D47" s="4" t="s">
        <v>1081</v>
      </c>
      <c r="E47" s="1">
        <f t="shared" ref="E47:E76" si="3">E46+1</f>
        <v>45</v>
      </c>
      <c r="F47" s="1"/>
      <c r="G47" s="1" t="s">
        <v>1068</v>
      </c>
      <c r="H47" s="4">
        <f t="shared" si="1"/>
        <v>45</v>
      </c>
      <c r="I47" s="1"/>
      <c r="J47" s="1"/>
      <c r="K47" s="1"/>
      <c r="L47" s="1"/>
      <c r="M47" s="1"/>
      <c r="N47" s="1"/>
      <c r="O47" s="1"/>
      <c r="P47" s="1"/>
      <c r="Q47" s="1"/>
      <c r="R47" s="1"/>
      <c r="S47" s="1" t="s">
        <v>695</v>
      </c>
      <c r="T47" s="1">
        <f t="shared" si="2"/>
        <v>45</v>
      </c>
      <c r="U47" s="1"/>
      <c r="V47" s="1"/>
      <c r="W47" s="1"/>
      <c r="X47" s="1"/>
      <c r="Y47" s="1"/>
      <c r="Z47" s="1"/>
      <c r="AA47" s="1"/>
    </row>
    <row r="48">
      <c r="A48" s="1"/>
      <c r="B48" s="1"/>
      <c r="C48" s="1"/>
      <c r="D48" s="4" t="s">
        <v>1099</v>
      </c>
      <c r="E48" s="1">
        <f t="shared" si="3"/>
        <v>46</v>
      </c>
      <c r="F48" s="1"/>
      <c r="G48" s="1" t="s">
        <v>1109</v>
      </c>
      <c r="H48" s="4">
        <f t="shared" si="1"/>
        <v>46</v>
      </c>
      <c r="I48" s="1"/>
      <c r="J48" s="1"/>
      <c r="K48" s="1"/>
      <c r="L48" s="1"/>
      <c r="M48" s="1"/>
      <c r="N48" s="1"/>
      <c r="O48" s="1"/>
      <c r="P48" s="1"/>
      <c r="Q48" s="1"/>
      <c r="R48" s="1"/>
      <c r="S48" s="1" t="s">
        <v>690</v>
      </c>
      <c r="T48" s="1">
        <f t="shared" si="2"/>
        <v>46</v>
      </c>
      <c r="U48" s="1"/>
      <c r="V48" s="1"/>
      <c r="W48" s="1"/>
      <c r="X48" s="1"/>
      <c r="Y48" s="1"/>
      <c r="Z48" s="1"/>
      <c r="AA48" s="1"/>
    </row>
    <row r="49">
      <c r="A49" s="1"/>
      <c r="B49" s="1"/>
      <c r="C49" s="1"/>
      <c r="D49" s="4" t="s">
        <v>1097</v>
      </c>
      <c r="E49" s="1">
        <f t="shared" si="3"/>
        <v>47</v>
      </c>
      <c r="F49" s="1"/>
      <c r="G49" s="1" t="s">
        <v>1179</v>
      </c>
      <c r="H49" s="4">
        <f t="shared" si="1"/>
        <v>47</v>
      </c>
      <c r="I49" s="1"/>
      <c r="J49" s="1"/>
      <c r="K49" s="1"/>
      <c r="L49" s="1"/>
      <c r="M49" s="1"/>
      <c r="N49" s="1"/>
      <c r="O49" s="1"/>
      <c r="P49" s="1"/>
      <c r="Q49" s="1"/>
      <c r="R49" s="1"/>
      <c r="S49" s="1" t="s">
        <v>688</v>
      </c>
      <c r="T49" s="1">
        <f t="shared" si="2"/>
        <v>47</v>
      </c>
      <c r="U49" s="1"/>
      <c r="V49" s="1"/>
      <c r="W49" s="1"/>
      <c r="X49" s="1"/>
      <c r="Y49" s="1"/>
      <c r="Z49" s="1"/>
      <c r="AA49" s="1"/>
    </row>
    <row r="50">
      <c r="A50" s="1"/>
      <c r="B50" s="1"/>
      <c r="C50" s="1"/>
      <c r="D50" s="1" t="s">
        <v>1125</v>
      </c>
      <c r="E50" s="1">
        <f t="shared" si="3"/>
        <v>48</v>
      </c>
      <c r="F50" s="1"/>
      <c r="G50" s="1" t="s">
        <v>1107</v>
      </c>
      <c r="H50" s="4">
        <f t="shared" si="1"/>
        <v>48</v>
      </c>
      <c r="I50" s="1"/>
      <c r="J50" s="1"/>
      <c r="K50" s="1"/>
      <c r="L50" s="1"/>
      <c r="M50" s="1"/>
      <c r="N50" s="1"/>
      <c r="O50" s="1"/>
      <c r="P50" s="1"/>
      <c r="Q50" s="1"/>
      <c r="R50" s="1"/>
      <c r="T50" s="1"/>
      <c r="U50" s="1"/>
      <c r="V50" s="1"/>
      <c r="W50" s="1"/>
      <c r="X50" s="1"/>
      <c r="Y50" s="1"/>
      <c r="Z50" s="1"/>
      <c r="AA50" s="1"/>
    </row>
    <row r="51">
      <c r="A51" s="1"/>
      <c r="B51" s="1"/>
      <c r="C51" s="1"/>
      <c r="D51" s="1" t="s">
        <v>1126</v>
      </c>
      <c r="E51" s="1">
        <f t="shared" si="3"/>
        <v>49</v>
      </c>
      <c r="F51" s="1"/>
      <c r="G51" s="1" t="s">
        <v>1146</v>
      </c>
      <c r="H51" s="4">
        <f t="shared" si="1"/>
        <v>49</v>
      </c>
      <c r="I51" s="1"/>
      <c r="J51" s="1"/>
      <c r="K51" s="1"/>
      <c r="L51" s="1"/>
      <c r="M51" s="1"/>
      <c r="N51" s="1"/>
      <c r="O51" s="1"/>
      <c r="P51" s="1"/>
      <c r="Q51" s="1"/>
      <c r="R51" s="1"/>
      <c r="T51" s="1"/>
      <c r="U51" s="1"/>
      <c r="V51" s="1"/>
      <c r="W51" s="1"/>
      <c r="X51" s="1"/>
      <c r="Y51" s="1"/>
      <c r="Z51" s="1"/>
      <c r="AA51" s="1"/>
    </row>
    <row r="52">
      <c r="A52" s="1"/>
      <c r="B52" s="1"/>
      <c r="C52" s="1"/>
      <c r="D52" s="4" t="s">
        <v>1128</v>
      </c>
      <c r="E52" s="1">
        <f t="shared" si="3"/>
        <v>50</v>
      </c>
      <c r="F52" s="1"/>
      <c r="G52" s="1" t="s">
        <v>1143</v>
      </c>
      <c r="H52" s="4">
        <f t="shared" si="1"/>
        <v>50</v>
      </c>
      <c r="I52" s="1"/>
      <c r="J52" s="1"/>
      <c r="K52" s="1"/>
      <c r="L52" s="1"/>
      <c r="M52" s="1"/>
      <c r="N52" s="1"/>
      <c r="O52" s="1"/>
      <c r="P52" s="1"/>
      <c r="Q52" s="1"/>
      <c r="R52" s="1"/>
      <c r="T52" s="1"/>
      <c r="U52" s="1"/>
      <c r="V52" s="1"/>
      <c r="W52" s="1"/>
      <c r="X52" s="1"/>
      <c r="Y52" s="1"/>
      <c r="Z52" s="1"/>
      <c r="AA52" s="1"/>
    </row>
    <row r="53">
      <c r="A53" s="1"/>
      <c r="B53" s="1"/>
      <c r="C53" s="1"/>
      <c r="D53" s="4" t="s">
        <v>1140</v>
      </c>
      <c r="E53" s="1">
        <f t="shared" si="3"/>
        <v>51</v>
      </c>
      <c r="F53" s="1"/>
      <c r="G53" s="1" t="s">
        <v>1315</v>
      </c>
      <c r="H53" s="4">
        <f t="shared" si="1"/>
        <v>51</v>
      </c>
      <c r="I53" s="1"/>
      <c r="J53" s="1"/>
      <c r="K53" s="1"/>
      <c r="L53" s="1"/>
      <c r="M53" s="1"/>
      <c r="N53" s="1"/>
      <c r="O53" s="1"/>
      <c r="P53" s="1"/>
      <c r="Q53" s="1"/>
      <c r="R53" s="1"/>
      <c r="T53" s="1"/>
      <c r="U53" s="1"/>
      <c r="V53" s="1"/>
      <c r="W53" s="1"/>
      <c r="X53" s="1"/>
      <c r="Y53" s="1"/>
      <c r="Z53" s="1"/>
      <c r="AA53" s="1"/>
    </row>
    <row r="54">
      <c r="A54" s="1"/>
      <c r="B54" s="1"/>
      <c r="C54" s="1"/>
      <c r="D54" s="1" t="s">
        <v>1145</v>
      </c>
      <c r="E54" s="1">
        <f t="shared" si="3"/>
        <v>52</v>
      </c>
      <c r="F54" s="1"/>
      <c r="G54" s="1" t="s">
        <v>1177</v>
      </c>
      <c r="H54" s="4">
        <f t="shared" si="1"/>
        <v>52</v>
      </c>
      <c r="I54" s="1"/>
      <c r="J54" s="1"/>
      <c r="K54" s="1"/>
      <c r="L54" s="1"/>
      <c r="M54" s="1"/>
      <c r="N54" s="1"/>
      <c r="O54" s="1"/>
      <c r="P54" s="1"/>
      <c r="Q54" s="1"/>
      <c r="R54" s="1"/>
      <c r="T54" s="1"/>
      <c r="U54" s="1"/>
      <c r="V54" s="1"/>
      <c r="W54" s="1"/>
      <c r="X54" s="1"/>
      <c r="Y54" s="1"/>
      <c r="Z54" s="1"/>
      <c r="AA54" s="1"/>
    </row>
    <row r="55">
      <c r="A55" s="1"/>
      <c r="B55" s="1"/>
      <c r="C55" s="1"/>
      <c r="D55" s="4" t="s">
        <v>1219</v>
      </c>
      <c r="E55" s="1">
        <f t="shared" si="3"/>
        <v>53</v>
      </c>
      <c r="F55" s="1"/>
      <c r="G55" s="1" t="s">
        <v>1421</v>
      </c>
      <c r="H55" s="4">
        <f t="shared" si="1"/>
        <v>53</v>
      </c>
      <c r="I55" s="1"/>
      <c r="J55" s="1"/>
      <c r="K55" s="1"/>
      <c r="L55" s="1"/>
      <c r="M55" s="1"/>
      <c r="N55" s="1"/>
      <c r="O55" s="1"/>
      <c r="P55" s="1"/>
      <c r="Q55" s="1"/>
      <c r="R55" s="1"/>
      <c r="T55" s="1"/>
      <c r="U55" s="1"/>
      <c r="V55" s="1"/>
      <c r="W55" s="1"/>
      <c r="X55" s="1"/>
      <c r="Y55" s="1"/>
      <c r="Z55" s="1"/>
      <c r="AA55" s="1"/>
    </row>
    <row r="56">
      <c r="A56" s="1"/>
      <c r="B56" s="1"/>
      <c r="C56" s="1"/>
      <c r="D56" s="4" t="s">
        <v>1226</v>
      </c>
      <c r="E56" s="1">
        <f t="shared" si="3"/>
        <v>54</v>
      </c>
      <c r="F56" s="1"/>
      <c r="G56" s="1" t="s">
        <v>1097</v>
      </c>
      <c r="H56" s="4">
        <f t="shared" si="1"/>
        <v>54</v>
      </c>
      <c r="I56" s="1"/>
      <c r="J56" s="1"/>
      <c r="K56" s="1"/>
      <c r="L56" s="1"/>
      <c r="M56" s="1"/>
      <c r="N56" s="1"/>
      <c r="O56" s="1"/>
      <c r="P56" s="1"/>
      <c r="Q56" s="1"/>
      <c r="R56" s="1"/>
      <c r="T56" s="1"/>
      <c r="U56" s="1"/>
      <c r="V56" s="1"/>
      <c r="W56" s="1"/>
      <c r="X56" s="1"/>
      <c r="Y56" s="1"/>
      <c r="Z56" s="1"/>
      <c r="AA56" s="1"/>
    </row>
    <row r="57">
      <c r="A57" s="1"/>
      <c r="B57" s="1"/>
      <c r="C57" s="1"/>
      <c r="D57" s="4" t="s">
        <v>1343</v>
      </c>
      <c r="E57" s="1">
        <f t="shared" si="3"/>
        <v>55</v>
      </c>
      <c r="F57" s="1"/>
      <c r="G57" s="1" t="s">
        <v>1396</v>
      </c>
      <c r="H57" s="4">
        <f t="shared" si="1"/>
        <v>55</v>
      </c>
      <c r="I57" s="1"/>
      <c r="J57" s="1"/>
      <c r="K57" s="1"/>
      <c r="L57" s="1"/>
      <c r="M57" s="1"/>
      <c r="N57" s="1"/>
      <c r="O57" s="1"/>
      <c r="P57" s="1"/>
      <c r="Q57" s="1"/>
      <c r="R57" s="1"/>
      <c r="T57" s="1"/>
      <c r="U57" s="1"/>
      <c r="V57" s="1"/>
      <c r="W57" s="1"/>
      <c r="X57" s="1"/>
      <c r="Y57" s="1"/>
      <c r="Z57" s="1"/>
      <c r="AA57" s="1"/>
    </row>
    <row r="58">
      <c r="A58" s="1"/>
      <c r="B58" s="1"/>
      <c r="C58" s="1"/>
      <c r="D58" s="4" t="s">
        <v>1387</v>
      </c>
      <c r="E58" s="1">
        <f t="shared" si="3"/>
        <v>56</v>
      </c>
      <c r="F58" s="1"/>
      <c r="G58" s="1" t="s">
        <v>1367</v>
      </c>
      <c r="H58" s="4">
        <f t="shared" si="1"/>
        <v>56</v>
      </c>
      <c r="I58" s="1"/>
      <c r="J58" s="1"/>
      <c r="K58" s="1"/>
      <c r="L58" s="1"/>
      <c r="M58" s="1"/>
      <c r="N58" s="1"/>
      <c r="O58" s="1"/>
      <c r="P58" s="1"/>
      <c r="Q58" s="1"/>
      <c r="R58" s="1"/>
      <c r="T58" s="1"/>
      <c r="U58" s="1"/>
      <c r="V58" s="1"/>
      <c r="W58" s="1"/>
      <c r="X58" s="1"/>
      <c r="Y58" s="1"/>
      <c r="Z58" s="1"/>
      <c r="AA58" s="1"/>
    </row>
    <row r="59">
      <c r="A59" s="1"/>
      <c r="B59" s="1"/>
      <c r="C59" s="1"/>
      <c r="D59" s="4" t="s">
        <v>1389</v>
      </c>
      <c r="E59" s="1">
        <f t="shared" si="3"/>
        <v>57</v>
      </c>
      <c r="F59" s="1"/>
      <c r="G59" s="1" t="s">
        <v>1111</v>
      </c>
      <c r="H59" s="4">
        <f t="shared" si="1"/>
        <v>57</v>
      </c>
      <c r="I59" s="1"/>
      <c r="J59" s="1"/>
      <c r="K59" s="1"/>
      <c r="L59" s="1"/>
      <c r="M59" s="1"/>
      <c r="N59" s="1"/>
      <c r="O59" s="1"/>
      <c r="P59" s="1"/>
      <c r="Q59" s="1"/>
      <c r="R59" s="1"/>
      <c r="T59" s="1"/>
      <c r="U59" s="1"/>
      <c r="V59" s="1"/>
      <c r="W59" s="1"/>
      <c r="X59" s="1"/>
      <c r="Y59" s="1"/>
      <c r="Z59" s="1"/>
      <c r="AA59" s="1"/>
    </row>
    <row r="60">
      <c r="A60" s="1"/>
      <c r="B60" s="1"/>
      <c r="C60" s="1"/>
      <c r="D60" s="4" t="s">
        <v>1393</v>
      </c>
      <c r="E60" s="1">
        <f t="shared" si="3"/>
        <v>58</v>
      </c>
      <c r="F60" s="1"/>
      <c r="G60" s="1" t="s">
        <v>1414</v>
      </c>
      <c r="H60" s="4">
        <f t="shared" si="1"/>
        <v>58</v>
      </c>
      <c r="I60" s="1"/>
      <c r="J60" s="1"/>
      <c r="K60" s="1"/>
      <c r="L60" s="1"/>
      <c r="M60" s="1"/>
      <c r="N60" s="1"/>
      <c r="O60" s="1"/>
      <c r="P60" s="1"/>
      <c r="Q60" s="1"/>
      <c r="R60" s="1"/>
      <c r="T60" s="1"/>
      <c r="U60" s="1"/>
      <c r="V60" s="1"/>
      <c r="W60" s="1"/>
      <c r="X60" s="1"/>
      <c r="Y60" s="1"/>
      <c r="Z60" s="1"/>
      <c r="AA60" s="1"/>
    </row>
    <row r="61">
      <c r="A61" s="1"/>
      <c r="B61" s="1"/>
      <c r="C61" s="1"/>
      <c r="D61" s="4" t="s">
        <v>1395</v>
      </c>
      <c r="E61" s="1">
        <f t="shared" si="3"/>
        <v>59</v>
      </c>
      <c r="F61" s="1"/>
      <c r="G61" s="1" t="s">
        <v>1401</v>
      </c>
      <c r="H61" s="4">
        <f t="shared" si="1"/>
        <v>59</v>
      </c>
      <c r="I61" s="1"/>
      <c r="J61" s="1"/>
      <c r="K61" s="1"/>
      <c r="L61" s="1"/>
      <c r="M61" s="1"/>
      <c r="N61" s="1"/>
      <c r="O61" s="1"/>
      <c r="P61" s="1"/>
      <c r="Q61" s="1"/>
      <c r="R61" s="1"/>
      <c r="T61" s="1"/>
      <c r="U61" s="1"/>
      <c r="V61" s="1"/>
      <c r="W61" s="1"/>
      <c r="X61" s="1"/>
      <c r="Y61" s="1"/>
      <c r="Z61" s="1"/>
      <c r="AA61" s="1"/>
    </row>
    <row r="62">
      <c r="A62" s="1"/>
      <c r="B62" s="1"/>
      <c r="C62" s="1"/>
      <c r="D62" s="4" t="s">
        <v>1397</v>
      </c>
      <c r="E62" s="1">
        <f t="shared" si="3"/>
        <v>60</v>
      </c>
      <c r="F62" s="1"/>
      <c r="G62" s="1" t="s">
        <v>1130</v>
      </c>
      <c r="H62" s="4">
        <f t="shared" si="1"/>
        <v>60</v>
      </c>
      <c r="I62" s="1"/>
      <c r="J62" s="1"/>
      <c r="K62" s="1"/>
      <c r="L62" s="1"/>
      <c r="M62" s="1"/>
      <c r="N62" s="1"/>
      <c r="O62" s="1"/>
      <c r="P62" s="1"/>
      <c r="Q62" s="1"/>
      <c r="R62" s="1"/>
      <c r="T62" s="1"/>
      <c r="U62" s="1"/>
      <c r="V62" s="1"/>
      <c r="W62" s="1"/>
      <c r="X62" s="1"/>
      <c r="Y62" s="1"/>
      <c r="Z62" s="1"/>
      <c r="AA62" s="1"/>
    </row>
    <row r="63">
      <c r="A63" s="1"/>
      <c r="B63" s="1"/>
      <c r="C63" s="1"/>
      <c r="D63" s="4" t="s">
        <v>1399</v>
      </c>
      <c r="E63" s="1">
        <f t="shared" si="3"/>
        <v>61</v>
      </c>
      <c r="F63" s="1"/>
      <c r="G63" s="1" t="s">
        <v>1131</v>
      </c>
      <c r="H63" s="4">
        <f t="shared" si="1"/>
        <v>61</v>
      </c>
      <c r="I63" s="1"/>
      <c r="J63" s="1"/>
      <c r="K63" s="1"/>
      <c r="L63" s="1"/>
      <c r="M63" s="1"/>
      <c r="N63" s="1"/>
      <c r="O63" s="1"/>
      <c r="P63" s="1"/>
      <c r="Q63" s="1"/>
      <c r="R63" s="1"/>
      <c r="T63" s="1"/>
      <c r="U63" s="1"/>
      <c r="V63" s="1"/>
      <c r="W63" s="1"/>
      <c r="X63" s="1"/>
      <c r="Y63" s="1"/>
      <c r="Z63" s="1"/>
      <c r="AA63" s="1"/>
    </row>
    <row r="64">
      <c r="A64" s="1"/>
      <c r="B64" s="1"/>
      <c r="C64" s="1"/>
      <c r="D64" s="4" t="s">
        <v>1402</v>
      </c>
      <c r="E64" s="1">
        <f t="shared" si="3"/>
        <v>62</v>
      </c>
      <c r="F64" s="1"/>
      <c r="G64" s="1" t="s">
        <v>1129</v>
      </c>
      <c r="H64" s="4">
        <f t="shared" si="1"/>
        <v>62</v>
      </c>
      <c r="I64" s="1"/>
      <c r="J64" s="1"/>
      <c r="K64" s="1"/>
      <c r="L64" s="1"/>
      <c r="M64" s="1"/>
      <c r="N64" s="1"/>
      <c r="O64" s="1"/>
      <c r="P64" s="1"/>
      <c r="Q64" s="1"/>
      <c r="R64" s="1"/>
      <c r="T64" s="1"/>
      <c r="U64" s="1"/>
      <c r="V64" s="1"/>
      <c r="W64" s="1"/>
      <c r="X64" s="1"/>
      <c r="Y64" s="1"/>
      <c r="Z64" s="1"/>
      <c r="AA64" s="1"/>
    </row>
    <row r="65">
      <c r="A65" s="1"/>
      <c r="B65" s="1"/>
      <c r="C65" s="1"/>
      <c r="D65" s="4" t="s">
        <v>1404</v>
      </c>
      <c r="E65" s="1">
        <f t="shared" si="3"/>
        <v>63</v>
      </c>
      <c r="F65" s="1"/>
      <c r="G65" s="1" t="s">
        <v>1133</v>
      </c>
      <c r="H65" s="4">
        <f t="shared" si="1"/>
        <v>63</v>
      </c>
      <c r="I65" s="1"/>
      <c r="J65" s="1"/>
      <c r="K65" s="1"/>
      <c r="L65" s="1"/>
      <c r="M65" s="1"/>
      <c r="N65" s="1"/>
      <c r="O65" s="1"/>
      <c r="P65" s="1"/>
      <c r="Q65" s="1"/>
      <c r="R65" s="1"/>
      <c r="T65" s="1"/>
      <c r="U65" s="1"/>
      <c r="V65" s="1"/>
      <c r="W65" s="1"/>
      <c r="X65" s="1"/>
      <c r="Y65" s="1"/>
      <c r="Z65" s="1"/>
      <c r="AA65" s="1"/>
    </row>
    <row r="66">
      <c r="A66" s="1"/>
      <c r="B66" s="1"/>
      <c r="C66" s="1"/>
      <c r="D66" s="4" t="s">
        <v>1407</v>
      </c>
      <c r="E66" s="1">
        <f t="shared" si="3"/>
        <v>64</v>
      </c>
      <c r="F66" s="1"/>
      <c r="G66" s="1" t="s">
        <v>1328</v>
      </c>
      <c r="H66" s="4">
        <f t="shared" si="1"/>
        <v>64</v>
      </c>
      <c r="I66" s="1"/>
      <c r="J66" s="1"/>
      <c r="K66" s="1"/>
      <c r="L66" s="1"/>
      <c r="M66" s="1"/>
      <c r="N66" s="1"/>
      <c r="O66" s="1"/>
      <c r="P66" s="1"/>
      <c r="Q66" s="1"/>
      <c r="R66" s="1"/>
      <c r="T66" s="1"/>
      <c r="U66" s="1"/>
      <c r="V66" s="1"/>
      <c r="W66" s="1"/>
      <c r="X66" s="1"/>
      <c r="Y66" s="1"/>
      <c r="Z66" s="1"/>
      <c r="AA66" s="1"/>
    </row>
    <row r="67">
      <c r="A67" s="1"/>
      <c r="B67" s="1"/>
      <c r="C67" s="1"/>
      <c r="D67" s="4" t="s">
        <v>1409</v>
      </c>
      <c r="E67" s="1">
        <f t="shared" si="3"/>
        <v>65</v>
      </c>
      <c r="F67" s="1"/>
      <c r="G67" s="1" t="s">
        <v>1242</v>
      </c>
      <c r="H67" s="4">
        <f t="shared" si="1"/>
        <v>65</v>
      </c>
      <c r="I67" s="1"/>
      <c r="J67" s="1"/>
      <c r="K67" s="1"/>
      <c r="L67" s="1"/>
      <c r="M67" s="1"/>
      <c r="N67" s="1"/>
      <c r="O67" s="1"/>
      <c r="P67" s="1"/>
      <c r="Q67" s="1"/>
      <c r="R67" s="1"/>
      <c r="T67" s="1"/>
      <c r="U67" s="1"/>
      <c r="V67" s="1"/>
      <c r="W67" s="1"/>
      <c r="X67" s="1"/>
      <c r="Y67" s="1"/>
      <c r="Z67" s="1"/>
      <c r="AA67" s="1"/>
    </row>
    <row r="68">
      <c r="A68" s="1"/>
      <c r="B68" s="1"/>
      <c r="C68" s="1"/>
      <c r="D68" s="4" t="s">
        <v>1417</v>
      </c>
      <c r="E68" s="1">
        <f t="shared" si="3"/>
        <v>66</v>
      </c>
      <c r="F68" s="1"/>
      <c r="G68" s="1" t="s">
        <v>1081</v>
      </c>
      <c r="H68" s="4">
        <f t="shared" si="1"/>
        <v>66</v>
      </c>
      <c r="I68" s="1"/>
      <c r="J68" s="1"/>
      <c r="K68" s="1"/>
      <c r="L68" s="1"/>
      <c r="M68" s="1"/>
      <c r="N68" s="1"/>
      <c r="O68" s="1"/>
      <c r="P68" s="1"/>
      <c r="Q68" s="1"/>
      <c r="R68" s="1"/>
      <c r="T68" s="1"/>
      <c r="U68" s="1"/>
      <c r="V68" s="1"/>
      <c r="W68" s="1"/>
      <c r="X68" s="1"/>
      <c r="Y68" s="1"/>
      <c r="Z68" s="1"/>
      <c r="AA68" s="1"/>
    </row>
    <row r="69">
      <c r="A69" s="1"/>
      <c r="B69" s="1"/>
      <c r="C69" s="1"/>
      <c r="D69" s="4" t="s">
        <v>1420</v>
      </c>
      <c r="E69" s="1">
        <f t="shared" si="3"/>
        <v>67</v>
      </c>
      <c r="F69" s="1"/>
      <c r="G69" s="1" t="s">
        <v>1288</v>
      </c>
      <c r="H69" s="4">
        <f t="shared" si="1"/>
        <v>67</v>
      </c>
      <c r="I69" s="1"/>
      <c r="J69" s="1"/>
      <c r="K69" s="1"/>
      <c r="L69" s="1"/>
      <c r="M69" s="1"/>
      <c r="N69" s="1"/>
      <c r="O69" s="1"/>
      <c r="P69" s="1"/>
      <c r="Q69" s="1"/>
      <c r="R69" s="1"/>
      <c r="T69" s="1"/>
      <c r="U69" s="1"/>
      <c r="V69" s="1"/>
      <c r="W69" s="1"/>
      <c r="X69" s="1"/>
      <c r="Y69" s="1"/>
      <c r="Z69" s="1"/>
      <c r="AA69" s="1"/>
    </row>
    <row r="70">
      <c r="A70" s="1"/>
      <c r="B70" s="1"/>
      <c r="C70" s="1"/>
      <c r="D70" s="4" t="s">
        <v>1098</v>
      </c>
      <c r="E70" s="1">
        <f t="shared" si="3"/>
        <v>68</v>
      </c>
      <c r="F70" s="1"/>
      <c r="G70" s="1" t="s">
        <v>1203</v>
      </c>
      <c r="H70" s="4">
        <f t="shared" si="1"/>
        <v>68</v>
      </c>
      <c r="I70" s="1"/>
      <c r="J70" s="1"/>
      <c r="K70" s="1"/>
      <c r="L70" s="1"/>
      <c r="M70" s="1"/>
      <c r="N70" s="1"/>
      <c r="O70" s="1"/>
      <c r="P70" s="1"/>
      <c r="Q70" s="1"/>
      <c r="R70" s="1"/>
      <c r="T70" s="1"/>
      <c r="U70" s="1"/>
      <c r="V70" s="1"/>
      <c r="W70" s="1"/>
      <c r="X70" s="1"/>
      <c r="Y70" s="1"/>
      <c r="Z70" s="1"/>
      <c r="AA70" s="1"/>
    </row>
    <row r="71">
      <c r="A71" s="1"/>
      <c r="B71" s="1"/>
      <c r="C71" s="1"/>
      <c r="D71" s="4" t="s">
        <v>1424</v>
      </c>
      <c r="E71" s="1">
        <f t="shared" si="3"/>
        <v>69</v>
      </c>
      <c r="F71" s="1"/>
      <c r="G71" s="1" t="s">
        <v>1244</v>
      </c>
      <c r="H71" s="4">
        <f t="shared" si="1"/>
        <v>69</v>
      </c>
      <c r="I71" s="1"/>
      <c r="J71" s="1"/>
      <c r="K71" s="1"/>
      <c r="L71" s="1"/>
      <c r="M71" s="1"/>
      <c r="N71" s="1"/>
      <c r="O71" s="1"/>
      <c r="P71" s="1"/>
      <c r="Q71" s="1"/>
      <c r="R71" s="1"/>
      <c r="T71" s="1"/>
      <c r="U71" s="1"/>
      <c r="V71" s="1"/>
      <c r="W71" s="1"/>
      <c r="X71" s="1"/>
      <c r="Y71" s="1"/>
      <c r="Z71" s="1"/>
      <c r="AA71" s="1"/>
    </row>
    <row r="72">
      <c r="A72" s="1"/>
      <c r="B72" s="1"/>
      <c r="C72" s="1"/>
      <c r="D72" s="4" t="s">
        <v>1428</v>
      </c>
      <c r="E72" s="1">
        <f t="shared" si="3"/>
        <v>70</v>
      </c>
      <c r="F72" s="1"/>
      <c r="G72" s="1" t="s">
        <v>1340</v>
      </c>
      <c r="H72" s="4">
        <f t="shared" si="1"/>
        <v>70</v>
      </c>
      <c r="I72" s="1"/>
      <c r="J72" s="1"/>
      <c r="K72" s="1"/>
      <c r="L72" s="1"/>
      <c r="M72" s="1"/>
      <c r="N72" s="1"/>
      <c r="O72" s="1"/>
      <c r="P72" s="1"/>
      <c r="Q72" s="1"/>
      <c r="R72" s="1"/>
      <c r="T72" s="1"/>
      <c r="U72" s="1"/>
      <c r="V72" s="1"/>
      <c r="W72" s="1"/>
      <c r="X72" s="1"/>
      <c r="Y72" s="1"/>
      <c r="Z72" s="1"/>
      <c r="AA72" s="1"/>
    </row>
    <row r="73">
      <c r="A73" s="1"/>
      <c r="B73" s="1"/>
      <c r="C73" s="1"/>
      <c r="D73" s="4" t="s">
        <v>1430</v>
      </c>
      <c r="E73" s="1">
        <f t="shared" si="3"/>
        <v>71</v>
      </c>
      <c r="F73" s="1"/>
      <c r="G73" s="1" t="s">
        <v>1206</v>
      </c>
      <c r="H73" s="4">
        <f t="shared" si="1"/>
        <v>71</v>
      </c>
      <c r="I73" s="1"/>
      <c r="J73" s="1"/>
      <c r="K73" s="1"/>
      <c r="L73" s="1"/>
      <c r="M73" s="1"/>
      <c r="N73" s="1"/>
      <c r="O73" s="1"/>
      <c r="P73" s="1"/>
      <c r="Q73" s="1"/>
      <c r="R73" s="1"/>
      <c r="T73" s="1"/>
      <c r="U73" s="1"/>
      <c r="V73" s="1"/>
      <c r="W73" s="1"/>
      <c r="X73" s="1"/>
      <c r="Y73" s="1"/>
      <c r="Z73" s="1"/>
      <c r="AA73" s="1"/>
    </row>
    <row r="74">
      <c r="A74" s="1"/>
      <c r="B74" s="1"/>
      <c r="C74" s="1"/>
      <c r="D74" s="4" t="s">
        <v>1432</v>
      </c>
      <c r="E74" s="1">
        <f t="shared" si="3"/>
        <v>72</v>
      </c>
      <c r="F74" s="1"/>
      <c r="G74" s="1" t="s">
        <v>1108</v>
      </c>
      <c r="H74" s="4">
        <f t="shared" si="1"/>
        <v>72</v>
      </c>
      <c r="I74" s="1"/>
      <c r="J74" s="1"/>
      <c r="K74" s="1"/>
      <c r="L74" s="1"/>
      <c r="M74" s="1"/>
      <c r="N74" s="1"/>
      <c r="O74" s="1"/>
      <c r="P74" s="1"/>
      <c r="Q74" s="1"/>
      <c r="R74" s="1"/>
      <c r="T74" s="1"/>
      <c r="U74" s="1"/>
      <c r="V74" s="1"/>
      <c r="W74" s="1"/>
      <c r="X74" s="1"/>
      <c r="Y74" s="1"/>
      <c r="Z74" s="1"/>
      <c r="AA74" s="1"/>
    </row>
    <row r="75">
      <c r="A75" s="1"/>
      <c r="B75" s="1"/>
      <c r="C75" s="1"/>
      <c r="D75" s="4" t="s">
        <v>1437</v>
      </c>
      <c r="E75" s="1">
        <f t="shared" si="3"/>
        <v>73</v>
      </c>
      <c r="F75" s="1"/>
      <c r="G75" s="1" t="s">
        <v>1123</v>
      </c>
      <c r="H75" s="4">
        <f t="shared" si="1"/>
        <v>73</v>
      </c>
      <c r="I75" s="1"/>
      <c r="J75" s="1"/>
      <c r="K75" s="1"/>
      <c r="L75" s="1"/>
      <c r="M75" s="1"/>
      <c r="N75" s="1"/>
      <c r="O75" s="1"/>
      <c r="P75" s="1"/>
      <c r="Q75" s="1"/>
      <c r="R75" s="1"/>
      <c r="T75" s="1"/>
      <c r="U75" s="1"/>
      <c r="V75" s="1"/>
      <c r="W75" s="1"/>
      <c r="X75" s="1"/>
      <c r="Y75" s="1"/>
      <c r="Z75" s="1"/>
      <c r="AA75" s="1"/>
    </row>
    <row r="76">
      <c r="A76" s="1"/>
      <c r="B76" s="1"/>
      <c r="C76" s="1"/>
      <c r="D76" s="4" t="s">
        <v>1442</v>
      </c>
      <c r="E76" s="1">
        <f t="shared" si="3"/>
        <v>74</v>
      </c>
      <c r="F76" s="1"/>
      <c r="G76" s="1" t="s">
        <v>1091</v>
      </c>
      <c r="H76" s="4">
        <f t="shared" si="1"/>
        <v>74</v>
      </c>
      <c r="I76" s="1"/>
      <c r="J76" s="1"/>
      <c r="K76" s="1"/>
      <c r="L76" s="1"/>
      <c r="M76" s="1"/>
      <c r="N76" s="1"/>
      <c r="O76" s="1"/>
      <c r="P76" s="1"/>
      <c r="Q76" s="1"/>
      <c r="R76" s="1"/>
      <c r="T76" s="1"/>
      <c r="U76" s="1"/>
      <c r="V76" s="1"/>
      <c r="W76" s="1"/>
      <c r="X76" s="1"/>
      <c r="Y76" s="1"/>
      <c r="Z76" s="1"/>
      <c r="AA76" s="1"/>
    </row>
    <row r="77">
      <c r="A77" s="1"/>
      <c r="B77" s="1"/>
      <c r="C77" s="1"/>
      <c r="D77" s="1"/>
      <c r="E77" s="1"/>
      <c r="F77" s="1"/>
      <c r="G77" s="1" t="s">
        <v>1086</v>
      </c>
      <c r="H77" s="4">
        <f t="shared" si="1"/>
        <v>75</v>
      </c>
      <c r="I77" s="1"/>
      <c r="J77" s="1"/>
      <c r="K77" s="1"/>
      <c r="L77" s="1"/>
      <c r="M77" s="1"/>
      <c r="N77" s="1"/>
      <c r="O77" s="1"/>
      <c r="P77" s="1"/>
      <c r="Q77" s="1"/>
      <c r="R77" s="1"/>
      <c r="T77" s="1"/>
      <c r="U77" s="1"/>
      <c r="V77" s="1"/>
      <c r="W77" s="1"/>
      <c r="X77" s="1"/>
      <c r="Y77" s="1"/>
      <c r="Z77" s="1"/>
      <c r="AA77" s="1"/>
    </row>
    <row r="78">
      <c r="A78" s="1"/>
      <c r="B78" s="1"/>
      <c r="C78" s="1"/>
      <c r="D78" s="1"/>
      <c r="E78" s="1"/>
      <c r="F78" s="1"/>
      <c r="G78" s="1" t="s">
        <v>1154</v>
      </c>
      <c r="H78" s="4">
        <f t="shared" si="1"/>
        <v>76</v>
      </c>
      <c r="I78" s="1"/>
      <c r="J78" s="1"/>
      <c r="K78" s="1"/>
      <c r="L78" s="1"/>
      <c r="M78" s="1"/>
      <c r="N78" s="1"/>
      <c r="O78" s="1"/>
      <c r="P78" s="1"/>
      <c r="Q78" s="1"/>
      <c r="R78" s="1"/>
      <c r="T78" s="1"/>
      <c r="U78" s="1"/>
      <c r="V78" s="1"/>
      <c r="W78" s="1"/>
      <c r="X78" s="1"/>
      <c r="Y78" s="1"/>
      <c r="Z78" s="1"/>
      <c r="AA78" s="1"/>
    </row>
    <row r="79">
      <c r="A79" s="1"/>
      <c r="B79" s="1"/>
      <c r="C79" s="1"/>
      <c r="D79" s="1"/>
      <c r="E79" s="1"/>
      <c r="F79" s="1"/>
      <c r="G79" s="1" t="s">
        <v>1155</v>
      </c>
      <c r="H79" s="4">
        <f t="shared" si="1"/>
        <v>77</v>
      </c>
      <c r="I79" s="1"/>
      <c r="J79" s="1"/>
      <c r="K79" s="1"/>
      <c r="L79" s="1"/>
      <c r="M79" s="1"/>
      <c r="N79" s="1"/>
      <c r="O79" s="1"/>
      <c r="P79" s="1"/>
      <c r="Q79" s="1"/>
      <c r="R79" s="1"/>
      <c r="T79" s="1"/>
      <c r="U79" s="1"/>
      <c r="V79" s="1"/>
      <c r="W79" s="1"/>
      <c r="X79" s="1"/>
      <c r="Y79" s="1"/>
      <c r="Z79" s="1"/>
      <c r="AA79" s="1"/>
    </row>
    <row r="80">
      <c r="A80" s="1"/>
      <c r="B80" s="1"/>
      <c r="C80" s="1"/>
      <c r="D80" s="1"/>
      <c r="E80" s="1"/>
      <c r="F80" s="1"/>
      <c r="G80" s="1" t="s">
        <v>1386</v>
      </c>
      <c r="H80" s="4">
        <f t="shared" si="1"/>
        <v>78</v>
      </c>
      <c r="I80" s="1"/>
      <c r="J80" s="1"/>
      <c r="K80" s="1"/>
      <c r="L80" s="1"/>
      <c r="M80" s="1"/>
      <c r="N80" s="1"/>
      <c r="O80" s="1"/>
      <c r="P80" s="1"/>
      <c r="Q80" s="1"/>
      <c r="R80" s="1"/>
      <c r="T80" s="1"/>
      <c r="U80" s="1"/>
      <c r="V80" s="1"/>
      <c r="W80" s="1"/>
      <c r="X80" s="1"/>
      <c r="Y80" s="1"/>
      <c r="Z80" s="1"/>
      <c r="AA80" s="1"/>
    </row>
    <row r="81">
      <c r="A81" s="1"/>
      <c r="B81" s="1"/>
      <c r="C81" s="1"/>
      <c r="D81" s="1"/>
      <c r="E81" s="1"/>
      <c r="F81" s="1"/>
      <c r="G81" s="1" t="s">
        <v>1262</v>
      </c>
      <c r="H81" s="4">
        <f t="shared" si="1"/>
        <v>79</v>
      </c>
      <c r="I81" s="1"/>
      <c r="J81" s="1"/>
      <c r="K81" s="1"/>
      <c r="L81" s="1"/>
      <c r="M81" s="1"/>
      <c r="N81" s="1"/>
      <c r="O81" s="1"/>
      <c r="P81" s="1"/>
      <c r="Q81" s="1"/>
      <c r="R81" s="1"/>
      <c r="T81" s="1"/>
      <c r="U81" s="1"/>
      <c r="V81" s="1"/>
      <c r="W81" s="1"/>
      <c r="X81" s="1"/>
      <c r="Y81" s="1"/>
      <c r="Z81" s="1"/>
      <c r="AA81" s="1"/>
    </row>
    <row r="82">
      <c r="A82" s="1"/>
      <c r="B82" s="1"/>
      <c r="C82" s="1"/>
      <c r="D82" s="1"/>
      <c r="E82" s="1"/>
      <c r="F82" s="1"/>
      <c r="G82" s="1" t="s">
        <v>1263</v>
      </c>
      <c r="H82" s="4">
        <f t="shared" si="1"/>
        <v>80</v>
      </c>
      <c r="I82" s="1"/>
      <c r="J82" s="1"/>
      <c r="K82" s="1"/>
      <c r="L82" s="1"/>
      <c r="M82" s="1"/>
      <c r="N82" s="1"/>
      <c r="O82" s="1"/>
      <c r="P82" s="1"/>
      <c r="Q82" s="1"/>
      <c r="R82" s="1"/>
      <c r="T82" s="1"/>
      <c r="U82" s="1"/>
      <c r="V82" s="1"/>
      <c r="W82" s="1"/>
      <c r="X82" s="1"/>
      <c r="Y82" s="1"/>
      <c r="Z82" s="1"/>
      <c r="AA82" s="1"/>
    </row>
    <row r="83">
      <c r="A83" s="1"/>
      <c r="B83" s="1"/>
      <c r="C83" s="1"/>
      <c r="D83" s="1"/>
      <c r="E83" s="1"/>
      <c r="F83" s="1"/>
      <c r="G83" s="1" t="s">
        <v>1264</v>
      </c>
      <c r="H83" s="4">
        <f t="shared" si="1"/>
        <v>81</v>
      </c>
      <c r="I83" s="1"/>
      <c r="J83" s="1"/>
      <c r="K83" s="1"/>
      <c r="L83" s="1"/>
      <c r="M83" s="1"/>
      <c r="N83" s="1"/>
      <c r="O83" s="1"/>
      <c r="P83" s="1"/>
      <c r="Q83" s="1"/>
      <c r="R83" s="1"/>
      <c r="T83" s="1"/>
      <c r="U83" s="1"/>
      <c r="V83" s="1"/>
      <c r="W83" s="1"/>
      <c r="X83" s="1"/>
      <c r="Y83" s="1"/>
      <c r="Z83" s="1"/>
      <c r="AA83" s="1"/>
    </row>
    <row r="84">
      <c r="A84" s="1"/>
      <c r="B84" s="1"/>
      <c r="C84" s="1"/>
      <c r="D84" s="1"/>
      <c r="E84" s="1"/>
      <c r="F84" s="1"/>
      <c r="G84" s="1" t="s">
        <v>1265</v>
      </c>
      <c r="H84" s="4">
        <f t="shared" si="1"/>
        <v>82</v>
      </c>
      <c r="I84" s="1"/>
      <c r="J84" s="1"/>
      <c r="K84" s="1"/>
      <c r="L84" s="1"/>
      <c r="M84" s="1"/>
      <c r="N84" s="1"/>
      <c r="O84" s="1"/>
      <c r="P84" s="1"/>
      <c r="Q84" s="1"/>
      <c r="R84" s="1"/>
      <c r="T84" s="1"/>
      <c r="U84" s="1"/>
      <c r="V84" s="1"/>
      <c r="W84" s="1"/>
      <c r="X84" s="1"/>
      <c r="Y84" s="1"/>
      <c r="Z84" s="1"/>
      <c r="AA84" s="1"/>
    </row>
    <row r="85">
      <c r="A85" s="1"/>
      <c r="B85" s="1"/>
      <c r="C85" s="1"/>
      <c r="D85" s="1"/>
      <c r="E85" s="1"/>
      <c r="F85" s="1"/>
      <c r="G85" s="1" t="s">
        <v>1266</v>
      </c>
      <c r="H85" s="4">
        <f t="shared" si="1"/>
        <v>83</v>
      </c>
      <c r="I85" s="1"/>
      <c r="J85" s="1"/>
      <c r="K85" s="1"/>
      <c r="L85" s="1"/>
      <c r="M85" s="1"/>
      <c r="N85" s="1"/>
      <c r="O85" s="1"/>
      <c r="P85" s="1"/>
      <c r="Q85" s="1"/>
      <c r="R85" s="1"/>
      <c r="T85" s="1"/>
      <c r="U85" s="1"/>
      <c r="V85" s="1"/>
      <c r="W85" s="1"/>
      <c r="X85" s="1"/>
      <c r="Y85" s="1"/>
      <c r="Z85" s="1"/>
      <c r="AA85" s="1"/>
    </row>
    <row r="86">
      <c r="A86" s="1"/>
      <c r="B86" s="1"/>
      <c r="C86" s="1"/>
      <c r="D86" s="1"/>
      <c r="E86" s="1"/>
      <c r="F86" s="1"/>
      <c r="G86" s="1" t="s">
        <v>1267</v>
      </c>
      <c r="H86" s="4">
        <f t="shared" si="1"/>
        <v>84</v>
      </c>
      <c r="I86" s="1"/>
      <c r="J86" s="1"/>
      <c r="K86" s="1"/>
      <c r="L86" s="1"/>
      <c r="M86" s="1"/>
      <c r="N86" s="1"/>
      <c r="O86" s="1"/>
      <c r="P86" s="1"/>
      <c r="Q86" s="1"/>
      <c r="R86" s="1"/>
      <c r="T86" s="1"/>
      <c r="U86" s="1"/>
      <c r="V86" s="1"/>
      <c r="W86" s="1"/>
      <c r="X86" s="1"/>
      <c r="Y86" s="1"/>
      <c r="Z86" s="1"/>
      <c r="AA86" s="1"/>
    </row>
    <row r="87">
      <c r="A87" s="1"/>
      <c r="B87" s="1"/>
      <c r="C87" s="1"/>
      <c r="D87" s="1"/>
      <c r="E87" s="1"/>
      <c r="F87" s="1"/>
      <c r="G87" s="1" t="s">
        <v>1268</v>
      </c>
      <c r="H87" s="4">
        <f t="shared" si="1"/>
        <v>85</v>
      </c>
      <c r="I87" s="1"/>
      <c r="J87" s="1"/>
      <c r="K87" s="1"/>
      <c r="L87" s="1"/>
      <c r="M87" s="1"/>
      <c r="N87" s="1"/>
      <c r="O87" s="1"/>
      <c r="P87" s="1"/>
      <c r="Q87" s="1"/>
      <c r="R87" s="1"/>
      <c r="T87" s="1"/>
      <c r="U87" s="1"/>
      <c r="V87" s="1"/>
      <c r="W87" s="1"/>
      <c r="X87" s="1"/>
      <c r="Y87" s="1"/>
      <c r="Z87" s="1"/>
      <c r="AA87" s="1"/>
    </row>
    <row r="88">
      <c r="A88" s="1"/>
      <c r="B88" s="1"/>
      <c r="C88" s="1"/>
      <c r="D88" s="1"/>
      <c r="E88" s="1"/>
      <c r="F88" s="1"/>
      <c r="G88" s="1" t="s">
        <v>1102</v>
      </c>
      <c r="H88" s="4">
        <f t="shared" si="1"/>
        <v>86</v>
      </c>
      <c r="I88" s="1"/>
      <c r="J88" s="1"/>
      <c r="K88" s="1"/>
      <c r="L88" s="1"/>
      <c r="M88" s="1"/>
      <c r="N88" s="1"/>
      <c r="O88" s="1"/>
      <c r="P88" s="1"/>
      <c r="Q88" s="1"/>
      <c r="R88" s="1"/>
      <c r="T88" s="1"/>
      <c r="U88" s="1"/>
      <c r="V88" s="1"/>
      <c r="W88" s="1"/>
      <c r="X88" s="1"/>
      <c r="Y88" s="1"/>
      <c r="Z88" s="1"/>
      <c r="AA88" s="1"/>
    </row>
    <row r="89">
      <c r="A89" s="1"/>
      <c r="B89" s="1"/>
      <c r="C89" s="1"/>
      <c r="D89" s="1"/>
      <c r="E89" s="1"/>
      <c r="F89" s="1"/>
      <c r="G89" s="1" t="s">
        <v>1310</v>
      </c>
      <c r="H89" s="4">
        <f t="shared" si="1"/>
        <v>87</v>
      </c>
      <c r="I89" s="1"/>
      <c r="J89" s="1"/>
      <c r="K89" s="1"/>
      <c r="L89" s="1"/>
      <c r="M89" s="1"/>
      <c r="N89" s="1"/>
      <c r="O89" s="1"/>
      <c r="P89" s="1"/>
      <c r="Q89" s="1"/>
      <c r="R89" s="1"/>
      <c r="T89" s="1"/>
      <c r="U89" s="1"/>
      <c r="V89" s="1"/>
      <c r="W89" s="1"/>
      <c r="X89" s="1"/>
      <c r="Y89" s="1"/>
      <c r="Z89" s="1"/>
      <c r="AA89" s="1"/>
    </row>
    <row r="90">
      <c r="A90" s="1"/>
      <c r="B90" s="1"/>
      <c r="C90" s="1"/>
      <c r="D90" s="1"/>
      <c r="E90" s="1"/>
      <c r="F90" s="1"/>
      <c r="G90" s="1" t="s">
        <v>1312</v>
      </c>
      <c r="H90" s="4">
        <f t="shared" si="1"/>
        <v>88</v>
      </c>
      <c r="I90" s="1"/>
      <c r="J90" s="1"/>
      <c r="K90" s="1"/>
      <c r="L90" s="1"/>
      <c r="M90" s="1"/>
      <c r="N90" s="1"/>
      <c r="O90" s="1"/>
      <c r="P90" s="1"/>
      <c r="Q90" s="1"/>
      <c r="R90" s="1"/>
      <c r="T90" s="1"/>
      <c r="U90" s="1"/>
      <c r="V90" s="1"/>
      <c r="W90" s="1"/>
      <c r="X90" s="1"/>
      <c r="Y90" s="1"/>
      <c r="Z90" s="1"/>
      <c r="AA90" s="1"/>
    </row>
    <row r="91">
      <c r="A91" s="1"/>
      <c r="B91" s="1"/>
      <c r="C91" s="1"/>
      <c r="D91" s="1"/>
      <c r="E91" s="1"/>
      <c r="F91" s="1"/>
      <c r="G91" s="1" t="s">
        <v>1382</v>
      </c>
      <c r="H91" s="4">
        <f t="shared" si="1"/>
        <v>89</v>
      </c>
      <c r="I91" s="1"/>
      <c r="J91" s="1"/>
      <c r="K91" s="1"/>
      <c r="L91" s="1"/>
      <c r="M91" s="1"/>
      <c r="N91" s="1"/>
      <c r="O91" s="1"/>
      <c r="P91" s="1"/>
      <c r="Q91" s="1"/>
      <c r="R91" s="1"/>
      <c r="T91" s="1"/>
      <c r="U91" s="1"/>
      <c r="V91" s="1"/>
      <c r="W91" s="1"/>
      <c r="X91" s="1"/>
      <c r="Y91" s="1"/>
      <c r="Z91" s="1"/>
      <c r="AA91" s="1"/>
    </row>
    <row r="92">
      <c r="A92" s="1"/>
      <c r="B92" s="1"/>
      <c r="C92" s="1"/>
      <c r="D92" s="1"/>
      <c r="E92" s="1"/>
      <c r="F92" s="1"/>
      <c r="G92" s="1" t="s">
        <v>1339</v>
      </c>
      <c r="H92" s="4">
        <f t="shared" si="1"/>
        <v>90</v>
      </c>
      <c r="I92" s="1"/>
      <c r="J92" s="1"/>
      <c r="K92" s="1"/>
      <c r="L92" s="1"/>
      <c r="M92" s="1"/>
      <c r="N92" s="1"/>
      <c r="O92" s="1"/>
      <c r="P92" s="1"/>
      <c r="Q92" s="1"/>
      <c r="R92" s="1"/>
      <c r="T92" s="1"/>
      <c r="U92" s="1"/>
      <c r="V92" s="1"/>
      <c r="W92" s="1"/>
      <c r="X92" s="1"/>
      <c r="Y92" s="1"/>
      <c r="Z92" s="1"/>
      <c r="AA92" s="1"/>
    </row>
    <row r="93">
      <c r="A93" s="1"/>
      <c r="B93" s="1"/>
      <c r="C93" s="1"/>
      <c r="D93" s="1"/>
      <c r="E93" s="1"/>
      <c r="F93" s="1"/>
      <c r="G93" s="1" t="s">
        <v>1172</v>
      </c>
      <c r="H93" s="4">
        <f t="shared" si="1"/>
        <v>91</v>
      </c>
      <c r="I93" s="1"/>
      <c r="J93" s="1"/>
      <c r="K93" s="1"/>
      <c r="L93" s="1"/>
      <c r="M93" s="1"/>
      <c r="N93" s="1"/>
      <c r="O93" s="1"/>
      <c r="P93" s="1"/>
      <c r="Q93" s="1"/>
      <c r="R93" s="1"/>
      <c r="T93" s="1"/>
      <c r="U93" s="1"/>
      <c r="V93" s="1"/>
      <c r="W93" s="1"/>
      <c r="X93" s="1"/>
      <c r="Y93" s="1"/>
      <c r="Z93" s="1"/>
      <c r="AA93" s="1"/>
    </row>
    <row r="94">
      <c r="A94" s="1"/>
      <c r="B94" s="1"/>
      <c r="C94" s="1"/>
      <c r="D94" s="1"/>
      <c r="E94" s="1"/>
      <c r="F94" s="1"/>
      <c r="G94" s="1" t="s">
        <v>1350</v>
      </c>
      <c r="H94" s="4">
        <f t="shared" si="1"/>
        <v>92</v>
      </c>
      <c r="I94" s="1"/>
      <c r="J94" s="1"/>
      <c r="K94" s="1"/>
      <c r="L94" s="1"/>
      <c r="M94" s="1"/>
      <c r="N94" s="1"/>
      <c r="O94" s="1"/>
      <c r="P94" s="1"/>
      <c r="Q94" s="1"/>
      <c r="R94" s="1"/>
      <c r="T94" s="1"/>
      <c r="U94" s="1"/>
      <c r="V94" s="1"/>
      <c r="W94" s="1"/>
      <c r="X94" s="1"/>
      <c r="Y94" s="1"/>
      <c r="Z94" s="1"/>
      <c r="AA94" s="1"/>
    </row>
    <row r="95">
      <c r="A95" s="1"/>
      <c r="B95" s="1"/>
      <c r="C95" s="1"/>
      <c r="D95" s="1"/>
      <c r="E95" s="1"/>
      <c r="F95" s="1"/>
      <c r="G95" s="1" t="s">
        <v>1303</v>
      </c>
      <c r="H95" s="4">
        <f t="shared" si="1"/>
        <v>93</v>
      </c>
      <c r="I95" s="1"/>
      <c r="J95" s="1"/>
      <c r="K95" s="1"/>
      <c r="L95" s="1"/>
      <c r="M95" s="1"/>
      <c r="N95" s="1"/>
      <c r="O95" s="1"/>
      <c r="P95" s="1"/>
      <c r="Q95" s="1"/>
      <c r="R95" s="1"/>
      <c r="T95" s="1"/>
      <c r="U95" s="1"/>
      <c r="V95" s="1"/>
      <c r="W95" s="1"/>
      <c r="X95" s="1"/>
      <c r="Y95" s="1"/>
      <c r="Z95" s="1"/>
      <c r="AA95" s="1"/>
    </row>
    <row r="96">
      <c r="A96" s="1"/>
      <c r="B96" s="1"/>
      <c r="C96" s="1"/>
      <c r="D96" s="1"/>
      <c r="E96" s="1"/>
      <c r="F96" s="1"/>
      <c r="G96" s="1" t="s">
        <v>1338</v>
      </c>
      <c r="H96" s="4">
        <f t="shared" si="1"/>
        <v>94</v>
      </c>
      <c r="I96" s="1"/>
      <c r="J96" s="1"/>
      <c r="K96" s="1"/>
      <c r="L96" s="1"/>
      <c r="M96" s="1"/>
      <c r="N96" s="1"/>
      <c r="O96" s="1"/>
      <c r="P96" s="1"/>
      <c r="Q96" s="1"/>
      <c r="R96" s="1"/>
      <c r="T96" s="1"/>
      <c r="U96" s="1"/>
      <c r="V96" s="1"/>
      <c r="W96" s="1"/>
      <c r="X96" s="1"/>
      <c r="Y96" s="1"/>
      <c r="Z96" s="1"/>
      <c r="AA96" s="1"/>
    </row>
    <row r="97">
      <c r="A97" s="1"/>
      <c r="B97" s="1"/>
      <c r="C97" s="1"/>
      <c r="D97" s="1"/>
      <c r="E97" s="1"/>
      <c r="F97" s="1"/>
      <c r="G97" s="1" t="s">
        <v>1391</v>
      </c>
      <c r="H97" s="4">
        <f t="shared" si="1"/>
        <v>95</v>
      </c>
      <c r="I97" s="1"/>
      <c r="J97" s="1"/>
      <c r="K97" s="1"/>
      <c r="L97" s="1"/>
      <c r="M97" s="1"/>
      <c r="N97" s="1"/>
      <c r="O97" s="1"/>
      <c r="P97" s="1"/>
      <c r="Q97" s="1"/>
      <c r="R97" s="1"/>
      <c r="T97" s="1"/>
      <c r="U97" s="1"/>
      <c r="V97" s="1"/>
      <c r="W97" s="1"/>
      <c r="X97" s="1"/>
      <c r="Y97" s="1"/>
      <c r="Z97" s="1"/>
      <c r="AA97" s="1"/>
    </row>
    <row r="98">
      <c r="A98" s="1"/>
      <c r="B98" s="1"/>
      <c r="C98" s="1"/>
      <c r="D98" s="1"/>
      <c r="E98" s="1"/>
      <c r="F98" s="1"/>
      <c r="G98" s="1" t="s">
        <v>1418</v>
      </c>
      <c r="H98" s="4">
        <f t="shared" si="1"/>
        <v>96</v>
      </c>
      <c r="I98" s="1"/>
      <c r="J98" s="1"/>
      <c r="K98" s="1"/>
      <c r="L98" s="1"/>
      <c r="M98" s="1"/>
      <c r="N98" s="1"/>
      <c r="O98" s="1"/>
      <c r="P98" s="1"/>
      <c r="Q98" s="1"/>
      <c r="R98" s="1"/>
      <c r="T98" s="1"/>
      <c r="U98" s="1"/>
      <c r="V98" s="1"/>
      <c r="W98" s="1"/>
      <c r="X98" s="1"/>
      <c r="Y98" s="1"/>
      <c r="Z98" s="1"/>
      <c r="AA98" s="1"/>
    </row>
    <row r="99">
      <c r="A99" s="1"/>
      <c r="B99" s="1"/>
      <c r="C99" s="1"/>
      <c r="D99" s="1"/>
      <c r="E99" s="1"/>
      <c r="F99" s="1"/>
      <c r="G99" s="1" t="s">
        <v>1230</v>
      </c>
      <c r="H99" s="4">
        <f t="shared" si="1"/>
        <v>97</v>
      </c>
      <c r="I99" s="1"/>
      <c r="J99" s="1"/>
      <c r="K99" s="1"/>
      <c r="L99" s="1"/>
      <c r="M99" s="1"/>
      <c r="N99" s="1"/>
      <c r="O99" s="1"/>
      <c r="P99" s="1"/>
      <c r="Q99" s="1"/>
      <c r="R99" s="1"/>
      <c r="T99" s="1"/>
      <c r="U99" s="1"/>
      <c r="V99" s="1"/>
      <c r="W99" s="1"/>
      <c r="X99" s="1"/>
      <c r="Y99" s="1"/>
      <c r="Z99" s="1"/>
      <c r="AA99" s="1"/>
    </row>
    <row r="100">
      <c r="A100" s="1"/>
      <c r="B100" s="1"/>
      <c r="C100" s="1"/>
      <c r="D100" s="1"/>
      <c r="E100" s="1"/>
      <c r="F100" s="1"/>
      <c r="G100" s="1" t="s">
        <v>1284</v>
      </c>
      <c r="H100" s="4">
        <f t="shared" si="1"/>
        <v>98</v>
      </c>
      <c r="I100" s="1"/>
      <c r="J100" s="1"/>
      <c r="K100" s="1"/>
      <c r="L100" s="1"/>
      <c r="M100" s="1"/>
      <c r="N100" s="1"/>
      <c r="O100" s="1"/>
      <c r="P100" s="1"/>
      <c r="Q100" s="1"/>
      <c r="R100" s="1"/>
      <c r="T100" s="1"/>
      <c r="U100" s="1"/>
      <c r="V100" s="1"/>
      <c r="W100" s="1"/>
      <c r="X100" s="1"/>
      <c r="Y100" s="1"/>
      <c r="Z100" s="1"/>
      <c r="AA100" s="1"/>
    </row>
    <row r="101">
      <c r="A101" s="1"/>
      <c r="B101" s="1"/>
      <c r="C101" s="1"/>
      <c r="D101" s="1"/>
      <c r="E101" s="1"/>
      <c r="F101" s="1"/>
      <c r="G101" s="1" t="s">
        <v>1285</v>
      </c>
      <c r="H101" s="4">
        <f t="shared" si="1"/>
        <v>99</v>
      </c>
      <c r="I101" s="1"/>
      <c r="J101" s="1"/>
      <c r="K101" s="1"/>
      <c r="L101" s="1"/>
      <c r="M101" s="1"/>
      <c r="N101" s="1"/>
      <c r="O101" s="1"/>
      <c r="P101" s="1"/>
      <c r="Q101" s="1"/>
      <c r="R101" s="1"/>
      <c r="T101" s="1"/>
      <c r="U101" s="1"/>
      <c r="V101" s="1"/>
      <c r="W101" s="1"/>
      <c r="X101" s="1"/>
      <c r="Y101" s="1"/>
      <c r="Z101" s="1"/>
      <c r="AA101" s="1"/>
    </row>
    <row r="102">
      <c r="A102" s="1"/>
      <c r="B102" s="1"/>
      <c r="C102" s="1"/>
      <c r="D102" s="1"/>
      <c r="E102" s="1"/>
      <c r="F102" s="1"/>
      <c r="G102" s="1" t="s">
        <v>1286</v>
      </c>
      <c r="H102" s="4">
        <f t="shared" si="1"/>
        <v>100</v>
      </c>
      <c r="I102" s="1"/>
      <c r="J102" s="1"/>
      <c r="K102" s="1"/>
      <c r="L102" s="1"/>
      <c r="M102" s="1"/>
      <c r="N102" s="1"/>
      <c r="O102" s="1"/>
      <c r="P102" s="1"/>
      <c r="Q102" s="1"/>
      <c r="R102" s="1"/>
      <c r="T102" s="1"/>
      <c r="U102" s="1"/>
      <c r="V102" s="1"/>
      <c r="W102" s="1"/>
      <c r="X102" s="1"/>
      <c r="Y102" s="1"/>
      <c r="Z102" s="1"/>
      <c r="AA102" s="1"/>
    </row>
    <row r="103">
      <c r="A103" s="1"/>
      <c r="B103" s="1"/>
      <c r="C103" s="1"/>
      <c r="D103" s="1"/>
      <c r="E103" s="1"/>
      <c r="F103" s="1"/>
      <c r="G103" s="1" t="s">
        <v>1287</v>
      </c>
      <c r="H103" s="4">
        <f t="shared" si="1"/>
        <v>101</v>
      </c>
      <c r="I103" s="1"/>
      <c r="J103" s="1"/>
      <c r="K103" s="1"/>
      <c r="L103" s="1"/>
      <c r="M103" s="1"/>
      <c r="N103" s="1"/>
      <c r="O103" s="1"/>
      <c r="P103" s="1"/>
      <c r="Q103" s="1"/>
      <c r="R103" s="1"/>
      <c r="T103" s="1"/>
      <c r="U103" s="1"/>
      <c r="V103" s="1"/>
      <c r="W103" s="1"/>
      <c r="X103" s="1"/>
      <c r="Y103" s="1"/>
      <c r="Z103" s="1"/>
      <c r="AA103" s="1"/>
    </row>
    <row r="104">
      <c r="A104" s="1"/>
      <c r="B104" s="1"/>
      <c r="C104" s="1"/>
      <c r="D104" s="1"/>
      <c r="E104" s="1"/>
      <c r="F104" s="1"/>
      <c r="G104" s="1" t="s">
        <v>1225</v>
      </c>
      <c r="H104" s="4">
        <f t="shared" si="1"/>
        <v>102</v>
      </c>
      <c r="I104" s="1"/>
      <c r="J104" s="1"/>
      <c r="K104" s="1"/>
      <c r="L104" s="1"/>
      <c r="M104" s="1"/>
      <c r="N104" s="1"/>
      <c r="O104" s="1"/>
      <c r="P104" s="1"/>
      <c r="Q104" s="1"/>
      <c r="R104" s="1"/>
      <c r="T104" s="1"/>
      <c r="U104" s="1"/>
      <c r="V104" s="1"/>
      <c r="W104" s="1"/>
      <c r="X104" s="1"/>
      <c r="Y104" s="1"/>
      <c r="Z104" s="1"/>
      <c r="AA104" s="1"/>
    </row>
    <row r="105">
      <c r="A105" s="1"/>
      <c r="B105" s="1"/>
      <c r="C105" s="1"/>
      <c r="D105" s="1"/>
      <c r="E105" s="1"/>
      <c r="F105" s="1"/>
      <c r="G105" s="1" t="s">
        <v>1398</v>
      </c>
      <c r="H105" s="4">
        <f t="shared" si="1"/>
        <v>103</v>
      </c>
      <c r="I105" s="1"/>
      <c r="J105" s="1"/>
      <c r="K105" s="1"/>
      <c r="L105" s="1"/>
      <c r="M105" s="1"/>
      <c r="N105" s="1"/>
      <c r="O105" s="1"/>
      <c r="P105" s="1"/>
      <c r="Q105" s="1"/>
      <c r="R105" s="1"/>
      <c r="T105" s="1"/>
      <c r="U105" s="1"/>
      <c r="V105" s="1"/>
      <c r="W105" s="1"/>
      <c r="X105" s="1"/>
      <c r="Y105" s="1"/>
      <c r="Z105" s="1"/>
      <c r="AA105" s="1"/>
    </row>
    <row r="106">
      <c r="A106" s="1"/>
      <c r="B106" s="1"/>
      <c r="C106" s="1"/>
      <c r="D106" s="1"/>
      <c r="E106" s="1"/>
      <c r="F106" s="1"/>
      <c r="G106" s="1" t="s">
        <v>1195</v>
      </c>
      <c r="H106" s="4">
        <f t="shared" si="1"/>
        <v>104</v>
      </c>
      <c r="I106" s="1"/>
      <c r="J106" s="1"/>
      <c r="K106" s="1"/>
      <c r="L106" s="1"/>
      <c r="M106" s="1"/>
      <c r="N106" s="1"/>
      <c r="O106" s="1"/>
      <c r="P106" s="1"/>
      <c r="Q106" s="1"/>
      <c r="R106" s="1"/>
      <c r="T106" s="1"/>
      <c r="U106" s="1"/>
      <c r="V106" s="1"/>
      <c r="W106" s="1"/>
      <c r="X106" s="1"/>
      <c r="Y106" s="1"/>
      <c r="Z106" s="1"/>
      <c r="AA106" s="1"/>
    </row>
    <row r="107">
      <c r="A107" s="1"/>
      <c r="B107" s="1"/>
      <c r="C107" s="1"/>
      <c r="D107" s="1"/>
      <c r="E107" s="1"/>
      <c r="F107" s="1"/>
      <c r="G107" s="1" t="s">
        <v>1281</v>
      </c>
      <c r="H107" s="4">
        <f t="shared" si="1"/>
        <v>105</v>
      </c>
      <c r="I107" s="1"/>
      <c r="J107" s="1"/>
      <c r="K107" s="1"/>
      <c r="L107" s="1"/>
      <c r="M107" s="1"/>
      <c r="N107" s="1"/>
      <c r="O107" s="1"/>
      <c r="P107" s="1"/>
      <c r="Q107" s="1"/>
      <c r="R107" s="1"/>
      <c r="T107" s="1"/>
      <c r="U107" s="1"/>
      <c r="V107" s="1"/>
      <c r="W107" s="1"/>
      <c r="X107" s="1"/>
      <c r="Y107" s="1"/>
      <c r="Z107" s="1"/>
      <c r="AA107" s="1"/>
    </row>
    <row r="108">
      <c r="A108" s="1"/>
      <c r="B108" s="1"/>
      <c r="C108" s="1"/>
      <c r="D108" s="1"/>
      <c r="E108" s="1"/>
      <c r="F108" s="1"/>
      <c r="G108" s="1" t="s">
        <v>1282</v>
      </c>
      <c r="H108" s="4">
        <f t="shared" si="1"/>
        <v>106</v>
      </c>
      <c r="I108" s="1"/>
      <c r="J108" s="1"/>
      <c r="K108" s="1"/>
      <c r="L108" s="1"/>
      <c r="M108" s="1"/>
      <c r="N108" s="1"/>
      <c r="O108" s="1"/>
      <c r="P108" s="1"/>
      <c r="Q108" s="1"/>
      <c r="R108" s="1"/>
      <c r="T108" s="1"/>
      <c r="U108" s="1"/>
      <c r="V108" s="1"/>
      <c r="W108" s="1"/>
      <c r="X108" s="1"/>
      <c r="Y108" s="1"/>
      <c r="Z108" s="1"/>
      <c r="AA108" s="1"/>
    </row>
    <row r="109">
      <c r="A109" s="1"/>
      <c r="B109" s="1"/>
      <c r="C109" s="1"/>
      <c r="D109" s="1"/>
      <c r="E109" s="1"/>
      <c r="F109" s="1"/>
      <c r="G109" s="1" t="s">
        <v>1283</v>
      </c>
      <c r="H109" s="4">
        <f t="shared" si="1"/>
        <v>107</v>
      </c>
      <c r="I109" s="1"/>
      <c r="J109" s="1"/>
      <c r="K109" s="1"/>
      <c r="L109" s="1"/>
      <c r="M109" s="1"/>
      <c r="N109" s="1"/>
      <c r="O109" s="1"/>
      <c r="P109" s="1"/>
      <c r="Q109" s="1"/>
      <c r="R109" s="1"/>
      <c r="T109" s="1"/>
      <c r="U109" s="1"/>
      <c r="V109" s="1"/>
      <c r="W109" s="1"/>
      <c r="X109" s="1"/>
      <c r="Y109" s="1"/>
      <c r="Z109" s="1"/>
      <c r="AA109" s="1"/>
    </row>
    <row r="110">
      <c r="A110" s="1"/>
      <c r="B110" s="1"/>
      <c r="C110" s="1"/>
      <c r="D110" s="1"/>
      <c r="E110" s="1"/>
      <c r="F110" s="1"/>
      <c r="G110" s="1" t="s">
        <v>1144</v>
      </c>
      <c r="H110" s="4">
        <f t="shared" si="1"/>
        <v>108</v>
      </c>
      <c r="I110" s="1"/>
      <c r="J110" s="1"/>
      <c r="K110" s="1"/>
      <c r="L110" s="1"/>
      <c r="M110" s="1"/>
      <c r="N110" s="1"/>
      <c r="O110" s="1"/>
      <c r="P110" s="1"/>
      <c r="Q110" s="1"/>
      <c r="R110" s="1"/>
      <c r="T110" s="1"/>
      <c r="U110" s="1"/>
      <c r="V110" s="1"/>
      <c r="W110" s="1"/>
      <c r="X110" s="1"/>
      <c r="Y110" s="1"/>
      <c r="Z110" s="1"/>
      <c r="AA110" s="1"/>
    </row>
    <row r="111">
      <c r="A111" s="1"/>
      <c r="B111" s="1"/>
      <c r="C111" s="1"/>
      <c r="D111" s="1"/>
      <c r="E111" s="1"/>
      <c r="F111" s="1"/>
      <c r="G111" s="1" t="s">
        <v>1196</v>
      </c>
      <c r="H111" s="4">
        <f t="shared" si="1"/>
        <v>109</v>
      </c>
      <c r="I111" s="1"/>
      <c r="J111" s="1"/>
      <c r="K111" s="1"/>
      <c r="L111" s="1"/>
      <c r="M111" s="1"/>
      <c r="N111" s="1"/>
      <c r="O111" s="1"/>
      <c r="P111" s="1"/>
      <c r="Q111" s="1"/>
      <c r="R111" s="1"/>
      <c r="T111" s="1"/>
      <c r="U111" s="1"/>
      <c r="V111" s="1"/>
      <c r="W111" s="1"/>
      <c r="X111" s="1"/>
      <c r="Y111" s="1"/>
      <c r="Z111" s="1"/>
      <c r="AA111" s="1"/>
    </row>
    <row r="112">
      <c r="A112" s="1"/>
      <c r="B112" s="1"/>
      <c r="C112" s="1"/>
      <c r="D112" s="1"/>
      <c r="E112" s="1"/>
      <c r="F112" s="1"/>
      <c r="G112" s="1" t="s">
        <v>1412</v>
      </c>
      <c r="H112" s="4">
        <f t="shared" si="1"/>
        <v>110</v>
      </c>
      <c r="I112" s="1"/>
      <c r="J112" s="1"/>
      <c r="K112" s="1"/>
      <c r="L112" s="1"/>
      <c r="M112" s="1"/>
      <c r="N112" s="1"/>
      <c r="O112" s="1"/>
      <c r="P112" s="1"/>
      <c r="Q112" s="1"/>
      <c r="R112" s="1"/>
      <c r="T112" s="1"/>
      <c r="U112" s="1"/>
      <c r="V112" s="1"/>
      <c r="W112" s="1"/>
      <c r="X112" s="1"/>
      <c r="Y112" s="1"/>
      <c r="Z112" s="1"/>
      <c r="AA112" s="1"/>
    </row>
    <row r="113">
      <c r="A113" s="1"/>
      <c r="B113" s="1"/>
      <c r="C113" s="1"/>
      <c r="D113" s="1"/>
      <c r="E113" s="1"/>
      <c r="F113" s="1"/>
      <c r="G113" s="1" t="s">
        <v>1394</v>
      </c>
      <c r="H113" s="4">
        <f t="shared" si="1"/>
        <v>111</v>
      </c>
      <c r="I113" s="1"/>
      <c r="J113" s="1"/>
      <c r="K113" s="1"/>
      <c r="L113" s="1"/>
      <c r="M113" s="1"/>
      <c r="N113" s="1"/>
      <c r="O113" s="1"/>
      <c r="P113" s="1"/>
      <c r="Q113" s="1"/>
      <c r="R113" s="1"/>
      <c r="T113" s="1"/>
      <c r="U113" s="1"/>
      <c r="V113" s="1"/>
      <c r="W113" s="1"/>
      <c r="X113" s="1"/>
      <c r="Y113" s="1"/>
      <c r="Z113" s="1"/>
      <c r="AA113" s="1"/>
    </row>
    <row r="114">
      <c r="A114" s="1"/>
      <c r="B114" s="1"/>
      <c r="C114" s="1"/>
      <c r="D114" s="1"/>
      <c r="E114" s="1"/>
      <c r="F114" s="1"/>
      <c r="G114" s="1" t="s">
        <v>1138</v>
      </c>
      <c r="H114" s="4">
        <f t="shared" si="1"/>
        <v>112</v>
      </c>
      <c r="I114" s="1"/>
      <c r="J114" s="1"/>
      <c r="K114" s="1"/>
      <c r="L114" s="1"/>
      <c r="M114" s="1"/>
      <c r="N114" s="1"/>
      <c r="O114" s="1"/>
      <c r="P114" s="1"/>
      <c r="Q114" s="1"/>
      <c r="R114" s="1"/>
      <c r="T114" s="1"/>
      <c r="U114" s="1"/>
      <c r="V114" s="1"/>
      <c r="W114" s="1"/>
      <c r="X114" s="1"/>
      <c r="Y114" s="1"/>
      <c r="Z114" s="1"/>
      <c r="AA114" s="1"/>
    </row>
    <row r="115">
      <c r="A115" s="1"/>
      <c r="B115" s="1"/>
      <c r="C115" s="1"/>
      <c r="D115" s="1"/>
      <c r="E115" s="1"/>
      <c r="F115" s="1"/>
      <c r="G115" s="1" t="s">
        <v>1216</v>
      </c>
      <c r="H115" s="4">
        <f t="shared" si="1"/>
        <v>113</v>
      </c>
      <c r="I115" s="1"/>
      <c r="J115" s="1"/>
      <c r="K115" s="1"/>
      <c r="L115" s="1"/>
      <c r="M115" s="1"/>
      <c r="N115" s="1"/>
      <c r="O115" s="1"/>
      <c r="P115" s="1"/>
      <c r="Q115" s="1"/>
      <c r="R115" s="1"/>
      <c r="T115" s="1"/>
      <c r="U115" s="1"/>
      <c r="V115" s="1"/>
      <c r="W115" s="1"/>
      <c r="X115" s="1"/>
      <c r="Y115" s="1"/>
      <c r="Z115" s="1"/>
      <c r="AA115" s="1"/>
    </row>
    <row r="116">
      <c r="A116" s="1"/>
      <c r="B116" s="1"/>
      <c r="C116" s="1"/>
      <c r="D116" s="1"/>
      <c r="E116" s="1"/>
      <c r="F116" s="1"/>
      <c r="G116" s="1" t="s">
        <v>1220</v>
      </c>
      <c r="H116" s="4">
        <f t="shared" si="1"/>
        <v>114</v>
      </c>
      <c r="I116" s="1"/>
      <c r="J116" s="1"/>
      <c r="K116" s="1"/>
      <c r="L116" s="1"/>
      <c r="M116" s="1"/>
      <c r="N116" s="1"/>
      <c r="O116" s="1"/>
      <c r="P116" s="1"/>
      <c r="Q116" s="1"/>
      <c r="R116" s="1"/>
      <c r="T116" s="1"/>
      <c r="U116" s="1"/>
      <c r="V116" s="1"/>
      <c r="W116" s="1"/>
      <c r="X116" s="1"/>
      <c r="Y116" s="1"/>
      <c r="Z116" s="1"/>
      <c r="AA116" s="1"/>
    </row>
    <row r="117">
      <c r="A117" s="1"/>
      <c r="B117" s="1"/>
      <c r="C117" s="1"/>
      <c r="D117" s="1"/>
      <c r="E117" s="1"/>
      <c r="F117" s="1"/>
      <c r="G117" s="1" t="s">
        <v>1187</v>
      </c>
      <c r="H117" s="4">
        <f t="shared" si="1"/>
        <v>115</v>
      </c>
      <c r="I117" s="1"/>
      <c r="J117" s="1"/>
      <c r="K117" s="1"/>
      <c r="L117" s="1"/>
      <c r="M117" s="1"/>
      <c r="N117" s="1"/>
      <c r="O117" s="1"/>
      <c r="P117" s="1"/>
      <c r="Q117" s="1"/>
      <c r="R117" s="1"/>
      <c r="T117" s="1"/>
      <c r="U117" s="1"/>
      <c r="V117" s="1"/>
      <c r="W117" s="1"/>
      <c r="X117" s="1"/>
      <c r="Y117" s="1"/>
      <c r="Z117" s="1"/>
      <c r="AA117" s="1"/>
    </row>
    <row r="118">
      <c r="A118" s="1"/>
      <c r="B118" s="1"/>
      <c r="C118" s="1"/>
      <c r="D118" s="1"/>
      <c r="E118" s="1"/>
      <c r="F118" s="1"/>
      <c r="G118" s="1" t="s">
        <v>1260</v>
      </c>
      <c r="H118" s="4">
        <f t="shared" si="1"/>
        <v>116</v>
      </c>
      <c r="I118" s="1"/>
      <c r="J118" s="1"/>
      <c r="K118" s="1"/>
      <c r="L118" s="1"/>
      <c r="M118" s="1"/>
      <c r="N118" s="1"/>
      <c r="O118" s="1"/>
      <c r="P118" s="1"/>
      <c r="Q118" s="1"/>
      <c r="R118" s="1"/>
      <c r="T118" s="1"/>
      <c r="U118" s="1"/>
      <c r="V118" s="1"/>
      <c r="W118" s="1"/>
      <c r="X118" s="1"/>
      <c r="Y118" s="1"/>
      <c r="Z118" s="1"/>
      <c r="AA118" s="1"/>
    </row>
    <row r="119">
      <c r="A119" s="1"/>
      <c r="B119" s="1"/>
      <c r="C119" s="1"/>
      <c r="D119" s="1"/>
      <c r="E119" s="1"/>
      <c r="F119" s="1"/>
      <c r="G119" s="1" t="s">
        <v>1259</v>
      </c>
      <c r="H119" s="4">
        <f t="shared" si="1"/>
        <v>117</v>
      </c>
      <c r="I119" s="1"/>
      <c r="J119" s="1"/>
      <c r="K119" s="1"/>
      <c r="L119" s="1"/>
      <c r="M119" s="1"/>
      <c r="N119" s="1"/>
      <c r="O119" s="1"/>
      <c r="P119" s="1"/>
      <c r="Q119" s="1"/>
      <c r="R119" s="1"/>
      <c r="T119" s="1"/>
      <c r="U119" s="1"/>
      <c r="V119" s="1"/>
      <c r="W119" s="1"/>
      <c r="X119" s="1"/>
      <c r="Y119" s="1"/>
      <c r="Z119" s="1"/>
      <c r="AA119" s="1"/>
    </row>
    <row r="120">
      <c r="A120" s="1"/>
      <c r="B120" s="1"/>
      <c r="C120" s="1"/>
      <c r="D120" s="1"/>
      <c r="E120" s="1"/>
      <c r="F120" s="1"/>
      <c r="G120" s="1" t="s">
        <v>1114</v>
      </c>
      <c r="H120" s="4">
        <f t="shared" si="1"/>
        <v>118</v>
      </c>
      <c r="I120" s="1"/>
      <c r="J120" s="1"/>
      <c r="K120" s="1"/>
      <c r="L120" s="1"/>
      <c r="M120" s="1"/>
      <c r="N120" s="1"/>
      <c r="O120" s="1"/>
      <c r="P120" s="1"/>
      <c r="Q120" s="1"/>
      <c r="R120" s="1"/>
      <c r="T120" s="1"/>
      <c r="U120" s="1"/>
      <c r="V120" s="1"/>
      <c r="W120" s="1"/>
      <c r="X120" s="1"/>
      <c r="Y120" s="1"/>
      <c r="Z120" s="1"/>
      <c r="AA120" s="1"/>
    </row>
    <row r="121">
      <c r="A121" s="1"/>
      <c r="B121" s="1"/>
      <c r="C121" s="1"/>
      <c r="D121" s="1"/>
      <c r="E121" s="1"/>
      <c r="F121" s="1"/>
      <c r="G121" s="1" t="s">
        <v>1411</v>
      </c>
      <c r="H121" s="4">
        <f t="shared" si="1"/>
        <v>119</v>
      </c>
      <c r="I121" s="1"/>
      <c r="J121" s="1"/>
      <c r="K121" s="1"/>
      <c r="L121" s="1"/>
      <c r="M121" s="1"/>
      <c r="N121" s="1"/>
      <c r="O121" s="1"/>
      <c r="P121" s="1"/>
      <c r="Q121" s="1"/>
      <c r="R121" s="1"/>
      <c r="T121" s="1"/>
      <c r="U121" s="1"/>
      <c r="V121" s="1"/>
      <c r="W121" s="1"/>
      <c r="X121" s="1"/>
      <c r="Y121" s="1"/>
      <c r="Z121" s="1"/>
      <c r="AA121" s="1"/>
    </row>
    <row r="122">
      <c r="A122" s="1"/>
      <c r="B122" s="1"/>
      <c r="C122" s="1"/>
      <c r="D122" s="1"/>
      <c r="E122" s="1"/>
      <c r="F122" s="1"/>
      <c r="G122" s="1" t="s">
        <v>1390</v>
      </c>
      <c r="H122" s="4">
        <f t="shared" si="1"/>
        <v>120</v>
      </c>
      <c r="I122" s="1"/>
      <c r="J122" s="1"/>
      <c r="K122" s="1"/>
      <c r="L122" s="1"/>
      <c r="M122" s="1"/>
      <c r="N122" s="1"/>
      <c r="O122" s="1"/>
      <c r="P122" s="1"/>
      <c r="Q122" s="1"/>
      <c r="R122" s="1"/>
      <c r="T122" s="1"/>
      <c r="U122" s="1"/>
      <c r="V122" s="1"/>
      <c r="W122" s="1"/>
      <c r="X122" s="1"/>
      <c r="Y122" s="1"/>
      <c r="Z122" s="1"/>
      <c r="AA122" s="1"/>
    </row>
    <row r="123">
      <c r="A123" s="1"/>
      <c r="B123" s="1"/>
      <c r="C123" s="1"/>
      <c r="D123" s="1"/>
      <c r="E123" s="1"/>
      <c r="F123" s="1"/>
      <c r="G123" s="1" t="s">
        <v>1092</v>
      </c>
      <c r="H123" s="4">
        <f t="shared" si="1"/>
        <v>121</v>
      </c>
      <c r="I123" s="1"/>
      <c r="J123" s="1"/>
      <c r="K123" s="1"/>
      <c r="L123" s="1"/>
      <c r="M123" s="1"/>
      <c r="N123" s="1"/>
      <c r="O123" s="1"/>
      <c r="P123" s="1"/>
      <c r="Q123" s="1"/>
      <c r="R123" s="1"/>
      <c r="T123" s="1"/>
      <c r="U123" s="1"/>
      <c r="V123" s="1"/>
      <c r="W123" s="1"/>
      <c r="X123" s="1"/>
      <c r="Y123" s="1"/>
      <c r="Z123" s="1"/>
      <c r="AA123" s="1"/>
    </row>
    <row r="124">
      <c r="A124" s="1"/>
      <c r="B124" s="1"/>
      <c r="C124" s="1"/>
      <c r="D124" s="1"/>
      <c r="E124" s="1"/>
      <c r="F124" s="1"/>
      <c r="G124" s="1" t="s">
        <v>1207</v>
      </c>
      <c r="H124" s="4">
        <f t="shared" si="1"/>
        <v>122</v>
      </c>
      <c r="I124" s="1"/>
      <c r="J124" s="1"/>
      <c r="K124" s="1"/>
      <c r="L124" s="1"/>
      <c r="M124" s="1"/>
      <c r="N124" s="1"/>
      <c r="O124" s="1"/>
      <c r="P124" s="1"/>
      <c r="Q124" s="1"/>
      <c r="R124" s="1"/>
      <c r="T124" s="1"/>
      <c r="U124" s="1"/>
      <c r="V124" s="1"/>
      <c r="W124" s="1"/>
      <c r="X124" s="1"/>
      <c r="Y124" s="1"/>
      <c r="Z124" s="1"/>
      <c r="AA124" s="1"/>
    </row>
    <row r="125">
      <c r="A125" s="1"/>
      <c r="B125" s="1"/>
      <c r="C125" s="1"/>
      <c r="D125" s="1"/>
      <c r="E125" s="1"/>
      <c r="F125" s="1"/>
      <c r="G125" s="1" t="s">
        <v>1300</v>
      </c>
      <c r="H125" s="4">
        <f t="shared" si="1"/>
        <v>123</v>
      </c>
      <c r="I125" s="1"/>
      <c r="J125" s="1"/>
      <c r="K125" s="1"/>
      <c r="L125" s="1"/>
      <c r="M125" s="1"/>
      <c r="N125" s="1"/>
      <c r="O125" s="1"/>
      <c r="P125" s="1"/>
      <c r="Q125" s="1"/>
      <c r="R125" s="1"/>
      <c r="T125" s="1"/>
      <c r="U125" s="1"/>
      <c r="V125" s="1"/>
      <c r="W125" s="1"/>
      <c r="X125" s="1"/>
      <c r="Y125" s="1"/>
      <c r="Z125" s="1"/>
      <c r="AA125" s="1"/>
    </row>
    <row r="126">
      <c r="A126" s="1"/>
      <c r="B126" s="1"/>
      <c r="C126" s="1"/>
      <c r="D126" s="1"/>
      <c r="E126" s="1"/>
      <c r="F126" s="1"/>
      <c r="G126" s="1" t="s">
        <v>1243</v>
      </c>
      <c r="H126" s="4">
        <f t="shared" si="1"/>
        <v>124</v>
      </c>
      <c r="I126" s="1"/>
      <c r="J126" s="1"/>
      <c r="K126" s="1"/>
      <c r="L126" s="1"/>
      <c r="M126" s="1"/>
      <c r="N126" s="1"/>
      <c r="O126" s="1"/>
      <c r="P126" s="1"/>
      <c r="Q126" s="1"/>
      <c r="R126" s="1"/>
      <c r="T126" s="1"/>
      <c r="U126" s="1"/>
      <c r="V126" s="1"/>
      <c r="W126" s="1"/>
      <c r="X126" s="1"/>
      <c r="Y126" s="1"/>
      <c r="Z126" s="1"/>
      <c r="AA126" s="1"/>
    </row>
    <row r="127">
      <c r="A127" s="1"/>
      <c r="B127" s="1"/>
      <c r="C127" s="1"/>
      <c r="D127" s="1"/>
      <c r="E127" s="1"/>
      <c r="F127" s="1"/>
      <c r="G127" s="1" t="s">
        <v>1337</v>
      </c>
      <c r="H127" s="4">
        <f t="shared" si="1"/>
        <v>125</v>
      </c>
      <c r="I127" s="1"/>
      <c r="J127" s="1"/>
      <c r="K127" s="1"/>
      <c r="L127" s="1"/>
      <c r="M127" s="1"/>
      <c r="N127" s="1"/>
      <c r="O127" s="1"/>
      <c r="P127" s="1"/>
      <c r="Q127" s="1"/>
      <c r="R127" s="1"/>
      <c r="T127" s="1"/>
      <c r="U127" s="1"/>
      <c r="V127" s="1"/>
      <c r="W127" s="1"/>
      <c r="X127" s="1"/>
      <c r="Y127" s="1"/>
      <c r="Z127" s="1"/>
      <c r="AA127" s="1"/>
    </row>
    <row r="128">
      <c r="A128" s="1"/>
      <c r="B128" s="1"/>
      <c r="C128" s="1"/>
      <c r="D128" s="1"/>
      <c r="E128" s="1"/>
      <c r="F128" s="1"/>
      <c r="G128" s="1" t="s">
        <v>1219</v>
      </c>
      <c r="H128" s="4">
        <f t="shared" si="1"/>
        <v>126</v>
      </c>
      <c r="I128" s="1"/>
      <c r="J128" s="1"/>
      <c r="K128" s="1"/>
      <c r="L128" s="1"/>
      <c r="M128" s="1"/>
      <c r="N128" s="1"/>
      <c r="O128" s="1"/>
      <c r="P128" s="1"/>
      <c r="Q128" s="1"/>
      <c r="R128" s="1"/>
      <c r="T128" s="1"/>
      <c r="U128" s="1"/>
      <c r="V128" s="1"/>
      <c r="W128" s="1"/>
      <c r="X128" s="1"/>
      <c r="Y128" s="1"/>
      <c r="Z128" s="1"/>
      <c r="AA128" s="1"/>
    </row>
    <row r="129">
      <c r="A129" s="1"/>
      <c r="B129" s="1"/>
      <c r="C129" s="1"/>
      <c r="D129" s="1"/>
      <c r="E129" s="1"/>
      <c r="F129" s="1"/>
      <c r="G129" s="1" t="s">
        <v>1241</v>
      </c>
      <c r="H129" s="4">
        <f t="shared" si="1"/>
        <v>127</v>
      </c>
      <c r="I129" s="1"/>
      <c r="J129" s="1"/>
      <c r="K129" s="1"/>
      <c r="L129" s="1"/>
      <c r="M129" s="1"/>
      <c r="N129" s="1"/>
      <c r="O129" s="1"/>
      <c r="P129" s="1"/>
      <c r="Q129" s="1"/>
      <c r="R129" s="1"/>
      <c r="T129" s="1"/>
      <c r="U129" s="1"/>
      <c r="V129" s="1"/>
      <c r="W129" s="1"/>
      <c r="X129" s="1"/>
      <c r="Y129" s="1"/>
      <c r="Z129" s="1"/>
      <c r="AA129" s="1"/>
    </row>
    <row r="130">
      <c r="A130" s="1"/>
      <c r="B130" s="1"/>
      <c r="C130" s="1"/>
      <c r="D130" s="1"/>
      <c r="E130" s="1"/>
      <c r="F130" s="1"/>
      <c r="G130" s="1" t="s">
        <v>1346</v>
      </c>
      <c r="H130" s="4">
        <f t="shared" si="1"/>
        <v>128</v>
      </c>
      <c r="I130" s="1"/>
      <c r="J130" s="1"/>
      <c r="K130" s="1"/>
      <c r="L130" s="1"/>
      <c r="M130" s="1"/>
      <c r="N130" s="1"/>
      <c r="O130" s="1"/>
      <c r="P130" s="1"/>
      <c r="Q130" s="1"/>
      <c r="R130" s="1"/>
      <c r="T130" s="1"/>
      <c r="U130" s="1"/>
      <c r="V130" s="1"/>
      <c r="W130" s="1"/>
      <c r="X130" s="1"/>
      <c r="Y130" s="1"/>
      <c r="Z130" s="1"/>
      <c r="AA130" s="1"/>
    </row>
    <row r="131">
      <c r="A131" s="1"/>
      <c r="B131" s="1"/>
      <c r="C131" s="1"/>
      <c r="D131" s="1"/>
      <c r="E131" s="1"/>
      <c r="F131" s="1"/>
      <c r="G131" s="1" t="s">
        <v>1347</v>
      </c>
      <c r="H131" s="4">
        <f t="shared" si="1"/>
        <v>129</v>
      </c>
      <c r="I131" s="1"/>
      <c r="J131" s="1"/>
      <c r="K131" s="1"/>
      <c r="L131" s="1"/>
      <c r="M131" s="1"/>
      <c r="N131" s="1"/>
      <c r="O131" s="1"/>
      <c r="P131" s="1"/>
      <c r="Q131" s="1"/>
      <c r="R131" s="1"/>
      <c r="T131" s="1"/>
      <c r="U131" s="1"/>
      <c r="V131" s="1"/>
      <c r="W131" s="1"/>
      <c r="X131" s="1"/>
      <c r="Y131" s="1"/>
      <c r="Z131" s="1"/>
      <c r="AA131" s="1"/>
    </row>
    <row r="132">
      <c r="A132" s="1"/>
      <c r="B132" s="1"/>
      <c r="C132" s="1"/>
      <c r="D132" s="1"/>
      <c r="E132" s="1"/>
      <c r="F132" s="1"/>
      <c r="G132" s="1" t="s">
        <v>1431</v>
      </c>
      <c r="H132" s="4">
        <f t="shared" si="1"/>
        <v>130</v>
      </c>
      <c r="I132" s="1"/>
      <c r="J132" s="1"/>
      <c r="K132" s="1"/>
      <c r="L132" s="1"/>
      <c r="M132" s="1"/>
      <c r="N132" s="1"/>
      <c r="O132" s="1"/>
      <c r="P132" s="1"/>
      <c r="Q132" s="1"/>
      <c r="R132" s="1"/>
      <c r="T132" s="1"/>
      <c r="U132" s="1"/>
      <c r="V132" s="1"/>
      <c r="W132" s="1"/>
      <c r="X132" s="1"/>
      <c r="Y132" s="1"/>
      <c r="Z132" s="1"/>
      <c r="AA132" s="1"/>
    </row>
    <row r="133">
      <c r="A133" s="1"/>
      <c r="B133" s="1"/>
      <c r="C133" s="1"/>
      <c r="D133" s="1"/>
      <c r="E133" s="1"/>
      <c r="F133" s="1"/>
      <c r="G133" s="1" t="s">
        <v>1197</v>
      </c>
      <c r="H133" s="4">
        <f t="shared" si="1"/>
        <v>131</v>
      </c>
      <c r="I133" s="1"/>
      <c r="J133" s="1"/>
      <c r="K133" s="1"/>
      <c r="L133" s="1"/>
      <c r="M133" s="1"/>
      <c r="N133" s="1"/>
      <c r="O133" s="1"/>
      <c r="P133" s="1"/>
      <c r="Q133" s="1"/>
      <c r="R133" s="1"/>
      <c r="T133" s="1"/>
      <c r="U133" s="1"/>
      <c r="V133" s="1"/>
      <c r="W133" s="1"/>
      <c r="X133" s="1"/>
      <c r="Y133" s="1"/>
      <c r="Z133" s="1"/>
      <c r="AA133" s="1"/>
    </row>
    <row r="134">
      <c r="A134" s="1"/>
      <c r="B134" s="1"/>
      <c r="C134" s="1"/>
      <c r="D134" s="1"/>
      <c r="E134" s="1"/>
      <c r="F134" s="1"/>
      <c r="G134" s="1" t="s">
        <v>1117</v>
      </c>
      <c r="H134" s="4">
        <f t="shared" si="1"/>
        <v>132</v>
      </c>
      <c r="I134" s="1"/>
      <c r="J134" s="1"/>
      <c r="K134" s="1"/>
      <c r="L134" s="1"/>
      <c r="M134" s="1"/>
      <c r="N134" s="1"/>
      <c r="O134" s="1"/>
      <c r="P134" s="1"/>
      <c r="Q134" s="1"/>
      <c r="R134" s="1"/>
      <c r="T134" s="1"/>
      <c r="U134" s="1"/>
      <c r="V134" s="1"/>
      <c r="W134" s="1"/>
      <c r="X134" s="1"/>
      <c r="Y134" s="1"/>
      <c r="Z134" s="1"/>
      <c r="AA134" s="1"/>
    </row>
    <row r="135">
      <c r="A135" s="1"/>
      <c r="B135" s="1"/>
      <c r="C135" s="1"/>
      <c r="D135" s="1"/>
      <c r="E135" s="1"/>
      <c r="F135" s="1"/>
      <c r="G135" s="1" t="s">
        <v>1135</v>
      </c>
      <c r="H135" s="4">
        <f t="shared" si="1"/>
        <v>133</v>
      </c>
      <c r="I135" s="1"/>
      <c r="J135" s="1"/>
      <c r="K135" s="1"/>
      <c r="L135" s="1"/>
      <c r="M135" s="1"/>
      <c r="N135" s="1"/>
      <c r="O135" s="1"/>
      <c r="P135" s="1"/>
      <c r="Q135" s="1"/>
      <c r="R135" s="1"/>
      <c r="T135" s="1"/>
      <c r="U135" s="1"/>
      <c r="V135" s="1"/>
      <c r="W135" s="1"/>
      <c r="X135" s="1"/>
      <c r="Y135" s="1"/>
      <c r="Z135" s="1"/>
      <c r="AA135" s="1"/>
    </row>
    <row r="136">
      <c r="A136" s="1"/>
      <c r="B136" s="1"/>
      <c r="C136" s="1"/>
      <c r="D136" s="1"/>
      <c r="E136" s="1"/>
      <c r="F136" s="1"/>
      <c r="G136" s="1" t="s">
        <v>1149</v>
      </c>
      <c r="H136" s="4">
        <f t="shared" si="1"/>
        <v>134</v>
      </c>
      <c r="I136" s="1"/>
      <c r="J136" s="1"/>
      <c r="K136" s="1"/>
      <c r="L136" s="1"/>
      <c r="M136" s="1"/>
      <c r="N136" s="1"/>
      <c r="O136" s="1"/>
      <c r="P136" s="1"/>
      <c r="Q136" s="1"/>
      <c r="R136" s="1"/>
      <c r="T136" s="1"/>
      <c r="U136" s="1"/>
      <c r="V136" s="1"/>
      <c r="W136" s="1"/>
      <c r="X136" s="1"/>
      <c r="Y136" s="1"/>
      <c r="Z136" s="1"/>
      <c r="AA136" s="1"/>
    </row>
    <row r="137">
      <c r="A137" s="1"/>
      <c r="B137" s="1"/>
      <c r="C137" s="1"/>
      <c r="D137" s="1"/>
      <c r="E137" s="1"/>
      <c r="F137" s="1"/>
      <c r="G137" s="1" t="s">
        <v>1245</v>
      </c>
      <c r="H137" s="4">
        <f t="shared" si="1"/>
        <v>135</v>
      </c>
      <c r="I137" s="1"/>
      <c r="J137" s="1"/>
      <c r="K137" s="1"/>
      <c r="L137" s="1"/>
      <c r="M137" s="1"/>
      <c r="N137" s="1"/>
      <c r="O137" s="1"/>
      <c r="P137" s="1"/>
      <c r="Q137" s="1"/>
      <c r="R137" s="1"/>
      <c r="T137" s="1"/>
      <c r="U137" s="1"/>
      <c r="V137" s="1"/>
      <c r="W137" s="1"/>
      <c r="X137" s="1"/>
      <c r="Y137" s="1"/>
      <c r="Z137" s="1"/>
      <c r="AA137" s="1"/>
    </row>
    <row r="138">
      <c r="A138" s="1"/>
      <c r="B138" s="1"/>
      <c r="C138" s="1"/>
      <c r="D138" s="1"/>
      <c r="E138" s="1"/>
      <c r="F138" s="1"/>
      <c r="G138" s="1" t="s">
        <v>1415</v>
      </c>
      <c r="H138" s="4">
        <f t="shared" si="1"/>
        <v>136</v>
      </c>
      <c r="I138" s="1"/>
      <c r="J138" s="1"/>
      <c r="K138" s="1"/>
      <c r="L138" s="1"/>
      <c r="M138" s="1"/>
      <c r="N138" s="1"/>
      <c r="O138" s="1"/>
      <c r="P138" s="1"/>
      <c r="Q138" s="1"/>
      <c r="R138" s="1"/>
      <c r="T138" s="1"/>
      <c r="U138" s="1"/>
      <c r="V138" s="1"/>
      <c r="W138" s="1"/>
      <c r="X138" s="1"/>
      <c r="Y138" s="1"/>
      <c r="Z138" s="1"/>
      <c r="AA138" s="1"/>
    </row>
    <row r="139">
      <c r="A139" s="1"/>
      <c r="B139" s="1"/>
      <c r="C139" s="1"/>
      <c r="D139" s="1"/>
      <c r="E139" s="1"/>
      <c r="F139" s="1"/>
      <c r="G139" s="1" t="s">
        <v>1161</v>
      </c>
      <c r="H139" s="4">
        <f t="shared" si="1"/>
        <v>137</v>
      </c>
      <c r="I139" s="1"/>
      <c r="J139" s="1"/>
      <c r="K139" s="1"/>
      <c r="L139" s="1"/>
      <c r="M139" s="1"/>
      <c r="N139" s="1"/>
      <c r="O139" s="1"/>
      <c r="P139" s="1"/>
      <c r="Q139" s="1"/>
      <c r="R139" s="1"/>
      <c r="T139" s="1"/>
      <c r="U139" s="1"/>
      <c r="V139" s="1"/>
      <c r="W139" s="1"/>
      <c r="X139" s="1"/>
      <c r="Y139" s="1"/>
      <c r="Z139" s="1"/>
      <c r="AA139" s="1"/>
    </row>
    <row r="140">
      <c r="A140" s="1"/>
      <c r="B140" s="1"/>
      <c r="C140" s="1"/>
      <c r="D140" s="1"/>
      <c r="E140" s="1"/>
      <c r="F140" s="1"/>
      <c r="G140" s="1" t="s">
        <v>1413</v>
      </c>
      <c r="H140" s="4">
        <f t="shared" si="1"/>
        <v>138</v>
      </c>
      <c r="I140" s="1"/>
      <c r="J140" s="1"/>
      <c r="K140" s="1"/>
      <c r="L140" s="1"/>
      <c r="M140" s="1"/>
      <c r="N140" s="1"/>
      <c r="O140" s="1"/>
      <c r="P140" s="1"/>
      <c r="Q140" s="1"/>
      <c r="R140" s="1"/>
      <c r="T140" s="1"/>
      <c r="U140" s="1"/>
      <c r="V140" s="1"/>
      <c r="W140" s="1"/>
      <c r="X140" s="1"/>
      <c r="Y140" s="1"/>
      <c r="Z140" s="1"/>
      <c r="AA140" s="1"/>
    </row>
    <row r="141">
      <c r="A141" s="1"/>
      <c r="B141" s="1"/>
      <c r="C141" s="1"/>
      <c r="D141" s="1"/>
      <c r="E141" s="1"/>
      <c r="F141" s="1"/>
      <c r="G141" s="1" t="s">
        <v>1289</v>
      </c>
      <c r="H141" s="4">
        <f t="shared" si="1"/>
        <v>139</v>
      </c>
      <c r="I141" s="1"/>
      <c r="J141" s="1"/>
      <c r="K141" s="1"/>
      <c r="L141" s="1"/>
      <c r="M141" s="1"/>
      <c r="N141" s="1"/>
      <c r="O141" s="1"/>
      <c r="P141" s="1"/>
      <c r="Q141" s="1"/>
      <c r="R141" s="1"/>
      <c r="T141" s="1"/>
      <c r="U141" s="1"/>
      <c r="V141" s="1"/>
      <c r="W141" s="1"/>
      <c r="X141" s="1"/>
      <c r="Y141" s="1"/>
      <c r="Z141" s="1"/>
      <c r="AA141" s="1"/>
    </row>
    <row r="142">
      <c r="A142" s="1"/>
      <c r="B142" s="1"/>
      <c r="C142" s="1"/>
      <c r="D142" s="1"/>
      <c r="E142" s="1"/>
      <c r="F142" s="1"/>
      <c r="G142" s="1" t="s">
        <v>1351</v>
      </c>
      <c r="H142" s="4">
        <f t="shared" si="1"/>
        <v>140</v>
      </c>
      <c r="I142" s="1"/>
      <c r="J142" s="1"/>
      <c r="K142" s="1"/>
      <c r="L142" s="1"/>
      <c r="M142" s="1"/>
      <c r="N142" s="1"/>
      <c r="O142" s="1"/>
      <c r="P142" s="1"/>
      <c r="Q142" s="1"/>
      <c r="R142" s="1"/>
      <c r="T142" s="1"/>
      <c r="U142" s="1"/>
      <c r="V142" s="1"/>
      <c r="W142" s="1"/>
      <c r="X142" s="1"/>
      <c r="Y142" s="1"/>
      <c r="Z142" s="1"/>
      <c r="AA142" s="1"/>
    </row>
    <row r="143">
      <c r="A143" s="1"/>
      <c r="B143" s="1"/>
      <c r="C143" s="1"/>
      <c r="D143" s="1"/>
      <c r="E143" s="1"/>
      <c r="F143" s="1"/>
      <c r="G143" s="1" t="s">
        <v>1403</v>
      </c>
      <c r="H143" s="4">
        <f t="shared" si="1"/>
        <v>141</v>
      </c>
      <c r="I143" s="1"/>
      <c r="J143" s="1"/>
      <c r="K143" s="1"/>
      <c r="L143" s="1"/>
      <c r="M143" s="1"/>
      <c r="N143" s="1"/>
      <c r="O143" s="1"/>
      <c r="P143" s="1"/>
      <c r="Q143" s="1"/>
      <c r="R143" s="1"/>
      <c r="T143" s="1"/>
      <c r="U143" s="1"/>
      <c r="V143" s="1"/>
      <c r="W143" s="1"/>
      <c r="X143" s="1"/>
      <c r="Y143" s="1"/>
      <c r="Z143" s="1"/>
      <c r="AA143" s="1"/>
    </row>
    <row r="144">
      <c r="A144" s="1"/>
      <c r="B144" s="1"/>
      <c r="C144" s="1"/>
      <c r="D144" s="1"/>
      <c r="E144" s="1"/>
      <c r="F144" s="1"/>
      <c r="G144" s="1" t="s">
        <v>1435</v>
      </c>
      <c r="H144" s="4">
        <f t="shared" si="1"/>
        <v>142</v>
      </c>
      <c r="I144" s="1"/>
      <c r="J144" s="1"/>
      <c r="K144" s="1"/>
      <c r="L144" s="1"/>
      <c r="M144" s="1"/>
      <c r="N144" s="1"/>
      <c r="O144" s="1"/>
      <c r="P144" s="1"/>
      <c r="Q144" s="1"/>
      <c r="R144" s="1"/>
      <c r="T144" s="1"/>
      <c r="U144" s="1"/>
      <c r="V144" s="1"/>
      <c r="W144" s="1"/>
      <c r="X144" s="1"/>
      <c r="Y144" s="1"/>
      <c r="Z144" s="1"/>
      <c r="AA144" s="1"/>
    </row>
    <row r="145">
      <c r="A145" s="1"/>
      <c r="B145" s="1"/>
      <c r="C145" s="1"/>
      <c r="D145" s="1"/>
      <c r="E145" s="1"/>
      <c r="F145" s="1"/>
      <c r="G145" s="1" t="s">
        <v>1202</v>
      </c>
      <c r="H145" s="4">
        <f t="shared" si="1"/>
        <v>143</v>
      </c>
      <c r="I145" s="1"/>
      <c r="J145" s="1"/>
      <c r="K145" s="1"/>
      <c r="L145" s="1"/>
      <c r="M145" s="1"/>
      <c r="N145" s="1"/>
      <c r="O145" s="1"/>
      <c r="P145" s="1"/>
      <c r="Q145" s="1"/>
      <c r="R145" s="1"/>
      <c r="T145" s="1"/>
      <c r="U145" s="1"/>
      <c r="V145" s="1"/>
      <c r="W145" s="1"/>
      <c r="X145" s="1"/>
      <c r="Y145" s="1"/>
      <c r="Z145" s="1"/>
      <c r="AA145" s="1"/>
    </row>
    <row r="146">
      <c r="A146" s="1"/>
      <c r="B146" s="1"/>
      <c r="C146" s="1"/>
      <c r="D146" s="1"/>
      <c r="E146" s="1"/>
      <c r="F146" s="1"/>
      <c r="G146" s="1" t="s">
        <v>1425</v>
      </c>
      <c r="H146" s="4">
        <f t="shared" si="1"/>
        <v>144</v>
      </c>
      <c r="I146" s="1"/>
      <c r="J146" s="1"/>
      <c r="K146" s="1"/>
      <c r="L146" s="1"/>
      <c r="M146" s="1"/>
      <c r="N146" s="1"/>
      <c r="O146" s="1"/>
      <c r="P146" s="1"/>
      <c r="Q146" s="1"/>
      <c r="R146" s="1"/>
      <c r="T146" s="1"/>
      <c r="U146" s="1"/>
      <c r="V146" s="1"/>
      <c r="W146" s="1"/>
      <c r="X146" s="1"/>
      <c r="Y146" s="1"/>
      <c r="Z146" s="1"/>
      <c r="AA146" s="1"/>
    </row>
    <row r="147">
      <c r="A147" s="1"/>
      <c r="B147" s="1"/>
      <c r="C147" s="1"/>
      <c r="D147" s="1"/>
      <c r="E147" s="1"/>
      <c r="F147" s="1"/>
      <c r="G147" s="1" t="s">
        <v>1188</v>
      </c>
      <c r="H147" s="4">
        <f t="shared" si="1"/>
        <v>145</v>
      </c>
      <c r="I147" s="1"/>
      <c r="J147" s="1"/>
      <c r="K147" s="1"/>
      <c r="L147" s="1"/>
      <c r="M147" s="1"/>
      <c r="N147" s="1"/>
      <c r="O147" s="1"/>
      <c r="P147" s="1"/>
      <c r="Q147" s="1"/>
      <c r="R147" s="1"/>
      <c r="T147" s="1"/>
      <c r="U147" s="1"/>
      <c r="V147" s="1"/>
      <c r="W147" s="1"/>
      <c r="X147" s="1"/>
      <c r="Y147" s="1"/>
      <c r="Z147" s="1"/>
      <c r="AA147" s="1"/>
    </row>
    <row r="148">
      <c r="A148" s="1"/>
      <c r="B148" s="1"/>
      <c r="C148" s="1"/>
      <c r="D148" s="1"/>
      <c r="E148" s="1"/>
      <c r="F148" s="1"/>
      <c r="G148" s="1" t="s">
        <v>1239</v>
      </c>
      <c r="H148" s="4">
        <f t="shared" si="1"/>
        <v>146</v>
      </c>
      <c r="I148" s="1"/>
      <c r="J148" s="1"/>
      <c r="K148" s="1"/>
      <c r="L148" s="1"/>
      <c r="M148" s="1"/>
      <c r="N148" s="1"/>
      <c r="O148" s="1"/>
      <c r="P148" s="1"/>
      <c r="Q148" s="1"/>
      <c r="R148" s="1"/>
      <c r="T148" s="1"/>
      <c r="U148" s="1"/>
      <c r="V148" s="1"/>
      <c r="W148" s="1"/>
      <c r="X148" s="1"/>
      <c r="Y148" s="1"/>
      <c r="Z148" s="1"/>
      <c r="AA148" s="1"/>
    </row>
    <row r="149">
      <c r="A149" s="1"/>
      <c r="B149" s="1"/>
      <c r="C149" s="1"/>
      <c r="D149" s="1"/>
      <c r="E149" s="1"/>
      <c r="F149" s="1"/>
      <c r="G149" s="1" t="s">
        <v>1348</v>
      </c>
      <c r="H149" s="4">
        <f t="shared" si="1"/>
        <v>147</v>
      </c>
      <c r="I149" s="1"/>
      <c r="J149" s="1"/>
      <c r="K149" s="1"/>
      <c r="L149" s="1"/>
      <c r="M149" s="1"/>
      <c r="N149" s="1"/>
      <c r="O149" s="1"/>
      <c r="P149" s="1"/>
      <c r="Q149" s="1"/>
      <c r="R149" s="1"/>
      <c r="T149" s="1"/>
      <c r="U149" s="1"/>
      <c r="V149" s="1"/>
      <c r="W149" s="1"/>
      <c r="X149" s="1"/>
      <c r="Y149" s="1"/>
      <c r="Z149" s="1"/>
      <c r="AA149" s="1"/>
    </row>
    <row r="150">
      <c r="A150" s="1"/>
      <c r="B150" s="1"/>
      <c r="C150" s="1"/>
      <c r="D150" s="1"/>
      <c r="E150" s="1"/>
      <c r="F150" s="1"/>
      <c r="G150" s="1" t="s">
        <v>1373</v>
      </c>
      <c r="H150" s="4">
        <f t="shared" si="1"/>
        <v>148</v>
      </c>
      <c r="I150" s="1"/>
      <c r="J150" s="1"/>
      <c r="K150" s="1"/>
      <c r="L150" s="1"/>
      <c r="M150" s="1"/>
      <c r="N150" s="1"/>
      <c r="O150" s="1"/>
      <c r="P150" s="1"/>
      <c r="Q150" s="1"/>
      <c r="R150" s="1"/>
      <c r="T150" s="1"/>
      <c r="U150" s="1"/>
      <c r="V150" s="1"/>
      <c r="W150" s="1"/>
      <c r="X150" s="1"/>
      <c r="Y150" s="1"/>
      <c r="Z150" s="1"/>
      <c r="AA150" s="1"/>
    </row>
    <row r="151">
      <c r="A151" s="1"/>
      <c r="B151" s="1"/>
      <c r="C151" s="1"/>
      <c r="D151" s="1"/>
      <c r="E151" s="1"/>
      <c r="F151" s="1"/>
      <c r="G151" s="1" t="s">
        <v>1370</v>
      </c>
      <c r="H151" s="4">
        <f t="shared" si="1"/>
        <v>149</v>
      </c>
      <c r="I151" s="1"/>
      <c r="J151" s="1"/>
      <c r="K151" s="1"/>
      <c r="L151" s="1"/>
      <c r="M151" s="1"/>
      <c r="N151" s="1"/>
      <c r="O151" s="1"/>
      <c r="P151" s="1"/>
      <c r="Q151" s="1"/>
      <c r="R151" s="1"/>
      <c r="T151" s="1"/>
      <c r="U151" s="1"/>
      <c r="V151" s="1"/>
      <c r="W151" s="1"/>
      <c r="X151" s="1"/>
      <c r="Y151" s="1"/>
      <c r="Z151" s="1"/>
      <c r="AA151" s="1"/>
    </row>
    <row r="152">
      <c r="A152" s="1"/>
      <c r="B152" s="1"/>
      <c r="C152" s="1"/>
      <c r="D152" s="1"/>
      <c r="E152" s="1"/>
      <c r="F152" s="1"/>
      <c r="G152" s="1" t="s">
        <v>1313</v>
      </c>
      <c r="H152" s="4">
        <f t="shared" si="1"/>
        <v>150</v>
      </c>
      <c r="I152" s="1"/>
      <c r="J152" s="1"/>
      <c r="K152" s="1"/>
      <c r="L152" s="1"/>
      <c r="M152" s="1"/>
      <c r="N152" s="1"/>
      <c r="O152" s="1"/>
      <c r="P152" s="1"/>
      <c r="Q152" s="1"/>
      <c r="R152" s="1"/>
      <c r="T152" s="1"/>
      <c r="U152" s="1"/>
      <c r="V152" s="1"/>
      <c r="W152" s="1"/>
      <c r="X152" s="1"/>
      <c r="Y152" s="1"/>
      <c r="Z152" s="1"/>
      <c r="AA152" s="1"/>
    </row>
    <row r="153">
      <c r="A153" s="1"/>
      <c r="B153" s="1"/>
      <c r="C153" s="1"/>
      <c r="D153" s="1"/>
      <c r="E153" s="1"/>
      <c r="F153" s="1"/>
      <c r="G153" s="1" t="s">
        <v>1321</v>
      </c>
      <c r="H153" s="4">
        <f t="shared" si="1"/>
        <v>151</v>
      </c>
      <c r="I153" s="1"/>
      <c r="J153" s="1"/>
      <c r="K153" s="1"/>
      <c r="L153" s="1"/>
      <c r="M153" s="1"/>
      <c r="N153" s="1"/>
      <c r="O153" s="1"/>
      <c r="P153" s="1"/>
      <c r="Q153" s="1"/>
      <c r="R153" s="1"/>
      <c r="T153" s="1"/>
      <c r="U153" s="1"/>
      <c r="V153" s="1"/>
      <c r="W153" s="1"/>
      <c r="X153" s="1"/>
      <c r="Y153" s="1"/>
      <c r="Z153" s="1"/>
      <c r="AA153" s="1"/>
    </row>
    <row r="154">
      <c r="A154" s="1"/>
      <c r="B154" s="1"/>
      <c r="C154" s="1"/>
      <c r="D154" s="1"/>
      <c r="E154" s="1"/>
      <c r="F154" s="1"/>
      <c r="G154" s="1" t="s">
        <v>1174</v>
      </c>
      <c r="H154" s="4">
        <f t="shared" si="1"/>
        <v>152</v>
      </c>
      <c r="I154" s="1"/>
      <c r="J154" s="1"/>
      <c r="K154" s="1"/>
      <c r="L154" s="1"/>
      <c r="M154" s="1"/>
      <c r="N154" s="1"/>
      <c r="O154" s="1"/>
      <c r="P154" s="1"/>
      <c r="Q154" s="1"/>
      <c r="R154" s="1"/>
      <c r="T154" s="1"/>
      <c r="U154" s="1"/>
      <c r="V154" s="1"/>
      <c r="W154" s="1"/>
      <c r="X154" s="1"/>
      <c r="Y154" s="1"/>
      <c r="Z154" s="1"/>
      <c r="AA154" s="1"/>
    </row>
    <row r="155">
      <c r="A155" s="1"/>
      <c r="B155" s="1"/>
      <c r="C155" s="1"/>
      <c r="D155" s="1"/>
      <c r="E155" s="1"/>
      <c r="F155" s="1"/>
      <c r="G155" s="1" t="s">
        <v>1163</v>
      </c>
      <c r="H155" s="4">
        <f t="shared" si="1"/>
        <v>153</v>
      </c>
      <c r="I155" s="1"/>
      <c r="J155" s="1"/>
      <c r="K155" s="1"/>
      <c r="L155" s="1"/>
      <c r="M155" s="1"/>
      <c r="N155" s="1"/>
      <c r="O155" s="1"/>
      <c r="P155" s="1"/>
      <c r="Q155" s="1"/>
      <c r="R155" s="1"/>
      <c r="T155" s="1"/>
      <c r="U155" s="1"/>
      <c r="V155" s="1"/>
      <c r="W155" s="1"/>
      <c r="X155" s="1"/>
      <c r="Y155" s="1"/>
      <c r="Z155" s="1"/>
      <c r="AA155" s="1"/>
    </row>
    <row r="156">
      <c r="A156" s="1"/>
      <c r="B156" s="1"/>
      <c r="C156" s="1"/>
      <c r="D156" s="1"/>
      <c r="E156" s="1"/>
      <c r="F156" s="1"/>
      <c r="G156" s="1" t="s">
        <v>1166</v>
      </c>
      <c r="H156" s="4">
        <f t="shared" si="1"/>
        <v>154</v>
      </c>
      <c r="I156" s="1"/>
      <c r="J156" s="1"/>
      <c r="K156" s="1"/>
      <c r="L156" s="1"/>
      <c r="M156" s="1"/>
      <c r="N156" s="1"/>
      <c r="O156" s="1"/>
      <c r="P156" s="1"/>
      <c r="Q156" s="1"/>
      <c r="R156" s="1"/>
      <c r="T156" s="1"/>
      <c r="U156" s="1"/>
      <c r="V156" s="1"/>
      <c r="W156" s="1"/>
      <c r="X156" s="1"/>
      <c r="Y156" s="1"/>
      <c r="Z156" s="1"/>
      <c r="AA156" s="1"/>
    </row>
    <row r="157">
      <c r="A157" s="1"/>
      <c r="B157" s="1"/>
      <c r="C157" s="1"/>
      <c r="D157" s="1"/>
      <c r="E157" s="1"/>
      <c r="F157" s="1"/>
      <c r="G157" s="1" t="s">
        <v>1167</v>
      </c>
      <c r="H157" s="4">
        <f t="shared" si="1"/>
        <v>155</v>
      </c>
      <c r="I157" s="1"/>
      <c r="J157" s="1"/>
      <c r="K157" s="1"/>
      <c r="L157" s="1"/>
      <c r="M157" s="1"/>
      <c r="N157" s="1"/>
      <c r="O157" s="1"/>
      <c r="P157" s="1"/>
      <c r="Q157" s="1"/>
      <c r="R157" s="1"/>
      <c r="T157" s="1"/>
      <c r="U157" s="1"/>
      <c r="V157" s="1"/>
      <c r="W157" s="1"/>
      <c r="X157" s="1"/>
      <c r="Y157" s="1"/>
      <c r="Z157" s="1"/>
      <c r="AA157" s="1"/>
    </row>
    <row r="158">
      <c r="A158" s="1"/>
      <c r="B158" s="1"/>
      <c r="C158" s="1"/>
      <c r="D158" s="1"/>
      <c r="E158" s="1"/>
      <c r="F158" s="1"/>
      <c r="G158" s="1" t="s">
        <v>1383</v>
      </c>
      <c r="H158" s="4">
        <f t="shared" si="1"/>
        <v>156</v>
      </c>
      <c r="I158" s="1"/>
      <c r="J158" s="1"/>
      <c r="K158" s="1"/>
      <c r="L158" s="1"/>
      <c r="M158" s="1"/>
      <c r="N158" s="1"/>
      <c r="O158" s="1"/>
      <c r="P158" s="1"/>
      <c r="Q158" s="1"/>
      <c r="R158" s="1"/>
      <c r="T158" s="1"/>
      <c r="U158" s="1"/>
      <c r="V158" s="1"/>
      <c r="W158" s="1"/>
      <c r="X158" s="1"/>
      <c r="Y158" s="1"/>
      <c r="Z158" s="1"/>
      <c r="AA158" s="1"/>
    </row>
    <row r="159">
      <c r="A159" s="1"/>
      <c r="B159" s="1"/>
      <c r="C159" s="1"/>
      <c r="D159" s="1"/>
      <c r="E159" s="1"/>
      <c r="F159" s="1"/>
      <c r="G159" s="1" t="s">
        <v>1369</v>
      </c>
      <c r="H159" s="4">
        <f t="shared" si="1"/>
        <v>157</v>
      </c>
      <c r="I159" s="1"/>
      <c r="J159" s="1"/>
      <c r="K159" s="1"/>
      <c r="L159" s="1"/>
      <c r="M159" s="1"/>
      <c r="N159" s="1"/>
      <c r="O159" s="1"/>
      <c r="P159" s="1"/>
      <c r="Q159" s="1"/>
      <c r="R159" s="1"/>
      <c r="T159" s="1"/>
      <c r="U159" s="1"/>
      <c r="V159" s="1"/>
      <c r="W159" s="1"/>
      <c r="X159" s="1"/>
      <c r="Y159" s="1"/>
      <c r="Z159" s="1"/>
      <c r="AA159" s="1"/>
    </row>
    <row r="160">
      <c r="A160" s="1"/>
      <c r="B160" s="1"/>
      <c r="C160" s="1"/>
      <c r="D160" s="1"/>
      <c r="E160" s="1"/>
      <c r="F160" s="1"/>
      <c r="G160" s="1" t="s">
        <v>1385</v>
      </c>
      <c r="H160" s="4">
        <f t="shared" si="1"/>
        <v>158</v>
      </c>
      <c r="I160" s="1"/>
      <c r="J160" s="1"/>
      <c r="K160" s="1"/>
      <c r="L160" s="1"/>
      <c r="M160" s="1"/>
      <c r="N160" s="1"/>
      <c r="O160" s="1"/>
      <c r="P160" s="1"/>
      <c r="Q160" s="1"/>
      <c r="R160" s="1"/>
      <c r="T160" s="1"/>
      <c r="U160" s="1"/>
      <c r="V160" s="1"/>
      <c r="W160" s="1"/>
      <c r="X160" s="1"/>
      <c r="Y160" s="1"/>
      <c r="Z160" s="1"/>
      <c r="AA160" s="1"/>
    </row>
    <row r="161">
      <c r="A161" s="1"/>
      <c r="B161" s="1"/>
      <c r="C161" s="1"/>
      <c r="D161" s="1"/>
      <c r="E161" s="1"/>
      <c r="F161" s="1"/>
      <c r="G161" s="1" t="s">
        <v>1355</v>
      </c>
      <c r="H161" s="4">
        <f t="shared" si="1"/>
        <v>159</v>
      </c>
      <c r="I161" s="1"/>
      <c r="J161" s="1"/>
      <c r="K161" s="1"/>
      <c r="L161" s="1"/>
      <c r="M161" s="1"/>
      <c r="N161" s="1"/>
      <c r="O161" s="1"/>
      <c r="P161" s="1"/>
      <c r="Q161" s="1"/>
      <c r="R161" s="1"/>
      <c r="T161" s="1"/>
      <c r="U161" s="1"/>
      <c r="V161" s="1"/>
      <c r="W161" s="1"/>
      <c r="X161" s="1"/>
      <c r="Y161" s="1"/>
      <c r="Z161" s="1"/>
      <c r="AA161" s="1"/>
    </row>
    <row r="162">
      <c r="A162" s="1"/>
      <c r="B162" s="1"/>
      <c r="C162" s="1"/>
      <c r="D162" s="1"/>
      <c r="E162" s="1"/>
      <c r="F162" s="1"/>
      <c r="G162" s="1" t="s">
        <v>1098</v>
      </c>
      <c r="H162" s="4">
        <f t="shared" si="1"/>
        <v>160</v>
      </c>
      <c r="I162" s="1"/>
      <c r="J162" s="1"/>
      <c r="K162" s="1"/>
      <c r="L162" s="1"/>
      <c r="M162" s="1"/>
      <c r="N162" s="1"/>
      <c r="O162" s="1"/>
      <c r="P162" s="1"/>
      <c r="Q162" s="1"/>
      <c r="R162" s="1"/>
      <c r="T162" s="1"/>
      <c r="U162" s="1"/>
      <c r="V162" s="1"/>
      <c r="W162" s="1"/>
      <c r="X162" s="1"/>
      <c r="Y162" s="1"/>
      <c r="Z162" s="1"/>
      <c r="AA162" s="1"/>
    </row>
    <row r="163">
      <c r="A163" s="1"/>
      <c r="B163" s="1"/>
      <c r="C163" s="1"/>
      <c r="D163" s="1"/>
      <c r="E163" s="1"/>
      <c r="F163" s="1"/>
      <c r="G163" s="1" t="s">
        <v>1423</v>
      </c>
      <c r="H163" s="4">
        <f t="shared" si="1"/>
        <v>161</v>
      </c>
      <c r="I163" s="1"/>
      <c r="J163" s="1"/>
      <c r="K163" s="1"/>
      <c r="L163" s="1"/>
      <c r="M163" s="1"/>
      <c r="N163" s="1"/>
      <c r="O163" s="1"/>
      <c r="P163" s="1"/>
      <c r="Q163" s="1"/>
      <c r="R163" s="1"/>
      <c r="T163" s="1"/>
      <c r="U163" s="1"/>
      <c r="V163" s="1"/>
      <c r="W163" s="1"/>
      <c r="X163" s="1"/>
      <c r="Y163" s="1"/>
      <c r="Z163" s="1"/>
      <c r="AA163" s="1"/>
    </row>
    <row r="164">
      <c r="A164" s="1"/>
      <c r="B164" s="1"/>
      <c r="C164" s="1"/>
      <c r="D164" s="1"/>
      <c r="E164" s="1"/>
      <c r="F164" s="1"/>
      <c r="G164" s="1" t="s">
        <v>1426</v>
      </c>
      <c r="H164" s="4">
        <f t="shared" si="1"/>
        <v>162</v>
      </c>
      <c r="I164" s="1"/>
      <c r="J164" s="1"/>
      <c r="K164" s="1"/>
      <c r="L164" s="1"/>
      <c r="M164" s="1"/>
      <c r="N164" s="1"/>
      <c r="O164" s="1"/>
      <c r="P164" s="1"/>
      <c r="Q164" s="1"/>
      <c r="R164" s="1"/>
      <c r="T164" s="1"/>
      <c r="U164" s="1"/>
      <c r="V164" s="1"/>
      <c r="W164" s="1"/>
      <c r="X164" s="1"/>
      <c r="Y164" s="1"/>
      <c r="Z164" s="1"/>
      <c r="AA164" s="1"/>
    </row>
    <row r="165">
      <c r="A165" s="1"/>
      <c r="B165" s="1"/>
      <c r="C165" s="1"/>
      <c r="D165" s="1"/>
      <c r="E165" s="1"/>
      <c r="F165" s="1"/>
      <c r="G165" s="1" t="s">
        <v>1366</v>
      </c>
      <c r="H165" s="4">
        <f t="shared" si="1"/>
        <v>163</v>
      </c>
      <c r="I165" s="1"/>
      <c r="J165" s="1"/>
      <c r="K165" s="1"/>
      <c r="L165" s="1"/>
      <c r="M165" s="1"/>
      <c r="N165" s="1"/>
      <c r="O165" s="1"/>
      <c r="P165" s="1"/>
      <c r="Q165" s="1"/>
      <c r="R165" s="1"/>
      <c r="T165" s="1"/>
      <c r="U165" s="1"/>
      <c r="V165" s="1"/>
      <c r="W165" s="1"/>
      <c r="X165" s="1"/>
      <c r="Y165" s="1"/>
      <c r="Z165" s="1"/>
      <c r="AA165" s="1"/>
    </row>
    <row r="166">
      <c r="A166" s="1"/>
      <c r="B166" s="1"/>
      <c r="C166" s="1"/>
      <c r="D166" s="1"/>
      <c r="E166" s="1"/>
      <c r="F166" s="1"/>
      <c r="G166" s="1" t="s">
        <v>1433</v>
      </c>
      <c r="H166" s="4">
        <f t="shared" si="1"/>
        <v>164</v>
      </c>
      <c r="I166" s="1"/>
      <c r="J166" s="1"/>
      <c r="K166" s="1"/>
      <c r="L166" s="1"/>
      <c r="M166" s="1"/>
      <c r="N166" s="1"/>
      <c r="O166" s="1"/>
      <c r="P166" s="1"/>
      <c r="Q166" s="1"/>
      <c r="R166" s="1"/>
      <c r="T166" s="1"/>
      <c r="U166" s="1"/>
      <c r="V166" s="1"/>
      <c r="W166" s="1"/>
      <c r="X166" s="1"/>
      <c r="Y166" s="1"/>
      <c r="Z166" s="1"/>
      <c r="AA166" s="1"/>
    </row>
    <row r="167">
      <c r="A167" s="1"/>
      <c r="B167" s="1"/>
      <c r="C167" s="1"/>
      <c r="D167" s="1"/>
      <c r="E167" s="1"/>
      <c r="F167" s="1"/>
      <c r="G167" s="1" t="s">
        <v>1152</v>
      </c>
      <c r="H167" s="4">
        <f t="shared" si="1"/>
        <v>165</v>
      </c>
      <c r="I167" s="1"/>
      <c r="J167" s="1"/>
      <c r="K167" s="1"/>
      <c r="L167" s="1"/>
      <c r="M167" s="1"/>
      <c r="N167" s="1"/>
      <c r="O167" s="1"/>
      <c r="P167" s="1"/>
      <c r="Q167" s="1"/>
      <c r="R167" s="1"/>
      <c r="T167" s="1"/>
      <c r="U167" s="1"/>
      <c r="V167" s="1"/>
      <c r="W167" s="1"/>
      <c r="X167" s="1"/>
      <c r="Y167" s="1"/>
      <c r="Z167" s="1"/>
      <c r="AA167" s="1"/>
    </row>
    <row r="168">
      <c r="A168" s="1"/>
      <c r="B168" s="1"/>
      <c r="C168" s="1"/>
      <c r="D168" s="1"/>
      <c r="E168" s="1"/>
      <c r="F168" s="1"/>
      <c r="G168" s="1" t="s">
        <v>1224</v>
      </c>
      <c r="H168" s="4">
        <f t="shared" si="1"/>
        <v>166</v>
      </c>
      <c r="I168" s="1"/>
      <c r="J168" s="1"/>
      <c r="K168" s="1"/>
      <c r="L168" s="1"/>
      <c r="M168" s="1"/>
      <c r="N168" s="1"/>
      <c r="O168" s="1"/>
      <c r="P168" s="1"/>
      <c r="Q168" s="1"/>
      <c r="R168" s="1"/>
      <c r="T168" s="1"/>
      <c r="U168" s="1"/>
      <c r="V168" s="1"/>
      <c r="W168" s="1"/>
      <c r="X168" s="1"/>
      <c r="Y168" s="1"/>
      <c r="Z168" s="1"/>
      <c r="AA168" s="1"/>
    </row>
    <row r="169">
      <c r="A169" s="1"/>
      <c r="B169" s="1"/>
      <c r="C169" s="1"/>
      <c r="D169" s="1"/>
      <c r="E169" s="1"/>
      <c r="F169" s="1"/>
      <c r="G169" s="1" t="s">
        <v>1212</v>
      </c>
      <c r="H169" s="4">
        <f t="shared" si="1"/>
        <v>167</v>
      </c>
      <c r="I169" s="1"/>
      <c r="J169" s="1"/>
      <c r="K169" s="1"/>
      <c r="L169" s="1"/>
      <c r="M169" s="1"/>
      <c r="N169" s="1"/>
      <c r="O169" s="1"/>
      <c r="P169" s="1"/>
      <c r="Q169" s="1"/>
      <c r="R169" s="1"/>
      <c r="T169" s="1"/>
      <c r="U169" s="1"/>
      <c r="V169" s="1"/>
      <c r="W169" s="1"/>
      <c r="X169" s="1"/>
      <c r="Y169" s="1"/>
      <c r="Z169" s="1"/>
      <c r="AA169" s="1"/>
    </row>
    <row r="170">
      <c r="A170" s="1"/>
      <c r="B170" s="1"/>
      <c r="C170" s="1"/>
      <c r="D170" s="1"/>
      <c r="E170" s="1"/>
      <c r="F170" s="1"/>
      <c r="G170" s="1" t="s">
        <v>1223</v>
      </c>
      <c r="H170" s="4">
        <f t="shared" si="1"/>
        <v>168</v>
      </c>
      <c r="I170" s="1"/>
      <c r="J170" s="1"/>
      <c r="K170" s="1"/>
      <c r="L170" s="1"/>
      <c r="M170" s="1"/>
      <c r="N170" s="1"/>
      <c r="O170" s="1"/>
      <c r="P170" s="1"/>
      <c r="Q170" s="1"/>
      <c r="R170" s="1"/>
      <c r="T170" s="1"/>
      <c r="U170" s="1"/>
      <c r="V170" s="1"/>
      <c r="W170" s="1"/>
      <c r="X170" s="1"/>
      <c r="Y170" s="1"/>
      <c r="Z170" s="1"/>
      <c r="AA170" s="1"/>
    </row>
    <row r="171">
      <c r="A171" s="1"/>
      <c r="B171" s="1"/>
      <c r="C171" s="1"/>
      <c r="D171" s="1"/>
      <c r="E171" s="1"/>
      <c r="F171" s="1"/>
      <c r="G171" s="1" t="s">
        <v>1215</v>
      </c>
      <c r="H171" s="4">
        <f t="shared" si="1"/>
        <v>169</v>
      </c>
      <c r="I171" s="1"/>
      <c r="J171" s="1"/>
      <c r="K171" s="1"/>
      <c r="L171" s="1"/>
      <c r="M171" s="1"/>
      <c r="N171" s="1"/>
      <c r="O171" s="1"/>
      <c r="P171" s="1"/>
      <c r="Q171" s="1"/>
      <c r="R171" s="1"/>
      <c r="T171" s="1"/>
      <c r="U171" s="1"/>
      <c r="V171" s="1"/>
      <c r="W171" s="1"/>
      <c r="X171" s="1"/>
      <c r="Y171" s="1"/>
      <c r="Z171" s="1"/>
      <c r="AA171" s="1"/>
    </row>
    <row r="172">
      <c r="A172" s="1"/>
      <c r="B172" s="1"/>
      <c r="C172" s="1"/>
      <c r="D172" s="1"/>
      <c r="E172" s="1"/>
      <c r="F172" s="1"/>
      <c r="G172" s="1" t="s">
        <v>1325</v>
      </c>
      <c r="H172" s="4">
        <f t="shared" si="1"/>
        <v>170</v>
      </c>
      <c r="I172" s="1"/>
      <c r="J172" s="1"/>
      <c r="K172" s="1"/>
      <c r="L172" s="1"/>
      <c r="M172" s="1"/>
      <c r="N172" s="1"/>
      <c r="O172" s="1"/>
      <c r="P172" s="1"/>
      <c r="Q172" s="1"/>
      <c r="R172" s="1"/>
      <c r="T172" s="1"/>
      <c r="U172" s="1"/>
      <c r="V172" s="1"/>
      <c r="W172" s="1"/>
      <c r="X172" s="1"/>
      <c r="Y172" s="1"/>
      <c r="Z172" s="1"/>
      <c r="AA172" s="1"/>
    </row>
    <row r="173">
      <c r="A173" s="1"/>
      <c r="B173" s="1"/>
      <c r="C173" s="1"/>
      <c r="D173" s="1"/>
      <c r="E173" s="1"/>
      <c r="F173" s="1"/>
      <c r="G173" s="1" t="s">
        <v>1326</v>
      </c>
      <c r="H173" s="4">
        <f t="shared" si="1"/>
        <v>171</v>
      </c>
      <c r="I173" s="1"/>
      <c r="J173" s="1"/>
      <c r="K173" s="1"/>
      <c r="L173" s="1"/>
      <c r="M173" s="1"/>
      <c r="N173" s="1"/>
      <c r="O173" s="1"/>
      <c r="P173" s="1"/>
      <c r="Q173" s="1"/>
      <c r="R173" s="1"/>
      <c r="T173" s="1"/>
      <c r="U173" s="1"/>
      <c r="V173" s="1"/>
      <c r="W173" s="1"/>
      <c r="X173" s="1"/>
      <c r="Y173" s="1"/>
      <c r="Z173" s="1"/>
      <c r="AA173" s="1"/>
    </row>
    <row r="174">
      <c r="A174" s="1"/>
      <c r="B174" s="1"/>
      <c r="C174" s="1"/>
      <c r="D174" s="1"/>
      <c r="E174" s="1"/>
      <c r="F174" s="1"/>
      <c r="G174" s="1" t="s">
        <v>1330</v>
      </c>
      <c r="H174" s="4">
        <f t="shared" si="1"/>
        <v>172</v>
      </c>
      <c r="I174" s="1"/>
      <c r="J174" s="1"/>
      <c r="K174" s="1"/>
      <c r="L174" s="1"/>
      <c r="M174" s="1"/>
      <c r="N174" s="1"/>
      <c r="O174" s="1"/>
      <c r="P174" s="1"/>
      <c r="Q174" s="1"/>
      <c r="R174" s="1"/>
      <c r="T174" s="1"/>
      <c r="U174" s="1"/>
      <c r="V174" s="1"/>
      <c r="W174" s="1"/>
      <c r="X174" s="1"/>
      <c r="Y174" s="1"/>
      <c r="Z174" s="1"/>
      <c r="AA174" s="1"/>
    </row>
    <row r="175">
      <c r="A175" s="1"/>
      <c r="B175" s="1"/>
      <c r="C175" s="1"/>
      <c r="D175" s="1"/>
      <c r="E175" s="1"/>
      <c r="F175" s="1"/>
      <c r="G175" s="1" t="s">
        <v>1332</v>
      </c>
      <c r="H175" s="4">
        <f t="shared" si="1"/>
        <v>173</v>
      </c>
      <c r="I175" s="1"/>
      <c r="J175" s="1"/>
      <c r="K175" s="1"/>
      <c r="L175" s="1"/>
      <c r="M175" s="1"/>
      <c r="N175" s="1"/>
      <c r="O175" s="1"/>
      <c r="P175" s="1"/>
      <c r="Q175" s="1"/>
      <c r="R175" s="1"/>
      <c r="T175" s="1"/>
      <c r="U175" s="1"/>
      <c r="V175" s="1"/>
      <c r="W175" s="1"/>
      <c r="X175" s="1"/>
      <c r="Y175" s="1"/>
      <c r="Z175" s="1"/>
      <c r="AA175" s="1"/>
    </row>
    <row r="176">
      <c r="A176" s="1"/>
      <c r="B176" s="1"/>
      <c r="C176" s="1"/>
      <c r="D176" s="1"/>
      <c r="E176" s="1"/>
      <c r="F176" s="1"/>
      <c r="G176" s="1" t="s">
        <v>1331</v>
      </c>
      <c r="H176" s="4">
        <f t="shared" si="1"/>
        <v>174</v>
      </c>
      <c r="I176" s="1"/>
      <c r="J176" s="1"/>
      <c r="K176" s="1"/>
      <c r="L176" s="1"/>
      <c r="M176" s="1"/>
      <c r="N176" s="1"/>
      <c r="O176" s="1"/>
      <c r="P176" s="1"/>
      <c r="Q176" s="1"/>
      <c r="R176" s="1"/>
      <c r="T176" s="1"/>
      <c r="U176" s="1"/>
      <c r="V176" s="1"/>
      <c r="W176" s="1"/>
      <c r="X176" s="1"/>
      <c r="Y176" s="1"/>
      <c r="Z176" s="1"/>
      <c r="AA176" s="1"/>
    </row>
    <row r="177">
      <c r="A177" s="1"/>
      <c r="B177" s="1"/>
      <c r="C177" s="1"/>
      <c r="D177" s="1"/>
      <c r="E177" s="1"/>
      <c r="F177" s="1"/>
      <c r="G177" s="1" t="s">
        <v>1200</v>
      </c>
      <c r="H177" s="4">
        <f t="shared" si="1"/>
        <v>175</v>
      </c>
      <c r="I177" s="1"/>
      <c r="J177" s="1"/>
      <c r="K177" s="1"/>
      <c r="L177" s="1"/>
      <c r="M177" s="1"/>
      <c r="N177" s="1"/>
      <c r="O177" s="1"/>
      <c r="P177" s="1"/>
      <c r="Q177" s="1"/>
      <c r="R177" s="1"/>
      <c r="T177" s="1"/>
      <c r="U177" s="1"/>
      <c r="V177" s="1"/>
      <c r="W177" s="1"/>
      <c r="X177" s="1"/>
      <c r="Y177" s="1"/>
      <c r="Z177" s="1"/>
      <c r="AA177" s="1"/>
    </row>
    <row r="178">
      <c r="A178" s="1"/>
      <c r="B178" s="1"/>
      <c r="C178" s="1"/>
      <c r="D178" s="1"/>
      <c r="E178" s="1"/>
      <c r="F178" s="1"/>
      <c r="G178" s="1" t="s">
        <v>1374</v>
      </c>
      <c r="H178" s="4">
        <f t="shared" si="1"/>
        <v>176</v>
      </c>
      <c r="I178" s="1"/>
      <c r="J178" s="1"/>
      <c r="K178" s="1"/>
      <c r="L178" s="1"/>
      <c r="M178" s="1"/>
      <c r="N178" s="1"/>
      <c r="O178" s="1"/>
      <c r="P178" s="1"/>
      <c r="Q178" s="1"/>
      <c r="R178" s="1"/>
      <c r="T178" s="1"/>
      <c r="U178" s="1"/>
      <c r="V178" s="1"/>
      <c r="W178" s="1"/>
      <c r="X178" s="1"/>
      <c r="Y178" s="1"/>
      <c r="Z178" s="1"/>
      <c r="AA178" s="1"/>
    </row>
    <row r="179">
      <c r="A179" s="1"/>
      <c r="B179" s="1"/>
      <c r="C179" s="1"/>
      <c r="D179" s="1"/>
      <c r="E179" s="1"/>
      <c r="F179" s="1"/>
      <c r="G179" s="1" t="s">
        <v>1375</v>
      </c>
      <c r="H179" s="4">
        <f t="shared" si="1"/>
        <v>177</v>
      </c>
      <c r="I179" s="1"/>
      <c r="J179" s="1"/>
      <c r="K179" s="1"/>
      <c r="L179" s="1"/>
      <c r="M179" s="1"/>
      <c r="N179" s="1"/>
      <c r="O179" s="1"/>
      <c r="P179" s="1"/>
      <c r="Q179" s="1"/>
      <c r="R179" s="1"/>
      <c r="T179" s="1"/>
      <c r="U179" s="1"/>
      <c r="V179" s="1"/>
      <c r="W179" s="1"/>
      <c r="X179" s="1"/>
      <c r="Y179" s="1"/>
      <c r="Z179" s="1"/>
      <c r="AA179" s="1"/>
    </row>
    <row r="180">
      <c r="A180" s="1"/>
      <c r="B180" s="1"/>
      <c r="C180" s="1"/>
      <c r="D180" s="1"/>
      <c r="E180" s="1"/>
      <c r="F180" s="1"/>
      <c r="G180" s="1" t="s">
        <v>1134</v>
      </c>
      <c r="H180" s="4">
        <f t="shared" si="1"/>
        <v>178</v>
      </c>
      <c r="I180" s="1"/>
      <c r="J180" s="1"/>
      <c r="K180" s="1"/>
      <c r="L180" s="1"/>
      <c r="M180" s="1"/>
      <c r="N180" s="1"/>
      <c r="O180" s="1"/>
      <c r="P180" s="1"/>
      <c r="Q180" s="1"/>
      <c r="R180" s="1"/>
      <c r="T180" s="1"/>
      <c r="U180" s="1"/>
      <c r="V180" s="1"/>
      <c r="W180" s="1"/>
      <c r="X180" s="1"/>
      <c r="Y180" s="1"/>
      <c r="Z180" s="1"/>
      <c r="AA180" s="1"/>
    </row>
    <row r="181">
      <c r="A181" s="1"/>
      <c r="B181" s="1"/>
      <c r="C181" s="1"/>
      <c r="D181" s="1"/>
      <c r="E181" s="1"/>
      <c r="F181" s="1"/>
      <c r="G181" s="1" t="s">
        <v>1362</v>
      </c>
      <c r="H181" s="4">
        <f t="shared" si="1"/>
        <v>179</v>
      </c>
      <c r="I181" s="1"/>
      <c r="J181" s="1"/>
      <c r="K181" s="1"/>
      <c r="L181" s="1"/>
      <c r="M181" s="1"/>
      <c r="N181" s="1"/>
      <c r="O181" s="1"/>
      <c r="P181" s="1"/>
      <c r="Q181" s="1"/>
      <c r="R181" s="1"/>
      <c r="T181" s="1"/>
      <c r="U181" s="1"/>
      <c r="V181" s="1"/>
      <c r="W181" s="1"/>
      <c r="X181" s="1"/>
      <c r="Y181" s="1"/>
      <c r="Z181" s="1"/>
      <c r="AA181" s="1"/>
    </row>
    <row r="182">
      <c r="A182" s="1"/>
      <c r="B182" s="1"/>
      <c r="C182" s="1"/>
      <c r="D182" s="1"/>
      <c r="E182" s="1"/>
      <c r="F182" s="1"/>
      <c r="G182" s="1" t="s">
        <v>1229</v>
      </c>
      <c r="H182" s="4">
        <f t="shared" si="1"/>
        <v>180</v>
      </c>
      <c r="I182" s="1"/>
      <c r="J182" s="1"/>
      <c r="K182" s="1"/>
      <c r="L182" s="1"/>
      <c r="M182" s="1"/>
      <c r="N182" s="1"/>
      <c r="O182" s="1"/>
      <c r="P182" s="1"/>
      <c r="Q182" s="1"/>
      <c r="R182" s="1"/>
      <c r="T182" s="1"/>
      <c r="U182" s="1"/>
      <c r="V182" s="1"/>
      <c r="W182" s="1"/>
      <c r="X182" s="1"/>
      <c r="Y182" s="1"/>
      <c r="Z182" s="1"/>
      <c r="AA182" s="1"/>
    </row>
    <row r="183">
      <c r="A183" s="1"/>
      <c r="B183" s="1"/>
      <c r="C183" s="1"/>
      <c r="D183" s="1"/>
      <c r="E183" s="1"/>
      <c r="F183" s="1"/>
      <c r="G183" s="1" t="s">
        <v>1137</v>
      </c>
      <c r="H183" s="4">
        <f t="shared" si="1"/>
        <v>181</v>
      </c>
      <c r="I183" s="1"/>
      <c r="J183" s="1"/>
      <c r="K183" s="1"/>
      <c r="L183" s="1"/>
      <c r="M183" s="1"/>
      <c r="N183" s="1"/>
      <c r="O183" s="1"/>
      <c r="P183" s="1"/>
      <c r="Q183" s="1"/>
      <c r="R183" s="1"/>
      <c r="T183" s="1"/>
      <c r="U183" s="1"/>
      <c r="V183" s="1"/>
      <c r="W183" s="1"/>
      <c r="X183" s="1"/>
      <c r="Y183" s="1"/>
      <c r="Z183" s="1"/>
      <c r="AA183" s="1"/>
    </row>
    <row r="184">
      <c r="A184" s="1"/>
      <c r="B184" s="1"/>
      <c r="C184" s="1"/>
      <c r="D184" s="1"/>
      <c r="E184" s="1"/>
      <c r="F184" s="1"/>
      <c r="G184" s="1" t="s">
        <v>1120</v>
      </c>
      <c r="H184" s="4">
        <f t="shared" si="1"/>
        <v>182</v>
      </c>
      <c r="I184" s="1"/>
      <c r="J184" s="1"/>
      <c r="K184" s="1"/>
      <c r="L184" s="1"/>
      <c r="M184" s="1"/>
      <c r="N184" s="1"/>
      <c r="O184" s="1"/>
      <c r="P184" s="1"/>
      <c r="Q184" s="1"/>
      <c r="R184" s="1"/>
      <c r="T184" s="1"/>
      <c r="U184" s="1"/>
      <c r="V184" s="1"/>
      <c r="W184" s="1"/>
      <c r="X184" s="1"/>
      <c r="Y184" s="1"/>
      <c r="Z184" s="1"/>
      <c r="AA184" s="1"/>
    </row>
    <row r="185">
      <c r="A185" s="1"/>
      <c r="B185" s="1"/>
      <c r="C185" s="1"/>
      <c r="D185" s="1"/>
      <c r="E185" s="1"/>
      <c r="F185" s="1"/>
      <c r="G185" s="1" t="s">
        <v>1150</v>
      </c>
      <c r="H185" s="4">
        <f t="shared" si="1"/>
        <v>183</v>
      </c>
      <c r="I185" s="1"/>
      <c r="J185" s="1"/>
      <c r="K185" s="1"/>
      <c r="L185" s="1"/>
      <c r="M185" s="1"/>
      <c r="N185" s="1"/>
      <c r="O185" s="1"/>
      <c r="P185" s="1"/>
      <c r="Q185" s="1"/>
      <c r="R185" s="1"/>
      <c r="T185" s="1"/>
      <c r="U185" s="1"/>
      <c r="V185" s="1"/>
      <c r="W185" s="1"/>
      <c r="X185" s="1"/>
      <c r="Y185" s="1"/>
      <c r="Z185" s="1"/>
      <c r="AA185" s="1"/>
    </row>
    <row r="186">
      <c r="A186" s="1"/>
      <c r="B186" s="1"/>
      <c r="C186" s="1"/>
      <c r="D186" s="1"/>
      <c r="E186" s="1"/>
      <c r="F186" s="1"/>
      <c r="G186" s="1" t="s">
        <v>1159</v>
      </c>
      <c r="H186" s="4">
        <f t="shared" si="1"/>
        <v>184</v>
      </c>
      <c r="I186" s="1"/>
      <c r="J186" s="1"/>
      <c r="K186" s="1"/>
      <c r="L186" s="1"/>
      <c r="M186" s="1"/>
      <c r="N186" s="1"/>
      <c r="O186" s="1"/>
      <c r="P186" s="1"/>
      <c r="Q186" s="1"/>
      <c r="R186" s="1"/>
      <c r="T186" s="1"/>
      <c r="U186" s="1"/>
      <c r="V186" s="1"/>
      <c r="W186" s="1"/>
      <c r="X186" s="1"/>
      <c r="Y186" s="1"/>
      <c r="Z186" s="1"/>
      <c r="AA186" s="1"/>
    </row>
    <row r="187">
      <c r="A187" s="1"/>
      <c r="B187" s="1"/>
      <c r="C187" s="1"/>
      <c r="D187" s="1"/>
      <c r="E187" s="1"/>
      <c r="F187" s="1"/>
      <c r="G187" s="1" t="s">
        <v>1198</v>
      </c>
      <c r="H187" s="4">
        <f t="shared" si="1"/>
        <v>185</v>
      </c>
      <c r="I187" s="1"/>
      <c r="J187" s="1"/>
      <c r="K187" s="1"/>
      <c r="L187" s="1"/>
      <c r="M187" s="1"/>
      <c r="N187" s="1"/>
      <c r="O187" s="1"/>
      <c r="P187" s="1"/>
      <c r="Q187" s="1"/>
      <c r="R187" s="1"/>
      <c r="T187" s="1"/>
      <c r="U187" s="1"/>
      <c r="V187" s="1"/>
      <c r="W187" s="1"/>
      <c r="X187" s="1"/>
      <c r="Y187" s="1"/>
      <c r="Z187" s="1"/>
      <c r="AA187" s="1"/>
    </row>
    <row r="188">
      <c r="A188" s="1"/>
      <c r="B188" s="1"/>
      <c r="C188" s="1"/>
      <c r="D188" s="1"/>
      <c r="E188" s="1"/>
      <c r="F188" s="1"/>
      <c r="G188" s="1" t="s">
        <v>1440</v>
      </c>
      <c r="H188" s="4">
        <f t="shared" si="1"/>
        <v>186</v>
      </c>
      <c r="I188" s="1"/>
      <c r="J188" s="1"/>
      <c r="K188" s="1"/>
      <c r="L188" s="1"/>
      <c r="M188" s="1"/>
      <c r="N188" s="1"/>
      <c r="O188" s="1"/>
      <c r="P188" s="1"/>
      <c r="Q188" s="1"/>
      <c r="R188" s="1"/>
      <c r="T188" s="1"/>
      <c r="U188" s="1"/>
      <c r="V188" s="1"/>
      <c r="W188" s="1"/>
      <c r="X188" s="1"/>
      <c r="Y188" s="1"/>
      <c r="Z188" s="1"/>
      <c r="AA188" s="1"/>
    </row>
    <row r="189">
      <c r="A189" s="1"/>
      <c r="B189" s="1"/>
      <c r="C189" s="1"/>
      <c r="D189" s="1"/>
      <c r="E189" s="1"/>
      <c r="F189" s="1"/>
      <c r="G189" s="1" t="s">
        <v>1323</v>
      </c>
      <c r="H189" s="4">
        <f t="shared" si="1"/>
        <v>187</v>
      </c>
      <c r="I189" s="1"/>
      <c r="J189" s="1"/>
      <c r="K189" s="1"/>
      <c r="L189" s="1"/>
      <c r="M189" s="1"/>
      <c r="N189" s="1"/>
      <c r="O189" s="1"/>
      <c r="P189" s="1"/>
      <c r="Q189" s="1"/>
      <c r="R189" s="1"/>
      <c r="T189" s="1"/>
      <c r="U189" s="1"/>
      <c r="V189" s="1"/>
      <c r="W189" s="1"/>
      <c r="X189" s="1"/>
      <c r="Y189" s="1"/>
      <c r="Z189" s="1"/>
      <c r="AA189" s="1"/>
    </row>
    <row r="190">
      <c r="A190" s="1"/>
      <c r="B190" s="1"/>
      <c r="C190" s="1"/>
      <c r="D190" s="1"/>
      <c r="E190" s="1"/>
      <c r="F190" s="1"/>
      <c r="G190" s="1" t="s">
        <v>1377</v>
      </c>
      <c r="H190" s="4">
        <f t="shared" si="1"/>
        <v>188</v>
      </c>
      <c r="I190" s="1"/>
      <c r="J190" s="1"/>
      <c r="K190" s="1"/>
      <c r="L190" s="1"/>
      <c r="M190" s="1"/>
      <c r="N190" s="1"/>
      <c r="O190" s="1"/>
      <c r="P190" s="1"/>
      <c r="Q190" s="1"/>
      <c r="R190" s="1"/>
      <c r="T190" s="1"/>
      <c r="U190" s="1"/>
      <c r="V190" s="1"/>
      <c r="W190" s="1"/>
      <c r="X190" s="1"/>
      <c r="Y190" s="1"/>
      <c r="Z190" s="1"/>
      <c r="AA190" s="1"/>
    </row>
    <row r="191">
      <c r="A191" s="1"/>
      <c r="B191" s="1"/>
      <c r="C191" s="1"/>
      <c r="D191" s="1"/>
      <c r="E191" s="1"/>
      <c r="F191" s="1"/>
      <c r="G191" s="1" t="s">
        <v>1378</v>
      </c>
      <c r="H191" s="4">
        <f t="shared" si="1"/>
        <v>189</v>
      </c>
      <c r="I191" s="1"/>
      <c r="J191" s="1"/>
      <c r="K191" s="1"/>
      <c r="L191" s="1"/>
      <c r="M191" s="1"/>
      <c r="N191" s="1"/>
      <c r="O191" s="1"/>
      <c r="P191" s="1"/>
      <c r="Q191" s="1"/>
      <c r="R191" s="1"/>
      <c r="T191" s="1"/>
      <c r="U191" s="1"/>
      <c r="V191" s="1"/>
      <c r="W191" s="1"/>
      <c r="X191" s="1"/>
      <c r="Y191" s="1"/>
      <c r="Z191" s="1"/>
      <c r="AA191" s="1"/>
    </row>
    <row r="192">
      <c r="A192" s="1"/>
      <c r="B192" s="1"/>
      <c r="C192" s="1"/>
      <c r="D192" s="1"/>
      <c r="E192" s="1"/>
      <c r="F192" s="1"/>
      <c r="G192" s="1" t="s">
        <v>1379</v>
      </c>
      <c r="H192" s="4">
        <f t="shared" si="1"/>
        <v>190</v>
      </c>
      <c r="I192" s="1"/>
      <c r="J192" s="1"/>
      <c r="K192" s="1"/>
      <c r="L192" s="1"/>
      <c r="M192" s="1"/>
      <c r="N192" s="1"/>
      <c r="O192" s="1"/>
      <c r="P192" s="1"/>
      <c r="Q192" s="1"/>
      <c r="R192" s="1"/>
      <c r="T192" s="1"/>
      <c r="U192" s="1"/>
      <c r="V192" s="1"/>
      <c r="W192" s="1"/>
      <c r="X192" s="1"/>
      <c r="Y192" s="1"/>
      <c r="Z192" s="1"/>
      <c r="AA192" s="1"/>
    </row>
    <row r="193">
      <c r="A193" s="1"/>
      <c r="B193" s="1"/>
      <c r="C193" s="1"/>
      <c r="D193" s="1"/>
      <c r="E193" s="1"/>
      <c r="F193" s="1"/>
      <c r="G193" s="1" t="s">
        <v>1127</v>
      </c>
      <c r="H193" s="4">
        <f t="shared" si="1"/>
        <v>191</v>
      </c>
      <c r="I193" s="1"/>
      <c r="J193" s="1"/>
      <c r="K193" s="1"/>
      <c r="L193" s="1"/>
      <c r="M193" s="1"/>
      <c r="N193" s="1"/>
      <c r="O193" s="1"/>
      <c r="P193" s="1"/>
      <c r="Q193" s="1"/>
      <c r="R193" s="1"/>
      <c r="T193" s="1"/>
      <c r="U193" s="1"/>
      <c r="V193" s="1"/>
      <c r="W193" s="1"/>
      <c r="X193" s="1"/>
      <c r="Y193" s="1"/>
      <c r="Z193" s="1"/>
      <c r="AA193" s="1"/>
    </row>
    <row r="194">
      <c r="A194" s="1"/>
      <c r="B194" s="1"/>
      <c r="C194" s="1"/>
      <c r="D194" s="1"/>
      <c r="E194" s="1"/>
      <c r="F194" s="1"/>
      <c r="G194" s="1" t="s">
        <v>1258</v>
      </c>
      <c r="H194" s="4">
        <f t="shared" si="1"/>
        <v>192</v>
      </c>
      <c r="I194" s="1"/>
      <c r="J194" s="1"/>
      <c r="K194" s="1"/>
      <c r="L194" s="1"/>
      <c r="M194" s="1"/>
      <c r="N194" s="1"/>
      <c r="O194" s="1"/>
      <c r="P194" s="1"/>
      <c r="Q194" s="1"/>
      <c r="R194" s="1"/>
      <c r="T194" s="1"/>
      <c r="U194" s="1"/>
      <c r="V194" s="1"/>
      <c r="W194" s="1"/>
      <c r="X194" s="1"/>
      <c r="Y194" s="1"/>
      <c r="Z194" s="1"/>
      <c r="AA194" s="1"/>
    </row>
    <row r="195">
      <c r="A195" s="1"/>
      <c r="B195" s="1"/>
      <c r="C195" s="1"/>
      <c r="D195" s="1"/>
      <c r="E195" s="1"/>
      <c r="F195" s="1"/>
      <c r="G195" s="1" t="s">
        <v>1388</v>
      </c>
      <c r="H195" s="4">
        <f t="shared" si="1"/>
        <v>193</v>
      </c>
      <c r="I195" s="1"/>
      <c r="J195" s="1"/>
      <c r="K195" s="1"/>
      <c r="L195" s="1"/>
      <c r="M195" s="1"/>
      <c r="N195" s="1"/>
      <c r="O195" s="1"/>
      <c r="P195" s="1"/>
      <c r="Q195" s="1"/>
      <c r="R195" s="1"/>
      <c r="T195" s="1"/>
      <c r="U195" s="1"/>
      <c r="V195" s="1"/>
      <c r="W195" s="1"/>
      <c r="X195" s="1"/>
      <c r="Y195" s="1"/>
      <c r="Z195" s="1"/>
      <c r="AA195" s="1"/>
    </row>
    <row r="196">
      <c r="A196" s="1"/>
      <c r="B196" s="1"/>
      <c r="C196" s="1"/>
      <c r="D196" s="1"/>
      <c r="E196" s="1"/>
      <c r="F196" s="1"/>
      <c r="G196" s="1" t="s">
        <v>1334</v>
      </c>
      <c r="H196" s="4">
        <f t="shared" si="1"/>
        <v>194</v>
      </c>
      <c r="I196" s="1"/>
      <c r="J196" s="1"/>
      <c r="K196" s="1"/>
      <c r="L196" s="1"/>
      <c r="M196" s="1"/>
      <c r="N196" s="1"/>
      <c r="O196" s="1"/>
      <c r="P196" s="1"/>
      <c r="Q196" s="1"/>
      <c r="R196" s="1"/>
      <c r="T196" s="1"/>
      <c r="U196" s="1"/>
      <c r="V196" s="1"/>
      <c r="W196" s="1"/>
      <c r="X196" s="1"/>
      <c r="Y196" s="1"/>
      <c r="Z196" s="1"/>
      <c r="AA196" s="1"/>
    </row>
    <row r="197">
      <c r="A197" s="1"/>
      <c r="B197" s="1"/>
      <c r="C197" s="1"/>
      <c r="D197" s="1"/>
      <c r="E197" s="1"/>
      <c r="F197" s="1"/>
      <c r="G197" s="1" t="s">
        <v>1436</v>
      </c>
      <c r="H197" s="4">
        <f t="shared" si="1"/>
        <v>195</v>
      </c>
      <c r="I197" s="1"/>
      <c r="J197" s="1"/>
      <c r="K197" s="1"/>
      <c r="L197" s="1"/>
      <c r="M197" s="1"/>
      <c r="N197" s="1"/>
      <c r="O197" s="1"/>
      <c r="P197" s="1"/>
      <c r="Q197" s="1"/>
      <c r="R197" s="1"/>
      <c r="T197" s="1"/>
      <c r="U197" s="1"/>
      <c r="V197" s="1"/>
      <c r="W197" s="1"/>
      <c r="X197" s="1"/>
      <c r="Y197" s="1"/>
      <c r="Z197" s="1"/>
      <c r="AA197" s="1"/>
    </row>
    <row r="198">
      <c r="A198" s="1"/>
      <c r="B198" s="1"/>
      <c r="C198" s="1"/>
      <c r="D198" s="1"/>
      <c r="E198" s="1"/>
      <c r="F198" s="1"/>
      <c r="G198" s="1" t="s">
        <v>1419</v>
      </c>
      <c r="H198" s="4">
        <f t="shared" si="1"/>
        <v>196</v>
      </c>
      <c r="I198" s="1"/>
      <c r="J198" s="1"/>
      <c r="K198" s="1"/>
      <c r="L198" s="1"/>
      <c r="M198" s="1"/>
      <c r="N198" s="1"/>
      <c r="O198" s="1"/>
      <c r="P198" s="1"/>
      <c r="Q198" s="1"/>
      <c r="R198" s="1"/>
      <c r="T198" s="1"/>
      <c r="U198" s="1"/>
      <c r="V198" s="1"/>
      <c r="W198" s="1"/>
      <c r="X198" s="1"/>
      <c r="Y198" s="1"/>
      <c r="Z198" s="1"/>
      <c r="AA198" s="1"/>
    </row>
    <row r="199">
      <c r="A199" s="1"/>
      <c r="B199" s="1"/>
      <c r="C199" s="1"/>
      <c r="D199" s="1"/>
      <c r="E199" s="1"/>
      <c r="F199" s="1"/>
      <c r="G199" s="1" t="s">
        <v>1184</v>
      </c>
      <c r="H199" s="4">
        <f t="shared" si="1"/>
        <v>197</v>
      </c>
      <c r="I199" s="1"/>
      <c r="J199" s="1"/>
      <c r="K199" s="1"/>
      <c r="L199" s="1"/>
      <c r="M199" s="1"/>
      <c r="N199" s="1"/>
      <c r="O199" s="1"/>
      <c r="P199" s="1"/>
      <c r="Q199" s="1"/>
      <c r="R199" s="1"/>
      <c r="T199" s="1"/>
      <c r="U199" s="1"/>
      <c r="V199" s="1"/>
      <c r="W199" s="1"/>
      <c r="X199" s="1"/>
      <c r="Y199" s="1"/>
      <c r="Z199" s="1"/>
      <c r="AA199" s="1"/>
    </row>
    <row r="200">
      <c r="A200" s="1"/>
      <c r="B200" s="1"/>
      <c r="C200" s="1"/>
      <c r="D200" s="1"/>
      <c r="E200" s="1"/>
      <c r="F200" s="1"/>
      <c r="G200" s="1" t="s">
        <v>1416</v>
      </c>
      <c r="H200" s="4">
        <f t="shared" si="1"/>
        <v>198</v>
      </c>
      <c r="I200" s="1"/>
      <c r="J200" s="1"/>
      <c r="K200" s="1"/>
      <c r="L200" s="1"/>
      <c r="M200" s="1"/>
      <c r="N200" s="1"/>
      <c r="O200" s="1"/>
      <c r="P200" s="1"/>
      <c r="Q200" s="1"/>
      <c r="R200" s="1"/>
      <c r="T200" s="1"/>
      <c r="U200" s="1"/>
      <c r="V200" s="1"/>
      <c r="W200" s="1"/>
      <c r="X200" s="1"/>
      <c r="Y200" s="1"/>
      <c r="Z200" s="1"/>
      <c r="AA200" s="1"/>
    </row>
    <row r="201">
      <c r="A201" s="1"/>
      <c r="B201" s="1"/>
      <c r="C201" s="1"/>
      <c r="D201" s="1"/>
      <c r="E201" s="1"/>
      <c r="F201" s="1"/>
      <c r="G201" s="1" t="s">
        <v>1180</v>
      </c>
      <c r="H201" s="4">
        <f t="shared" si="1"/>
        <v>199</v>
      </c>
      <c r="I201" s="1"/>
      <c r="J201" s="1"/>
      <c r="K201" s="1"/>
      <c r="L201" s="1"/>
      <c r="M201" s="1"/>
      <c r="N201" s="1"/>
      <c r="O201" s="1"/>
      <c r="P201" s="1"/>
      <c r="Q201" s="1"/>
      <c r="R201" s="1"/>
      <c r="T201" s="1"/>
      <c r="U201" s="1"/>
      <c r="V201" s="1"/>
      <c r="W201" s="1"/>
      <c r="X201" s="1"/>
      <c r="Y201" s="1"/>
      <c r="Z201" s="1"/>
      <c r="AA201" s="1"/>
    </row>
    <row r="202">
      <c r="A202" s="1"/>
      <c r="B202" s="1"/>
      <c r="C202" s="1"/>
      <c r="D202" s="1"/>
      <c r="E202" s="1"/>
      <c r="F202" s="1"/>
      <c r="G202" s="1" t="s">
        <v>1247</v>
      </c>
      <c r="H202" s="4">
        <f t="shared" si="1"/>
        <v>200</v>
      </c>
      <c r="I202" s="1"/>
      <c r="J202" s="1"/>
      <c r="K202" s="1"/>
      <c r="L202" s="1"/>
      <c r="M202" s="1"/>
      <c r="N202" s="1"/>
      <c r="O202" s="1"/>
      <c r="P202" s="1"/>
      <c r="Q202" s="1"/>
      <c r="R202" s="1"/>
      <c r="T202" s="1"/>
      <c r="U202" s="1"/>
      <c r="V202" s="1"/>
      <c r="W202" s="1"/>
      <c r="X202" s="1"/>
      <c r="Y202" s="1"/>
      <c r="Z202" s="1"/>
      <c r="AA202" s="1"/>
    </row>
    <row r="203">
      <c r="A203" s="1"/>
      <c r="B203" s="1"/>
      <c r="C203" s="1"/>
      <c r="D203" s="1"/>
      <c r="E203" s="1"/>
      <c r="F203" s="1"/>
      <c r="G203" s="1" t="s">
        <v>1356</v>
      </c>
      <c r="H203" s="4">
        <f t="shared" si="1"/>
        <v>201</v>
      </c>
      <c r="I203" s="1"/>
      <c r="J203" s="1"/>
      <c r="K203" s="1"/>
      <c r="L203" s="1"/>
      <c r="M203" s="1"/>
      <c r="N203" s="1"/>
      <c r="O203" s="1"/>
      <c r="P203" s="1"/>
      <c r="Q203" s="1"/>
      <c r="R203" s="1"/>
      <c r="T203" s="1"/>
      <c r="U203" s="1"/>
      <c r="V203" s="1"/>
      <c r="W203" s="1"/>
      <c r="X203" s="1"/>
      <c r="Y203" s="1"/>
      <c r="Z203" s="1"/>
      <c r="AA203" s="1"/>
    </row>
    <row r="204">
      <c r="A204" s="1"/>
      <c r="B204" s="1"/>
      <c r="C204" s="1"/>
      <c r="D204" s="1"/>
      <c r="E204" s="1"/>
      <c r="F204" s="1"/>
      <c r="G204" s="1" t="s">
        <v>1193</v>
      </c>
      <c r="H204" s="4">
        <f t="shared" si="1"/>
        <v>202</v>
      </c>
      <c r="I204" s="1"/>
      <c r="J204" s="1"/>
      <c r="K204" s="1"/>
      <c r="L204" s="1"/>
      <c r="M204" s="1"/>
      <c r="N204" s="1"/>
      <c r="O204" s="1"/>
      <c r="P204" s="1"/>
      <c r="Q204" s="1"/>
      <c r="R204" s="1"/>
      <c r="T204" s="1"/>
      <c r="U204" s="1"/>
      <c r="V204" s="1"/>
      <c r="W204" s="1"/>
      <c r="X204" s="1"/>
      <c r="Y204" s="1"/>
      <c r="Z204" s="1"/>
      <c r="AA204" s="1"/>
    </row>
    <row r="205">
      <c r="A205" s="1"/>
      <c r="B205" s="1"/>
      <c r="C205" s="1"/>
      <c r="D205" s="1"/>
      <c r="E205" s="1"/>
      <c r="F205" s="1"/>
      <c r="G205" s="1" t="s">
        <v>1344</v>
      </c>
      <c r="H205" s="4">
        <f t="shared" si="1"/>
        <v>203</v>
      </c>
      <c r="I205" s="1"/>
      <c r="J205" s="1"/>
      <c r="K205" s="1"/>
      <c r="L205" s="1"/>
      <c r="M205" s="1"/>
      <c r="N205" s="1"/>
      <c r="O205" s="1"/>
      <c r="P205" s="1"/>
      <c r="Q205" s="1"/>
      <c r="R205" s="1"/>
      <c r="T205" s="1"/>
      <c r="U205" s="1"/>
      <c r="V205" s="1"/>
      <c r="W205" s="1"/>
      <c r="X205" s="1"/>
      <c r="Y205" s="1"/>
      <c r="Z205" s="1"/>
      <c r="AA205" s="1"/>
    </row>
    <row r="206">
      <c r="A206" s="1"/>
      <c r="B206" s="1"/>
      <c r="C206" s="1"/>
      <c r="D206" s="1"/>
      <c r="E206" s="1"/>
      <c r="F206" s="1"/>
      <c r="G206" s="1" t="s">
        <v>1209</v>
      </c>
      <c r="H206" s="4">
        <f t="shared" si="1"/>
        <v>204</v>
      </c>
      <c r="I206" s="1"/>
      <c r="J206" s="1"/>
      <c r="K206" s="1"/>
      <c r="L206" s="1"/>
      <c r="M206" s="1"/>
      <c r="N206" s="1"/>
      <c r="O206" s="1"/>
      <c r="P206" s="1"/>
      <c r="Q206" s="1"/>
      <c r="R206" s="1"/>
      <c r="T206" s="1"/>
      <c r="U206" s="1"/>
      <c r="V206" s="1"/>
      <c r="W206" s="1"/>
      <c r="X206" s="1"/>
      <c r="Y206" s="1"/>
      <c r="Z206" s="1"/>
      <c r="AA206" s="1"/>
    </row>
    <row r="207">
      <c r="A207" s="1"/>
      <c r="B207" s="1"/>
      <c r="C207" s="1"/>
      <c r="D207" s="1"/>
      <c r="E207" s="1"/>
      <c r="F207" s="1"/>
      <c r="G207" s="1" t="s">
        <v>1186</v>
      </c>
      <c r="H207" s="4">
        <f t="shared" si="1"/>
        <v>205</v>
      </c>
      <c r="I207" s="1"/>
      <c r="J207" s="1"/>
      <c r="K207" s="1"/>
      <c r="L207" s="1"/>
      <c r="M207" s="1"/>
      <c r="N207" s="1"/>
      <c r="O207" s="1"/>
      <c r="P207" s="1"/>
      <c r="Q207" s="1"/>
      <c r="R207" s="1"/>
      <c r="T207" s="1"/>
      <c r="U207" s="1"/>
      <c r="V207" s="1"/>
      <c r="W207" s="1"/>
      <c r="X207" s="1"/>
      <c r="Y207" s="1"/>
      <c r="Z207" s="1"/>
      <c r="AA207" s="1"/>
    </row>
    <row r="208">
      <c r="A208" s="1"/>
      <c r="B208" s="1"/>
      <c r="C208" s="1"/>
      <c r="D208" s="1"/>
      <c r="E208" s="1"/>
      <c r="F208" s="1"/>
      <c r="G208" s="1" t="s">
        <v>1393</v>
      </c>
      <c r="H208" s="4">
        <f t="shared" si="1"/>
        <v>206</v>
      </c>
      <c r="I208" s="1"/>
      <c r="J208" s="1"/>
      <c r="K208" s="1"/>
      <c r="L208" s="1"/>
      <c r="M208" s="1"/>
      <c r="N208" s="1"/>
      <c r="O208" s="1"/>
      <c r="P208" s="1"/>
      <c r="Q208" s="1"/>
      <c r="R208" s="1"/>
      <c r="T208" s="1"/>
      <c r="U208" s="1"/>
      <c r="V208" s="1"/>
      <c r="W208" s="1"/>
      <c r="X208" s="1"/>
      <c r="Y208" s="1"/>
      <c r="Z208" s="1"/>
      <c r="AA208" s="1"/>
    </row>
    <row r="209">
      <c r="A209" s="1"/>
      <c r="B209" s="1"/>
      <c r="C209" s="1"/>
      <c r="D209" s="1"/>
      <c r="E209" s="1"/>
      <c r="F209" s="1"/>
      <c r="G209" s="1" t="s">
        <v>1336</v>
      </c>
      <c r="H209" s="4">
        <f t="shared" si="1"/>
        <v>207</v>
      </c>
      <c r="I209" s="1"/>
      <c r="J209" s="1"/>
      <c r="K209" s="1"/>
      <c r="L209" s="1"/>
      <c r="M209" s="1"/>
      <c r="N209" s="1"/>
      <c r="O209" s="1"/>
      <c r="P209" s="1"/>
      <c r="Q209" s="1"/>
      <c r="R209" s="1"/>
      <c r="T209" s="1"/>
      <c r="U209" s="1"/>
      <c r="V209" s="1"/>
      <c r="W209" s="1"/>
      <c r="X209" s="1"/>
      <c r="Y209" s="1"/>
      <c r="Z209" s="1"/>
      <c r="AA209" s="1"/>
    </row>
    <row r="210">
      <c r="A210" s="1"/>
      <c r="B210" s="1"/>
      <c r="C210" s="1"/>
      <c r="D210" s="1"/>
      <c r="E210" s="1"/>
      <c r="F210" s="1"/>
      <c r="G210" s="1" t="s">
        <v>1392</v>
      </c>
      <c r="H210" s="4">
        <f t="shared" si="1"/>
        <v>208</v>
      </c>
      <c r="I210" s="1"/>
      <c r="J210" s="1"/>
      <c r="K210" s="1"/>
      <c r="L210" s="1"/>
      <c r="M210" s="1"/>
      <c r="N210" s="1"/>
      <c r="O210" s="1"/>
      <c r="P210" s="1"/>
      <c r="Q210" s="1"/>
      <c r="R210" s="1"/>
      <c r="T210" s="1"/>
      <c r="U210" s="1"/>
      <c r="V210" s="1"/>
      <c r="W210" s="1"/>
      <c r="X210" s="1"/>
      <c r="Y210" s="1"/>
      <c r="Z210" s="1"/>
      <c r="AA210" s="1"/>
    </row>
    <row r="211">
      <c r="A211" s="1"/>
      <c r="B211" s="1"/>
      <c r="C211" s="1"/>
      <c r="D211" s="1"/>
      <c r="E211" s="1"/>
      <c r="F211" s="1"/>
      <c r="G211" s="1" t="s">
        <v>1439</v>
      </c>
      <c r="H211" s="4">
        <f t="shared" si="1"/>
        <v>209</v>
      </c>
      <c r="I211" s="1"/>
      <c r="J211" s="1"/>
      <c r="K211" s="1"/>
      <c r="L211" s="1"/>
      <c r="M211" s="1"/>
      <c r="N211" s="1"/>
      <c r="O211" s="1"/>
      <c r="P211" s="1"/>
      <c r="Q211" s="1"/>
      <c r="R211" s="1"/>
      <c r="T211" s="1"/>
      <c r="U211" s="1"/>
      <c r="V211" s="1"/>
      <c r="W211" s="1"/>
      <c r="X211" s="1"/>
      <c r="Y211" s="1"/>
      <c r="Z211" s="1"/>
      <c r="AA211" s="1"/>
    </row>
    <row r="212">
      <c r="A212" s="1"/>
      <c r="B212" s="1"/>
      <c r="C212" s="1"/>
      <c r="D212" s="1"/>
      <c r="E212" s="1"/>
      <c r="F212" s="1"/>
      <c r="G212" s="1" t="s">
        <v>1429</v>
      </c>
      <c r="H212" s="4">
        <f t="shared" si="1"/>
        <v>210</v>
      </c>
      <c r="I212" s="1"/>
      <c r="J212" s="1"/>
      <c r="K212" s="1"/>
      <c r="L212" s="1"/>
      <c r="M212" s="1"/>
      <c r="N212" s="1"/>
      <c r="O212" s="1"/>
      <c r="P212" s="1"/>
      <c r="Q212" s="1"/>
      <c r="R212" s="1"/>
      <c r="T212" s="1"/>
      <c r="U212" s="1"/>
      <c r="V212" s="1"/>
      <c r="W212" s="1"/>
      <c r="X212" s="1"/>
      <c r="Y212" s="1"/>
      <c r="Z212" s="1"/>
      <c r="AA212" s="1"/>
    </row>
    <row r="213">
      <c r="A213" s="1"/>
      <c r="B213" s="1"/>
      <c r="C213" s="1"/>
      <c r="D213" s="1"/>
      <c r="E213" s="1"/>
      <c r="F213" s="1"/>
      <c r="G213" s="1" t="s">
        <v>1095</v>
      </c>
      <c r="H213" s="4">
        <f t="shared" si="1"/>
        <v>211</v>
      </c>
      <c r="I213" s="1"/>
      <c r="J213" s="1"/>
      <c r="K213" s="1"/>
      <c r="L213" s="1"/>
      <c r="M213" s="1"/>
      <c r="N213" s="1"/>
      <c r="O213" s="1"/>
      <c r="P213" s="1"/>
      <c r="Q213" s="1"/>
      <c r="R213" s="1"/>
      <c r="T213" s="1"/>
      <c r="U213" s="1"/>
      <c r="V213" s="1"/>
      <c r="W213" s="1"/>
      <c r="X213" s="1"/>
      <c r="Y213" s="1"/>
      <c r="Z213" s="1"/>
      <c r="AA213" s="1"/>
    </row>
    <row r="214">
      <c r="A214" s="1"/>
      <c r="B214" s="1"/>
      <c r="C214" s="1"/>
      <c r="D214" s="1"/>
      <c r="E214" s="1"/>
      <c r="F214" s="1"/>
      <c r="G214" s="1" t="s">
        <v>1443</v>
      </c>
      <c r="H214" s="4">
        <f t="shared" si="1"/>
        <v>212</v>
      </c>
      <c r="I214" s="1"/>
      <c r="J214" s="1"/>
      <c r="K214" s="1"/>
      <c r="L214" s="1"/>
      <c r="M214" s="1"/>
      <c r="N214" s="1"/>
      <c r="O214" s="1"/>
      <c r="P214" s="1"/>
      <c r="Q214" s="1"/>
      <c r="R214" s="1"/>
      <c r="T214" s="1"/>
      <c r="U214" s="1"/>
      <c r="V214" s="1"/>
      <c r="W214" s="1"/>
      <c r="X214" s="1"/>
      <c r="Y214" s="1"/>
      <c r="Z214" s="1"/>
      <c r="AA214" s="1"/>
    </row>
    <row r="215">
      <c r="A215" s="1"/>
      <c r="B215" s="1"/>
      <c r="C215" s="1"/>
      <c r="D215" s="1"/>
      <c r="E215" s="1"/>
      <c r="F215" s="1"/>
      <c r="G215" s="1" t="s">
        <v>1257</v>
      </c>
      <c r="H215" s="4">
        <f t="shared" si="1"/>
        <v>213</v>
      </c>
      <c r="I215" s="1"/>
      <c r="J215" s="1"/>
      <c r="K215" s="1"/>
      <c r="L215" s="1"/>
      <c r="M215" s="1"/>
      <c r="N215" s="1"/>
      <c r="O215" s="1"/>
      <c r="P215" s="1"/>
      <c r="Q215" s="1"/>
      <c r="R215" s="1"/>
      <c r="T215" s="1"/>
      <c r="U215" s="1"/>
      <c r="V215" s="1"/>
      <c r="W215" s="1"/>
      <c r="X215" s="1"/>
      <c r="Y215" s="1"/>
      <c r="Z215" s="1"/>
      <c r="AA215" s="1"/>
    </row>
    <row r="216">
      <c r="A216" s="1"/>
      <c r="B216" s="1"/>
      <c r="C216" s="1"/>
      <c r="D216" s="1"/>
      <c r="E216" s="1"/>
      <c r="F216" s="1"/>
      <c r="G216" s="1" t="s">
        <v>1441</v>
      </c>
      <c r="H216" s="4">
        <f t="shared" si="1"/>
        <v>214</v>
      </c>
      <c r="I216" s="1"/>
      <c r="J216" s="1"/>
      <c r="K216" s="1"/>
      <c r="L216" s="1"/>
      <c r="M216" s="1"/>
      <c r="N216" s="1"/>
      <c r="O216" s="1"/>
      <c r="P216" s="1"/>
      <c r="Q216" s="1"/>
      <c r="R216" s="1"/>
      <c r="T216" s="1"/>
      <c r="U216" s="1"/>
      <c r="V216" s="1"/>
      <c r="W216" s="1"/>
      <c r="X216" s="1"/>
      <c r="Y216" s="1"/>
      <c r="Z216" s="1"/>
      <c r="AA216" s="1"/>
    </row>
    <row r="217">
      <c r="A217" s="1"/>
      <c r="B217" s="1"/>
      <c r="C217" s="1"/>
      <c r="D217" s="1"/>
      <c r="E217" s="1"/>
      <c r="F217" s="1"/>
      <c r="G217" s="1" t="s">
        <v>1118</v>
      </c>
      <c r="H217" s="4">
        <f t="shared" si="1"/>
        <v>215</v>
      </c>
      <c r="I217" s="1"/>
      <c r="J217" s="1"/>
      <c r="K217" s="1"/>
      <c r="L217" s="1"/>
      <c r="M217" s="1"/>
      <c r="N217" s="1"/>
      <c r="O217" s="1"/>
      <c r="P217" s="1"/>
      <c r="Q217" s="1"/>
      <c r="R217" s="1"/>
      <c r="T217" s="1"/>
      <c r="U217" s="1"/>
      <c r="V217" s="1"/>
      <c r="W217" s="1"/>
      <c r="X217" s="1"/>
      <c r="Y217" s="1"/>
      <c r="Z217" s="1"/>
      <c r="AA217" s="1"/>
    </row>
    <row r="218">
      <c r="A218" s="1"/>
      <c r="B218" s="1"/>
      <c r="C218" s="1"/>
      <c r="D218" s="1"/>
      <c r="E218" s="1"/>
      <c r="F218" s="1"/>
      <c r="G218" s="1" t="s">
        <v>1181</v>
      </c>
      <c r="H218" s="4">
        <f t="shared" si="1"/>
        <v>216</v>
      </c>
      <c r="I218" s="1"/>
      <c r="J218" s="1"/>
      <c r="K218" s="1"/>
      <c r="L218" s="1"/>
      <c r="M218" s="1"/>
      <c r="N218" s="1"/>
      <c r="O218" s="1"/>
      <c r="P218" s="1"/>
      <c r="Q218" s="1"/>
      <c r="R218" s="1"/>
      <c r="T218" s="1"/>
      <c r="U218" s="1"/>
      <c r="V218" s="1"/>
      <c r="W218" s="1"/>
      <c r="X218" s="1"/>
      <c r="Y218" s="1"/>
      <c r="Z218" s="1"/>
      <c r="AA218" s="1"/>
    </row>
    <row r="219">
      <c r="A219" s="1"/>
      <c r="B219" s="1"/>
      <c r="C219" s="1"/>
      <c r="D219" s="1"/>
      <c r="E219" s="1"/>
      <c r="F219" s="1"/>
      <c r="G219" s="1" t="s">
        <v>1324</v>
      </c>
      <c r="H219" s="4">
        <f t="shared" si="1"/>
        <v>217</v>
      </c>
      <c r="I219" s="1"/>
      <c r="J219" s="1"/>
      <c r="K219" s="1"/>
      <c r="L219" s="1"/>
      <c r="M219" s="1"/>
      <c r="N219" s="1"/>
      <c r="O219" s="1"/>
      <c r="P219" s="1"/>
      <c r="Q219" s="1"/>
      <c r="R219" s="1"/>
      <c r="T219" s="1"/>
      <c r="U219" s="1"/>
      <c r="V219" s="1"/>
      <c r="W219" s="1"/>
      <c r="X219" s="1"/>
      <c r="Y219" s="1"/>
      <c r="Z219" s="1"/>
      <c r="AA219" s="1"/>
    </row>
    <row r="220">
      <c r="A220" s="1"/>
      <c r="B220" s="1"/>
      <c r="C220" s="1"/>
      <c r="D220" s="1"/>
      <c r="E220" s="1"/>
      <c r="F220" s="1"/>
      <c r="G220" s="1" t="s">
        <v>1183</v>
      </c>
      <c r="H220" s="4">
        <f t="shared" si="1"/>
        <v>218</v>
      </c>
      <c r="I220" s="1"/>
      <c r="J220" s="1"/>
      <c r="K220" s="1"/>
      <c r="L220" s="1"/>
      <c r="M220" s="1"/>
      <c r="N220" s="1"/>
      <c r="O220" s="1"/>
      <c r="P220" s="1"/>
      <c r="Q220" s="1"/>
      <c r="R220" s="1"/>
      <c r="T220" s="1"/>
      <c r="U220" s="1"/>
      <c r="V220" s="1"/>
      <c r="W220" s="1"/>
      <c r="X220" s="1"/>
      <c r="Y220" s="1"/>
      <c r="Z220" s="1"/>
      <c r="AA220" s="1"/>
    </row>
    <row r="221">
      <c r="A221" s="1"/>
      <c r="B221" s="1"/>
      <c r="C221" s="1"/>
      <c r="D221" s="1"/>
      <c r="E221" s="1"/>
      <c r="F221" s="1"/>
      <c r="G221" s="1" t="s">
        <v>1199</v>
      </c>
      <c r="H221" s="4">
        <f t="shared" si="1"/>
        <v>219</v>
      </c>
      <c r="I221" s="1"/>
      <c r="J221" s="1"/>
      <c r="K221" s="1"/>
      <c r="L221" s="1"/>
      <c r="M221" s="1"/>
      <c r="N221" s="1"/>
      <c r="O221" s="1"/>
      <c r="P221" s="1"/>
      <c r="Q221" s="1"/>
      <c r="R221" s="1"/>
      <c r="T221" s="1"/>
      <c r="U221" s="1"/>
      <c r="V221" s="1"/>
      <c r="W221" s="1"/>
      <c r="X221" s="1"/>
      <c r="Y221" s="1"/>
      <c r="Z221" s="1"/>
      <c r="AA221" s="1"/>
    </row>
    <row r="222">
      <c r="A222" s="1"/>
      <c r="B222" s="1"/>
      <c r="C222" s="1"/>
      <c r="D222" s="1"/>
      <c r="E222" s="1"/>
      <c r="F222" s="1"/>
      <c r="G222" s="1" t="s">
        <v>1182</v>
      </c>
      <c r="H222" s="4">
        <f t="shared" si="1"/>
        <v>220</v>
      </c>
      <c r="I222" s="1"/>
      <c r="J222" s="1"/>
      <c r="K222" s="1"/>
      <c r="L222" s="1"/>
      <c r="M222" s="1"/>
      <c r="N222" s="1"/>
      <c r="O222" s="1"/>
      <c r="P222" s="1"/>
      <c r="Q222" s="1"/>
      <c r="R222" s="1"/>
      <c r="T222" s="1"/>
      <c r="U222" s="1"/>
      <c r="V222" s="1"/>
      <c r="W222" s="1"/>
      <c r="X222" s="1"/>
      <c r="Y222" s="1"/>
      <c r="Z222" s="1"/>
      <c r="AA222" s="1"/>
    </row>
    <row r="223">
      <c r="A223" s="1"/>
      <c r="B223" s="1"/>
      <c r="C223" s="1"/>
      <c r="D223" s="1"/>
      <c r="E223" s="1"/>
      <c r="F223" s="1"/>
      <c r="G223" s="1" t="s">
        <v>1438</v>
      </c>
      <c r="H223" s="4">
        <f t="shared" si="1"/>
        <v>221</v>
      </c>
      <c r="I223" s="1"/>
      <c r="J223" s="1"/>
      <c r="K223" s="1"/>
      <c r="L223" s="1"/>
      <c r="M223" s="1"/>
      <c r="N223" s="1"/>
      <c r="O223" s="1"/>
      <c r="P223" s="1"/>
      <c r="Q223" s="1"/>
      <c r="R223" s="1"/>
      <c r="T223" s="1"/>
      <c r="U223" s="1"/>
      <c r="V223" s="1"/>
      <c r="W223" s="1"/>
      <c r="X223" s="1"/>
      <c r="Y223" s="1"/>
      <c r="Z223" s="1"/>
      <c r="AA223" s="1"/>
    </row>
    <row r="224">
      <c r="A224" s="1"/>
      <c r="B224" s="1"/>
      <c r="C224" s="1"/>
      <c r="D224" s="1"/>
      <c r="E224" s="1"/>
      <c r="F224" s="1"/>
      <c r="G224" s="1" t="s">
        <v>1319</v>
      </c>
      <c r="H224" s="4">
        <f t="shared" si="1"/>
        <v>222</v>
      </c>
      <c r="I224" s="1"/>
      <c r="J224" s="1"/>
      <c r="K224" s="1"/>
      <c r="L224" s="1"/>
      <c r="M224" s="1"/>
      <c r="N224" s="1"/>
      <c r="O224" s="1"/>
      <c r="P224" s="1"/>
      <c r="Q224" s="1"/>
      <c r="R224" s="1"/>
      <c r="T224" s="1"/>
      <c r="U224" s="1"/>
      <c r="V224" s="1"/>
      <c r="W224" s="1"/>
      <c r="X224" s="1"/>
      <c r="Y224" s="1"/>
      <c r="Z224" s="1"/>
      <c r="AA224" s="1"/>
    </row>
    <row r="225">
      <c r="A225" s="1"/>
      <c r="B225" s="1"/>
      <c r="C225" s="1"/>
      <c r="D225" s="1"/>
      <c r="E225" s="1"/>
      <c r="F225" s="1"/>
      <c r="G225" s="1" t="s">
        <v>1316</v>
      </c>
      <c r="H225" s="4">
        <f t="shared" si="1"/>
        <v>223</v>
      </c>
      <c r="I225" s="1"/>
      <c r="J225" s="1"/>
      <c r="K225" s="1"/>
      <c r="L225" s="1"/>
      <c r="M225" s="1"/>
      <c r="N225" s="1"/>
      <c r="O225" s="1"/>
      <c r="P225" s="1"/>
      <c r="Q225" s="1"/>
      <c r="R225" s="1"/>
      <c r="T225" s="1"/>
      <c r="U225" s="1"/>
      <c r="V225" s="1"/>
      <c r="W225" s="1"/>
      <c r="X225" s="1"/>
      <c r="Y225" s="1"/>
      <c r="Z225" s="1"/>
      <c r="AA225" s="1"/>
    </row>
    <row r="226">
      <c r="A226" s="1"/>
      <c r="B226" s="1"/>
      <c r="C226" s="1"/>
      <c r="D226" s="1"/>
      <c r="E226" s="1"/>
      <c r="F226" s="1"/>
      <c r="G226" s="1" t="s">
        <v>1270</v>
      </c>
      <c r="H226" s="4">
        <f t="shared" si="1"/>
        <v>224</v>
      </c>
      <c r="I226" s="1"/>
      <c r="J226" s="1"/>
      <c r="K226" s="1"/>
      <c r="L226" s="1"/>
      <c r="M226" s="1"/>
      <c r="N226" s="1"/>
      <c r="O226" s="1"/>
      <c r="P226" s="1"/>
      <c r="Q226" s="1"/>
      <c r="R226" s="1"/>
      <c r="T226" s="1"/>
      <c r="U226" s="1"/>
      <c r="V226" s="1"/>
      <c r="W226" s="1"/>
      <c r="X226" s="1"/>
      <c r="Y226" s="1"/>
      <c r="Z226" s="1"/>
      <c r="AA226" s="1"/>
    </row>
    <row r="227">
      <c r="A227" s="1"/>
      <c r="B227" s="1"/>
      <c r="C227" s="1"/>
      <c r="D227" s="1"/>
      <c r="E227" s="1"/>
      <c r="F227" s="1"/>
      <c r="G227" s="1" t="s">
        <v>1271</v>
      </c>
      <c r="H227" s="4">
        <f t="shared" si="1"/>
        <v>225</v>
      </c>
      <c r="I227" s="1"/>
      <c r="J227" s="1"/>
      <c r="K227" s="1"/>
      <c r="L227" s="1"/>
      <c r="M227" s="1"/>
      <c r="N227" s="1"/>
      <c r="O227" s="1"/>
      <c r="P227" s="1"/>
      <c r="Q227" s="1"/>
      <c r="R227" s="1"/>
      <c r="T227" s="1"/>
      <c r="U227" s="1"/>
      <c r="V227" s="1"/>
      <c r="W227" s="1"/>
      <c r="X227" s="1"/>
      <c r="Y227" s="1"/>
      <c r="Z227" s="1"/>
      <c r="AA227" s="1"/>
    </row>
    <row r="228">
      <c r="A228" s="1"/>
      <c r="B228" s="1"/>
      <c r="C228" s="1"/>
      <c r="D228" s="1"/>
      <c r="E228" s="1"/>
      <c r="F228" s="1"/>
      <c r="G228" s="1" t="s">
        <v>1272</v>
      </c>
      <c r="H228" s="4">
        <f t="shared" si="1"/>
        <v>226</v>
      </c>
      <c r="I228" s="1"/>
      <c r="J228" s="1"/>
      <c r="K228" s="1"/>
      <c r="L228" s="1"/>
      <c r="M228" s="1"/>
      <c r="N228" s="1"/>
      <c r="O228" s="1"/>
      <c r="P228" s="1"/>
      <c r="Q228" s="1"/>
      <c r="R228" s="1"/>
      <c r="T228" s="1"/>
      <c r="U228" s="1"/>
      <c r="V228" s="1"/>
      <c r="W228" s="1"/>
      <c r="X228" s="1"/>
      <c r="Y228" s="1"/>
      <c r="Z228" s="1"/>
      <c r="AA228" s="1"/>
    </row>
    <row r="229">
      <c r="A229" s="1"/>
      <c r="B229" s="1"/>
      <c r="C229" s="1"/>
      <c r="D229" s="1"/>
      <c r="E229" s="1"/>
      <c r="F229" s="1"/>
      <c r="G229" s="1" t="s">
        <v>1273</v>
      </c>
      <c r="H229" s="4">
        <f t="shared" si="1"/>
        <v>227</v>
      </c>
      <c r="I229" s="1"/>
      <c r="J229" s="1"/>
      <c r="K229" s="1"/>
      <c r="L229" s="1"/>
      <c r="M229" s="1"/>
      <c r="N229" s="1"/>
      <c r="O229" s="1"/>
      <c r="P229" s="1"/>
      <c r="Q229" s="1"/>
      <c r="R229" s="1"/>
      <c r="T229" s="1"/>
      <c r="U229" s="1"/>
      <c r="V229" s="1"/>
      <c r="W229" s="1"/>
      <c r="X229" s="1"/>
      <c r="Y229" s="1"/>
      <c r="Z229" s="1"/>
      <c r="AA229" s="1"/>
    </row>
    <row r="230">
      <c r="A230" s="1"/>
      <c r="B230" s="1"/>
      <c r="C230" s="1"/>
      <c r="D230" s="1"/>
      <c r="E230" s="1"/>
      <c r="F230" s="1"/>
      <c r="G230" s="1" t="s">
        <v>1274</v>
      </c>
      <c r="H230" s="4">
        <f t="shared" si="1"/>
        <v>228</v>
      </c>
      <c r="I230" s="1"/>
      <c r="J230" s="1"/>
      <c r="K230" s="1"/>
      <c r="L230" s="1"/>
      <c r="M230" s="1"/>
      <c r="N230" s="1"/>
      <c r="O230" s="1"/>
      <c r="P230" s="1"/>
      <c r="Q230" s="1"/>
      <c r="R230" s="1"/>
      <c r="T230" s="1"/>
      <c r="U230" s="1"/>
      <c r="V230" s="1"/>
      <c r="W230" s="1"/>
      <c r="X230" s="1"/>
      <c r="Y230" s="1"/>
      <c r="Z230" s="1"/>
      <c r="AA230" s="1"/>
    </row>
    <row r="231">
      <c r="A231" s="1"/>
      <c r="B231" s="1"/>
      <c r="C231" s="1"/>
      <c r="D231" s="1"/>
      <c r="E231" s="1"/>
      <c r="F231" s="1"/>
      <c r="G231" s="1" t="s">
        <v>1275</v>
      </c>
      <c r="H231" s="4">
        <f t="shared" si="1"/>
        <v>229</v>
      </c>
      <c r="I231" s="1"/>
      <c r="J231" s="1"/>
      <c r="K231" s="1"/>
      <c r="L231" s="1"/>
      <c r="M231" s="1"/>
      <c r="N231" s="1"/>
      <c r="O231" s="1"/>
      <c r="P231" s="1"/>
      <c r="Q231" s="1"/>
      <c r="R231" s="1"/>
      <c r="T231" s="1"/>
      <c r="U231" s="1"/>
      <c r="V231" s="1"/>
      <c r="W231" s="1"/>
      <c r="X231" s="1"/>
      <c r="Y231" s="1"/>
      <c r="Z231" s="1"/>
      <c r="AA231" s="1"/>
    </row>
    <row r="232">
      <c r="A232" s="1"/>
      <c r="B232" s="1"/>
      <c r="C232" s="1"/>
      <c r="D232" s="1"/>
      <c r="E232" s="1"/>
      <c r="F232" s="1"/>
      <c r="G232" s="1" t="s">
        <v>1302</v>
      </c>
      <c r="H232" s="4">
        <f t="shared" si="1"/>
        <v>230</v>
      </c>
      <c r="I232" s="1"/>
      <c r="J232" s="1"/>
      <c r="K232" s="1"/>
      <c r="L232" s="1"/>
      <c r="M232" s="1"/>
      <c r="N232" s="1"/>
      <c r="O232" s="1"/>
      <c r="P232" s="1"/>
      <c r="Q232" s="1"/>
      <c r="R232" s="1"/>
      <c r="T232" s="1"/>
      <c r="U232" s="1"/>
      <c r="V232" s="1"/>
      <c r="W232" s="1"/>
      <c r="X232" s="1"/>
      <c r="Y232" s="1"/>
      <c r="Z232" s="1"/>
      <c r="AA232" s="1"/>
    </row>
    <row r="233">
      <c r="A233" s="1"/>
      <c r="B233" s="1"/>
      <c r="C233" s="1"/>
      <c r="D233" s="1"/>
      <c r="E233" s="1"/>
      <c r="F233" s="1"/>
      <c r="G233" s="1" t="s">
        <v>1231</v>
      </c>
      <c r="H233" s="4">
        <f t="shared" si="1"/>
        <v>231</v>
      </c>
      <c r="I233" s="1"/>
      <c r="J233" s="1"/>
      <c r="K233" s="1"/>
      <c r="L233" s="1"/>
      <c r="M233" s="1"/>
      <c r="N233" s="1"/>
      <c r="O233" s="1"/>
      <c r="P233" s="1"/>
      <c r="Q233" s="1"/>
      <c r="R233" s="1"/>
      <c r="T233" s="1"/>
      <c r="U233" s="1"/>
      <c r="V233" s="1"/>
      <c r="W233" s="1"/>
      <c r="X233" s="1"/>
      <c r="Y233" s="1"/>
      <c r="Z233" s="1"/>
      <c r="AA233" s="1"/>
    </row>
    <row r="234">
      <c r="A234" s="1"/>
      <c r="B234" s="1"/>
      <c r="C234" s="1"/>
      <c r="D234" s="1"/>
      <c r="E234" s="1"/>
      <c r="F234" s="1"/>
      <c r="G234" s="1" t="s">
        <v>1381</v>
      </c>
      <c r="H234" s="4">
        <f t="shared" si="1"/>
        <v>232</v>
      </c>
      <c r="I234" s="1"/>
      <c r="J234" s="1"/>
      <c r="K234" s="1"/>
      <c r="L234" s="1"/>
      <c r="M234" s="1"/>
      <c r="N234" s="1"/>
      <c r="O234" s="1"/>
      <c r="P234" s="1"/>
      <c r="Q234" s="1"/>
      <c r="R234" s="1"/>
      <c r="T234" s="1"/>
      <c r="U234" s="1"/>
      <c r="V234" s="1"/>
      <c r="W234" s="1"/>
      <c r="X234" s="1"/>
      <c r="Y234" s="1"/>
      <c r="Z234" s="1"/>
      <c r="AA234" s="1"/>
    </row>
    <row r="235">
      <c r="A235" s="1"/>
      <c r="B235" s="1"/>
      <c r="C235" s="1"/>
      <c r="D235" s="1"/>
      <c r="E235" s="1"/>
      <c r="F235" s="1"/>
      <c r="G235" s="1" t="s">
        <v>1291</v>
      </c>
      <c r="H235" s="4">
        <f t="shared" si="1"/>
        <v>233</v>
      </c>
      <c r="I235" s="1"/>
      <c r="J235" s="1"/>
      <c r="K235" s="1"/>
      <c r="L235" s="1"/>
      <c r="M235" s="1"/>
      <c r="N235" s="1"/>
      <c r="O235" s="1"/>
      <c r="P235" s="1"/>
      <c r="Q235" s="1"/>
      <c r="R235" s="1"/>
      <c r="T235" s="1"/>
      <c r="U235" s="1"/>
      <c r="V235" s="1"/>
      <c r="W235" s="1"/>
      <c r="X235" s="1"/>
      <c r="Y235" s="1"/>
      <c r="Z235" s="1"/>
      <c r="AA235" s="1"/>
    </row>
    <row r="236">
      <c r="A236" s="1"/>
      <c r="B236" s="1"/>
      <c r="C236" s="1"/>
      <c r="D236" s="1"/>
      <c r="E236" s="1"/>
      <c r="F236" s="1"/>
      <c r="G236" s="1" t="s">
        <v>1292</v>
      </c>
      <c r="H236" s="4">
        <f t="shared" si="1"/>
        <v>234</v>
      </c>
      <c r="I236" s="1"/>
      <c r="J236" s="1"/>
      <c r="K236" s="1"/>
      <c r="L236" s="1"/>
      <c r="M236" s="1"/>
      <c r="N236" s="1"/>
      <c r="O236" s="1"/>
      <c r="P236" s="1"/>
      <c r="Q236" s="1"/>
      <c r="R236" s="1"/>
      <c r="T236" s="1"/>
      <c r="U236" s="1"/>
      <c r="V236" s="1"/>
      <c r="W236" s="1"/>
      <c r="X236" s="1"/>
      <c r="Y236" s="1"/>
      <c r="Z236" s="1"/>
      <c r="AA236" s="1"/>
    </row>
    <row r="237">
      <c r="A237" s="1"/>
      <c r="B237" s="1"/>
      <c r="C237" s="1"/>
      <c r="D237" s="1"/>
      <c r="E237" s="1"/>
      <c r="F237" s="1"/>
      <c r="G237" s="1" t="s">
        <v>1293</v>
      </c>
      <c r="H237" s="4">
        <f t="shared" si="1"/>
        <v>235</v>
      </c>
      <c r="I237" s="1"/>
      <c r="J237" s="1"/>
      <c r="K237" s="1"/>
      <c r="L237" s="1"/>
      <c r="M237" s="1"/>
      <c r="N237" s="1"/>
      <c r="O237" s="1"/>
      <c r="P237" s="1"/>
      <c r="Q237" s="1"/>
      <c r="R237" s="1"/>
      <c r="T237" s="1"/>
      <c r="U237" s="1"/>
      <c r="V237" s="1"/>
      <c r="W237" s="1"/>
      <c r="X237" s="1"/>
      <c r="Y237" s="1"/>
      <c r="Z237" s="1"/>
      <c r="AA237" s="1"/>
    </row>
    <row r="238">
      <c r="A238" s="1"/>
      <c r="B238" s="1"/>
      <c r="C238" s="1"/>
      <c r="D238" s="1"/>
      <c r="E238" s="1"/>
      <c r="F238" s="1"/>
      <c r="G238" s="1" t="s">
        <v>1232</v>
      </c>
      <c r="H238" s="4">
        <f t="shared" si="1"/>
        <v>236</v>
      </c>
      <c r="I238" s="1"/>
      <c r="J238" s="1"/>
      <c r="K238" s="1"/>
      <c r="L238" s="1"/>
      <c r="M238" s="1"/>
      <c r="N238" s="1"/>
      <c r="O238" s="1"/>
      <c r="P238" s="1"/>
      <c r="Q238" s="1"/>
      <c r="R238" s="1"/>
      <c r="T238" s="1"/>
      <c r="U238" s="1"/>
      <c r="V238" s="1"/>
      <c r="W238" s="1"/>
      <c r="X238" s="1"/>
      <c r="Y238" s="1"/>
      <c r="Z238" s="1"/>
      <c r="AA238" s="1"/>
    </row>
    <row r="239">
      <c r="A239" s="1"/>
      <c r="B239" s="1"/>
      <c r="C239" s="1"/>
      <c r="D239" s="1"/>
      <c r="E239" s="1"/>
      <c r="F239" s="1"/>
      <c r="G239" s="1" t="s">
        <v>1384</v>
      </c>
      <c r="H239" s="4">
        <f t="shared" si="1"/>
        <v>237</v>
      </c>
      <c r="I239" s="1"/>
      <c r="J239" s="1"/>
      <c r="K239" s="1"/>
      <c r="L239" s="1"/>
      <c r="M239" s="1"/>
      <c r="N239" s="1"/>
      <c r="O239" s="1"/>
      <c r="P239" s="1"/>
      <c r="Q239" s="1"/>
      <c r="R239" s="1"/>
      <c r="T239" s="1"/>
      <c r="U239" s="1"/>
      <c r="V239" s="1"/>
      <c r="W239" s="1"/>
      <c r="X239" s="1"/>
      <c r="Y239" s="1"/>
      <c r="Z239" s="1"/>
      <c r="AA239" s="1"/>
    </row>
    <row r="240">
      <c r="A240" s="1"/>
      <c r="B240" s="1"/>
      <c r="C240" s="1"/>
      <c r="D240" s="1"/>
      <c r="E240" s="1"/>
      <c r="F240" s="1"/>
      <c r="G240" s="1" t="s">
        <v>1372</v>
      </c>
      <c r="H240" s="4">
        <f t="shared" si="1"/>
        <v>238</v>
      </c>
      <c r="I240" s="1"/>
      <c r="J240" s="1"/>
      <c r="K240" s="1"/>
      <c r="L240" s="1"/>
      <c r="M240" s="1"/>
      <c r="N240" s="1"/>
      <c r="O240" s="1"/>
      <c r="P240" s="1"/>
      <c r="Q240" s="1"/>
      <c r="R240" s="1"/>
      <c r="T240" s="1"/>
      <c r="U240" s="1"/>
      <c r="V240" s="1"/>
      <c r="W240" s="1"/>
      <c r="X240" s="1"/>
      <c r="Y240" s="1"/>
      <c r="Z240" s="1"/>
      <c r="AA240" s="1"/>
    </row>
    <row r="241">
      <c r="A241" s="1"/>
      <c r="B241" s="1"/>
      <c r="C241" s="1"/>
      <c r="D241" s="1"/>
      <c r="E241" s="1"/>
      <c r="F241" s="1"/>
      <c r="G241" s="1" t="s">
        <v>1309</v>
      </c>
      <c r="H241" s="4">
        <f t="shared" si="1"/>
        <v>239</v>
      </c>
      <c r="I241" s="1"/>
      <c r="J241" s="1"/>
      <c r="K241" s="1"/>
      <c r="L241" s="1"/>
      <c r="M241" s="1"/>
      <c r="N241" s="1"/>
      <c r="O241" s="1"/>
      <c r="P241" s="1"/>
      <c r="Q241" s="1"/>
      <c r="R241" s="1"/>
      <c r="T241" s="1"/>
      <c r="U241" s="1"/>
      <c r="V241" s="1"/>
      <c r="W241" s="1"/>
      <c r="X241" s="1"/>
      <c r="Y241" s="1"/>
      <c r="Z241" s="1"/>
      <c r="AA241" s="1"/>
    </row>
    <row r="242">
      <c r="A242" s="1"/>
      <c r="B242" s="1"/>
      <c r="C242" s="1"/>
      <c r="D242" s="1"/>
      <c r="E242" s="1"/>
      <c r="F242" s="1"/>
      <c r="G242" s="1" t="s">
        <v>1160</v>
      </c>
      <c r="H242" s="4">
        <f t="shared" si="1"/>
        <v>240</v>
      </c>
      <c r="I242" s="1"/>
      <c r="J242" s="1"/>
      <c r="K242" s="1"/>
      <c r="L242" s="1"/>
      <c r="M242" s="1"/>
      <c r="N242" s="1"/>
      <c r="O242" s="1"/>
      <c r="P242" s="1"/>
      <c r="Q242" s="1"/>
      <c r="R242" s="1"/>
      <c r="T242" s="1"/>
      <c r="U242" s="1"/>
      <c r="V242" s="1"/>
      <c r="W242" s="1"/>
      <c r="X242" s="1"/>
      <c r="Y242" s="1"/>
      <c r="Z242" s="1"/>
      <c r="AA242" s="1"/>
    </row>
    <row r="243">
      <c r="A243" s="1"/>
      <c r="B243" s="1"/>
      <c r="C243" s="1"/>
      <c r="D243" s="1"/>
      <c r="E243" s="1"/>
      <c r="F243" s="1"/>
      <c r="G243" s="1" t="s">
        <v>1290</v>
      </c>
      <c r="H243" s="4">
        <f t="shared" si="1"/>
        <v>241</v>
      </c>
      <c r="I243" s="1"/>
      <c r="J243" s="1"/>
      <c r="K243" s="1"/>
      <c r="L243" s="1"/>
      <c r="M243" s="1"/>
      <c r="N243" s="1"/>
      <c r="O243" s="1"/>
      <c r="P243" s="1"/>
      <c r="Q243" s="1"/>
      <c r="R243" s="1"/>
      <c r="T243" s="1"/>
      <c r="U243" s="1"/>
      <c r="V243" s="1"/>
      <c r="W243" s="1"/>
      <c r="X243" s="1"/>
      <c r="Y243" s="1"/>
      <c r="Z243" s="1"/>
      <c r="AA243" s="1"/>
    </row>
    <row r="244">
      <c r="A244" s="1"/>
      <c r="B244" s="1"/>
      <c r="C244" s="1"/>
      <c r="D244" s="1"/>
      <c r="E244" s="1"/>
      <c r="F244" s="1"/>
      <c r="G244" s="1" t="s">
        <v>1246</v>
      </c>
      <c r="H244" s="4">
        <f t="shared" si="1"/>
        <v>242</v>
      </c>
      <c r="I244" s="1"/>
      <c r="J244" s="1"/>
      <c r="K244" s="1"/>
      <c r="L244" s="1"/>
      <c r="M244" s="1"/>
      <c r="N244" s="1"/>
      <c r="O244" s="1"/>
      <c r="P244" s="1"/>
      <c r="Q244" s="1"/>
      <c r="R244" s="1"/>
      <c r="T244" s="1"/>
      <c r="U244" s="1"/>
      <c r="V244" s="1"/>
      <c r="W244" s="1"/>
      <c r="X244" s="1"/>
      <c r="Y244" s="1"/>
      <c r="Z244" s="1"/>
      <c r="AA244" s="1"/>
    </row>
    <row r="245">
      <c r="A245" s="1"/>
      <c r="B245" s="1"/>
      <c r="C245" s="1"/>
      <c r="D245" s="1"/>
      <c r="E245" s="1"/>
      <c r="F245" s="1"/>
      <c r="G245" s="1" t="s">
        <v>1208</v>
      </c>
      <c r="H245" s="4">
        <f t="shared" si="1"/>
        <v>243</v>
      </c>
      <c r="I245" s="1"/>
      <c r="J245" s="1"/>
      <c r="K245" s="1"/>
      <c r="L245" s="1"/>
      <c r="M245" s="1"/>
      <c r="N245" s="1"/>
      <c r="O245" s="1"/>
      <c r="P245" s="1"/>
      <c r="Q245" s="1"/>
      <c r="R245" s="1"/>
      <c r="T245" s="1"/>
      <c r="U245" s="1"/>
      <c r="V245" s="1"/>
      <c r="W245" s="1"/>
      <c r="X245" s="1"/>
      <c r="Y245" s="1"/>
      <c r="Z245" s="1"/>
      <c r="AA245" s="1"/>
    </row>
    <row r="246">
      <c r="A246" s="1"/>
      <c r="B246" s="1"/>
      <c r="C246" s="1"/>
      <c r="D246" s="1"/>
      <c r="E246" s="1"/>
      <c r="F246" s="1"/>
      <c r="G246" s="1" t="s">
        <v>1422</v>
      </c>
      <c r="H246" s="4">
        <f t="shared" si="1"/>
        <v>244</v>
      </c>
      <c r="I246" s="1"/>
      <c r="J246" s="1"/>
      <c r="K246" s="1"/>
      <c r="L246" s="1"/>
      <c r="M246" s="1"/>
      <c r="N246" s="1"/>
      <c r="O246" s="1"/>
      <c r="P246" s="1"/>
      <c r="Q246" s="1"/>
      <c r="R246" s="1"/>
      <c r="T246" s="1"/>
      <c r="U246" s="1"/>
      <c r="V246" s="1"/>
      <c r="W246" s="1"/>
      <c r="X246" s="1"/>
      <c r="Y246" s="1"/>
      <c r="Z246" s="1"/>
      <c r="AA246" s="1"/>
    </row>
    <row r="247">
      <c r="A247" s="1"/>
      <c r="B247" s="1"/>
      <c r="C247" s="1"/>
      <c r="D247" s="1"/>
      <c r="E247" s="1"/>
      <c r="F247" s="1"/>
      <c r="G247" s="1" t="s">
        <v>1408</v>
      </c>
      <c r="H247" s="4">
        <f t="shared" si="1"/>
        <v>245</v>
      </c>
      <c r="I247" s="1"/>
      <c r="J247" s="1"/>
      <c r="K247" s="1"/>
      <c r="L247" s="1"/>
      <c r="M247" s="1"/>
      <c r="N247" s="1"/>
      <c r="O247" s="1"/>
      <c r="P247" s="1"/>
      <c r="Q247" s="1"/>
      <c r="R247" s="1"/>
      <c r="T247" s="1"/>
      <c r="U247" s="1"/>
      <c r="V247" s="1"/>
      <c r="W247" s="1"/>
      <c r="X247" s="1"/>
      <c r="Y247" s="1"/>
      <c r="Z247" s="1"/>
      <c r="AA247" s="1"/>
    </row>
    <row r="248">
      <c r="A248" s="1"/>
      <c r="B248" s="1"/>
      <c r="C248" s="1"/>
      <c r="D248" s="1"/>
      <c r="E248" s="1"/>
      <c r="F248" s="1"/>
      <c r="G248" s="1" t="s">
        <v>1205</v>
      </c>
      <c r="H248" s="4">
        <f t="shared" si="1"/>
        <v>246</v>
      </c>
      <c r="I248" s="1"/>
      <c r="J248" s="1"/>
      <c r="K248" s="1"/>
      <c r="L248" s="1"/>
      <c r="M248" s="1"/>
      <c r="N248" s="1"/>
      <c r="O248" s="1"/>
      <c r="P248" s="1"/>
      <c r="Q248" s="1"/>
      <c r="R248" s="1"/>
      <c r="T248" s="1"/>
      <c r="U248" s="1"/>
      <c r="V248" s="1"/>
      <c r="W248" s="1"/>
      <c r="X248" s="1"/>
      <c r="Y248" s="1"/>
      <c r="Z248" s="1"/>
      <c r="AA248" s="1"/>
    </row>
    <row r="249">
      <c r="A249" s="1"/>
      <c r="B249" s="1"/>
      <c r="C249" s="1"/>
      <c r="D249" s="1"/>
      <c r="E249" s="1"/>
      <c r="F249" s="1"/>
      <c r="G249" s="1" t="s">
        <v>1335</v>
      </c>
      <c r="H249" s="4">
        <f t="shared" si="1"/>
        <v>247</v>
      </c>
      <c r="I249" s="1"/>
      <c r="J249" s="1"/>
      <c r="K249" s="1"/>
      <c r="L249" s="1"/>
      <c r="M249" s="1"/>
      <c r="N249" s="1"/>
      <c r="O249" s="1"/>
      <c r="P249" s="1"/>
      <c r="Q249" s="1"/>
      <c r="R249" s="1"/>
      <c r="T249" s="1"/>
      <c r="U249" s="1"/>
      <c r="V249" s="1"/>
      <c r="W249" s="1"/>
      <c r="X249" s="1"/>
      <c r="Y249" s="1"/>
      <c r="Z249" s="1"/>
      <c r="AA249" s="1"/>
    </row>
    <row r="250">
      <c r="A250" s="1"/>
      <c r="B250" s="1"/>
      <c r="C250" s="1"/>
      <c r="D250" s="1"/>
      <c r="E250" s="1"/>
      <c r="F250" s="1"/>
      <c r="G250" s="1" t="s">
        <v>1237</v>
      </c>
      <c r="H250" s="4">
        <f t="shared" si="1"/>
        <v>248</v>
      </c>
      <c r="I250" s="1"/>
      <c r="J250" s="1"/>
      <c r="K250" s="1"/>
      <c r="L250" s="1"/>
      <c r="M250" s="1"/>
      <c r="N250" s="1"/>
      <c r="O250" s="1"/>
      <c r="P250" s="1"/>
      <c r="Q250" s="1"/>
      <c r="R250" s="1"/>
      <c r="T250" s="1"/>
      <c r="U250" s="1"/>
      <c r="V250" s="1"/>
      <c r="W250" s="1"/>
      <c r="X250" s="1"/>
      <c r="Y250" s="1"/>
      <c r="Z250" s="1"/>
      <c r="AA250" s="1"/>
    </row>
    <row r="251">
      <c r="A251" s="1"/>
      <c r="B251" s="1"/>
      <c r="C251" s="1"/>
      <c r="D251" s="1"/>
      <c r="E251" s="1"/>
      <c r="F251" s="1"/>
      <c r="G251" s="1" t="s">
        <v>1308</v>
      </c>
      <c r="H251" s="4">
        <f t="shared" si="1"/>
        <v>249</v>
      </c>
      <c r="I251" s="1"/>
      <c r="J251" s="1"/>
      <c r="K251" s="1"/>
      <c r="L251" s="1"/>
      <c r="M251" s="1"/>
      <c r="N251" s="1"/>
      <c r="O251" s="1"/>
      <c r="P251" s="1"/>
      <c r="Q251" s="1"/>
      <c r="R251" s="1"/>
      <c r="T251" s="1"/>
      <c r="U251" s="1"/>
      <c r="V251" s="1"/>
      <c r="W251" s="1"/>
      <c r="X251" s="1"/>
      <c r="Y251" s="1"/>
      <c r="Z251" s="1"/>
      <c r="AA251" s="1"/>
    </row>
    <row r="252">
      <c r="A252" s="1"/>
      <c r="B252" s="1"/>
      <c r="C252" s="1"/>
      <c r="D252" s="1"/>
      <c r="E252" s="1"/>
      <c r="F252" s="1"/>
      <c r="G252" s="1" t="s">
        <v>1222</v>
      </c>
      <c r="H252" s="4">
        <f t="shared" si="1"/>
        <v>250</v>
      </c>
      <c r="I252" s="1"/>
      <c r="J252" s="1"/>
      <c r="K252" s="1"/>
      <c r="L252" s="1"/>
      <c r="M252" s="1"/>
      <c r="N252" s="1"/>
      <c r="O252" s="1"/>
      <c r="P252" s="1"/>
      <c r="Q252" s="1"/>
      <c r="R252" s="1"/>
      <c r="T252" s="1"/>
      <c r="U252" s="1"/>
      <c r="V252" s="1"/>
      <c r="W252" s="1"/>
      <c r="X252" s="1"/>
      <c r="Y252" s="1"/>
      <c r="Z252" s="1"/>
      <c r="AA252" s="1"/>
    </row>
    <row r="253">
      <c r="A253" s="1"/>
      <c r="B253" s="1"/>
      <c r="C253" s="1"/>
      <c r="D253" s="1"/>
      <c r="E253" s="1"/>
      <c r="F253" s="1"/>
      <c r="G253" s="1" t="s">
        <v>1090</v>
      </c>
      <c r="H253" s="4">
        <f t="shared" si="1"/>
        <v>251</v>
      </c>
      <c r="I253" s="1"/>
      <c r="J253" s="1"/>
      <c r="K253" s="1"/>
      <c r="L253" s="1"/>
      <c r="M253" s="1"/>
      <c r="N253" s="1"/>
      <c r="O253" s="1"/>
      <c r="P253" s="1"/>
      <c r="Q253" s="1"/>
      <c r="R253" s="1"/>
      <c r="T253" s="1"/>
      <c r="U253" s="1"/>
      <c r="V253" s="1"/>
      <c r="W253" s="1"/>
      <c r="X253" s="1"/>
      <c r="Y253" s="1"/>
      <c r="Z253" s="1"/>
      <c r="AA253" s="1"/>
    </row>
    <row r="254">
      <c r="A254" s="1"/>
      <c r="B254" s="1"/>
      <c r="C254" s="1"/>
      <c r="D254" s="1"/>
      <c r="E254" s="1"/>
      <c r="F254" s="1"/>
      <c r="G254" s="1" t="s">
        <v>1211</v>
      </c>
      <c r="H254" s="4">
        <f t="shared" si="1"/>
        <v>252</v>
      </c>
      <c r="I254" s="1"/>
      <c r="J254" s="1"/>
      <c r="K254" s="1"/>
      <c r="L254" s="1"/>
      <c r="M254" s="1"/>
      <c r="N254" s="1"/>
      <c r="O254" s="1"/>
      <c r="P254" s="1"/>
      <c r="Q254" s="1"/>
      <c r="R254" s="1"/>
      <c r="T254" s="1"/>
      <c r="U254" s="1"/>
      <c r="V254" s="1"/>
      <c r="W254" s="1"/>
      <c r="X254" s="1"/>
      <c r="Y254" s="1"/>
      <c r="Z254" s="1"/>
      <c r="AA254" s="1"/>
    </row>
    <row r="255">
      <c r="A255" s="1"/>
      <c r="B255" s="1"/>
      <c r="C255" s="1"/>
      <c r="D255" s="1"/>
      <c r="E255" s="1"/>
      <c r="F255" s="1"/>
      <c r="G255" s="1" t="s">
        <v>1410</v>
      </c>
      <c r="H255" s="4">
        <f t="shared" si="1"/>
        <v>253</v>
      </c>
      <c r="I255" s="1"/>
      <c r="J255" s="1"/>
      <c r="K255" s="1"/>
      <c r="L255" s="1"/>
      <c r="M255" s="1"/>
      <c r="N255" s="1"/>
      <c r="O255" s="1"/>
      <c r="P255" s="1"/>
      <c r="Q255" s="1"/>
      <c r="R255" s="1"/>
      <c r="T255" s="1"/>
      <c r="U255" s="1"/>
      <c r="V255" s="1"/>
      <c r="W255" s="1"/>
      <c r="X255" s="1"/>
      <c r="Y255" s="1"/>
      <c r="Z255" s="1"/>
      <c r="AA255" s="1"/>
    </row>
    <row r="256">
      <c r="A256" s="1"/>
      <c r="B256" s="1"/>
      <c r="C256" s="1"/>
      <c r="D256" s="1"/>
      <c r="E256" s="1"/>
      <c r="F256" s="1"/>
      <c r="G256" s="1" t="s">
        <v>1105</v>
      </c>
      <c r="H256" s="4">
        <f t="shared" si="1"/>
        <v>254</v>
      </c>
      <c r="I256" s="1"/>
      <c r="J256" s="1"/>
      <c r="K256" s="1"/>
      <c r="L256" s="1"/>
      <c r="M256" s="1"/>
      <c r="N256" s="1"/>
      <c r="O256" s="1"/>
      <c r="P256" s="1"/>
      <c r="Q256" s="1"/>
      <c r="R256" s="1"/>
      <c r="T256" s="1"/>
      <c r="U256" s="1"/>
      <c r="V256" s="1"/>
      <c r="W256" s="1"/>
      <c r="X256" s="1"/>
      <c r="Y256" s="1"/>
      <c r="Z256" s="1"/>
      <c r="AA256" s="1"/>
    </row>
    <row r="257">
      <c r="A257" s="1"/>
      <c r="B257" s="1"/>
      <c r="C257" s="1"/>
      <c r="D257" s="1"/>
      <c r="E257" s="1"/>
      <c r="F257" s="1"/>
      <c r="G257" s="1" t="s">
        <v>1147</v>
      </c>
      <c r="H257" s="4">
        <f t="shared" si="1"/>
        <v>255</v>
      </c>
      <c r="I257" s="1"/>
      <c r="J257" s="1"/>
      <c r="K257" s="1"/>
      <c r="L257" s="1"/>
      <c r="M257" s="1"/>
      <c r="N257" s="1"/>
      <c r="O257" s="1"/>
      <c r="P257" s="1"/>
      <c r="Q257" s="1"/>
      <c r="R257" s="1"/>
      <c r="T257" s="1"/>
      <c r="U257" s="1"/>
      <c r="V257" s="1"/>
      <c r="W257" s="1"/>
      <c r="X257" s="1"/>
      <c r="Y257" s="1"/>
      <c r="Z257" s="1"/>
      <c r="AA257" s="1"/>
    </row>
    <row r="258">
      <c r="A258" s="1"/>
      <c r="B258" s="1"/>
      <c r="C258" s="1"/>
      <c r="D258" s="1"/>
      <c r="E258" s="1"/>
      <c r="F258" s="1"/>
      <c r="G258" s="1" t="s">
        <v>1148</v>
      </c>
      <c r="H258" s="4">
        <f t="shared" si="1"/>
        <v>256</v>
      </c>
      <c r="I258" s="1"/>
      <c r="J258" s="1"/>
      <c r="K258" s="1"/>
      <c r="L258" s="1"/>
      <c r="M258" s="1"/>
      <c r="N258" s="1"/>
      <c r="O258" s="1"/>
      <c r="P258" s="1"/>
      <c r="Q258" s="1"/>
      <c r="R258" s="1"/>
      <c r="T258" s="1"/>
      <c r="U258" s="1"/>
      <c r="V258" s="1"/>
      <c r="W258" s="1"/>
      <c r="X258" s="1"/>
      <c r="Y258" s="1"/>
      <c r="Z258" s="1"/>
      <c r="AA258" s="1"/>
    </row>
    <row r="259">
      <c r="A259" s="1"/>
      <c r="B259" s="1"/>
      <c r="C259" s="1"/>
      <c r="D259" s="1"/>
      <c r="E259" s="1"/>
      <c r="F259" s="1"/>
      <c r="G259" s="1" t="s">
        <v>1406</v>
      </c>
      <c r="H259" s="4">
        <f t="shared" si="1"/>
        <v>257</v>
      </c>
      <c r="I259" s="1"/>
      <c r="J259" s="1"/>
      <c r="K259" s="1"/>
      <c r="L259" s="1"/>
      <c r="M259" s="1"/>
      <c r="N259" s="1"/>
      <c r="O259" s="1"/>
      <c r="P259" s="1"/>
      <c r="Q259" s="1"/>
      <c r="R259" s="1"/>
      <c r="T259" s="1"/>
      <c r="U259" s="1"/>
      <c r="V259" s="1"/>
      <c r="W259" s="1"/>
      <c r="X259" s="1"/>
      <c r="Y259" s="1"/>
      <c r="Z259" s="1"/>
      <c r="AA259" s="1"/>
    </row>
    <row r="260">
      <c r="A260" s="1"/>
      <c r="B260" s="1"/>
      <c r="C260" s="1"/>
      <c r="D260" s="1"/>
      <c r="E260" s="1"/>
      <c r="F260" s="1"/>
      <c r="G260" s="1" t="s">
        <v>1228</v>
      </c>
      <c r="H260" s="4">
        <f t="shared" si="1"/>
        <v>258</v>
      </c>
      <c r="I260" s="1"/>
      <c r="J260" s="1"/>
      <c r="K260" s="1"/>
      <c r="L260" s="1"/>
      <c r="M260" s="1"/>
      <c r="N260" s="1"/>
      <c r="O260" s="1"/>
      <c r="P260" s="1"/>
      <c r="Q260" s="1"/>
      <c r="R260" s="1"/>
      <c r="T260" s="1"/>
      <c r="U260" s="1"/>
      <c r="V260" s="1"/>
      <c r="W260" s="1"/>
      <c r="X260" s="1"/>
      <c r="Y260" s="1"/>
      <c r="Z260" s="1"/>
      <c r="AA260" s="1"/>
    </row>
    <row r="261">
      <c r="A261" s="1"/>
      <c r="B261" s="1"/>
      <c r="C261" s="1"/>
      <c r="D261" s="1"/>
      <c r="E261" s="1"/>
      <c r="F261" s="1"/>
      <c r="G261" s="1" t="s">
        <v>1157</v>
      </c>
      <c r="H261" s="4">
        <f t="shared" si="1"/>
        <v>259</v>
      </c>
      <c r="I261" s="1"/>
      <c r="J261" s="1"/>
      <c r="K261" s="1"/>
      <c r="L261" s="1"/>
      <c r="M261" s="1"/>
      <c r="N261" s="1"/>
      <c r="O261" s="1"/>
      <c r="P261" s="1"/>
      <c r="Q261" s="1"/>
      <c r="R261" s="1"/>
      <c r="T261" s="1"/>
      <c r="U261" s="1"/>
      <c r="V261" s="1"/>
      <c r="W261" s="1"/>
      <c r="X261" s="1"/>
      <c r="Y261" s="1"/>
      <c r="Z261" s="1"/>
      <c r="AA261" s="1"/>
    </row>
    <row r="262">
      <c r="A262" s="1"/>
      <c r="B262" s="1"/>
      <c r="C262" s="1"/>
      <c r="D262" s="1"/>
      <c r="E262" s="1"/>
      <c r="F262" s="1"/>
      <c r="G262" s="1" t="s">
        <v>1357</v>
      </c>
      <c r="H262" s="4">
        <f t="shared" si="1"/>
        <v>260</v>
      </c>
      <c r="I262" s="1"/>
      <c r="J262" s="1"/>
      <c r="K262" s="1"/>
      <c r="L262" s="1"/>
      <c r="M262" s="1"/>
      <c r="N262" s="1"/>
      <c r="O262" s="1"/>
      <c r="P262" s="1"/>
      <c r="Q262" s="1"/>
      <c r="R262" s="1"/>
      <c r="T262" s="1"/>
      <c r="U262" s="1"/>
      <c r="V262" s="1"/>
      <c r="W262" s="1"/>
      <c r="X262" s="1"/>
      <c r="Y262" s="1"/>
      <c r="Z262" s="1"/>
      <c r="AA262" s="1"/>
    </row>
    <row r="263">
      <c r="A263" s="1"/>
      <c r="B263" s="1"/>
      <c r="C263" s="1"/>
      <c r="D263" s="1"/>
      <c r="E263" s="1"/>
      <c r="F263" s="1"/>
      <c r="G263" s="1" t="s">
        <v>1427</v>
      </c>
      <c r="H263" s="4">
        <f t="shared" si="1"/>
        <v>261</v>
      </c>
      <c r="I263" s="1"/>
      <c r="J263" s="1"/>
      <c r="K263" s="1"/>
      <c r="L263" s="1"/>
      <c r="M263" s="1"/>
      <c r="N263" s="1"/>
      <c r="O263" s="1"/>
      <c r="P263" s="1"/>
      <c r="Q263" s="1"/>
      <c r="R263" s="1"/>
      <c r="T263" s="1"/>
      <c r="U263" s="1"/>
      <c r="V263" s="1"/>
      <c r="W263" s="1"/>
      <c r="X263" s="1"/>
      <c r="Y263" s="1"/>
      <c r="Z263" s="1"/>
      <c r="AA263" s="1"/>
    </row>
    <row r="264">
      <c r="A264" s="1"/>
      <c r="B264" s="1"/>
      <c r="C264" s="1"/>
      <c r="D264" s="1"/>
      <c r="E264" s="1"/>
      <c r="F264" s="1"/>
      <c r="G264" s="1" t="s">
        <v>1327</v>
      </c>
      <c r="H264" s="4">
        <f t="shared" si="1"/>
        <v>262</v>
      </c>
      <c r="I264" s="1"/>
      <c r="J264" s="1"/>
      <c r="K264" s="1"/>
      <c r="L264" s="1"/>
      <c r="M264" s="1"/>
      <c r="N264" s="1"/>
      <c r="O264" s="1"/>
      <c r="P264" s="1"/>
      <c r="Q264" s="1"/>
      <c r="R264" s="1"/>
      <c r="T264" s="1"/>
      <c r="U264" s="1"/>
      <c r="V264" s="1"/>
      <c r="W264" s="1"/>
      <c r="X264" s="1"/>
      <c r="Y264" s="1"/>
      <c r="Z264" s="1"/>
      <c r="AA264" s="1"/>
    </row>
    <row r="265">
      <c r="A265" s="1"/>
      <c r="B265" s="1"/>
      <c r="C265" s="1"/>
      <c r="D265" s="1"/>
      <c r="E265" s="1"/>
      <c r="F265" s="1"/>
      <c r="G265" s="1" t="s">
        <v>1141</v>
      </c>
      <c r="H265" s="4">
        <f t="shared" si="1"/>
        <v>263</v>
      </c>
      <c r="I265" s="1"/>
      <c r="J265" s="1"/>
      <c r="K265" s="1"/>
      <c r="L265" s="1"/>
      <c r="M265" s="1"/>
      <c r="N265" s="1"/>
      <c r="O265" s="1"/>
      <c r="P265" s="1"/>
      <c r="Q265" s="1"/>
      <c r="R265" s="1"/>
      <c r="T265" s="1"/>
      <c r="U265" s="1"/>
      <c r="V265" s="1"/>
      <c r="W265" s="1"/>
      <c r="X265" s="1"/>
      <c r="Y265" s="1"/>
      <c r="Z265" s="1"/>
      <c r="AA265" s="1"/>
    </row>
    <row r="266">
      <c r="A266" s="1"/>
      <c r="B266" s="1"/>
      <c r="C266" s="1"/>
      <c r="D266" s="1"/>
      <c r="E266" s="1"/>
      <c r="F266" s="1"/>
      <c r="G266" s="1" t="s">
        <v>1153</v>
      </c>
      <c r="H266" s="4">
        <f t="shared" si="1"/>
        <v>264</v>
      </c>
      <c r="I266" s="1"/>
      <c r="J266" s="1"/>
      <c r="K266" s="1"/>
      <c r="L266" s="1"/>
      <c r="M266" s="1"/>
      <c r="N266" s="1"/>
      <c r="O266" s="1"/>
      <c r="P266" s="1"/>
      <c r="Q266" s="1"/>
      <c r="R266" s="1"/>
      <c r="T266" s="1"/>
      <c r="U266" s="1"/>
      <c r="V266" s="1"/>
      <c r="W266" s="1"/>
      <c r="X266" s="1"/>
      <c r="Y266" s="1"/>
      <c r="Z266" s="1"/>
      <c r="AA266" s="1"/>
    </row>
    <row r="267">
      <c r="A267" s="1"/>
      <c r="B267" s="1"/>
      <c r="C267" s="1"/>
      <c r="D267" s="1"/>
      <c r="E267" s="1"/>
      <c r="F267" s="1"/>
      <c r="G267" s="1" t="s">
        <v>1156</v>
      </c>
      <c r="H267" s="4">
        <f t="shared" si="1"/>
        <v>265</v>
      </c>
      <c r="I267" s="1"/>
      <c r="J267" s="1"/>
      <c r="K267" s="1"/>
      <c r="L267" s="1"/>
      <c r="M267" s="1"/>
      <c r="N267" s="1"/>
      <c r="O267" s="1"/>
      <c r="P267" s="1"/>
      <c r="Q267" s="1"/>
      <c r="R267" s="1"/>
      <c r="T267" s="1"/>
      <c r="U267" s="1"/>
      <c r="V267" s="1"/>
      <c r="W267" s="1"/>
      <c r="X267" s="1"/>
      <c r="Y267" s="1"/>
      <c r="Z267" s="1"/>
      <c r="AA267" s="1"/>
    </row>
    <row r="268">
      <c r="A268" s="1"/>
      <c r="B268" s="1"/>
      <c r="C268" s="1"/>
      <c r="D268" s="1"/>
      <c r="E268" s="1"/>
      <c r="F268" s="1"/>
      <c r="G268" s="1" t="s">
        <v>1301</v>
      </c>
      <c r="H268" s="4">
        <f t="shared" si="1"/>
        <v>266</v>
      </c>
      <c r="I268" s="1"/>
      <c r="J268" s="1"/>
      <c r="K268" s="1"/>
      <c r="L268" s="1"/>
      <c r="M268" s="1"/>
      <c r="N268" s="1"/>
      <c r="O268" s="1"/>
      <c r="P268" s="1"/>
      <c r="Q268" s="1"/>
      <c r="R268" s="1"/>
      <c r="T268" s="1"/>
      <c r="U268" s="1"/>
      <c r="V268" s="1"/>
      <c r="W268" s="1"/>
      <c r="X268" s="1"/>
      <c r="Y268" s="1"/>
      <c r="Z268" s="1"/>
      <c r="AA268" s="1"/>
    </row>
    <row r="269">
      <c r="A269" s="1"/>
      <c r="B269" s="1"/>
      <c r="C269" s="1"/>
      <c r="D269" s="1"/>
      <c r="E269" s="1"/>
      <c r="F269" s="1"/>
      <c r="G269" s="1" t="s">
        <v>1277</v>
      </c>
      <c r="H269" s="4">
        <f t="shared" si="1"/>
        <v>267</v>
      </c>
      <c r="I269" s="1"/>
      <c r="J269" s="1"/>
      <c r="K269" s="1"/>
      <c r="L269" s="1"/>
      <c r="M269" s="1"/>
      <c r="N269" s="1"/>
      <c r="O269" s="1"/>
      <c r="P269" s="1"/>
      <c r="Q269" s="1"/>
      <c r="R269" s="1"/>
      <c r="T269" s="1"/>
      <c r="U269" s="1"/>
      <c r="V269" s="1"/>
      <c r="W269" s="1"/>
      <c r="X269" s="1"/>
      <c r="Y269" s="1"/>
      <c r="Z269" s="1"/>
      <c r="AA269" s="1"/>
    </row>
    <row r="270">
      <c r="A270" s="1"/>
      <c r="B270" s="1"/>
      <c r="C270" s="1"/>
      <c r="D270" s="1"/>
      <c r="E270" s="1"/>
      <c r="F270" s="1"/>
      <c r="G270" s="1" t="s">
        <v>1278</v>
      </c>
      <c r="H270" s="4">
        <f t="shared" si="1"/>
        <v>268</v>
      </c>
      <c r="I270" s="1"/>
      <c r="J270" s="1"/>
      <c r="K270" s="1"/>
      <c r="L270" s="1"/>
      <c r="M270" s="1"/>
      <c r="N270" s="1"/>
      <c r="O270" s="1"/>
      <c r="P270" s="1"/>
      <c r="Q270" s="1"/>
      <c r="R270" s="1"/>
      <c r="T270" s="1"/>
      <c r="U270" s="1"/>
      <c r="V270" s="1"/>
      <c r="W270" s="1"/>
      <c r="X270" s="1"/>
      <c r="Y270" s="1"/>
      <c r="Z270" s="1"/>
      <c r="AA270" s="1"/>
    </row>
    <row r="271">
      <c r="A271" s="1"/>
      <c r="B271" s="1"/>
      <c r="C271" s="1"/>
      <c r="D271" s="1"/>
      <c r="E271" s="1"/>
      <c r="F271" s="1"/>
      <c r="G271" s="1" t="s">
        <v>1279</v>
      </c>
      <c r="H271" s="4">
        <f t="shared" si="1"/>
        <v>269</v>
      </c>
      <c r="I271" s="1"/>
      <c r="J271" s="1"/>
      <c r="K271" s="1"/>
      <c r="L271" s="1"/>
      <c r="M271" s="1"/>
      <c r="N271" s="1"/>
      <c r="O271" s="1"/>
      <c r="P271" s="1"/>
      <c r="Q271" s="1"/>
      <c r="R271" s="1"/>
      <c r="T271" s="1"/>
      <c r="U271" s="1"/>
      <c r="V271" s="1"/>
      <c r="W271" s="1"/>
      <c r="X271" s="1"/>
      <c r="Y271" s="1"/>
      <c r="Z271" s="1"/>
      <c r="AA271" s="1"/>
    </row>
    <row r="272">
      <c r="A272" s="1"/>
      <c r="B272" s="1"/>
      <c r="C272" s="1"/>
      <c r="D272" s="1"/>
      <c r="E272" s="1"/>
      <c r="F272" s="1"/>
      <c r="G272" s="1" t="s">
        <v>1371</v>
      </c>
      <c r="H272" s="4">
        <f t="shared" si="1"/>
        <v>270</v>
      </c>
      <c r="I272" s="1"/>
      <c r="J272" s="1"/>
      <c r="K272" s="1"/>
      <c r="L272" s="1"/>
      <c r="M272" s="1"/>
      <c r="N272" s="1"/>
      <c r="O272" s="1"/>
      <c r="P272" s="1"/>
      <c r="Q272" s="1"/>
      <c r="R272" s="1"/>
      <c r="T272" s="1"/>
      <c r="U272" s="1"/>
      <c r="V272" s="1"/>
      <c r="W272" s="1"/>
      <c r="X272" s="1"/>
      <c r="Y272" s="1"/>
      <c r="Z272" s="1"/>
      <c r="AA272" s="1"/>
    </row>
    <row r="273">
      <c r="A273" s="1"/>
      <c r="B273" s="1"/>
      <c r="C273" s="1"/>
      <c r="D273" s="1"/>
      <c r="E273" s="1"/>
      <c r="F273" s="1"/>
      <c r="G273" s="1" t="s">
        <v>1119</v>
      </c>
      <c r="H273" s="4">
        <f t="shared" si="1"/>
        <v>271</v>
      </c>
      <c r="I273" s="1"/>
      <c r="J273" s="1"/>
      <c r="K273" s="1"/>
      <c r="L273" s="1"/>
      <c r="M273" s="1"/>
      <c r="N273" s="1"/>
      <c r="O273" s="1"/>
      <c r="P273" s="1"/>
      <c r="Q273" s="1"/>
      <c r="R273" s="1"/>
      <c r="T273" s="1"/>
      <c r="U273" s="1"/>
      <c r="V273" s="1"/>
      <c r="W273" s="1"/>
      <c r="X273" s="1"/>
      <c r="Y273" s="1"/>
      <c r="Z273" s="1"/>
      <c r="AA273" s="1"/>
    </row>
    <row r="274">
      <c r="A274" s="1"/>
      <c r="B274" s="1"/>
      <c r="C274" s="1"/>
      <c r="D274" s="1"/>
      <c r="E274" s="1"/>
      <c r="F274" s="1"/>
      <c r="G274" s="1" t="s">
        <v>1345</v>
      </c>
      <c r="H274" s="4">
        <f t="shared" si="1"/>
        <v>272</v>
      </c>
      <c r="I274" s="1"/>
      <c r="J274" s="1"/>
      <c r="K274" s="1"/>
      <c r="L274" s="1"/>
      <c r="M274" s="1"/>
      <c r="N274" s="1"/>
      <c r="O274" s="1"/>
      <c r="P274" s="1"/>
      <c r="Q274" s="1"/>
      <c r="R274" s="1"/>
      <c r="T274" s="1"/>
      <c r="U274" s="1"/>
      <c r="V274" s="1"/>
      <c r="W274" s="1"/>
      <c r="X274" s="1"/>
      <c r="Y274" s="1"/>
      <c r="Z274" s="1"/>
      <c r="AA274" s="1"/>
    </row>
    <row r="275">
      <c r="A275" s="1"/>
      <c r="B275" s="1"/>
      <c r="C275" s="1"/>
      <c r="D275" s="1"/>
      <c r="E275" s="1"/>
      <c r="F275" s="1"/>
      <c r="G275" s="1" t="s">
        <v>1333</v>
      </c>
      <c r="H275" s="4">
        <f t="shared" si="1"/>
        <v>273</v>
      </c>
      <c r="I275" s="1"/>
      <c r="J275" s="1"/>
      <c r="K275" s="1"/>
      <c r="L275" s="1"/>
      <c r="M275" s="1"/>
      <c r="N275" s="1"/>
      <c r="O275" s="1"/>
      <c r="P275" s="1"/>
      <c r="Q275" s="1"/>
      <c r="R275" s="1"/>
      <c r="T275" s="1"/>
      <c r="U275" s="1"/>
      <c r="V275" s="1"/>
      <c r="W275" s="1"/>
      <c r="X275" s="1"/>
      <c r="Y275" s="1"/>
      <c r="Z275" s="1"/>
      <c r="AA275" s="1"/>
    </row>
    <row r="276">
      <c r="A276" s="1"/>
      <c r="B276" s="1"/>
      <c r="C276" s="1"/>
      <c r="D276" s="1"/>
      <c r="E276" s="1"/>
      <c r="F276" s="1"/>
      <c r="G276" s="1" t="s">
        <v>1121</v>
      </c>
      <c r="H276" s="4">
        <f t="shared" si="1"/>
        <v>274</v>
      </c>
      <c r="I276" s="1"/>
      <c r="J276" s="1"/>
      <c r="K276" s="1"/>
      <c r="L276" s="1"/>
      <c r="M276" s="1"/>
      <c r="N276" s="1"/>
      <c r="O276" s="1"/>
      <c r="P276" s="1"/>
      <c r="Q276" s="1"/>
      <c r="R276" s="1"/>
      <c r="T276" s="1"/>
      <c r="U276" s="1"/>
      <c r="V276" s="1"/>
      <c r="W276" s="1"/>
      <c r="X276" s="1"/>
      <c r="Y276" s="1"/>
      <c r="Z276" s="1"/>
      <c r="AA276" s="1"/>
    </row>
    <row r="277">
      <c r="A277" s="1"/>
      <c r="B277" s="1"/>
      <c r="C277" s="1"/>
      <c r="D277" s="1"/>
      <c r="E277" s="1"/>
      <c r="F277" s="1"/>
      <c r="G277" s="1" t="s">
        <v>1069</v>
      </c>
      <c r="H277" s="4">
        <f t="shared" si="1"/>
        <v>275</v>
      </c>
      <c r="I277" s="1"/>
      <c r="J277" s="1"/>
      <c r="K277" s="1"/>
      <c r="L277" s="1"/>
      <c r="M277" s="1"/>
      <c r="N277" s="1"/>
      <c r="O277" s="1"/>
      <c r="P277" s="1"/>
      <c r="Q277" s="1"/>
      <c r="R277" s="1"/>
      <c r="T277" s="1"/>
      <c r="U277" s="1"/>
      <c r="V277" s="1"/>
      <c r="W277" s="1"/>
      <c r="X277" s="1"/>
      <c r="Y277" s="1"/>
      <c r="Z277" s="1"/>
      <c r="AA277" s="1"/>
    </row>
    <row r="278">
      <c r="A278" s="1"/>
      <c r="B278" s="1"/>
      <c r="C278" s="1"/>
      <c r="D278" s="1"/>
      <c r="E278" s="1"/>
      <c r="F278" s="1"/>
      <c r="G278" s="1" t="s">
        <v>1190</v>
      </c>
      <c r="H278" s="4">
        <f t="shared" si="1"/>
        <v>276</v>
      </c>
      <c r="I278" s="1"/>
      <c r="J278" s="1"/>
      <c r="K278" s="1"/>
      <c r="L278" s="1"/>
      <c r="M278" s="1"/>
      <c r="N278" s="1"/>
      <c r="O278" s="1"/>
      <c r="P278" s="1"/>
      <c r="Q278" s="1"/>
      <c r="R278" s="1"/>
      <c r="T278" s="1"/>
      <c r="U278" s="1"/>
      <c r="V278" s="1"/>
      <c r="W278" s="1"/>
      <c r="X278" s="1"/>
      <c r="Y278" s="1"/>
      <c r="Z278" s="1"/>
      <c r="AA278" s="1"/>
    </row>
    <row r="279">
      <c r="A279" s="1"/>
      <c r="B279" s="1"/>
      <c r="C279" s="1"/>
      <c r="D279" s="1"/>
      <c r="E279" s="1"/>
      <c r="F279" s="1"/>
      <c r="G279" s="1" t="s">
        <v>1210</v>
      </c>
      <c r="H279" s="4">
        <f t="shared" si="1"/>
        <v>277</v>
      </c>
      <c r="I279" s="1"/>
      <c r="J279" s="1"/>
      <c r="K279" s="1"/>
      <c r="L279" s="1"/>
      <c r="M279" s="1"/>
      <c r="N279" s="1"/>
      <c r="O279" s="1"/>
      <c r="P279" s="1"/>
      <c r="Q279" s="1"/>
      <c r="R279" s="1"/>
      <c r="T279" s="1"/>
      <c r="U279" s="1"/>
      <c r="V279" s="1"/>
      <c r="W279" s="1"/>
      <c r="X279" s="1"/>
      <c r="Y279" s="1"/>
      <c r="Z279" s="1"/>
      <c r="AA279" s="1"/>
    </row>
    <row r="280">
      <c r="A280" s="1"/>
      <c r="B280" s="1"/>
      <c r="C280" s="1"/>
      <c r="D280" s="1"/>
      <c r="E280" s="1"/>
      <c r="F280" s="1"/>
      <c r="G280" s="1" t="s">
        <v>1295</v>
      </c>
      <c r="H280" s="4">
        <f t="shared" si="1"/>
        <v>278</v>
      </c>
      <c r="I280" s="1"/>
      <c r="J280" s="1"/>
      <c r="K280" s="1"/>
      <c r="L280" s="1"/>
      <c r="M280" s="1"/>
      <c r="N280" s="1"/>
      <c r="O280" s="1"/>
      <c r="P280" s="1"/>
      <c r="Q280" s="1"/>
      <c r="R280" s="1"/>
      <c r="T280" s="1"/>
      <c r="U280" s="1"/>
      <c r="V280" s="1"/>
      <c r="W280" s="1"/>
      <c r="X280" s="1"/>
      <c r="Y280" s="1"/>
      <c r="Z280" s="1"/>
      <c r="AA280" s="1"/>
    </row>
    <row r="281">
      <c r="A281" s="1"/>
      <c r="B281" s="1"/>
      <c r="C281" s="1"/>
      <c r="D281" s="1"/>
      <c r="E281" s="1"/>
      <c r="F281" s="1"/>
      <c r="G281" s="1" t="s">
        <v>1296</v>
      </c>
      <c r="H281" s="4">
        <f t="shared" si="1"/>
        <v>279</v>
      </c>
      <c r="I281" s="1"/>
      <c r="J281" s="1"/>
      <c r="K281" s="1"/>
      <c r="L281" s="1"/>
      <c r="M281" s="1"/>
      <c r="N281" s="1"/>
      <c r="O281" s="1"/>
      <c r="P281" s="1"/>
      <c r="Q281" s="1"/>
      <c r="R281" s="1"/>
      <c r="T281" s="1"/>
      <c r="U281" s="1"/>
      <c r="V281" s="1"/>
      <c r="W281" s="1"/>
      <c r="X281" s="1"/>
      <c r="Y281" s="1"/>
      <c r="Z281" s="1"/>
      <c r="AA281" s="1"/>
    </row>
    <row r="282">
      <c r="A282" s="1"/>
      <c r="B282" s="1"/>
      <c r="C282" s="1"/>
      <c r="D282" s="1"/>
      <c r="E282" s="1"/>
      <c r="F282" s="1"/>
      <c r="G282" s="1" t="s">
        <v>1297</v>
      </c>
      <c r="H282" s="4">
        <f t="shared" si="1"/>
        <v>280</v>
      </c>
      <c r="I282" s="1"/>
      <c r="J282" s="1"/>
      <c r="K282" s="1"/>
      <c r="L282" s="1"/>
      <c r="M282" s="1"/>
      <c r="N282" s="1"/>
      <c r="O282" s="1"/>
      <c r="P282" s="1"/>
      <c r="Q282" s="1"/>
      <c r="R282" s="1"/>
      <c r="T282" s="1"/>
      <c r="U282" s="1"/>
      <c r="V282" s="1"/>
      <c r="W282" s="1"/>
      <c r="X282" s="1"/>
      <c r="Y282" s="1"/>
      <c r="Z282" s="1"/>
      <c r="AA282" s="1"/>
    </row>
    <row r="283">
      <c r="A283" s="1"/>
      <c r="B283" s="1"/>
      <c r="C283" s="1"/>
      <c r="D283" s="1"/>
      <c r="E283" s="1"/>
      <c r="F283" s="1"/>
      <c r="G283" s="1" t="s">
        <v>1298</v>
      </c>
      <c r="H283" s="4">
        <f t="shared" si="1"/>
        <v>281</v>
      </c>
      <c r="I283" s="1"/>
      <c r="J283" s="1"/>
      <c r="K283" s="1"/>
      <c r="L283" s="1"/>
      <c r="M283" s="1"/>
      <c r="N283" s="1"/>
      <c r="O283" s="1"/>
      <c r="P283" s="1"/>
      <c r="Q283" s="1"/>
      <c r="R283" s="1"/>
      <c r="T283" s="1"/>
      <c r="U283" s="1"/>
      <c r="V283" s="1"/>
      <c r="W283" s="1"/>
      <c r="X283" s="1"/>
      <c r="Y283" s="1"/>
      <c r="Z283" s="1"/>
      <c r="AA283" s="1"/>
    </row>
    <row r="284">
      <c r="A284" s="1"/>
      <c r="B284" s="1"/>
      <c r="C284" s="1"/>
      <c r="D284" s="1"/>
      <c r="E284" s="1"/>
      <c r="F284" s="1"/>
      <c r="G284" s="1" t="s">
        <v>1299</v>
      </c>
      <c r="H284" s="4">
        <f t="shared" si="1"/>
        <v>282</v>
      </c>
      <c r="I284" s="1"/>
      <c r="J284" s="1"/>
      <c r="K284" s="1"/>
      <c r="L284" s="1"/>
      <c r="M284" s="1"/>
      <c r="N284" s="1"/>
      <c r="O284" s="1"/>
      <c r="P284" s="1"/>
      <c r="Q284" s="1"/>
      <c r="R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T1000" s="1"/>
      <c r="U1000" s="1"/>
      <c r="V1000" s="1"/>
      <c r="W1000" s="1"/>
      <c r="X1000" s="1"/>
      <c r="Y1000" s="1"/>
      <c r="Z1000" s="1"/>
      <c r="AA1000" s="1"/>
    </row>
    <row r="1001">
      <c r="A1001" s="1"/>
      <c r="B1001" s="1"/>
      <c r="C1001" s="1"/>
      <c r="D1001" s="1"/>
      <c r="E1001" s="1"/>
      <c r="F1001" s="1"/>
      <c r="G1001" s="1"/>
      <c r="H1001" s="1"/>
      <c r="I1001" s="1"/>
      <c r="J1001" s="1"/>
      <c r="K1001" s="1"/>
      <c r="L1001" s="1"/>
      <c r="M1001" s="1"/>
      <c r="N1001" s="1"/>
      <c r="O1001" s="1"/>
      <c r="P1001" s="1"/>
      <c r="Q1001" s="1"/>
      <c r="R1001" s="1"/>
      <c r="T1001" s="1"/>
      <c r="U1001" s="1"/>
      <c r="V1001" s="1"/>
      <c r="W1001" s="1"/>
      <c r="X1001" s="1"/>
      <c r="Y1001" s="1"/>
      <c r="Z1001" s="1"/>
      <c r="AA1001" s="1"/>
    </row>
    <row r="1002">
      <c r="A1002" s="1"/>
      <c r="B1002" s="1"/>
      <c r="C1002" s="1"/>
      <c r="D1002" s="1"/>
      <c r="E1002" s="1"/>
      <c r="F1002" s="1"/>
      <c r="G1002" s="1"/>
      <c r="H1002" s="1"/>
      <c r="I1002" s="1"/>
      <c r="J1002" s="1"/>
      <c r="K1002" s="1"/>
      <c r="L1002" s="1"/>
      <c r="M1002" s="1"/>
      <c r="N1002" s="1"/>
      <c r="O1002" s="1"/>
      <c r="P1002" s="1"/>
      <c r="Q1002" s="1"/>
      <c r="R1002" s="1"/>
      <c r="T1002" s="1"/>
      <c r="U1002" s="1"/>
      <c r="V1002" s="1"/>
      <c r="W1002" s="1"/>
      <c r="X1002" s="1"/>
      <c r="Y1002" s="1"/>
      <c r="Z1002" s="1"/>
      <c r="AA1002" s="1"/>
    </row>
    <row r="1003">
      <c r="A1003" s="1"/>
      <c r="B1003" s="1"/>
      <c r="C1003" s="1"/>
      <c r="D1003" s="1"/>
      <c r="E1003" s="1"/>
      <c r="F1003" s="1"/>
      <c r="G1003" s="1"/>
      <c r="H1003" s="1"/>
      <c r="I1003" s="1"/>
      <c r="J1003" s="1"/>
      <c r="K1003" s="1"/>
      <c r="L1003" s="1"/>
      <c r="M1003" s="1"/>
      <c r="N1003" s="1"/>
      <c r="O1003" s="1"/>
      <c r="P1003" s="1"/>
      <c r="Q1003" s="1"/>
      <c r="R1003" s="1"/>
      <c r="T1003" s="1"/>
      <c r="U1003" s="1"/>
      <c r="V1003" s="1"/>
      <c r="W1003" s="1"/>
      <c r="X1003" s="1"/>
      <c r="Y1003" s="1"/>
      <c r="Z1003" s="1"/>
      <c r="AA1003" s="1"/>
    </row>
    <row r="1004">
      <c r="A1004" s="1"/>
      <c r="B1004" s="1"/>
      <c r="C1004" s="1"/>
      <c r="D1004" s="1"/>
      <c r="E1004" s="1"/>
      <c r="F1004" s="1"/>
      <c r="G1004" s="1"/>
      <c r="H1004" s="1"/>
      <c r="I1004" s="1"/>
      <c r="J1004" s="1"/>
      <c r="K1004" s="1"/>
      <c r="L1004" s="1"/>
      <c r="M1004" s="1"/>
      <c r="N1004" s="1"/>
      <c r="O1004" s="1"/>
      <c r="P1004" s="1"/>
      <c r="Q1004" s="1"/>
      <c r="R1004" s="1"/>
      <c r="T1004" s="1"/>
      <c r="U1004" s="1"/>
      <c r="V1004" s="1"/>
      <c r="W1004" s="1"/>
      <c r="X1004" s="1"/>
      <c r="Y1004" s="1"/>
      <c r="Z1004" s="1"/>
      <c r="AA1004" s="1"/>
    </row>
    <row r="1005">
      <c r="A1005" s="1"/>
      <c r="B1005" s="1"/>
      <c r="C1005" s="1"/>
      <c r="D1005" s="1"/>
      <c r="E1005" s="1"/>
      <c r="F1005" s="1"/>
      <c r="G1005" s="1"/>
      <c r="H1005" s="1"/>
      <c r="I1005" s="1"/>
      <c r="J1005" s="1"/>
      <c r="K1005" s="1"/>
      <c r="L1005" s="1"/>
      <c r="M1005" s="1"/>
      <c r="N1005" s="1"/>
      <c r="O1005" s="1"/>
      <c r="P1005" s="1"/>
      <c r="Q1005" s="1"/>
      <c r="R1005" s="1"/>
      <c r="T1005" s="1"/>
      <c r="U1005" s="1"/>
      <c r="V1005" s="1"/>
      <c r="W1005" s="1"/>
      <c r="X1005" s="1"/>
      <c r="Y1005" s="1"/>
      <c r="Z1005" s="1"/>
      <c r="AA1005" s="1"/>
    </row>
    <row r="1006">
      <c r="A1006" s="1"/>
      <c r="B1006" s="1"/>
      <c r="C1006" s="1"/>
      <c r="D1006" s="1"/>
      <c r="E1006" s="1"/>
      <c r="F1006" s="1"/>
      <c r="G1006" s="1"/>
      <c r="H1006" s="1"/>
      <c r="I1006" s="1"/>
      <c r="J1006" s="1"/>
      <c r="K1006" s="1"/>
      <c r="L1006" s="1"/>
      <c r="M1006" s="1"/>
      <c r="N1006" s="1"/>
      <c r="O1006" s="1"/>
      <c r="P1006" s="1"/>
      <c r="Q1006" s="1"/>
      <c r="R1006" s="1"/>
      <c r="T1006" s="1"/>
      <c r="U1006" s="1"/>
      <c r="V1006" s="1"/>
      <c r="W1006" s="1"/>
      <c r="X1006" s="1"/>
      <c r="Y1006" s="1"/>
      <c r="Z1006" s="1"/>
      <c r="AA1006" s="1"/>
    </row>
    <row r="1007">
      <c r="A1007" s="1"/>
      <c r="B1007" s="1"/>
      <c r="C1007" s="1"/>
      <c r="D1007" s="1"/>
      <c r="E1007" s="1"/>
      <c r="F1007" s="1"/>
      <c r="G1007" s="1"/>
      <c r="H1007" s="1"/>
      <c r="I1007" s="1"/>
      <c r="J1007" s="1"/>
      <c r="K1007" s="1"/>
      <c r="L1007" s="1"/>
      <c r="M1007" s="1"/>
      <c r="N1007" s="1"/>
      <c r="O1007" s="1"/>
      <c r="P1007" s="1"/>
      <c r="Q1007" s="1"/>
      <c r="R1007" s="1"/>
      <c r="T1007" s="1"/>
      <c r="U1007" s="1"/>
      <c r="V1007" s="1"/>
      <c r="W1007" s="1"/>
      <c r="X1007" s="1"/>
      <c r="Y1007" s="1"/>
      <c r="Z1007" s="1"/>
      <c r="AA1007" s="1"/>
    </row>
    <row r="1008">
      <c r="A1008" s="1"/>
      <c r="B1008" s="1"/>
      <c r="C1008" s="1"/>
      <c r="D1008" s="1"/>
      <c r="E1008" s="1"/>
      <c r="F1008" s="1"/>
      <c r="G1008" s="1"/>
      <c r="H1008" s="1"/>
      <c r="I1008" s="1"/>
      <c r="J1008" s="1"/>
      <c r="K1008" s="1"/>
      <c r="L1008" s="1"/>
      <c r="M1008" s="1"/>
      <c r="N1008" s="1"/>
      <c r="O1008" s="1"/>
      <c r="P1008" s="1"/>
      <c r="Q1008" s="1"/>
      <c r="R1008" s="1"/>
      <c r="T1008" s="1"/>
      <c r="U1008" s="1"/>
      <c r="V1008" s="1"/>
      <c r="W1008" s="1"/>
      <c r="X1008" s="1"/>
      <c r="Y1008" s="1"/>
      <c r="Z1008" s="1"/>
      <c r="AA1008" s="1"/>
    </row>
    <row r="1009">
      <c r="A1009" s="1"/>
      <c r="B1009" s="1"/>
      <c r="C1009" s="1"/>
      <c r="D1009" s="1"/>
      <c r="E1009" s="1"/>
      <c r="F1009" s="1"/>
      <c r="G1009" s="1"/>
      <c r="H1009" s="1"/>
      <c r="I1009" s="1"/>
      <c r="J1009" s="1"/>
      <c r="K1009" s="1"/>
      <c r="L1009" s="1"/>
      <c r="M1009" s="1"/>
      <c r="N1009" s="1"/>
      <c r="O1009" s="1"/>
      <c r="P1009" s="1"/>
      <c r="Q1009" s="1"/>
      <c r="R1009" s="1"/>
      <c r="T1009" s="1"/>
      <c r="U1009" s="1"/>
      <c r="V1009" s="1"/>
      <c r="W1009" s="1"/>
      <c r="X1009" s="1"/>
      <c r="Y1009" s="1"/>
      <c r="Z1009" s="1"/>
      <c r="AA1009" s="1"/>
    </row>
    <row r="1010">
      <c r="A1010" s="1"/>
      <c r="B1010" s="1"/>
      <c r="C1010" s="1"/>
      <c r="D1010" s="1"/>
      <c r="E1010" s="1"/>
      <c r="F1010" s="1"/>
      <c r="G1010" s="1"/>
      <c r="H1010" s="1"/>
      <c r="I1010" s="1"/>
      <c r="J1010" s="1"/>
      <c r="K1010" s="1"/>
      <c r="L1010" s="1"/>
      <c r="M1010" s="1"/>
      <c r="N1010" s="1"/>
      <c r="O1010" s="1"/>
      <c r="P1010" s="1"/>
      <c r="Q1010" s="1"/>
      <c r="R1010" s="1"/>
      <c r="T1010" s="1"/>
      <c r="U1010" s="1"/>
      <c r="V1010" s="1"/>
      <c r="W1010" s="1"/>
      <c r="X1010" s="1"/>
      <c r="Y1010" s="1"/>
      <c r="Z1010" s="1"/>
      <c r="AA1010" s="1"/>
    </row>
    <row r="1011">
      <c r="A1011" s="1"/>
      <c r="B1011" s="1"/>
      <c r="C1011" s="1"/>
      <c r="D1011" s="1"/>
      <c r="E1011" s="1"/>
      <c r="F1011" s="1"/>
      <c r="G1011" s="1"/>
      <c r="H1011" s="1"/>
      <c r="I1011" s="1"/>
      <c r="J1011" s="1"/>
      <c r="K1011" s="1"/>
      <c r="L1011" s="1"/>
      <c r="M1011" s="1"/>
      <c r="N1011" s="1"/>
      <c r="O1011" s="1"/>
      <c r="P1011" s="1"/>
      <c r="Q1011" s="1"/>
      <c r="R1011" s="1"/>
      <c r="T1011" s="1"/>
      <c r="U1011" s="1"/>
      <c r="V1011" s="1"/>
      <c r="W1011" s="1"/>
      <c r="X1011" s="1"/>
      <c r="Y1011" s="1"/>
      <c r="Z1011" s="1"/>
      <c r="AA1011" s="1"/>
    </row>
    <row r="1012">
      <c r="A1012" s="1"/>
      <c r="B1012" s="1"/>
      <c r="C1012" s="1"/>
      <c r="D1012" s="1"/>
      <c r="E1012" s="1"/>
      <c r="F1012" s="1"/>
      <c r="G1012" s="1"/>
      <c r="H1012" s="1"/>
      <c r="I1012" s="1"/>
      <c r="J1012" s="1"/>
      <c r="K1012" s="1"/>
      <c r="L1012" s="1"/>
      <c r="M1012" s="1"/>
      <c r="N1012" s="1"/>
      <c r="O1012" s="1"/>
      <c r="P1012" s="1"/>
      <c r="Q1012" s="1"/>
      <c r="R1012" s="1"/>
      <c r="T1012" s="1"/>
      <c r="U1012" s="1"/>
      <c r="V1012" s="1"/>
      <c r="W1012" s="1"/>
      <c r="X1012" s="1"/>
      <c r="Y1012" s="1"/>
      <c r="Z1012" s="1"/>
      <c r="AA1012" s="1"/>
    </row>
    <row r="1013">
      <c r="A1013" s="1"/>
      <c r="B1013" s="1"/>
      <c r="C1013" s="1"/>
      <c r="D1013" s="1"/>
      <c r="E1013" s="1"/>
      <c r="F1013" s="1"/>
      <c r="G1013" s="1"/>
      <c r="H1013" s="1"/>
      <c r="I1013" s="1"/>
      <c r="J1013" s="1"/>
      <c r="K1013" s="1"/>
      <c r="L1013" s="1"/>
      <c r="M1013" s="1"/>
      <c r="N1013" s="1"/>
      <c r="O1013" s="1"/>
      <c r="P1013" s="1"/>
      <c r="Q1013" s="1"/>
      <c r="R1013" s="1"/>
      <c r="T1013" s="1"/>
      <c r="U1013" s="1"/>
      <c r="V1013" s="1"/>
      <c r="W1013" s="1"/>
      <c r="X1013" s="1"/>
      <c r="Y1013" s="1"/>
      <c r="Z1013" s="1"/>
      <c r="AA1013" s="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88"/>
    <col customWidth="1" min="2" max="2" width="25.38"/>
    <col hidden="1" min="3" max="3" width="12.63"/>
    <col customWidth="1" min="4" max="4" width="29.5"/>
    <col customWidth="1" min="11" max="11" width="18.88"/>
    <col customWidth="1" min="12" max="12" width="25.25"/>
    <col customWidth="1" min="13" max="13" width="15.88"/>
    <col customWidth="1" min="16" max="16" width="9.0"/>
    <col customWidth="1" min="18" max="21" width="13.38"/>
  </cols>
  <sheetData>
    <row r="1">
      <c r="A1" s="30">
        <f>SUBTOTAL(9,A3:A1013)</f>
        <v>1821</v>
      </c>
      <c r="B1" s="29"/>
      <c r="C1" s="29"/>
      <c r="D1" s="29"/>
      <c r="E1" s="31">
        <f t="shared" ref="E1:G1" si="1">SUBTOTAL(9,E3:E1013)</f>
        <v>14061867</v>
      </c>
      <c r="F1" s="31">
        <f t="shared" si="1"/>
        <v>28042296</v>
      </c>
      <c r="G1" s="31">
        <f t="shared" si="1"/>
        <v>28127734</v>
      </c>
      <c r="H1" s="29"/>
      <c r="I1" s="29"/>
      <c r="J1" s="29"/>
      <c r="K1" s="29"/>
      <c r="L1" s="4"/>
      <c r="M1" s="29"/>
      <c r="N1" s="29"/>
      <c r="O1" s="29"/>
      <c r="P1" s="57"/>
      <c r="Q1" s="44"/>
      <c r="R1" s="44"/>
      <c r="S1" s="44"/>
      <c r="T1" s="44">
        <f>MAX(T2:T1013)</f>
        <v>10</v>
      </c>
      <c r="U1" s="44"/>
    </row>
    <row r="2">
      <c r="A2" s="29" t="s">
        <v>1455</v>
      </c>
      <c r="B2" s="29" t="s">
        <v>432</v>
      </c>
      <c r="C2" s="29" t="s">
        <v>1456</v>
      </c>
      <c r="D2" s="62" t="s">
        <v>1055</v>
      </c>
      <c r="E2" s="31" t="s">
        <v>1457</v>
      </c>
      <c r="F2" s="29" t="s">
        <v>1458</v>
      </c>
      <c r="G2" s="62" t="s">
        <v>1459</v>
      </c>
      <c r="H2" s="29" t="s">
        <v>1460</v>
      </c>
      <c r="I2" s="29" t="s">
        <v>317</v>
      </c>
      <c r="J2" s="29" t="s">
        <v>1461</v>
      </c>
      <c r="K2" s="62" t="s">
        <v>1052</v>
      </c>
      <c r="L2" s="62" t="s">
        <v>1053</v>
      </c>
      <c r="M2" s="62" t="s">
        <v>1054</v>
      </c>
      <c r="N2" s="29" t="s">
        <v>1055</v>
      </c>
      <c r="O2" s="29" t="s">
        <v>1056</v>
      </c>
      <c r="P2" s="63" t="s">
        <v>1057</v>
      </c>
      <c r="Q2" s="29" t="s">
        <v>433</v>
      </c>
      <c r="R2" s="29" t="s">
        <v>431</v>
      </c>
      <c r="S2" s="29" t="s">
        <v>430</v>
      </c>
      <c r="T2" s="29" t="s">
        <v>1462</v>
      </c>
      <c r="U2" s="29" t="s">
        <v>432</v>
      </c>
    </row>
    <row r="3">
      <c r="A3" s="64">
        <v>2.0</v>
      </c>
      <c r="B3" s="4" t="s">
        <v>1463</v>
      </c>
      <c r="C3" s="1"/>
      <c r="D3" s="4" t="s">
        <v>1061</v>
      </c>
      <c r="E3" s="3">
        <v>32000.0</v>
      </c>
      <c r="F3" s="2">
        <f t="shared" ref="F3:F610" si="2">E3*A3</f>
        <v>64000</v>
      </c>
      <c r="G3" s="65">
        <f t="shared" ref="G3:G204" si="3">(E3*100%)+E3</f>
        <v>64000</v>
      </c>
      <c r="H3" s="1"/>
      <c r="I3" s="1"/>
      <c r="J3" s="1"/>
      <c r="K3" s="66" t="s">
        <v>1058</v>
      </c>
      <c r="L3" s="66" t="s">
        <v>1059</v>
      </c>
      <c r="M3" s="66" t="s">
        <v>1060</v>
      </c>
      <c r="N3" s="18" t="s">
        <v>1061</v>
      </c>
      <c r="O3" s="66" t="s">
        <v>1062</v>
      </c>
      <c r="P3" s="67">
        <v>10.0</v>
      </c>
      <c r="Q3" s="18" t="s">
        <v>441</v>
      </c>
      <c r="R3" s="68" t="str">
        <f>IFERROR(CONCATENATE("*",VLOOKUP(L3,PARAM!D:E,2,0),VLOOKUP(M3,PARAM!J:K,2,0),VLOOKUP(N3,PARAM!G:H,2,0),VLOOKUP(P3,PARAM!P:Q,2,0),"*"),"")</f>
        <v>*1143*</v>
      </c>
      <c r="S3" s="18" t="str">
        <f>IFERROR(CONCATENATE(VLOOKUP(L3,PARAM!D:E,2,0),VLOOKUP(M3,PARAM!J:K,2,0),VLOOKUP(N3,PARAM!G:H,2,0),VLOOKUP(O3,PARAM!M:N,2,0),VLOOKUP(P3,PARAM!P:Q,2,0)),"")</f>
        <v>114103</v>
      </c>
      <c r="T3" s="18">
        <f t="shared" ref="T3:T1013" si="4">LEN(R3)</f>
        <v>6</v>
      </c>
      <c r="U3" s="18" t="str">
        <f t="shared" ref="U3:U1013" si="5">CONCATENATE(L3," ",M3," ",N3," ",O3,IF(P3="-","",CONCATENATE(" TALLA ",P3)))</f>
        <v>JEANS DAMA 4 BOTONES GRIS TALLA 10</v>
      </c>
    </row>
    <row r="4">
      <c r="A4" s="64">
        <v>1.0</v>
      </c>
      <c r="B4" s="69" t="s">
        <v>1463</v>
      </c>
      <c r="C4" s="1"/>
      <c r="D4" s="4" t="s">
        <v>1061</v>
      </c>
      <c r="E4" s="3">
        <v>32000.0</v>
      </c>
      <c r="F4" s="2">
        <f t="shared" si="2"/>
        <v>32000</v>
      </c>
      <c r="G4" s="65">
        <f t="shared" si="3"/>
        <v>64000</v>
      </c>
      <c r="H4" s="1"/>
      <c r="I4" s="1"/>
      <c r="J4" s="1"/>
      <c r="K4" s="66" t="s">
        <v>1058</v>
      </c>
      <c r="L4" s="66" t="s">
        <v>1059</v>
      </c>
      <c r="M4" s="66" t="s">
        <v>1060</v>
      </c>
      <c r="N4" s="18" t="s">
        <v>1061</v>
      </c>
      <c r="O4" s="66" t="s">
        <v>1062</v>
      </c>
      <c r="P4" s="67">
        <v>8.0</v>
      </c>
      <c r="Q4" s="18" t="s">
        <v>441</v>
      </c>
      <c r="R4" s="68" t="str">
        <f>IFERROR(CONCATENATE("*",VLOOKUP(L4,PARAM!D:E,2,0),VLOOKUP(M4,PARAM!J:K,2,0),VLOOKUP(N4,PARAM!G:H,2,0),VLOOKUP(P4,PARAM!P:Q,2,0),"*"),"")</f>
        <v>*1142*</v>
      </c>
      <c r="S4" s="18" t="str">
        <f>IFERROR(CONCATENATE(VLOOKUP(L4,PARAM!D:E,2,0),VLOOKUP(M4,PARAM!J:K,2,0),VLOOKUP(N4,PARAM!G:H,2,0),VLOOKUP(O4,PARAM!M:N,2,0),VLOOKUP(P4,PARAM!P:Q,2,0)),"")</f>
        <v>114102</v>
      </c>
      <c r="T4" s="18">
        <f t="shared" si="4"/>
        <v>6</v>
      </c>
      <c r="U4" s="18" t="str">
        <f t="shared" si="5"/>
        <v>JEANS DAMA 4 BOTONES GRIS TALLA 8</v>
      </c>
    </row>
    <row r="5">
      <c r="A5" s="64">
        <v>1.0</v>
      </c>
      <c r="B5" s="69" t="s">
        <v>1463</v>
      </c>
      <c r="C5" s="1"/>
      <c r="D5" s="4" t="s">
        <v>1464</v>
      </c>
      <c r="E5" s="3">
        <v>32000.0</v>
      </c>
      <c r="F5" s="2">
        <f t="shared" si="2"/>
        <v>32000</v>
      </c>
      <c r="G5" s="65">
        <f t="shared" si="3"/>
        <v>64000</v>
      </c>
      <c r="H5" s="1"/>
      <c r="I5" s="1"/>
      <c r="J5" s="1"/>
      <c r="K5" s="66" t="s">
        <v>1058</v>
      </c>
      <c r="L5" s="66" t="s">
        <v>1059</v>
      </c>
      <c r="M5" s="66" t="s">
        <v>1060</v>
      </c>
      <c r="N5" s="66" t="s">
        <v>1063</v>
      </c>
      <c r="O5" s="66" t="s">
        <v>1062</v>
      </c>
      <c r="P5" s="67">
        <v>8.0</v>
      </c>
      <c r="Q5" s="18" t="s">
        <v>441</v>
      </c>
      <c r="R5" s="68" t="str">
        <f>IFERROR(CONCATENATE("*",VLOOKUP(L5,PARAM!D:E,2,0),VLOOKUP(M5,PARAM!J:K,2,0),VLOOKUP(N5,PARAM!G:H,2,0),VLOOKUP(P5,PARAM!P:Q,2,0),"*"),"")</f>
        <v>*1152*</v>
      </c>
      <c r="S5" s="18" t="str">
        <f>IFERROR(CONCATENATE(VLOOKUP(L5,PARAM!D:E,2,0),VLOOKUP(M5,PARAM!J:K,2,0),VLOOKUP(N5,PARAM!G:H,2,0),VLOOKUP(O5,PARAM!M:N,2,0),VLOOKUP(P5,PARAM!P:Q,2,0)),"")</f>
        <v>115102</v>
      </c>
      <c r="T5" s="18">
        <f t="shared" si="4"/>
        <v>6</v>
      </c>
      <c r="U5" s="18" t="str">
        <f t="shared" si="5"/>
        <v>JEANS DAMA 4 BOTONES SIN BOLSILLO GRIS TALLA 8</v>
      </c>
    </row>
    <row r="6">
      <c r="A6" s="64">
        <v>2.0</v>
      </c>
      <c r="B6" s="69" t="s">
        <v>1463</v>
      </c>
      <c r="C6" s="1"/>
      <c r="D6" s="4" t="s">
        <v>1061</v>
      </c>
      <c r="E6" s="3">
        <v>32000.0</v>
      </c>
      <c r="F6" s="2">
        <f t="shared" si="2"/>
        <v>64000</v>
      </c>
      <c r="G6" s="65">
        <f t="shared" si="3"/>
        <v>64000</v>
      </c>
      <c r="H6" s="1"/>
      <c r="I6" s="1"/>
      <c r="J6" s="1"/>
      <c r="K6" s="66" t="s">
        <v>1058</v>
      </c>
      <c r="L6" s="66" t="s">
        <v>1059</v>
      </c>
      <c r="M6" s="66" t="s">
        <v>1060</v>
      </c>
      <c r="N6" s="18" t="s">
        <v>1061</v>
      </c>
      <c r="O6" s="66" t="s">
        <v>1062</v>
      </c>
      <c r="P6" s="67">
        <v>16.0</v>
      </c>
      <c r="Q6" s="18" t="s">
        <v>441</v>
      </c>
      <c r="R6" s="68" t="str">
        <f>IFERROR(CONCATENATE("*",VLOOKUP(L6,PARAM!D:E,2,0),VLOOKUP(M6,PARAM!J:K,2,0),VLOOKUP(N6,PARAM!G:H,2,0),VLOOKUP(P6,PARAM!P:Q,2,0),"*"),"")</f>
        <v>*1146*</v>
      </c>
      <c r="S6" s="18" t="str">
        <f>IFERROR(CONCATENATE(VLOOKUP(L6,PARAM!D:E,2,0),VLOOKUP(M6,PARAM!J:K,2,0),VLOOKUP(N6,PARAM!G:H,2,0),VLOOKUP(O6,PARAM!M:N,2,0),VLOOKUP(P6,PARAM!P:Q,2,0)),"")</f>
        <v>114106</v>
      </c>
      <c r="T6" s="18">
        <f t="shared" si="4"/>
        <v>6</v>
      </c>
      <c r="U6" s="18" t="str">
        <f t="shared" si="5"/>
        <v>JEANS DAMA 4 BOTONES GRIS TALLA 16</v>
      </c>
    </row>
    <row r="7">
      <c r="A7" s="64">
        <v>1.0</v>
      </c>
      <c r="B7" s="69" t="s">
        <v>1463</v>
      </c>
      <c r="C7" s="1"/>
      <c r="D7" s="4" t="s">
        <v>1464</v>
      </c>
      <c r="E7" s="3">
        <v>32000.0</v>
      </c>
      <c r="F7" s="2">
        <f t="shared" si="2"/>
        <v>32000</v>
      </c>
      <c r="G7" s="65">
        <f t="shared" si="3"/>
        <v>64000</v>
      </c>
      <c r="H7" s="1"/>
      <c r="I7" s="1"/>
      <c r="J7" s="1"/>
      <c r="K7" s="66" t="s">
        <v>1058</v>
      </c>
      <c r="L7" s="66" t="s">
        <v>1059</v>
      </c>
      <c r="M7" s="66" t="s">
        <v>1060</v>
      </c>
      <c r="N7" s="66" t="s">
        <v>1063</v>
      </c>
      <c r="O7" s="66" t="s">
        <v>1062</v>
      </c>
      <c r="P7" s="67">
        <v>16.0</v>
      </c>
      <c r="Q7" s="18" t="s">
        <v>441</v>
      </c>
      <c r="R7" s="68" t="str">
        <f>IFERROR(CONCATENATE("*",VLOOKUP(L7,PARAM!D:E,2,0),VLOOKUP(M7,PARAM!J:K,2,0),VLOOKUP(N7,PARAM!G:H,2,0),VLOOKUP(P7,PARAM!P:Q,2,0),"*"),"")</f>
        <v>*1156*</v>
      </c>
      <c r="S7" s="18" t="str">
        <f>IFERROR(CONCATENATE(VLOOKUP(L7,PARAM!D:E,2,0),VLOOKUP(M7,PARAM!J:K,2,0),VLOOKUP(N7,PARAM!G:H,2,0),VLOOKUP(O7,PARAM!M:N,2,0),VLOOKUP(P7,PARAM!P:Q,2,0)),"")</f>
        <v>115106</v>
      </c>
      <c r="T7" s="18">
        <f t="shared" si="4"/>
        <v>6</v>
      </c>
      <c r="U7" s="18" t="str">
        <f t="shared" si="5"/>
        <v>JEANS DAMA 4 BOTONES SIN BOLSILLO GRIS TALLA 16</v>
      </c>
    </row>
    <row r="8">
      <c r="A8" s="64">
        <v>1.0</v>
      </c>
      <c r="B8" s="69" t="s">
        <v>1465</v>
      </c>
      <c r="C8" s="1"/>
      <c r="D8" s="4" t="s">
        <v>1064</v>
      </c>
      <c r="E8" s="3">
        <v>32000.0</v>
      </c>
      <c r="F8" s="2">
        <f t="shared" si="2"/>
        <v>32000</v>
      </c>
      <c r="G8" s="65">
        <f t="shared" si="3"/>
        <v>64000</v>
      </c>
      <c r="H8" s="1"/>
      <c r="I8" s="1"/>
      <c r="J8" s="1"/>
      <c r="K8" s="66" t="s">
        <v>1058</v>
      </c>
      <c r="L8" s="66" t="s">
        <v>1059</v>
      </c>
      <c r="M8" s="66" t="s">
        <v>1060</v>
      </c>
      <c r="N8" s="18" t="s">
        <v>1064</v>
      </c>
      <c r="O8" s="66" t="s">
        <v>1062</v>
      </c>
      <c r="P8" s="67">
        <v>12.0</v>
      </c>
      <c r="Q8" s="18" t="s">
        <v>441</v>
      </c>
      <c r="R8" s="68" t="str">
        <f>IFERROR(CONCATENATE("*",VLOOKUP(L8,PARAM!D:E,2,0),VLOOKUP(M8,PARAM!J:K,2,0),VLOOKUP(N8,PARAM!G:H,2,0),VLOOKUP(P8,PARAM!P:Q,2,0),"*"),"")</f>
        <v>*1114*</v>
      </c>
      <c r="S8" s="18" t="str">
        <f>IFERROR(CONCATENATE(VLOOKUP(L8,PARAM!D:E,2,0),VLOOKUP(M8,PARAM!J:K,2,0),VLOOKUP(N8,PARAM!G:H,2,0),VLOOKUP(O8,PARAM!M:N,2,0),VLOOKUP(P8,PARAM!P:Q,2,0)),"")</f>
        <v>111104</v>
      </c>
      <c r="T8" s="18">
        <f t="shared" si="4"/>
        <v>6</v>
      </c>
      <c r="U8" s="18" t="str">
        <f t="shared" si="5"/>
        <v>JEANS DAMA 1 BOTON GRIS TALLA 12</v>
      </c>
    </row>
    <row r="9">
      <c r="A9" s="64">
        <v>1.0</v>
      </c>
      <c r="B9" s="4" t="s">
        <v>1463</v>
      </c>
      <c r="C9" s="1"/>
      <c r="D9" s="4" t="s">
        <v>1061</v>
      </c>
      <c r="E9" s="3">
        <v>32000.0</v>
      </c>
      <c r="F9" s="2">
        <f t="shared" si="2"/>
        <v>32000</v>
      </c>
      <c r="G9" s="65">
        <f t="shared" si="3"/>
        <v>64000</v>
      </c>
      <c r="H9" s="1"/>
      <c r="I9" s="1"/>
      <c r="J9" s="1"/>
      <c r="K9" s="66" t="s">
        <v>1058</v>
      </c>
      <c r="L9" s="66" t="s">
        <v>1059</v>
      </c>
      <c r="M9" s="66" t="s">
        <v>1060</v>
      </c>
      <c r="N9" s="18" t="s">
        <v>1061</v>
      </c>
      <c r="O9" s="66" t="s">
        <v>1062</v>
      </c>
      <c r="P9" s="67">
        <v>14.0</v>
      </c>
      <c r="Q9" s="18" t="s">
        <v>441</v>
      </c>
      <c r="R9" s="68" t="str">
        <f>IFERROR(CONCATENATE("*",VLOOKUP(L9,PARAM!D:E,2,0),VLOOKUP(M9,PARAM!J:K,2,0),VLOOKUP(N9,PARAM!G:H,2,0),VLOOKUP(P9,PARAM!P:Q,2,0),"*"),"")</f>
        <v>*1145*</v>
      </c>
      <c r="S9" s="18" t="str">
        <f>IFERROR(CONCATENATE(VLOOKUP(L9,PARAM!D:E,2,0),VLOOKUP(M9,PARAM!J:K,2,0),VLOOKUP(N9,PARAM!G:H,2,0),VLOOKUP(O9,PARAM!M:N,2,0),VLOOKUP(P9,PARAM!P:Q,2,0)),"")</f>
        <v>114105</v>
      </c>
      <c r="T9" s="18">
        <f t="shared" si="4"/>
        <v>6</v>
      </c>
      <c r="U9" s="18" t="str">
        <f t="shared" si="5"/>
        <v>JEANS DAMA 4 BOTONES GRIS TALLA 14</v>
      </c>
    </row>
    <row r="10">
      <c r="A10" s="64">
        <v>2.0</v>
      </c>
      <c r="B10" s="4" t="s">
        <v>1466</v>
      </c>
      <c r="C10" s="1"/>
      <c r="D10" s="4" t="s">
        <v>1467</v>
      </c>
      <c r="E10" s="3">
        <v>38000.0</v>
      </c>
      <c r="F10" s="2">
        <f t="shared" si="2"/>
        <v>76000</v>
      </c>
      <c r="G10" s="65">
        <f t="shared" si="3"/>
        <v>76000</v>
      </c>
      <c r="H10" s="1"/>
      <c r="I10" s="1"/>
      <c r="J10" s="1"/>
      <c r="K10" s="66" t="s">
        <v>1058</v>
      </c>
      <c r="L10" s="66" t="s">
        <v>1059</v>
      </c>
      <c r="M10" s="66" t="s">
        <v>1060</v>
      </c>
      <c r="N10" s="66" t="s">
        <v>1065</v>
      </c>
      <c r="O10" s="66" t="s">
        <v>1066</v>
      </c>
      <c r="P10" s="67">
        <v>14.0</v>
      </c>
      <c r="Q10" s="18" t="s">
        <v>441</v>
      </c>
      <c r="R10" s="68" t="str">
        <f>IFERROR(CONCATENATE("*",VLOOKUP(L10,PARAM!D:E,2,0),VLOOKUP(M10,PARAM!J:K,2,0),VLOOKUP(N10,PARAM!G:H,2,0),VLOOKUP(P10,PARAM!P:Q,2,0),"*"),"")</f>
        <v>*1125*</v>
      </c>
      <c r="S10" s="18" t="str">
        <f>IFERROR(CONCATENATE(VLOOKUP(L10,PARAM!D:E,2,0),VLOOKUP(M10,PARAM!J:K,2,0),VLOOKUP(N10,PARAM!G:H,2,0),VLOOKUP(O10,PARAM!M:N,2,0),VLOOKUP(P10,PARAM!P:Q,2,0)),"")</f>
        <v>112125</v>
      </c>
      <c r="T10" s="18">
        <f t="shared" si="4"/>
        <v>6</v>
      </c>
      <c r="U10" s="18" t="str">
        <f t="shared" si="5"/>
        <v>JEANS DAMA 1 BOTON BOTA RECTA NEGRO TALLA 14</v>
      </c>
    </row>
    <row r="11">
      <c r="A11" s="64">
        <v>1.0</v>
      </c>
      <c r="B11" s="4" t="s">
        <v>1466</v>
      </c>
      <c r="C11" s="1"/>
      <c r="D11" s="4" t="s">
        <v>1467</v>
      </c>
      <c r="E11" s="3">
        <v>38000.0</v>
      </c>
      <c r="F11" s="2">
        <f t="shared" si="2"/>
        <v>38000</v>
      </c>
      <c r="G11" s="65">
        <f t="shared" si="3"/>
        <v>76000</v>
      </c>
      <c r="H11" s="1"/>
      <c r="I11" s="1"/>
      <c r="J11" s="1"/>
      <c r="K11" s="66" t="s">
        <v>1058</v>
      </c>
      <c r="L11" s="66" t="s">
        <v>1059</v>
      </c>
      <c r="M11" s="66" t="s">
        <v>1060</v>
      </c>
      <c r="N11" s="66" t="s">
        <v>1065</v>
      </c>
      <c r="O11" s="66" t="s">
        <v>1066</v>
      </c>
      <c r="P11" s="67">
        <v>10.0</v>
      </c>
      <c r="Q11" s="18" t="s">
        <v>441</v>
      </c>
      <c r="R11" s="68" t="str">
        <f>IFERROR(CONCATENATE("*",VLOOKUP(L11,PARAM!D:E,2,0),VLOOKUP(M11,PARAM!J:K,2,0),VLOOKUP(N11,PARAM!G:H,2,0),VLOOKUP(P11,PARAM!P:Q,2,0),"*"),"")</f>
        <v>*1123*</v>
      </c>
      <c r="S11" s="18" t="str">
        <f>IFERROR(CONCATENATE(VLOOKUP(L11,PARAM!D:E,2,0),VLOOKUP(M11,PARAM!J:K,2,0),VLOOKUP(N11,PARAM!G:H,2,0),VLOOKUP(O11,PARAM!M:N,2,0),VLOOKUP(P11,PARAM!P:Q,2,0)),"")</f>
        <v>112123</v>
      </c>
      <c r="T11" s="18">
        <f t="shared" si="4"/>
        <v>6</v>
      </c>
      <c r="U11" s="18" t="str">
        <f t="shared" si="5"/>
        <v>JEANS DAMA 1 BOTON BOTA RECTA NEGRO TALLA 10</v>
      </c>
    </row>
    <row r="12">
      <c r="A12" s="64">
        <v>1.0</v>
      </c>
      <c r="B12" s="4" t="s">
        <v>1466</v>
      </c>
      <c r="C12" s="1"/>
      <c r="D12" s="4" t="s">
        <v>1467</v>
      </c>
      <c r="E12" s="3">
        <v>38000.0</v>
      </c>
      <c r="F12" s="2">
        <f t="shared" si="2"/>
        <v>38000</v>
      </c>
      <c r="G12" s="65">
        <f t="shared" si="3"/>
        <v>76000</v>
      </c>
      <c r="H12" s="1"/>
      <c r="I12" s="1"/>
      <c r="J12" s="1"/>
      <c r="K12" s="66" t="s">
        <v>1058</v>
      </c>
      <c r="L12" s="66" t="s">
        <v>1059</v>
      </c>
      <c r="M12" s="66" t="s">
        <v>1060</v>
      </c>
      <c r="N12" s="66" t="s">
        <v>1065</v>
      </c>
      <c r="O12" s="66" t="s">
        <v>1066</v>
      </c>
      <c r="P12" s="67">
        <v>8.0</v>
      </c>
      <c r="Q12" s="18" t="s">
        <v>441</v>
      </c>
      <c r="R12" s="68" t="str">
        <f>IFERROR(CONCATENATE("*",VLOOKUP(L12,PARAM!D:E,2,0),VLOOKUP(M12,PARAM!J:K,2,0),VLOOKUP(N12,PARAM!G:H,2,0),VLOOKUP(P12,PARAM!P:Q,2,0),"*"),"")</f>
        <v>*1122*</v>
      </c>
      <c r="S12" s="18" t="str">
        <f>IFERROR(CONCATENATE(VLOOKUP(L12,PARAM!D:E,2,0),VLOOKUP(M12,PARAM!J:K,2,0),VLOOKUP(N12,PARAM!G:H,2,0),VLOOKUP(O12,PARAM!M:N,2,0),VLOOKUP(P12,PARAM!P:Q,2,0)),"")</f>
        <v>112122</v>
      </c>
      <c r="T12" s="18">
        <f t="shared" si="4"/>
        <v>6</v>
      </c>
      <c r="U12" s="18" t="str">
        <f t="shared" si="5"/>
        <v>JEANS DAMA 1 BOTON BOTA RECTA NEGRO TALLA 8</v>
      </c>
    </row>
    <row r="13">
      <c r="A13" s="64">
        <v>2.0</v>
      </c>
      <c r="B13" s="4" t="s">
        <v>1466</v>
      </c>
      <c r="C13" s="1"/>
      <c r="D13" s="4" t="s">
        <v>1064</v>
      </c>
      <c r="E13" s="3">
        <v>32000.0</v>
      </c>
      <c r="F13" s="2">
        <f t="shared" si="2"/>
        <v>64000</v>
      </c>
      <c r="G13" s="65">
        <f t="shared" si="3"/>
        <v>64000</v>
      </c>
      <c r="H13" s="1"/>
      <c r="I13" s="1"/>
      <c r="J13" s="1"/>
      <c r="K13" s="66" t="s">
        <v>1058</v>
      </c>
      <c r="L13" s="66" t="s">
        <v>1059</v>
      </c>
      <c r="M13" s="66" t="s">
        <v>1060</v>
      </c>
      <c r="N13" s="66" t="s">
        <v>1065</v>
      </c>
      <c r="O13" s="66" t="s">
        <v>1066</v>
      </c>
      <c r="P13" s="67">
        <v>14.0</v>
      </c>
      <c r="Q13" s="18" t="s">
        <v>441</v>
      </c>
      <c r="R13" s="68" t="str">
        <f>IFERROR(CONCATENATE("*",VLOOKUP(L13,PARAM!D:E,2,0),VLOOKUP(M13,PARAM!J:K,2,0),VLOOKUP(N13,PARAM!G:H,2,0),VLOOKUP(P13,PARAM!P:Q,2,0),"*"),"")</f>
        <v>*1125*</v>
      </c>
      <c r="S13" s="18" t="str">
        <f>IFERROR(CONCATENATE(VLOOKUP(L13,PARAM!D:E,2,0),VLOOKUP(M13,PARAM!J:K,2,0),VLOOKUP(N13,PARAM!G:H,2,0),VLOOKUP(O13,PARAM!M:N,2,0),VLOOKUP(P13,PARAM!P:Q,2,0)),"")</f>
        <v>112125</v>
      </c>
      <c r="T13" s="18">
        <f t="shared" si="4"/>
        <v>6</v>
      </c>
      <c r="U13" s="18" t="str">
        <f t="shared" si="5"/>
        <v>JEANS DAMA 1 BOTON BOTA RECTA NEGRO TALLA 14</v>
      </c>
    </row>
    <row r="14">
      <c r="A14" s="64">
        <v>1.0</v>
      </c>
      <c r="B14" s="4" t="s">
        <v>1468</v>
      </c>
      <c r="C14" s="1"/>
      <c r="D14" s="4" t="s">
        <v>1464</v>
      </c>
      <c r="E14" s="3">
        <v>32000.0</v>
      </c>
      <c r="F14" s="2">
        <f t="shared" si="2"/>
        <v>32000</v>
      </c>
      <c r="G14" s="65">
        <f t="shared" si="3"/>
        <v>64000</v>
      </c>
      <c r="H14" s="1"/>
      <c r="I14" s="1"/>
      <c r="J14" s="1"/>
      <c r="K14" s="66" t="s">
        <v>1058</v>
      </c>
      <c r="L14" s="66" t="s">
        <v>1059</v>
      </c>
      <c r="M14" s="66" t="s">
        <v>1060</v>
      </c>
      <c r="N14" s="66" t="s">
        <v>1063</v>
      </c>
      <c r="O14" s="66" t="s">
        <v>1066</v>
      </c>
      <c r="P14" s="67">
        <v>14.0</v>
      </c>
      <c r="Q14" s="18" t="s">
        <v>441</v>
      </c>
      <c r="R14" s="68" t="str">
        <f>IFERROR(CONCATENATE("*",VLOOKUP(L14,PARAM!D:E,2,0),VLOOKUP(M14,PARAM!J:K,2,0),VLOOKUP(N14,PARAM!G:H,2,0),VLOOKUP(P14,PARAM!P:Q,2,0),"*"),"")</f>
        <v>*1155*</v>
      </c>
      <c r="S14" s="18" t="str">
        <f>IFERROR(CONCATENATE(VLOOKUP(L14,PARAM!D:E,2,0),VLOOKUP(M14,PARAM!J:K,2,0),VLOOKUP(N14,PARAM!G:H,2,0),VLOOKUP(O14,PARAM!M:N,2,0),VLOOKUP(P14,PARAM!P:Q,2,0)),"")</f>
        <v>115125</v>
      </c>
      <c r="T14" s="18">
        <f t="shared" si="4"/>
        <v>6</v>
      </c>
      <c r="U14" s="18" t="str">
        <f t="shared" si="5"/>
        <v>JEANS DAMA 4 BOTONES SIN BOLSILLO NEGRO TALLA 14</v>
      </c>
    </row>
    <row r="15">
      <c r="A15" s="64">
        <v>1.0</v>
      </c>
      <c r="B15" s="4" t="s">
        <v>1468</v>
      </c>
      <c r="C15" s="1"/>
      <c r="D15" s="4" t="s">
        <v>1061</v>
      </c>
      <c r="E15" s="3">
        <v>32000.0</v>
      </c>
      <c r="F15" s="2">
        <f t="shared" si="2"/>
        <v>32000</v>
      </c>
      <c r="G15" s="65">
        <f t="shared" si="3"/>
        <v>64000</v>
      </c>
      <c r="H15" s="1"/>
      <c r="I15" s="1"/>
      <c r="J15" s="1"/>
      <c r="K15" s="66" t="s">
        <v>1058</v>
      </c>
      <c r="L15" s="66" t="s">
        <v>1059</v>
      </c>
      <c r="M15" s="66" t="s">
        <v>1060</v>
      </c>
      <c r="N15" s="18" t="s">
        <v>1061</v>
      </c>
      <c r="O15" s="66" t="s">
        <v>1066</v>
      </c>
      <c r="P15" s="67">
        <v>14.0</v>
      </c>
      <c r="Q15" s="18" t="s">
        <v>441</v>
      </c>
      <c r="R15" s="68" t="str">
        <f>IFERROR(CONCATENATE("*",VLOOKUP(L15,PARAM!D:E,2,0),VLOOKUP(M15,PARAM!J:K,2,0),VLOOKUP(N15,PARAM!G:H,2,0),VLOOKUP(P15,PARAM!P:Q,2,0),"*"),"")</f>
        <v>*1145*</v>
      </c>
      <c r="S15" s="18" t="str">
        <f>IFERROR(CONCATENATE(VLOOKUP(L15,PARAM!D:E,2,0),VLOOKUP(M15,PARAM!J:K,2,0),VLOOKUP(N15,PARAM!G:H,2,0),VLOOKUP(O15,PARAM!M:N,2,0),VLOOKUP(P15,PARAM!P:Q,2,0)),"")</f>
        <v>114125</v>
      </c>
      <c r="T15" s="18">
        <f t="shared" si="4"/>
        <v>6</v>
      </c>
      <c r="U15" s="18" t="str">
        <f t="shared" si="5"/>
        <v>JEANS DAMA 4 BOTONES NEGRO TALLA 14</v>
      </c>
    </row>
    <row r="16">
      <c r="A16" s="64">
        <v>1.0</v>
      </c>
      <c r="B16" s="4" t="s">
        <v>1469</v>
      </c>
      <c r="C16" s="1"/>
      <c r="D16" s="4" t="s">
        <v>1464</v>
      </c>
      <c r="E16" s="3">
        <v>32000.0</v>
      </c>
      <c r="F16" s="2">
        <f t="shared" si="2"/>
        <v>32000</v>
      </c>
      <c r="G16" s="65">
        <f t="shared" si="3"/>
        <v>64000</v>
      </c>
      <c r="H16" s="1"/>
      <c r="I16" s="1"/>
      <c r="J16" s="1"/>
      <c r="K16" s="66" t="s">
        <v>1058</v>
      </c>
      <c r="L16" s="66" t="s">
        <v>1059</v>
      </c>
      <c r="M16" s="66" t="s">
        <v>1060</v>
      </c>
      <c r="N16" s="66" t="s">
        <v>1063</v>
      </c>
      <c r="O16" s="66" t="s">
        <v>1067</v>
      </c>
      <c r="P16" s="67">
        <v>6.0</v>
      </c>
      <c r="Q16" s="18" t="s">
        <v>441</v>
      </c>
      <c r="R16" s="68" t="str">
        <f>IFERROR(CONCATENATE("*",VLOOKUP(L16,PARAM!D:E,2,0),VLOOKUP(M16,PARAM!J:K,2,0),VLOOKUP(N16,PARAM!G:H,2,0),VLOOKUP(P16,PARAM!P:Q,2,0),"*"),"")</f>
        <v>*1151*</v>
      </c>
      <c r="S16" s="18" t="str">
        <f>IFERROR(CONCATENATE(VLOOKUP(L16,PARAM!D:E,2,0),VLOOKUP(M16,PARAM!J:K,2,0),VLOOKUP(N16,PARAM!G:H,2,0),VLOOKUP(O16,PARAM!M:N,2,0),VLOOKUP(P16,PARAM!P:Q,2,0)),"")</f>
        <v>11521</v>
      </c>
      <c r="T16" s="18">
        <f t="shared" si="4"/>
        <v>6</v>
      </c>
      <c r="U16" s="18" t="str">
        <f t="shared" si="5"/>
        <v>JEANS DAMA 4 BOTONES SIN BOLSILLO AZUL TALLA 6</v>
      </c>
    </row>
    <row r="17">
      <c r="A17" s="64">
        <v>1.0</v>
      </c>
      <c r="B17" s="4" t="s">
        <v>1470</v>
      </c>
      <c r="C17" s="1"/>
      <c r="D17" s="4" t="s">
        <v>1064</v>
      </c>
      <c r="E17" s="3">
        <v>32000.0</v>
      </c>
      <c r="F17" s="2">
        <f t="shared" si="2"/>
        <v>32000</v>
      </c>
      <c r="G17" s="65">
        <f t="shared" si="3"/>
        <v>64000</v>
      </c>
      <c r="H17" s="1"/>
      <c r="I17" s="1"/>
      <c r="J17" s="1"/>
      <c r="K17" s="66" t="s">
        <v>1058</v>
      </c>
      <c r="L17" s="66" t="s">
        <v>1059</v>
      </c>
      <c r="M17" s="66" t="s">
        <v>1060</v>
      </c>
      <c r="N17" s="18" t="s">
        <v>1064</v>
      </c>
      <c r="O17" s="66" t="s">
        <v>1067</v>
      </c>
      <c r="P17" s="67">
        <v>10.0</v>
      </c>
      <c r="Q17" s="18" t="s">
        <v>441</v>
      </c>
      <c r="R17" s="68" t="str">
        <f>IFERROR(CONCATENATE("*",VLOOKUP(L17,PARAM!D:E,2,0),VLOOKUP(M17,PARAM!J:K,2,0),VLOOKUP(N17,PARAM!G:H,2,0),VLOOKUP(P17,PARAM!P:Q,2,0),"*"),"")</f>
        <v>*1113*</v>
      </c>
      <c r="S17" s="18" t="str">
        <f>IFERROR(CONCATENATE(VLOOKUP(L17,PARAM!D:E,2,0),VLOOKUP(M17,PARAM!J:K,2,0),VLOOKUP(N17,PARAM!G:H,2,0),VLOOKUP(O17,PARAM!M:N,2,0),VLOOKUP(P17,PARAM!P:Q,2,0)),"")</f>
        <v>11123</v>
      </c>
      <c r="T17" s="18">
        <f t="shared" si="4"/>
        <v>6</v>
      </c>
      <c r="U17" s="18" t="str">
        <f t="shared" si="5"/>
        <v>JEANS DAMA 1 BOTON AZUL TALLA 10</v>
      </c>
    </row>
    <row r="18">
      <c r="A18" s="64">
        <v>1.0</v>
      </c>
      <c r="B18" s="4" t="s">
        <v>1471</v>
      </c>
      <c r="C18" s="1"/>
      <c r="D18" s="4" t="s">
        <v>1064</v>
      </c>
      <c r="E18" s="3">
        <v>32000.0</v>
      </c>
      <c r="F18" s="2">
        <f t="shared" si="2"/>
        <v>32000</v>
      </c>
      <c r="G18" s="65">
        <f t="shared" si="3"/>
        <v>64000</v>
      </c>
      <c r="H18" s="1"/>
      <c r="I18" s="1"/>
      <c r="J18" s="1"/>
      <c r="K18" s="66" t="s">
        <v>1058</v>
      </c>
      <c r="L18" s="66" t="s">
        <v>1059</v>
      </c>
      <c r="M18" s="66" t="s">
        <v>1060</v>
      </c>
      <c r="N18" s="18" t="s">
        <v>1064</v>
      </c>
      <c r="O18" s="66" t="s">
        <v>1067</v>
      </c>
      <c r="P18" s="67">
        <v>14.0</v>
      </c>
      <c r="Q18" s="18" t="s">
        <v>441</v>
      </c>
      <c r="R18" s="68" t="str">
        <f>IFERROR(CONCATENATE("*",VLOOKUP(L18,PARAM!D:E,2,0),VLOOKUP(M18,PARAM!J:K,2,0),VLOOKUP(N18,PARAM!G:H,2,0),VLOOKUP(P18,PARAM!P:Q,2,0),"*"),"")</f>
        <v>*1115*</v>
      </c>
      <c r="S18" s="18" t="str">
        <f>IFERROR(CONCATENATE(VLOOKUP(L18,PARAM!D:E,2,0),VLOOKUP(M18,PARAM!J:K,2,0),VLOOKUP(N18,PARAM!G:H,2,0),VLOOKUP(O18,PARAM!M:N,2,0),VLOOKUP(P18,PARAM!P:Q,2,0)),"")</f>
        <v>11125</v>
      </c>
      <c r="T18" s="18">
        <f t="shared" si="4"/>
        <v>6</v>
      </c>
      <c r="U18" s="18" t="str">
        <f t="shared" si="5"/>
        <v>JEANS DAMA 1 BOTON AZUL TALLA 14</v>
      </c>
    </row>
    <row r="19">
      <c r="A19" s="64">
        <v>1.0</v>
      </c>
      <c r="B19" s="4" t="s">
        <v>1470</v>
      </c>
      <c r="C19" s="1"/>
      <c r="D19" s="4" t="s">
        <v>1064</v>
      </c>
      <c r="E19" s="3">
        <v>32000.0</v>
      </c>
      <c r="F19" s="2">
        <f t="shared" si="2"/>
        <v>32000</v>
      </c>
      <c r="G19" s="65">
        <f t="shared" si="3"/>
        <v>64000</v>
      </c>
      <c r="H19" s="1"/>
      <c r="I19" s="1"/>
      <c r="J19" s="1"/>
      <c r="K19" s="66" t="s">
        <v>1058</v>
      </c>
      <c r="L19" s="66" t="s">
        <v>1059</v>
      </c>
      <c r="M19" s="66" t="s">
        <v>1060</v>
      </c>
      <c r="N19" s="18" t="s">
        <v>1064</v>
      </c>
      <c r="O19" s="66" t="s">
        <v>1067</v>
      </c>
      <c r="P19" s="67">
        <v>6.0</v>
      </c>
      <c r="Q19" s="18" t="s">
        <v>441</v>
      </c>
      <c r="R19" s="68" t="str">
        <f>IFERROR(CONCATENATE("*",VLOOKUP(L19,PARAM!D:E,2,0),VLOOKUP(M19,PARAM!J:K,2,0),VLOOKUP(N19,PARAM!G:H,2,0),VLOOKUP(P19,PARAM!P:Q,2,0),"*"),"")</f>
        <v>*1111*</v>
      </c>
      <c r="S19" s="18" t="str">
        <f>IFERROR(CONCATENATE(VLOOKUP(L19,PARAM!D:E,2,0),VLOOKUP(M19,PARAM!J:K,2,0),VLOOKUP(N19,PARAM!G:H,2,0),VLOOKUP(O19,PARAM!M:N,2,0),VLOOKUP(P19,PARAM!P:Q,2,0)),"")</f>
        <v>11121</v>
      </c>
      <c r="T19" s="18">
        <f t="shared" si="4"/>
        <v>6</v>
      </c>
      <c r="U19" s="18" t="str">
        <f t="shared" si="5"/>
        <v>JEANS DAMA 1 BOTON AZUL TALLA 6</v>
      </c>
    </row>
    <row r="20">
      <c r="A20" s="64">
        <v>1.0</v>
      </c>
      <c r="B20" s="4" t="s">
        <v>1469</v>
      </c>
      <c r="C20" s="1"/>
      <c r="D20" s="4" t="s">
        <v>1464</v>
      </c>
      <c r="E20" s="3">
        <v>32000.0</v>
      </c>
      <c r="F20" s="2">
        <f t="shared" si="2"/>
        <v>32000</v>
      </c>
      <c r="G20" s="65">
        <f t="shared" si="3"/>
        <v>64000</v>
      </c>
      <c r="H20" s="1"/>
      <c r="I20" s="1"/>
      <c r="J20" s="1"/>
      <c r="K20" s="66" t="s">
        <v>1058</v>
      </c>
      <c r="L20" s="66" t="s">
        <v>1059</v>
      </c>
      <c r="M20" s="66" t="s">
        <v>1060</v>
      </c>
      <c r="N20" s="66" t="s">
        <v>1063</v>
      </c>
      <c r="O20" s="66" t="s">
        <v>1067</v>
      </c>
      <c r="P20" s="67">
        <v>8.0</v>
      </c>
      <c r="Q20" s="18" t="s">
        <v>441</v>
      </c>
      <c r="R20" s="68" t="str">
        <f>IFERROR(CONCATENATE("*",VLOOKUP(L20,PARAM!D:E,2,0),VLOOKUP(M20,PARAM!J:K,2,0),VLOOKUP(N20,PARAM!G:H,2,0),VLOOKUP(P20,PARAM!P:Q,2,0),"*"),"")</f>
        <v>*1152*</v>
      </c>
      <c r="S20" s="18" t="str">
        <f>IFERROR(CONCATENATE(VLOOKUP(L20,PARAM!D:E,2,0),VLOOKUP(M20,PARAM!J:K,2,0),VLOOKUP(N20,PARAM!G:H,2,0),VLOOKUP(O20,PARAM!M:N,2,0),VLOOKUP(P20,PARAM!P:Q,2,0)),"")</f>
        <v>11522</v>
      </c>
      <c r="T20" s="18">
        <f t="shared" si="4"/>
        <v>6</v>
      </c>
      <c r="U20" s="18" t="str">
        <f t="shared" si="5"/>
        <v>JEANS DAMA 4 BOTONES SIN BOLSILLO AZUL TALLA 8</v>
      </c>
    </row>
    <row r="21">
      <c r="A21" s="64">
        <v>6.0</v>
      </c>
      <c r="B21" s="4" t="s">
        <v>1472</v>
      </c>
      <c r="C21" s="1"/>
      <c r="D21" s="4" t="s">
        <v>1473</v>
      </c>
      <c r="E21" s="3">
        <v>7000.0</v>
      </c>
      <c r="F21" s="2">
        <f t="shared" si="2"/>
        <v>42000</v>
      </c>
      <c r="G21" s="65">
        <f t="shared" si="3"/>
        <v>14000</v>
      </c>
      <c r="H21" s="1"/>
      <c r="I21" s="1"/>
      <c r="J21" s="1"/>
      <c r="K21" s="66" t="s">
        <v>1058</v>
      </c>
      <c r="L21" s="66" t="s">
        <v>421</v>
      </c>
      <c r="M21" s="66" t="s">
        <v>1060</v>
      </c>
      <c r="N21" s="66" t="s">
        <v>1068</v>
      </c>
      <c r="O21" s="66" t="s">
        <v>1069</v>
      </c>
      <c r="P21" s="67" t="s">
        <v>1070</v>
      </c>
      <c r="Q21" s="18" t="s">
        <v>457</v>
      </c>
      <c r="R21" s="68" t="str">
        <f>IFERROR(CONCATENATE("*",VLOOKUP(L21,PARAM!D:E,2,0),VLOOKUP(M21,PARAM!J:K,2,0),VLOOKUP(N21,PARAM!G:H,2,0),VLOOKUP(P21,PARAM!P:Q,2,0),"*"),"")</f>
        <v>*614531*</v>
      </c>
      <c r="S21" s="18" t="str">
        <f>IFERROR(CONCATENATE(VLOOKUP(L21,PARAM!D:E,2,0),VLOOKUP(M21,PARAM!J:K,2,0),VLOOKUP(N21,PARAM!G:H,2,0),VLOOKUP(O21,PARAM!M:N,2,0),VLOOKUP(P21,PARAM!P:Q,2,0)),"")</f>
        <v>61451631</v>
      </c>
      <c r="T21" s="18">
        <f t="shared" si="4"/>
        <v>8</v>
      </c>
      <c r="U21" s="18" t="str">
        <f t="shared" si="5"/>
        <v>BLUSAS DAMA BASICA ALGODON VARIOS TALLA VA</v>
      </c>
    </row>
    <row r="22">
      <c r="A22" s="64">
        <v>3.0</v>
      </c>
      <c r="B22" s="4" t="s">
        <v>1474</v>
      </c>
      <c r="C22" s="1"/>
      <c r="D22" s="4" t="s">
        <v>1475</v>
      </c>
      <c r="E22" s="3">
        <v>8500.0</v>
      </c>
      <c r="F22" s="2">
        <f t="shared" si="2"/>
        <v>25500</v>
      </c>
      <c r="G22" s="65">
        <f t="shared" si="3"/>
        <v>17000</v>
      </c>
      <c r="H22" s="1"/>
      <c r="I22" s="1"/>
      <c r="J22" s="1"/>
      <c r="K22" s="66" t="s">
        <v>1071</v>
      </c>
      <c r="L22" s="66" t="s">
        <v>1072</v>
      </c>
      <c r="M22" s="66" t="s">
        <v>1060</v>
      </c>
      <c r="N22" s="66" t="s">
        <v>1073</v>
      </c>
      <c r="O22" s="66" t="s">
        <v>1069</v>
      </c>
      <c r="P22" s="67" t="s">
        <v>1074</v>
      </c>
      <c r="Q22" s="18" t="s">
        <v>457</v>
      </c>
      <c r="R22" s="68" t="str">
        <f>IFERROR(CONCATENATE("*",VLOOKUP(L22,PARAM!D:E,2,0),VLOOKUP(M22,PARAM!J:K,2,0),VLOOKUP(N22,PARAM!G:H,2,0),VLOOKUP(P22,PARAM!P:Q,2,0),"*"),"")</f>
        <v>*4311626*</v>
      </c>
      <c r="S22" s="18" t="str">
        <f>IFERROR(CONCATENATE(VLOOKUP(L22,PARAM!D:E,2,0),VLOOKUP(M22,PARAM!J:K,2,0),VLOOKUP(N22,PARAM!G:H,2,0),VLOOKUP(O22,PARAM!M:N,2,0),VLOOKUP(P22,PARAM!P:Q,2,0)),"")</f>
        <v>431161626</v>
      </c>
      <c r="T22" s="18">
        <f t="shared" si="4"/>
        <v>9</v>
      </c>
      <c r="U22" s="18" t="str">
        <f t="shared" si="5"/>
        <v>BICICLETERO DAMA ALGODON VARIOS TALLA M-L</v>
      </c>
    </row>
    <row r="23">
      <c r="A23" s="64">
        <v>4.0</v>
      </c>
      <c r="B23" s="4" t="s">
        <v>1474</v>
      </c>
      <c r="C23" s="1"/>
      <c r="D23" s="4" t="s">
        <v>1476</v>
      </c>
      <c r="E23" s="3">
        <v>7500.0</v>
      </c>
      <c r="F23" s="2">
        <f t="shared" si="2"/>
        <v>30000</v>
      </c>
      <c r="G23" s="65">
        <f t="shared" si="3"/>
        <v>15000</v>
      </c>
      <c r="H23" s="1"/>
      <c r="I23" s="1"/>
      <c r="J23" s="1"/>
      <c r="K23" s="66" t="s">
        <v>1071</v>
      </c>
      <c r="L23" s="66" t="s">
        <v>1072</v>
      </c>
      <c r="M23" s="66" t="s">
        <v>1060</v>
      </c>
      <c r="N23" s="66" t="s">
        <v>1073</v>
      </c>
      <c r="O23" s="66" t="s">
        <v>1069</v>
      </c>
      <c r="P23" s="67" t="s">
        <v>1075</v>
      </c>
      <c r="Q23" s="18" t="s">
        <v>457</v>
      </c>
      <c r="R23" s="68" t="str">
        <f>IFERROR(CONCATENATE("*",VLOOKUP(L23,PARAM!D:E,2,0),VLOOKUP(M23,PARAM!J:K,2,0),VLOOKUP(N23,PARAM!G:H,2,0),VLOOKUP(P23,PARAM!P:Q,2,0),"*"),"")</f>
        <v>*4311618*</v>
      </c>
      <c r="S23" s="18" t="str">
        <f>IFERROR(CONCATENATE(VLOOKUP(L23,PARAM!D:E,2,0),VLOOKUP(M23,PARAM!J:K,2,0),VLOOKUP(N23,PARAM!G:H,2,0),VLOOKUP(O23,PARAM!M:N,2,0),VLOOKUP(P23,PARAM!P:Q,2,0)),"")</f>
        <v>431161618</v>
      </c>
      <c r="T23" s="18">
        <f t="shared" si="4"/>
        <v>9</v>
      </c>
      <c r="U23" s="18" t="str">
        <f t="shared" si="5"/>
        <v>BICICLETERO DAMA ALGODON VARIOS TALLA 16-S</v>
      </c>
    </row>
    <row r="24">
      <c r="A24" s="64">
        <v>2.0</v>
      </c>
      <c r="B24" s="4" t="s">
        <v>1474</v>
      </c>
      <c r="C24" s="1"/>
      <c r="D24" s="4" t="s">
        <v>1477</v>
      </c>
      <c r="E24" s="3">
        <v>7000.0</v>
      </c>
      <c r="F24" s="2">
        <f t="shared" si="2"/>
        <v>14000</v>
      </c>
      <c r="G24" s="65">
        <f t="shared" si="3"/>
        <v>14000</v>
      </c>
      <c r="H24" s="1"/>
      <c r="I24" s="1"/>
      <c r="J24" s="1"/>
      <c r="K24" s="66" t="s">
        <v>1071</v>
      </c>
      <c r="L24" s="66" t="s">
        <v>1072</v>
      </c>
      <c r="M24" s="66" t="s">
        <v>1060</v>
      </c>
      <c r="N24" s="66" t="s">
        <v>1073</v>
      </c>
      <c r="O24" s="66" t="s">
        <v>1069</v>
      </c>
      <c r="P24" s="67">
        <v>14.0</v>
      </c>
      <c r="Q24" s="18" t="s">
        <v>457</v>
      </c>
      <c r="R24" s="68" t="str">
        <f>IFERROR(CONCATENATE("*",VLOOKUP(L24,PARAM!D:E,2,0),VLOOKUP(M24,PARAM!J:K,2,0),VLOOKUP(N24,PARAM!G:H,2,0),VLOOKUP(P24,PARAM!P:Q,2,0),"*"),"")</f>
        <v>*431165*</v>
      </c>
      <c r="S24" s="18" t="str">
        <f>IFERROR(CONCATENATE(VLOOKUP(L24,PARAM!D:E,2,0),VLOOKUP(M24,PARAM!J:K,2,0),VLOOKUP(N24,PARAM!G:H,2,0),VLOOKUP(O24,PARAM!M:N,2,0),VLOOKUP(P24,PARAM!P:Q,2,0)),"")</f>
        <v>43116165</v>
      </c>
      <c r="T24" s="18">
        <f t="shared" si="4"/>
        <v>8</v>
      </c>
      <c r="U24" s="18" t="str">
        <f t="shared" si="5"/>
        <v>BICICLETERO DAMA ALGODON VARIOS TALLA 14</v>
      </c>
    </row>
    <row r="25">
      <c r="A25" s="64">
        <v>15.0</v>
      </c>
      <c r="B25" s="4" t="s">
        <v>1478</v>
      </c>
      <c r="C25" s="1"/>
      <c r="D25" s="4" t="s">
        <v>1478</v>
      </c>
      <c r="E25" s="3">
        <v>17000.0</v>
      </c>
      <c r="F25" s="2">
        <f t="shared" si="2"/>
        <v>255000</v>
      </c>
      <c r="G25" s="65">
        <f t="shared" si="3"/>
        <v>34000</v>
      </c>
      <c r="H25" s="1"/>
      <c r="I25" s="1"/>
      <c r="J25" s="1"/>
      <c r="K25" s="66" t="s">
        <v>1071</v>
      </c>
      <c r="L25" s="66" t="s">
        <v>1076</v>
      </c>
      <c r="M25" s="66" t="s">
        <v>1060</v>
      </c>
      <c r="N25" s="66" t="s">
        <v>1073</v>
      </c>
      <c r="O25" s="66" t="s">
        <v>1069</v>
      </c>
      <c r="P25" s="67" t="s">
        <v>1077</v>
      </c>
      <c r="Q25" s="18" t="s">
        <v>457</v>
      </c>
      <c r="R25" s="68" t="str">
        <f>IFERROR(CONCATENATE("*",VLOOKUP(L25,PARAM!D:E,2,0),VLOOKUP(M25,PARAM!J:K,2,0),VLOOKUP(N25,PARAM!G:H,2,0),VLOOKUP(P25,PARAM!P:Q,2,0),"*"),"")</f>
        <v>*4411632*</v>
      </c>
      <c r="S25" s="18" t="str">
        <f>IFERROR(CONCATENATE(VLOOKUP(L25,PARAM!D:E,2,0),VLOOKUP(M25,PARAM!J:K,2,0),VLOOKUP(N25,PARAM!G:H,2,0),VLOOKUP(O25,PARAM!M:N,2,0),VLOOKUP(P25,PARAM!P:Q,2,0)),"")</f>
        <v>441161632</v>
      </c>
      <c r="T25" s="18">
        <f t="shared" si="4"/>
        <v>9</v>
      </c>
      <c r="U25" s="18" t="str">
        <f t="shared" si="5"/>
        <v>LEGGINS DAMA ALGODON VARIOS TALLA XL</v>
      </c>
    </row>
    <row r="26">
      <c r="A26" s="64">
        <v>1.0</v>
      </c>
      <c r="B26" s="4" t="s">
        <v>1479</v>
      </c>
      <c r="C26" s="1"/>
      <c r="D26" s="4" t="s">
        <v>1480</v>
      </c>
      <c r="E26" s="3">
        <v>38000.0</v>
      </c>
      <c r="F26" s="2">
        <f t="shared" si="2"/>
        <v>38000</v>
      </c>
      <c r="G26" s="65">
        <f t="shared" si="3"/>
        <v>76000</v>
      </c>
      <c r="H26" s="1"/>
      <c r="I26" s="1"/>
      <c r="J26" s="1"/>
      <c r="K26" s="66" t="s">
        <v>1078</v>
      </c>
      <c r="L26" s="66" t="s">
        <v>1079</v>
      </c>
      <c r="M26" s="66" t="s">
        <v>1080</v>
      </c>
      <c r="N26" s="66" t="s">
        <v>1081</v>
      </c>
      <c r="O26" s="66" t="s">
        <v>1082</v>
      </c>
      <c r="P26" s="67">
        <v>36.0</v>
      </c>
      <c r="Q26" s="18" t="s">
        <v>463</v>
      </c>
      <c r="R26" s="68" t="str">
        <f>IFERROR(CONCATENATE("*",VLOOKUP(L26,PARAM!D:E,2,0),VLOOKUP(M26,PARAM!J:K,2,0),VLOOKUP(N26,PARAM!G:H,2,0),VLOOKUP(P26,PARAM!P:Q,2,0),"*"),"")</f>
        <v>*526616*</v>
      </c>
      <c r="S26" s="18" t="str">
        <f>IFERROR(CONCATENATE(VLOOKUP(L26,PARAM!D:E,2,0),VLOOKUP(M26,PARAM!J:K,2,0),VLOOKUP(N26,PARAM!G:H,2,0),VLOOKUP(O26,PARAM!M:N,2,0),VLOOKUP(P26,PARAM!P:Q,2,0)),"")</f>
        <v>5266516</v>
      </c>
      <c r="T26" s="18">
        <f t="shared" si="4"/>
        <v>8</v>
      </c>
      <c r="U26" s="18" t="str">
        <f t="shared" si="5"/>
        <v>BERMUDAS CABALLERO CAMUFLADO BEIGE TALLA 36</v>
      </c>
    </row>
    <row r="27">
      <c r="A27" s="64">
        <v>1.0</v>
      </c>
      <c r="B27" s="4" t="s">
        <v>1479</v>
      </c>
      <c r="C27" s="1"/>
      <c r="D27" s="4" t="s">
        <v>1481</v>
      </c>
      <c r="E27" s="3">
        <v>38000.0</v>
      </c>
      <c r="F27" s="2">
        <f t="shared" si="2"/>
        <v>38000</v>
      </c>
      <c r="G27" s="65">
        <f t="shared" si="3"/>
        <v>76000</v>
      </c>
      <c r="H27" s="1"/>
      <c r="I27" s="1"/>
      <c r="J27" s="1"/>
      <c r="K27" s="66" t="s">
        <v>1078</v>
      </c>
      <c r="L27" s="66" t="s">
        <v>1079</v>
      </c>
      <c r="M27" s="66" t="s">
        <v>1080</v>
      </c>
      <c r="N27" s="66" t="s">
        <v>1081</v>
      </c>
      <c r="O27" s="66" t="s">
        <v>1083</v>
      </c>
      <c r="P27" s="67">
        <v>28.0</v>
      </c>
      <c r="Q27" s="18" t="s">
        <v>463</v>
      </c>
      <c r="R27" s="68" t="str">
        <f>IFERROR(CONCATENATE("*",VLOOKUP(L27,PARAM!D:E,2,0),VLOOKUP(M27,PARAM!J:K,2,0),VLOOKUP(N27,PARAM!G:H,2,0),VLOOKUP(P27,PARAM!P:Q,2,0),"*"),"")</f>
        <v>*526612*</v>
      </c>
      <c r="S27" s="18" t="str">
        <f>IFERROR(CONCATENATE(VLOOKUP(L27,PARAM!D:E,2,0),VLOOKUP(M27,PARAM!J:K,2,0),VLOOKUP(N27,PARAM!G:H,2,0),VLOOKUP(O27,PARAM!M:N,2,0),VLOOKUP(P27,PARAM!P:Q,2,0)),"")</f>
        <v>5266812</v>
      </c>
      <c r="T27" s="18">
        <f t="shared" si="4"/>
        <v>8</v>
      </c>
      <c r="U27" s="18" t="str">
        <f t="shared" si="5"/>
        <v>BERMUDAS CABALLERO CAMUFLADO CAQUI OSCURO TALLA 28</v>
      </c>
    </row>
    <row r="28">
      <c r="A28" s="64">
        <v>1.0</v>
      </c>
      <c r="B28" s="4" t="s">
        <v>1479</v>
      </c>
      <c r="C28" s="1"/>
      <c r="D28" s="4" t="s">
        <v>1480</v>
      </c>
      <c r="E28" s="3">
        <v>38000.0</v>
      </c>
      <c r="F28" s="2">
        <f t="shared" si="2"/>
        <v>38000</v>
      </c>
      <c r="G28" s="65">
        <f t="shared" si="3"/>
        <v>76000</v>
      </c>
      <c r="H28" s="1"/>
      <c r="I28" s="1"/>
      <c r="J28" s="1"/>
      <c r="K28" s="66" t="s">
        <v>1078</v>
      </c>
      <c r="L28" s="66" t="s">
        <v>1079</v>
      </c>
      <c r="M28" s="66" t="s">
        <v>1080</v>
      </c>
      <c r="N28" s="66" t="s">
        <v>1081</v>
      </c>
      <c r="O28" s="66" t="s">
        <v>1084</v>
      </c>
      <c r="P28" s="67">
        <v>30.0</v>
      </c>
      <c r="Q28" s="18" t="s">
        <v>463</v>
      </c>
      <c r="R28" s="68" t="str">
        <f>IFERROR(CONCATENATE("*",VLOOKUP(L28,PARAM!D:E,2,0),VLOOKUP(M28,PARAM!J:K,2,0),VLOOKUP(N28,PARAM!G:H,2,0),VLOOKUP(P28,PARAM!P:Q,2,0),"*"),"")</f>
        <v>*526613*</v>
      </c>
      <c r="S28" s="18" t="str">
        <f>IFERROR(CONCATENATE(VLOOKUP(L28,PARAM!D:E,2,0),VLOOKUP(M28,PARAM!J:K,2,0),VLOOKUP(N28,PARAM!G:H,2,0),VLOOKUP(O28,PARAM!M:N,2,0),VLOOKUP(P28,PARAM!P:Q,2,0)),"")</f>
        <v>5266413</v>
      </c>
      <c r="T28" s="18">
        <f t="shared" si="4"/>
        <v>8</v>
      </c>
      <c r="U28" s="18" t="str">
        <f t="shared" si="5"/>
        <v>BERMUDAS CABALLERO CAMUFLADO AZUL NOCHE TALLA 30</v>
      </c>
    </row>
    <row r="29">
      <c r="A29" s="64">
        <v>1.0</v>
      </c>
      <c r="B29" s="4" t="s">
        <v>1479</v>
      </c>
      <c r="C29" s="1"/>
      <c r="D29" s="4" t="s">
        <v>1480</v>
      </c>
      <c r="E29" s="3">
        <v>38000.0</v>
      </c>
      <c r="F29" s="2">
        <f t="shared" si="2"/>
        <v>38000</v>
      </c>
      <c r="G29" s="65">
        <f t="shared" si="3"/>
        <v>76000</v>
      </c>
      <c r="H29" s="1"/>
      <c r="I29" s="1"/>
      <c r="J29" s="1"/>
      <c r="K29" s="66" t="s">
        <v>1078</v>
      </c>
      <c r="L29" s="66" t="s">
        <v>1079</v>
      </c>
      <c r="M29" s="66" t="s">
        <v>1080</v>
      </c>
      <c r="N29" s="66" t="s">
        <v>1081</v>
      </c>
      <c r="O29" s="66" t="s">
        <v>1085</v>
      </c>
      <c r="P29" s="67">
        <v>32.0</v>
      </c>
      <c r="Q29" s="18" t="s">
        <v>463</v>
      </c>
      <c r="R29" s="68" t="str">
        <f>IFERROR(CONCATENATE("*",VLOOKUP(L29,PARAM!D:E,2,0),VLOOKUP(M29,PARAM!J:K,2,0),VLOOKUP(N29,PARAM!G:H,2,0),VLOOKUP(P29,PARAM!P:Q,2,0),"*"),"")</f>
        <v>*526614*</v>
      </c>
      <c r="S29" s="18" t="str">
        <f>IFERROR(CONCATENATE(VLOOKUP(L29,PARAM!D:E,2,0),VLOOKUP(M29,PARAM!J:K,2,0),VLOOKUP(N29,PARAM!G:H,2,0),VLOOKUP(O29,PARAM!M:N,2,0),VLOOKUP(P29,PARAM!P:Q,2,0)),"")</f>
        <v>52661814</v>
      </c>
      <c r="T29" s="18">
        <f t="shared" si="4"/>
        <v>8</v>
      </c>
      <c r="U29" s="18" t="str">
        <f t="shared" si="5"/>
        <v>BERMUDAS CABALLERO CAMUFLADO VERDE TALLA 32</v>
      </c>
    </row>
    <row r="30">
      <c r="A30" s="64">
        <v>1.0</v>
      </c>
      <c r="B30" s="4" t="s">
        <v>1479</v>
      </c>
      <c r="C30" s="1"/>
      <c r="D30" s="4" t="s">
        <v>1480</v>
      </c>
      <c r="E30" s="3">
        <v>38000.0</v>
      </c>
      <c r="F30" s="2">
        <f t="shared" si="2"/>
        <v>38000</v>
      </c>
      <c r="G30" s="65">
        <f t="shared" si="3"/>
        <v>76000</v>
      </c>
      <c r="H30" s="1"/>
      <c r="I30" s="1"/>
      <c r="J30" s="1"/>
      <c r="K30" s="66" t="s">
        <v>1078</v>
      </c>
      <c r="L30" s="66" t="s">
        <v>1079</v>
      </c>
      <c r="M30" s="66" t="s">
        <v>1080</v>
      </c>
      <c r="N30" s="66" t="s">
        <v>1081</v>
      </c>
      <c r="O30" s="66" t="s">
        <v>1066</v>
      </c>
      <c r="P30" s="67">
        <v>34.0</v>
      </c>
      <c r="Q30" s="18" t="s">
        <v>463</v>
      </c>
      <c r="R30" s="68" t="str">
        <f>IFERROR(CONCATENATE("*",VLOOKUP(L30,PARAM!D:E,2,0),VLOOKUP(M30,PARAM!J:K,2,0),VLOOKUP(N30,PARAM!G:H,2,0),VLOOKUP(P30,PARAM!P:Q,2,0),"*"),"")</f>
        <v>*526615*</v>
      </c>
      <c r="S30" s="18" t="str">
        <f>IFERROR(CONCATENATE(VLOOKUP(L30,PARAM!D:E,2,0),VLOOKUP(M30,PARAM!J:K,2,0),VLOOKUP(N30,PARAM!G:H,2,0),VLOOKUP(O30,PARAM!M:N,2,0),VLOOKUP(P30,PARAM!P:Q,2,0)),"")</f>
        <v>52661215</v>
      </c>
      <c r="T30" s="18">
        <f t="shared" si="4"/>
        <v>8</v>
      </c>
      <c r="U30" s="18" t="str">
        <f t="shared" si="5"/>
        <v>BERMUDAS CABALLERO CAMUFLADO NEGRO TALLA 34</v>
      </c>
    </row>
    <row r="31">
      <c r="A31" s="64">
        <v>1.0</v>
      </c>
      <c r="B31" s="4" t="s">
        <v>1482</v>
      </c>
      <c r="C31" s="1"/>
      <c r="D31" s="4" t="s">
        <v>1483</v>
      </c>
      <c r="E31" s="3">
        <v>36000.0</v>
      </c>
      <c r="F31" s="2">
        <f t="shared" si="2"/>
        <v>36000</v>
      </c>
      <c r="G31" s="65">
        <f t="shared" si="3"/>
        <v>72000</v>
      </c>
      <c r="H31" s="1"/>
      <c r="I31" s="1"/>
      <c r="J31" s="1"/>
      <c r="K31" s="66" t="s">
        <v>1078</v>
      </c>
      <c r="L31" s="66" t="s">
        <v>1079</v>
      </c>
      <c r="M31" s="66" t="s">
        <v>1080</v>
      </c>
      <c r="N31" s="66" t="s">
        <v>1086</v>
      </c>
      <c r="O31" s="66" t="s">
        <v>1066</v>
      </c>
      <c r="P31" s="67">
        <v>34.0</v>
      </c>
      <c r="Q31" s="18" t="s">
        <v>463</v>
      </c>
      <c r="R31" s="68" t="str">
        <f>IFERROR(CONCATENATE("*",VLOOKUP(L31,PARAM!D:E,2,0),VLOOKUP(M31,PARAM!J:K,2,0),VLOOKUP(N31,PARAM!G:H,2,0),VLOOKUP(P31,PARAM!P:Q,2,0),"*"),"")</f>
        <v>*527515*</v>
      </c>
      <c r="S31" s="18" t="str">
        <f>IFERROR(CONCATENATE(VLOOKUP(L31,PARAM!D:E,2,0),VLOOKUP(M31,PARAM!J:K,2,0),VLOOKUP(N31,PARAM!G:H,2,0),VLOOKUP(O31,PARAM!M:N,2,0),VLOOKUP(P31,PARAM!P:Q,2,0)),"")</f>
        <v>52751215</v>
      </c>
      <c r="T31" s="18">
        <f t="shared" si="4"/>
        <v>8</v>
      </c>
      <c r="U31" s="18" t="str">
        <f t="shared" si="5"/>
        <v>BERMUDAS CABALLERO CLASICA DRILL NEGRO TALLA 34</v>
      </c>
    </row>
    <row r="32">
      <c r="A32" s="64">
        <v>1.0</v>
      </c>
      <c r="B32" s="4" t="s">
        <v>1482</v>
      </c>
      <c r="C32" s="1"/>
      <c r="D32" s="4" t="s">
        <v>1484</v>
      </c>
      <c r="E32" s="3">
        <v>36000.0</v>
      </c>
      <c r="F32" s="2">
        <f t="shared" si="2"/>
        <v>36000</v>
      </c>
      <c r="G32" s="65">
        <f t="shared" si="3"/>
        <v>72000</v>
      </c>
      <c r="H32" s="1"/>
      <c r="I32" s="1"/>
      <c r="J32" s="1"/>
      <c r="K32" s="66" t="s">
        <v>1078</v>
      </c>
      <c r="L32" s="66" t="s">
        <v>1079</v>
      </c>
      <c r="M32" s="66" t="s">
        <v>1080</v>
      </c>
      <c r="N32" s="66" t="s">
        <v>1086</v>
      </c>
      <c r="O32" s="66" t="s">
        <v>1083</v>
      </c>
      <c r="P32" s="67">
        <v>28.0</v>
      </c>
      <c r="Q32" s="18" t="s">
        <v>463</v>
      </c>
      <c r="R32" s="68" t="str">
        <f>IFERROR(CONCATENATE("*",VLOOKUP(L32,PARAM!D:E,2,0),VLOOKUP(M32,PARAM!J:K,2,0),VLOOKUP(N32,PARAM!G:H,2,0),VLOOKUP(P32,PARAM!P:Q,2,0),"*"),"")</f>
        <v>*527512*</v>
      </c>
      <c r="S32" s="18" t="str">
        <f>IFERROR(CONCATENATE(VLOOKUP(L32,PARAM!D:E,2,0),VLOOKUP(M32,PARAM!J:K,2,0),VLOOKUP(N32,PARAM!G:H,2,0),VLOOKUP(O32,PARAM!M:N,2,0),VLOOKUP(P32,PARAM!P:Q,2,0)),"")</f>
        <v>5275812</v>
      </c>
      <c r="T32" s="18">
        <f t="shared" si="4"/>
        <v>8</v>
      </c>
      <c r="U32" s="18" t="str">
        <f t="shared" si="5"/>
        <v>BERMUDAS CABALLERO CLASICA DRILL CAQUI OSCURO TALLA 28</v>
      </c>
    </row>
    <row r="33">
      <c r="A33" s="64">
        <v>1.0</v>
      </c>
      <c r="B33" s="4" t="s">
        <v>1482</v>
      </c>
      <c r="C33" s="1"/>
      <c r="D33" s="4" t="s">
        <v>1484</v>
      </c>
      <c r="E33" s="3">
        <v>36000.0</v>
      </c>
      <c r="F33" s="2">
        <f t="shared" si="2"/>
        <v>36000</v>
      </c>
      <c r="G33" s="65">
        <f t="shared" si="3"/>
        <v>72000</v>
      </c>
      <c r="H33" s="1"/>
      <c r="I33" s="1"/>
      <c r="J33" s="1"/>
      <c r="K33" s="66" t="s">
        <v>1078</v>
      </c>
      <c r="L33" s="66" t="s">
        <v>1079</v>
      </c>
      <c r="M33" s="66" t="s">
        <v>1080</v>
      </c>
      <c r="N33" s="66" t="s">
        <v>1086</v>
      </c>
      <c r="O33" s="66" t="s">
        <v>1087</v>
      </c>
      <c r="P33" s="67">
        <v>32.0</v>
      </c>
      <c r="Q33" s="18" t="s">
        <v>463</v>
      </c>
      <c r="R33" s="68" t="str">
        <f>IFERROR(CONCATENATE("*",VLOOKUP(L33,PARAM!D:E,2,0),VLOOKUP(M33,PARAM!J:K,2,0),VLOOKUP(N33,PARAM!G:H,2,0),VLOOKUP(P33,PARAM!P:Q,2,0),"*"),"")</f>
        <v>*527514*</v>
      </c>
      <c r="S33" s="18" t="str">
        <f>IFERROR(CONCATENATE(VLOOKUP(L33,PARAM!D:E,2,0),VLOOKUP(M33,PARAM!J:K,2,0),VLOOKUP(N33,PARAM!G:H,2,0),VLOOKUP(O33,PARAM!M:N,2,0),VLOOKUP(P33,PARAM!P:Q,2,0)),"")</f>
        <v>5275314</v>
      </c>
      <c r="T33" s="18">
        <f t="shared" si="4"/>
        <v>8</v>
      </c>
      <c r="U33" s="18" t="str">
        <f t="shared" si="5"/>
        <v>BERMUDAS CABALLERO CLASICA DRILL AZUL CLARO TALLA 32</v>
      </c>
    </row>
    <row r="34">
      <c r="A34" s="64">
        <v>1.0</v>
      </c>
      <c r="B34" s="4" t="s">
        <v>1482</v>
      </c>
      <c r="C34" s="1"/>
      <c r="D34" s="4" t="s">
        <v>1484</v>
      </c>
      <c r="E34" s="3">
        <v>36000.0</v>
      </c>
      <c r="F34" s="2">
        <f t="shared" si="2"/>
        <v>36000</v>
      </c>
      <c r="G34" s="65">
        <f t="shared" si="3"/>
        <v>72000</v>
      </c>
      <c r="H34" s="1"/>
      <c r="I34" s="1"/>
      <c r="J34" s="1"/>
      <c r="K34" s="66" t="s">
        <v>1078</v>
      </c>
      <c r="L34" s="66" t="s">
        <v>1079</v>
      </c>
      <c r="M34" s="66" t="s">
        <v>1080</v>
      </c>
      <c r="N34" s="66" t="s">
        <v>1086</v>
      </c>
      <c r="O34" s="66" t="s">
        <v>1088</v>
      </c>
      <c r="P34" s="67">
        <v>30.0</v>
      </c>
      <c r="Q34" s="18" t="s">
        <v>463</v>
      </c>
      <c r="R34" s="68" t="str">
        <f>IFERROR(CONCATENATE("*",VLOOKUP(L34,PARAM!D:E,2,0),VLOOKUP(M34,PARAM!J:K,2,0),VLOOKUP(N34,PARAM!G:H,2,0),VLOOKUP(P34,PARAM!P:Q,2,0),"*"),"")</f>
        <v>*527513*</v>
      </c>
      <c r="S34" s="18" t="str">
        <f>IFERROR(CONCATENATE(VLOOKUP(L34,PARAM!D:E,2,0),VLOOKUP(M34,PARAM!J:K,2,0),VLOOKUP(N34,PARAM!G:H,2,0),VLOOKUP(O34,PARAM!M:N,2,0),VLOOKUP(P34,PARAM!P:Q,2,0)),"")</f>
        <v>52751913</v>
      </c>
      <c r="T34" s="18">
        <f t="shared" si="4"/>
        <v>8</v>
      </c>
      <c r="U34" s="18" t="str">
        <f t="shared" si="5"/>
        <v>BERMUDAS CABALLERO CLASICA DRILL VERDE OSCURO TALLA 30</v>
      </c>
    </row>
    <row r="35">
      <c r="A35" s="64">
        <v>3.0</v>
      </c>
      <c r="B35" s="4" t="s">
        <v>1485</v>
      </c>
      <c r="C35" s="1"/>
      <c r="D35" s="4" t="s">
        <v>1486</v>
      </c>
      <c r="E35" s="3">
        <v>26000.0</v>
      </c>
      <c r="F35" s="2">
        <f t="shared" si="2"/>
        <v>78000</v>
      </c>
      <c r="G35" s="65">
        <f t="shared" si="3"/>
        <v>52000</v>
      </c>
      <c r="H35" s="1"/>
      <c r="I35" s="1"/>
      <c r="J35" s="1"/>
      <c r="K35" s="66" t="s">
        <v>1058</v>
      </c>
      <c r="L35" s="66" t="s">
        <v>1089</v>
      </c>
      <c r="M35" s="66" t="s">
        <v>1060</v>
      </c>
      <c r="N35" s="18" t="s">
        <v>1090</v>
      </c>
      <c r="O35" s="66" t="s">
        <v>1069</v>
      </c>
      <c r="P35" s="67" t="s">
        <v>1070</v>
      </c>
      <c r="Q35" s="18" t="s">
        <v>463</v>
      </c>
      <c r="R35" s="68" t="str">
        <f>IFERROR(CONCATENATE("*",VLOOKUP(L35,PARAM!D:E,2,0),VLOOKUP(M35,PARAM!J:K,2,0),VLOOKUP(N35,PARAM!G:H,2,0),VLOOKUP(P35,PARAM!P:Q,2,0),"*"),"")</f>
        <v>*4125131*</v>
      </c>
      <c r="S35" s="18" t="str">
        <f>IFERROR(CONCATENATE(VLOOKUP(L35,PARAM!D:E,2,0),VLOOKUP(M35,PARAM!J:K,2,0),VLOOKUP(N35,PARAM!G:H,2,0),VLOOKUP(O35,PARAM!M:N,2,0),VLOOKUP(P35,PARAM!P:Q,2,0)),"")</f>
        <v>412511631</v>
      </c>
      <c r="T35" s="18">
        <f t="shared" si="4"/>
        <v>9</v>
      </c>
      <c r="U35" s="18" t="str">
        <f t="shared" si="5"/>
        <v>SHORTS DAMA SHORT ARO VARIOS TALLA VA</v>
      </c>
    </row>
    <row r="36">
      <c r="A36" s="64">
        <v>3.0</v>
      </c>
      <c r="B36" s="4" t="s">
        <v>1487</v>
      </c>
      <c r="C36" s="1"/>
      <c r="D36" s="4" t="s">
        <v>1488</v>
      </c>
      <c r="E36" s="3">
        <v>26000.0</v>
      </c>
      <c r="F36" s="2">
        <f t="shared" si="2"/>
        <v>78000</v>
      </c>
      <c r="G36" s="65">
        <f t="shared" si="3"/>
        <v>52000</v>
      </c>
      <c r="H36" s="1"/>
      <c r="I36" s="1"/>
      <c r="J36" s="1"/>
      <c r="K36" s="66" t="s">
        <v>1058</v>
      </c>
      <c r="L36" s="66" t="s">
        <v>1089</v>
      </c>
      <c r="M36" s="66" t="s">
        <v>1060</v>
      </c>
      <c r="N36" s="18" t="s">
        <v>1091</v>
      </c>
      <c r="O36" s="66" t="s">
        <v>1069</v>
      </c>
      <c r="P36" s="67" t="s">
        <v>1070</v>
      </c>
      <c r="Q36" s="18" t="s">
        <v>463</v>
      </c>
      <c r="R36" s="68" t="str">
        <f>IFERROR(CONCATENATE("*",VLOOKUP(L36,PARAM!D:E,2,0),VLOOKUP(M36,PARAM!J:K,2,0),VLOOKUP(N36,PARAM!G:H,2,0),VLOOKUP(P36,PARAM!P:Q,2,0),"*"),"")</f>
        <v>*417431*</v>
      </c>
      <c r="S36" s="18" t="str">
        <f>IFERROR(CONCATENATE(VLOOKUP(L36,PARAM!D:E,2,0),VLOOKUP(M36,PARAM!J:K,2,0),VLOOKUP(N36,PARAM!G:H,2,0),VLOOKUP(O36,PARAM!M:N,2,0),VLOOKUP(P36,PARAM!P:Q,2,0)),"")</f>
        <v>41741631</v>
      </c>
      <c r="T36" s="18">
        <f t="shared" si="4"/>
        <v>8</v>
      </c>
      <c r="U36" s="18" t="str">
        <f t="shared" si="5"/>
        <v>SHORTS DAMA CINTURON ANCHO VARIOS TALLA VA</v>
      </c>
    </row>
    <row r="37">
      <c r="A37" s="64">
        <v>9.0</v>
      </c>
      <c r="B37" s="4" t="s">
        <v>1489</v>
      </c>
      <c r="C37" s="1"/>
      <c r="D37" s="4" t="s">
        <v>1490</v>
      </c>
      <c r="E37" s="3">
        <v>26000.0</v>
      </c>
      <c r="F37" s="2">
        <f t="shared" si="2"/>
        <v>234000</v>
      </c>
      <c r="G37" s="65">
        <f t="shared" si="3"/>
        <v>52000</v>
      </c>
      <c r="H37" s="1"/>
      <c r="I37" s="1"/>
      <c r="J37" s="1"/>
      <c r="K37" s="66" t="s">
        <v>1058</v>
      </c>
      <c r="L37" s="66" t="s">
        <v>1079</v>
      </c>
      <c r="M37" s="66" t="s">
        <v>1060</v>
      </c>
      <c r="N37" s="66" t="s">
        <v>1092</v>
      </c>
      <c r="O37" s="66" t="s">
        <v>1069</v>
      </c>
      <c r="P37" s="67" t="s">
        <v>1070</v>
      </c>
      <c r="Q37" s="18" t="s">
        <v>463</v>
      </c>
      <c r="R37" s="68" t="str">
        <f>IFERROR(CONCATENATE("*",VLOOKUP(L37,PARAM!D:E,2,0),VLOOKUP(M37,PARAM!J:K,2,0),VLOOKUP(N37,PARAM!G:H,2,0),VLOOKUP(P37,PARAM!P:Q,2,0),"*"),"")</f>
        <v>*5112131*</v>
      </c>
      <c r="S37" s="18" t="str">
        <f>IFERROR(CONCATENATE(VLOOKUP(L37,PARAM!D:E,2,0),VLOOKUP(M37,PARAM!J:K,2,0),VLOOKUP(N37,PARAM!G:H,2,0),VLOOKUP(O37,PARAM!M:N,2,0),VLOOKUP(P37,PARAM!P:Q,2,0)),"")</f>
        <v>511211631</v>
      </c>
      <c r="T37" s="18">
        <f t="shared" si="4"/>
        <v>9</v>
      </c>
      <c r="U37" s="18" t="str">
        <f t="shared" si="5"/>
        <v>BERMUDAS DAMA DRILL VARIOS TALLA VA</v>
      </c>
    </row>
    <row r="38">
      <c r="A38" s="64">
        <v>9.0</v>
      </c>
      <c r="B38" s="4" t="s">
        <v>1491</v>
      </c>
      <c r="C38" s="1"/>
      <c r="D38" s="4" t="s">
        <v>1095</v>
      </c>
      <c r="E38" s="3">
        <v>5000.0</v>
      </c>
      <c r="F38" s="2">
        <f t="shared" si="2"/>
        <v>45000</v>
      </c>
      <c r="G38" s="65">
        <f t="shared" si="3"/>
        <v>10000</v>
      </c>
      <c r="H38" s="1"/>
      <c r="I38" s="1"/>
      <c r="J38" s="1"/>
      <c r="K38" s="66" t="s">
        <v>1093</v>
      </c>
      <c r="L38" s="66" t="s">
        <v>1094</v>
      </c>
      <c r="M38" s="66" t="s">
        <v>1060</v>
      </c>
      <c r="N38" s="18" t="s">
        <v>1095</v>
      </c>
      <c r="O38" s="66" t="s">
        <v>1069</v>
      </c>
      <c r="P38" s="67" t="s">
        <v>503</v>
      </c>
      <c r="Q38" s="18" t="s">
        <v>476</v>
      </c>
      <c r="R38" s="68" t="str">
        <f>IFERROR(CONCATENATE("*",VLOOKUP(L38,PARAM!D:E,2,0),VLOOKUP(M38,PARAM!J:K,2,0),VLOOKUP(N38,PARAM!G:H,2,0),VLOOKUP(P38,PARAM!P:Q,2,0),"*"),"")</f>
        <v>*1212110*</v>
      </c>
      <c r="S38" s="18" t="str">
        <f>IFERROR(CONCATENATE(VLOOKUP(L38,PARAM!D:E,2,0),VLOOKUP(M38,PARAM!J:K,2,0),VLOOKUP(N38,PARAM!G:H,2,0),VLOOKUP(O38,PARAM!M:N,2,0),VLOOKUP(P38,PARAM!P:Q,2,0)),"")</f>
        <v>121211160</v>
      </c>
      <c r="T38" s="18">
        <f t="shared" si="4"/>
        <v>9</v>
      </c>
      <c r="U38" s="18" t="str">
        <f t="shared" si="5"/>
        <v>PERFUMES DAMA PINK MINI VARIOS</v>
      </c>
    </row>
    <row r="39">
      <c r="A39" s="64">
        <v>6.0</v>
      </c>
      <c r="B39" s="4" t="s">
        <v>1492</v>
      </c>
      <c r="C39" s="1"/>
      <c r="D39" s="4" t="s">
        <v>1493</v>
      </c>
      <c r="E39" s="3">
        <v>2500.0</v>
      </c>
      <c r="F39" s="2">
        <f t="shared" si="2"/>
        <v>15000</v>
      </c>
      <c r="G39" s="65">
        <f t="shared" si="3"/>
        <v>5000</v>
      </c>
      <c r="H39" s="1"/>
      <c r="I39" s="1"/>
      <c r="J39" s="1"/>
      <c r="K39" s="66" t="s">
        <v>1096</v>
      </c>
      <c r="L39" s="66" t="s">
        <v>1097</v>
      </c>
      <c r="M39" s="66" t="s">
        <v>1060</v>
      </c>
      <c r="N39" s="66" t="s">
        <v>1098</v>
      </c>
      <c r="O39" s="66" t="s">
        <v>1069</v>
      </c>
      <c r="P39" s="67" t="s">
        <v>503</v>
      </c>
      <c r="Q39" s="18" t="s">
        <v>476</v>
      </c>
      <c r="R39" s="68" t="str">
        <f>IFERROR(CONCATENATE("*",VLOOKUP(L39,PARAM!D:E,2,0),VLOOKUP(M39,PARAM!J:K,2,0),VLOOKUP(N39,PARAM!G:H,2,0),VLOOKUP(P39,PARAM!P:Q,2,0),"*"),"")</f>
        <v>*4711600*</v>
      </c>
      <c r="S39" s="18" t="str">
        <f>IFERROR(CONCATENATE(VLOOKUP(L39,PARAM!D:E,2,0),VLOOKUP(M39,PARAM!J:K,2,0),VLOOKUP(N39,PARAM!G:H,2,0),VLOOKUP(O39,PARAM!M:N,2,0),VLOOKUP(P39,PARAM!P:Q,2,0)),"")</f>
        <v>471160160</v>
      </c>
      <c r="T39" s="18">
        <f t="shared" si="4"/>
        <v>9</v>
      </c>
      <c r="U39" s="18" t="str">
        <f t="shared" si="5"/>
        <v>BRILLO DAMA LABIAL VARIOS</v>
      </c>
    </row>
    <row r="40">
      <c r="A40" s="64">
        <v>2.0</v>
      </c>
      <c r="B40" s="4" t="s">
        <v>1494</v>
      </c>
      <c r="C40" s="1"/>
      <c r="D40" s="4" t="s">
        <v>1494</v>
      </c>
      <c r="E40" s="3">
        <v>8500.0</v>
      </c>
      <c r="F40" s="2">
        <f t="shared" si="2"/>
        <v>17000</v>
      </c>
      <c r="G40" s="65">
        <f t="shared" si="3"/>
        <v>17000</v>
      </c>
      <c r="H40" s="1"/>
      <c r="I40" s="1"/>
      <c r="J40" s="1"/>
      <c r="K40" s="66" t="s">
        <v>1093</v>
      </c>
      <c r="L40" s="66" t="s">
        <v>1099</v>
      </c>
      <c r="M40" s="66" t="s">
        <v>1060</v>
      </c>
      <c r="N40" s="66" t="s">
        <v>503</v>
      </c>
      <c r="O40" s="66" t="s">
        <v>1069</v>
      </c>
      <c r="P40" s="67" t="s">
        <v>503</v>
      </c>
      <c r="Q40" s="18" t="s">
        <v>476</v>
      </c>
      <c r="R40" s="68" t="str">
        <f>IFERROR(CONCATENATE("*",VLOOKUP(L40,PARAM!D:E,2,0),VLOOKUP(M40,PARAM!J:K,2,0),VLOOKUP(N40,PARAM!G:H,2,0),VLOOKUP(P40,PARAM!P:Q,2,0),"*"),"")</f>
        <v>*46100*</v>
      </c>
      <c r="S40" s="18" t="str">
        <f>IFERROR(CONCATENATE(VLOOKUP(L40,PARAM!D:E,2,0),VLOOKUP(M40,PARAM!J:K,2,0),VLOOKUP(N40,PARAM!G:H,2,0),VLOOKUP(O40,PARAM!M:N,2,0),VLOOKUP(P40,PARAM!P:Q,2,0)),"")</f>
        <v>4610160</v>
      </c>
      <c r="T40" s="18">
        <f t="shared" si="4"/>
        <v>7</v>
      </c>
      <c r="U40" s="18" t="str">
        <f t="shared" si="5"/>
        <v>SPLASH DAMA - VARIOS</v>
      </c>
    </row>
    <row r="41">
      <c r="A41" s="64">
        <v>2.0</v>
      </c>
      <c r="B41" s="4" t="s">
        <v>1495</v>
      </c>
      <c r="C41" s="1"/>
      <c r="D41" s="4" t="s">
        <v>1495</v>
      </c>
      <c r="E41" s="3">
        <v>6500.0</v>
      </c>
      <c r="F41" s="2">
        <f t="shared" si="2"/>
        <v>13000</v>
      </c>
      <c r="G41" s="65">
        <f t="shared" si="3"/>
        <v>13000</v>
      </c>
      <c r="H41" s="1"/>
      <c r="I41" s="1"/>
      <c r="J41" s="1"/>
      <c r="K41" s="66" t="s">
        <v>1093</v>
      </c>
      <c r="L41" s="66" t="s">
        <v>1099</v>
      </c>
      <c r="M41" s="66" t="s">
        <v>1080</v>
      </c>
      <c r="N41" s="66" t="s">
        <v>503</v>
      </c>
      <c r="O41" s="66" t="s">
        <v>1069</v>
      </c>
      <c r="P41" s="67" t="s">
        <v>503</v>
      </c>
      <c r="Q41" s="18" t="s">
        <v>476</v>
      </c>
      <c r="R41" s="68" t="str">
        <f>IFERROR(CONCATENATE("*",VLOOKUP(L41,PARAM!D:E,2,0),VLOOKUP(M41,PARAM!J:K,2,0),VLOOKUP(N41,PARAM!G:H,2,0),VLOOKUP(P41,PARAM!P:Q,2,0),"*"),"")</f>
        <v>*46200*</v>
      </c>
      <c r="S41" s="18" t="str">
        <f>IFERROR(CONCATENATE(VLOOKUP(L41,PARAM!D:E,2,0),VLOOKUP(M41,PARAM!J:K,2,0),VLOOKUP(N41,PARAM!G:H,2,0),VLOOKUP(O41,PARAM!M:N,2,0),VLOOKUP(P41,PARAM!P:Q,2,0)),"")</f>
        <v>4620160</v>
      </c>
      <c r="T41" s="18">
        <f t="shared" si="4"/>
        <v>7</v>
      </c>
      <c r="U41" s="18" t="str">
        <f t="shared" si="5"/>
        <v>SPLASH CABALLERO - VARIOS</v>
      </c>
    </row>
    <row r="42">
      <c r="A42" s="64">
        <v>6.0</v>
      </c>
      <c r="B42" s="4" t="s">
        <v>1496</v>
      </c>
      <c r="C42" s="1"/>
      <c r="D42" s="4" t="s">
        <v>1497</v>
      </c>
      <c r="E42" s="3">
        <v>28000.0</v>
      </c>
      <c r="F42" s="2">
        <f t="shared" si="2"/>
        <v>168000</v>
      </c>
      <c r="G42" s="65">
        <f t="shared" si="3"/>
        <v>56000</v>
      </c>
      <c r="H42" s="1"/>
      <c r="I42" s="1"/>
      <c r="J42" s="1"/>
      <c r="K42" s="66" t="s">
        <v>427</v>
      </c>
      <c r="L42" s="66" t="s">
        <v>1100</v>
      </c>
      <c r="M42" s="66" t="s">
        <v>1101</v>
      </c>
      <c r="N42" s="66" t="s">
        <v>1102</v>
      </c>
      <c r="O42" s="66" t="s">
        <v>1069</v>
      </c>
      <c r="P42" s="67" t="s">
        <v>1103</v>
      </c>
      <c r="Q42" s="18" t="s">
        <v>481</v>
      </c>
      <c r="R42" s="68" t="str">
        <f>IFERROR(CONCATENATE("*",VLOOKUP(L42,PARAM!D:E,2,0),VLOOKUP(M42,PARAM!J:K,2,0),VLOOKUP(N42,PARAM!G:H,2,0),VLOOKUP(P42,PARAM!P:Q,2,0),"*"),"")</f>
        <v>*1438630*</v>
      </c>
      <c r="S42" s="18" t="str">
        <f>IFERROR(CONCATENATE(VLOOKUP(L42,PARAM!D:E,2,0),VLOOKUP(M42,PARAM!J:K,2,0),VLOOKUP(N42,PARAM!G:H,2,0),VLOOKUP(O42,PARAM!M:N,2,0),VLOOKUP(P42,PARAM!P:Q,2,0)),"")</f>
        <v>143861630</v>
      </c>
      <c r="T42" s="18">
        <f t="shared" si="4"/>
        <v>9</v>
      </c>
      <c r="U42" s="18" t="str">
        <f t="shared" si="5"/>
        <v>GORRAS UNISEX COLOMBIA VARIOS TALLA UN</v>
      </c>
    </row>
    <row r="43">
      <c r="A43" s="64">
        <v>17.0</v>
      </c>
      <c r="B43" s="4" t="s">
        <v>1498</v>
      </c>
      <c r="C43" s="1"/>
      <c r="D43" s="4" t="s">
        <v>1498</v>
      </c>
      <c r="E43" s="70">
        <v>16000.0</v>
      </c>
      <c r="F43" s="2">
        <f t="shared" si="2"/>
        <v>272000</v>
      </c>
      <c r="G43" s="65">
        <f t="shared" si="3"/>
        <v>32000</v>
      </c>
      <c r="H43" s="1"/>
      <c r="I43" s="1"/>
      <c r="J43" s="1"/>
      <c r="K43" s="66" t="s">
        <v>427</v>
      </c>
      <c r="L43" s="66" t="s">
        <v>1100</v>
      </c>
      <c r="M43" s="66" t="s">
        <v>1101</v>
      </c>
      <c r="N43" s="66" t="s">
        <v>1069</v>
      </c>
      <c r="O43" s="66" t="s">
        <v>1069</v>
      </c>
      <c r="P43" s="67" t="s">
        <v>1103</v>
      </c>
      <c r="Q43" s="18" t="s">
        <v>481</v>
      </c>
      <c r="R43" s="68" t="str">
        <f>IFERROR(CONCATENATE("*",VLOOKUP(L43,PARAM!D:E,2,0),VLOOKUP(M43,PARAM!J:K,2,0),VLOOKUP(N43,PARAM!G:H,2,0),VLOOKUP(P43,PARAM!P:Q,2,0),"*"),"")</f>
        <v>*14327530*</v>
      </c>
      <c r="S43" s="18" t="str">
        <f>IFERROR(CONCATENATE(VLOOKUP(L43,PARAM!D:E,2,0),VLOOKUP(M43,PARAM!J:K,2,0),VLOOKUP(N43,PARAM!G:H,2,0),VLOOKUP(O43,PARAM!M:N,2,0),VLOOKUP(P43,PARAM!P:Q,2,0)),"")</f>
        <v>1432751630</v>
      </c>
      <c r="T43" s="18">
        <f t="shared" si="4"/>
        <v>10</v>
      </c>
      <c r="U43" s="18" t="str">
        <f t="shared" si="5"/>
        <v>GORRAS UNISEX VARIOS VARIOS TALLA UN</v>
      </c>
    </row>
    <row r="44">
      <c r="A44" s="64">
        <v>1.0</v>
      </c>
      <c r="B44" s="4" t="s">
        <v>1499</v>
      </c>
      <c r="C44" s="1"/>
      <c r="D44" s="4" t="s">
        <v>1500</v>
      </c>
      <c r="E44" s="3">
        <v>60000.0</v>
      </c>
      <c r="F44" s="2">
        <f t="shared" si="2"/>
        <v>60000</v>
      </c>
      <c r="G44" s="65">
        <f t="shared" si="3"/>
        <v>120000</v>
      </c>
      <c r="H44" s="1"/>
      <c r="I44" s="1"/>
      <c r="J44" s="1"/>
      <c r="K44" s="66" t="s">
        <v>427</v>
      </c>
      <c r="L44" s="66" t="s">
        <v>1104</v>
      </c>
      <c r="M44" s="66" t="s">
        <v>1101</v>
      </c>
      <c r="N44" s="18" t="s">
        <v>1105</v>
      </c>
      <c r="O44" s="66" t="s">
        <v>1069</v>
      </c>
      <c r="P44" s="67" t="s">
        <v>503</v>
      </c>
      <c r="Q44" s="18" t="s">
        <v>484</v>
      </c>
      <c r="R44" s="68" t="str">
        <f>IFERROR(CONCATENATE("*",VLOOKUP(L44,PARAM!D:E,2,0),VLOOKUP(M44,PARAM!J:K,2,0),VLOOKUP(N44,PARAM!G:H,2,0),VLOOKUP(P44,PARAM!P:Q,2,0),"*"),"")</f>
        <v>*1532540*</v>
      </c>
      <c r="S44" s="18" t="str">
        <f>IFERROR(CONCATENATE(VLOOKUP(L44,PARAM!D:E,2,0),VLOOKUP(M44,PARAM!J:K,2,0),VLOOKUP(N44,PARAM!G:H,2,0),VLOOKUP(O44,PARAM!M:N,2,0),VLOOKUP(P44,PARAM!P:Q,2,0)),"")</f>
        <v>153254160</v>
      </c>
      <c r="T44" s="18">
        <f t="shared" si="4"/>
        <v>9</v>
      </c>
      <c r="U44" s="18" t="str">
        <f t="shared" si="5"/>
        <v>MALETAS UNISEX SPRAY GROUND VARIOS</v>
      </c>
    </row>
    <row r="45">
      <c r="A45" s="64">
        <v>6.0</v>
      </c>
      <c r="B45" s="4" t="s">
        <v>1501</v>
      </c>
      <c r="C45" s="1"/>
      <c r="D45" s="4" t="s">
        <v>1501</v>
      </c>
      <c r="E45" s="3">
        <v>6000.0</v>
      </c>
      <c r="F45" s="2">
        <f t="shared" si="2"/>
        <v>36000</v>
      </c>
      <c r="G45" s="65">
        <f t="shared" si="3"/>
        <v>12000</v>
      </c>
      <c r="H45" s="1"/>
      <c r="I45" s="1"/>
      <c r="J45" s="1"/>
      <c r="K45" s="66" t="s">
        <v>427</v>
      </c>
      <c r="L45" s="66" t="s">
        <v>1106</v>
      </c>
      <c r="M45" s="66" t="s">
        <v>1060</v>
      </c>
      <c r="N45" s="66" t="s">
        <v>1107</v>
      </c>
      <c r="O45" s="66" t="s">
        <v>1069</v>
      </c>
      <c r="P45" s="67" t="s">
        <v>503</v>
      </c>
      <c r="Q45" s="18" t="s">
        <v>484</v>
      </c>
      <c r="R45" s="68" t="str">
        <f>IFERROR(CONCATENATE("*",VLOOKUP(L45,PARAM!D:E,2,0),VLOOKUP(M45,PARAM!J:K,2,0),VLOOKUP(N45,PARAM!G:H,2,0),VLOOKUP(P45,PARAM!P:Q,2,0),"*"),"")</f>
        <v>*161480*</v>
      </c>
      <c r="S45" s="18" t="str">
        <f>IFERROR(CONCATENATE(VLOOKUP(L45,PARAM!D:E,2,0),VLOOKUP(M45,PARAM!J:K,2,0),VLOOKUP(N45,PARAM!G:H,2,0),VLOOKUP(O45,PARAM!M:N,2,0),VLOOKUP(P45,PARAM!P:Q,2,0)),"")</f>
        <v>16148160</v>
      </c>
      <c r="T45" s="18">
        <f t="shared" si="4"/>
        <v>8</v>
      </c>
      <c r="U45" s="18" t="str">
        <f t="shared" si="5"/>
        <v>LLAVEROS DAMA BOMBA VARIOS</v>
      </c>
    </row>
    <row r="46">
      <c r="A46" s="64">
        <v>2.0</v>
      </c>
      <c r="B46" s="4" t="s">
        <v>1502</v>
      </c>
      <c r="C46" s="1"/>
      <c r="D46" s="4" t="s">
        <v>1503</v>
      </c>
      <c r="E46" s="3">
        <v>17000.0</v>
      </c>
      <c r="F46" s="2">
        <f t="shared" si="2"/>
        <v>34000</v>
      </c>
      <c r="G46" s="65">
        <f t="shared" si="3"/>
        <v>34000</v>
      </c>
      <c r="H46" s="1"/>
      <c r="I46" s="1"/>
      <c r="J46" s="1"/>
      <c r="K46" s="66" t="s">
        <v>427</v>
      </c>
      <c r="L46" s="66" t="s">
        <v>1106</v>
      </c>
      <c r="M46" s="66" t="s">
        <v>1060</v>
      </c>
      <c r="N46" s="18" t="s">
        <v>1108</v>
      </c>
      <c r="O46" s="66" t="s">
        <v>1069</v>
      </c>
      <c r="P46" s="67" t="s">
        <v>503</v>
      </c>
      <c r="Q46" s="18" t="s">
        <v>484</v>
      </c>
      <c r="R46" s="68" t="str">
        <f>IFERROR(CONCATENATE("*",VLOOKUP(L46,PARAM!D:E,2,0),VLOOKUP(M46,PARAM!J:K,2,0),VLOOKUP(N46,PARAM!G:H,2,0),VLOOKUP(P46,PARAM!P:Q,2,0),"*"),"")</f>
        <v>*161720*</v>
      </c>
      <c r="S46" s="18" t="str">
        <f>IFERROR(CONCATENATE(VLOOKUP(L46,PARAM!D:E,2,0),VLOOKUP(M46,PARAM!J:K,2,0),VLOOKUP(N46,PARAM!G:H,2,0),VLOOKUP(O46,PARAM!M:N,2,0),VLOOKUP(P46,PARAM!P:Q,2,0)),"")</f>
        <v>16172160</v>
      </c>
      <c r="T46" s="18">
        <f t="shared" si="4"/>
        <v>8</v>
      </c>
      <c r="U46" s="18" t="str">
        <f t="shared" si="5"/>
        <v>LLAVEROS DAMA CEREZAS BRILLANTE VARIOS</v>
      </c>
    </row>
    <row r="47">
      <c r="A47" s="64">
        <v>1.0</v>
      </c>
      <c r="B47" s="64" t="s">
        <v>1504</v>
      </c>
      <c r="C47" s="1"/>
      <c r="D47" s="4" t="s">
        <v>1504</v>
      </c>
      <c r="E47" s="3">
        <v>45000.0</v>
      </c>
      <c r="F47" s="2">
        <f t="shared" si="2"/>
        <v>45000</v>
      </c>
      <c r="G47" s="65">
        <f t="shared" si="3"/>
        <v>90000</v>
      </c>
      <c r="H47" s="1"/>
      <c r="I47" s="1"/>
      <c r="J47" s="1"/>
      <c r="K47" s="66" t="s">
        <v>427</v>
      </c>
      <c r="L47" s="66" t="s">
        <v>418</v>
      </c>
      <c r="M47" s="66" t="s">
        <v>1060</v>
      </c>
      <c r="N47" s="66" t="s">
        <v>1109</v>
      </c>
      <c r="O47" s="66" t="s">
        <v>1066</v>
      </c>
      <c r="P47" s="67" t="s">
        <v>503</v>
      </c>
      <c r="Q47" s="18" t="s">
        <v>484</v>
      </c>
      <c r="R47" s="68" t="str">
        <f>IFERROR(CONCATENATE("*",VLOOKUP(L47,PARAM!D:E,2,0),VLOOKUP(M47,PARAM!J:K,2,0),VLOOKUP(N47,PARAM!G:H,2,0),VLOOKUP(P47,PARAM!P:Q,2,0),"*"),"")</f>
        <v>*171460*</v>
      </c>
      <c r="S47" s="18" t="str">
        <f>IFERROR(CONCATENATE(VLOOKUP(L47,PARAM!D:E,2,0),VLOOKUP(M47,PARAM!J:K,2,0),VLOOKUP(N47,PARAM!G:H,2,0),VLOOKUP(O47,PARAM!M:N,2,0),VLOOKUP(P47,PARAM!P:Q,2,0)),"")</f>
        <v>17146120</v>
      </c>
      <c r="T47" s="18">
        <f t="shared" si="4"/>
        <v>8</v>
      </c>
      <c r="U47" s="18" t="str">
        <f t="shared" si="5"/>
        <v>BOLSOS DAMA BAUL NEGRO</v>
      </c>
    </row>
    <row r="48">
      <c r="A48" s="64">
        <v>6.0</v>
      </c>
      <c r="B48" s="4" t="s">
        <v>1505</v>
      </c>
      <c r="C48" s="1"/>
      <c r="D48" s="4" t="s">
        <v>1505</v>
      </c>
      <c r="E48" s="3">
        <v>9000.0</v>
      </c>
      <c r="F48" s="2">
        <f t="shared" si="2"/>
        <v>54000</v>
      </c>
      <c r="G48" s="65">
        <f t="shared" si="3"/>
        <v>18000</v>
      </c>
      <c r="H48" s="1"/>
      <c r="I48" s="1"/>
      <c r="J48" s="1"/>
      <c r="K48" s="66" t="s">
        <v>427</v>
      </c>
      <c r="L48" s="66" t="s">
        <v>1110</v>
      </c>
      <c r="M48" s="66" t="s">
        <v>1060</v>
      </c>
      <c r="N48" s="66" t="s">
        <v>503</v>
      </c>
      <c r="O48" s="66" t="s">
        <v>1069</v>
      </c>
      <c r="P48" s="67" t="s">
        <v>1103</v>
      </c>
      <c r="Q48" s="18" t="s">
        <v>484</v>
      </c>
      <c r="R48" s="68" t="str">
        <f>IFERROR(CONCATENATE("*",VLOOKUP(L48,PARAM!D:E,2,0),VLOOKUP(M48,PARAM!J:K,2,0),VLOOKUP(N48,PARAM!G:H,2,0),VLOOKUP(P48,PARAM!P:Q,2,0),"*"),"")</f>
        <v>*221030*</v>
      </c>
      <c r="S48" s="18" t="str">
        <f>IFERROR(CONCATENATE(VLOOKUP(L48,PARAM!D:E,2,0),VLOOKUP(M48,PARAM!J:K,2,0),VLOOKUP(N48,PARAM!G:H,2,0),VLOOKUP(O48,PARAM!M:N,2,0),VLOOKUP(P48,PARAM!P:Q,2,0)),"")</f>
        <v>22101630</v>
      </c>
      <c r="T48" s="18">
        <f t="shared" si="4"/>
        <v>8</v>
      </c>
      <c r="U48" s="18" t="str">
        <f t="shared" si="5"/>
        <v>CORREAS DAMA - VARIOS TALLA UN</v>
      </c>
    </row>
    <row r="49">
      <c r="A49" s="64">
        <v>1.0</v>
      </c>
      <c r="B49" s="4" t="s">
        <v>1506</v>
      </c>
      <c r="C49" s="1"/>
      <c r="D49" s="4" t="s">
        <v>1507</v>
      </c>
      <c r="E49" s="3">
        <v>30000.0</v>
      </c>
      <c r="F49" s="2">
        <f t="shared" si="2"/>
        <v>30000</v>
      </c>
      <c r="G49" s="65">
        <f t="shared" si="3"/>
        <v>60000</v>
      </c>
      <c r="H49" s="1"/>
      <c r="I49" s="1"/>
      <c r="J49" s="1"/>
      <c r="K49" s="66" t="s">
        <v>427</v>
      </c>
      <c r="L49" s="66" t="s">
        <v>418</v>
      </c>
      <c r="M49" s="66" t="s">
        <v>1060</v>
      </c>
      <c r="N49" s="18" t="s">
        <v>1111</v>
      </c>
      <c r="O49" s="66" t="s">
        <v>1069</v>
      </c>
      <c r="P49" s="67" t="s">
        <v>503</v>
      </c>
      <c r="Q49" s="18" t="s">
        <v>484</v>
      </c>
      <c r="R49" s="68" t="str">
        <f>IFERROR(CONCATENATE("*",VLOOKUP(L49,PARAM!D:E,2,0),VLOOKUP(M49,PARAM!J:K,2,0),VLOOKUP(N49,PARAM!G:H,2,0),VLOOKUP(P49,PARAM!P:Q,2,0),"*"),"")</f>
        <v>*171570*</v>
      </c>
      <c r="S49" s="18" t="str">
        <f>IFERROR(CONCATENATE(VLOOKUP(L49,PARAM!D:E,2,0),VLOOKUP(M49,PARAM!J:K,2,0),VLOOKUP(N49,PARAM!G:H,2,0),VLOOKUP(O49,PARAM!M:N,2,0),VLOOKUP(P49,PARAM!P:Q,2,0)),"")</f>
        <v>17157160</v>
      </c>
      <c r="T49" s="18">
        <f t="shared" si="4"/>
        <v>8</v>
      </c>
      <c r="U49" s="18" t="str">
        <f t="shared" si="5"/>
        <v>BOLSOS DAMA CADENA DORADA VARIOS</v>
      </c>
    </row>
    <row r="50">
      <c r="A50" s="64">
        <v>2.0</v>
      </c>
      <c r="B50" s="4" t="s">
        <v>1508</v>
      </c>
      <c r="C50" s="1"/>
      <c r="D50" s="4" t="s">
        <v>1508</v>
      </c>
      <c r="E50" s="3">
        <v>24000.0</v>
      </c>
      <c r="F50" s="2">
        <f t="shared" si="2"/>
        <v>48000</v>
      </c>
      <c r="G50" s="65">
        <f t="shared" si="3"/>
        <v>48000</v>
      </c>
      <c r="H50" s="1"/>
      <c r="I50" s="1"/>
      <c r="J50" s="1"/>
      <c r="K50" s="66" t="s">
        <v>427</v>
      </c>
      <c r="L50" s="66" t="s">
        <v>1112</v>
      </c>
      <c r="M50" s="66" t="s">
        <v>1101</v>
      </c>
      <c r="N50" s="66" t="s">
        <v>806</v>
      </c>
      <c r="O50" s="66" t="s">
        <v>1069</v>
      </c>
      <c r="P50" s="67" t="s">
        <v>503</v>
      </c>
      <c r="Q50" s="18" t="s">
        <v>484</v>
      </c>
      <c r="R50" s="68" t="str">
        <f>IFERROR(CONCATENATE("*",VLOOKUP(L50,PARAM!D:E,2,0),VLOOKUP(M50,PARAM!J:K,2,0),VLOOKUP(N50,PARAM!G:H,2,0),VLOOKUP(P50,PARAM!P:Q,2,0),"*"),"")</f>
        <v>*183130*</v>
      </c>
      <c r="S50" s="18" t="str">
        <f>IFERROR(CONCATENATE(VLOOKUP(L50,PARAM!D:E,2,0),VLOOKUP(M50,PARAM!J:K,2,0),VLOOKUP(N50,PARAM!G:H,2,0),VLOOKUP(O50,PARAM!M:N,2,0),VLOOKUP(P50,PARAM!P:Q,2,0)),"")</f>
        <v>18313160</v>
      </c>
      <c r="T50" s="18">
        <f t="shared" si="4"/>
        <v>8</v>
      </c>
      <c r="U50" s="18" t="str">
        <f t="shared" si="5"/>
        <v>CARRIEL UNISEX ADIDAS VARIOS</v>
      </c>
    </row>
    <row r="51">
      <c r="A51" s="64">
        <v>3.0</v>
      </c>
      <c r="B51" s="4" t="s">
        <v>1509</v>
      </c>
      <c r="C51" s="1"/>
      <c r="D51" s="4" t="s">
        <v>1114</v>
      </c>
      <c r="E51" s="3">
        <v>24000.0</v>
      </c>
      <c r="F51" s="2">
        <f t="shared" si="2"/>
        <v>72000</v>
      </c>
      <c r="G51" s="65">
        <f t="shared" si="3"/>
        <v>48000</v>
      </c>
      <c r="H51" s="1"/>
      <c r="I51" s="1"/>
      <c r="J51" s="1"/>
      <c r="K51" s="66" t="s">
        <v>427</v>
      </c>
      <c r="L51" s="66" t="s">
        <v>1113</v>
      </c>
      <c r="M51" s="66" t="s">
        <v>1080</v>
      </c>
      <c r="N51" s="18" t="s">
        <v>1114</v>
      </c>
      <c r="O51" s="66" t="s">
        <v>1069</v>
      </c>
      <c r="P51" s="67" t="s">
        <v>503</v>
      </c>
      <c r="Q51" s="18" t="s">
        <v>484</v>
      </c>
      <c r="R51" s="68" t="str">
        <f>IFERROR(CONCATENATE("*",VLOOKUP(L51,PARAM!D:E,2,0),VLOOKUP(M51,PARAM!J:K,2,0),VLOOKUP(N51,PARAM!G:H,2,0),VLOOKUP(P51,PARAM!P:Q,2,0),"*"),"")</f>
        <v>*1921180*</v>
      </c>
      <c r="S51" s="18" t="str">
        <f>IFERROR(CONCATENATE(VLOOKUP(L51,PARAM!D:E,2,0),VLOOKUP(M51,PARAM!J:K,2,0),VLOOKUP(N51,PARAM!G:H,2,0),VLOOKUP(O51,PARAM!M:N,2,0),VLOOKUP(P51,PARAM!P:Q,2,0)),"")</f>
        <v>192118160</v>
      </c>
      <c r="T51" s="18">
        <f t="shared" si="4"/>
        <v>9</v>
      </c>
      <c r="U51" s="18" t="str">
        <f t="shared" si="5"/>
        <v>PECHERAS CABALLERO DIFERENTES MARCAS VARIOS</v>
      </c>
    </row>
    <row r="52">
      <c r="A52" s="64">
        <v>1.0</v>
      </c>
      <c r="B52" s="4" t="s">
        <v>1510</v>
      </c>
      <c r="C52" s="1"/>
      <c r="D52" s="4" t="s">
        <v>1511</v>
      </c>
      <c r="E52" s="3">
        <v>38000.0</v>
      </c>
      <c r="F52" s="2">
        <f t="shared" si="2"/>
        <v>38000</v>
      </c>
      <c r="G52" s="65">
        <f t="shared" si="3"/>
        <v>76000</v>
      </c>
      <c r="H52" s="1"/>
      <c r="I52" s="1"/>
      <c r="J52" s="1"/>
      <c r="K52" s="66" t="s">
        <v>427</v>
      </c>
      <c r="L52" s="66" t="s">
        <v>1115</v>
      </c>
      <c r="M52" s="66" t="s">
        <v>1060</v>
      </c>
      <c r="N52" s="66" t="s">
        <v>1097</v>
      </c>
      <c r="O52" s="66" t="s">
        <v>1069</v>
      </c>
      <c r="P52" s="67" t="s">
        <v>503</v>
      </c>
      <c r="Q52" s="18" t="s">
        <v>484</v>
      </c>
      <c r="R52" s="68" t="str">
        <f>IFERROR(CONCATENATE("*",VLOOKUP(L52,PARAM!D:E,2,0),VLOOKUP(M52,PARAM!J:K,2,0),VLOOKUP(N52,PARAM!G:H,2,0),VLOOKUP(P52,PARAM!P:Q,2,0),"*"),"")</f>
        <v>*201540*</v>
      </c>
      <c r="S52" s="18" t="str">
        <f>IFERROR(CONCATENATE(VLOOKUP(L52,PARAM!D:E,2,0),VLOOKUP(M52,PARAM!J:K,2,0),VLOOKUP(N52,PARAM!G:H,2,0),VLOOKUP(O52,PARAM!M:N,2,0),VLOOKUP(P52,PARAM!P:Q,2,0)),"")</f>
        <v>20154160</v>
      </c>
      <c r="T52" s="18">
        <f t="shared" si="4"/>
        <v>8</v>
      </c>
      <c r="U52" s="18" t="str">
        <f t="shared" si="5"/>
        <v>CANGUROS DAMA BRILLO VARIOS</v>
      </c>
    </row>
    <row r="53">
      <c r="A53" s="64">
        <v>2.0</v>
      </c>
      <c r="B53" s="4" t="s">
        <v>1512</v>
      </c>
      <c r="C53" s="1"/>
      <c r="D53" s="4" t="s">
        <v>1512</v>
      </c>
      <c r="E53" s="3">
        <v>20000.0</v>
      </c>
      <c r="F53" s="2">
        <f t="shared" si="2"/>
        <v>40000</v>
      </c>
      <c r="G53" s="65">
        <f t="shared" si="3"/>
        <v>40000</v>
      </c>
      <c r="H53" s="1"/>
      <c r="I53" s="1"/>
      <c r="J53" s="1"/>
      <c r="K53" s="66" t="s">
        <v>427</v>
      </c>
      <c r="L53" s="66" t="s">
        <v>1115</v>
      </c>
      <c r="M53" s="66" t="s">
        <v>1101</v>
      </c>
      <c r="N53" s="66" t="s">
        <v>806</v>
      </c>
      <c r="O53" s="66" t="s">
        <v>1069</v>
      </c>
      <c r="P53" s="67" t="s">
        <v>503</v>
      </c>
      <c r="Q53" s="18" t="s">
        <v>484</v>
      </c>
      <c r="R53" s="68" t="str">
        <f>IFERROR(CONCATENATE("*",VLOOKUP(L53,PARAM!D:E,2,0),VLOOKUP(M53,PARAM!J:K,2,0),VLOOKUP(N53,PARAM!G:H,2,0),VLOOKUP(P53,PARAM!P:Q,2,0),"*"),"")</f>
        <v>*203130*</v>
      </c>
      <c r="S53" s="18" t="str">
        <f>IFERROR(CONCATENATE(VLOOKUP(L53,PARAM!D:E,2,0),VLOOKUP(M53,PARAM!J:K,2,0),VLOOKUP(N53,PARAM!G:H,2,0),VLOOKUP(O53,PARAM!M:N,2,0),VLOOKUP(P53,PARAM!P:Q,2,0)),"")</f>
        <v>20313160</v>
      </c>
      <c r="T53" s="18">
        <f t="shared" si="4"/>
        <v>8</v>
      </c>
      <c r="U53" s="18" t="str">
        <f t="shared" si="5"/>
        <v>CANGUROS UNISEX ADIDAS VARIOS</v>
      </c>
    </row>
    <row r="54">
      <c r="A54" s="64">
        <v>1.0</v>
      </c>
      <c r="B54" s="4" t="s">
        <v>1513</v>
      </c>
      <c r="C54" s="1"/>
      <c r="D54" s="4" t="s">
        <v>1514</v>
      </c>
      <c r="E54" s="3">
        <v>22000.0</v>
      </c>
      <c r="F54" s="2">
        <f t="shared" si="2"/>
        <v>22000</v>
      </c>
      <c r="G54" s="65">
        <f t="shared" si="3"/>
        <v>44000</v>
      </c>
      <c r="H54" s="1"/>
      <c r="I54" s="1"/>
      <c r="J54" s="1"/>
      <c r="K54" s="66" t="s">
        <v>427</v>
      </c>
      <c r="L54" s="66" t="s">
        <v>1115</v>
      </c>
      <c r="M54" s="66" t="s">
        <v>1060</v>
      </c>
      <c r="N54" s="66" t="s">
        <v>503</v>
      </c>
      <c r="O54" s="66" t="s">
        <v>1069</v>
      </c>
      <c r="P54" s="67" t="s">
        <v>503</v>
      </c>
      <c r="Q54" s="18" t="s">
        <v>484</v>
      </c>
      <c r="R54" s="68" t="str">
        <f>IFERROR(CONCATENATE("*",VLOOKUP(L54,PARAM!D:E,2,0),VLOOKUP(M54,PARAM!J:K,2,0),VLOOKUP(N54,PARAM!G:H,2,0),VLOOKUP(P54,PARAM!P:Q,2,0),"*"),"")</f>
        <v>*20100*</v>
      </c>
      <c r="S54" s="18" t="str">
        <f>IFERROR(CONCATENATE(VLOOKUP(L54,PARAM!D:E,2,0),VLOOKUP(M54,PARAM!J:K,2,0),VLOOKUP(N54,PARAM!G:H,2,0),VLOOKUP(O54,PARAM!M:N,2,0),VLOOKUP(P54,PARAM!P:Q,2,0)),"")</f>
        <v>2010160</v>
      </c>
      <c r="T54" s="18">
        <f t="shared" si="4"/>
        <v>7</v>
      </c>
      <c r="U54" s="18" t="str">
        <f t="shared" si="5"/>
        <v>CANGUROS DAMA - VARIOS</v>
      </c>
    </row>
    <row r="55">
      <c r="A55" s="64">
        <v>1.0</v>
      </c>
      <c r="B55" s="4" t="s">
        <v>1515</v>
      </c>
      <c r="C55" s="1"/>
      <c r="D55" s="4" t="s">
        <v>1515</v>
      </c>
      <c r="E55" s="3">
        <v>28000.0</v>
      </c>
      <c r="F55" s="2">
        <f t="shared" si="2"/>
        <v>28000</v>
      </c>
      <c r="G55" s="65">
        <f t="shared" si="3"/>
        <v>56000</v>
      </c>
      <c r="H55" s="1"/>
      <c r="I55" s="1"/>
      <c r="J55" s="1"/>
      <c r="K55" s="66" t="s">
        <v>427</v>
      </c>
      <c r="L55" s="66" t="s">
        <v>1115</v>
      </c>
      <c r="M55" s="66" t="s">
        <v>1060</v>
      </c>
      <c r="N55" s="66" t="s">
        <v>503</v>
      </c>
      <c r="O55" s="66" t="s">
        <v>1116</v>
      </c>
      <c r="P55" s="67" t="s">
        <v>503</v>
      </c>
      <c r="Q55" s="18" t="s">
        <v>484</v>
      </c>
      <c r="R55" s="68" t="str">
        <f>IFERROR(CONCATENATE("*",VLOOKUP(L55,PARAM!D:E,2,0),VLOOKUP(M55,PARAM!J:K,2,0),VLOOKUP(N55,PARAM!G:H,2,0),VLOOKUP(P55,PARAM!P:Q,2,0),"*"),"")</f>
        <v>*20100*</v>
      </c>
      <c r="S55" s="18" t="str">
        <f>IFERROR(CONCATENATE(VLOOKUP(L55,PARAM!D:E,2,0),VLOOKUP(M55,PARAM!J:K,2,0),VLOOKUP(N55,PARAM!G:H,2,0),VLOOKUP(O55,PARAM!M:N,2,0),VLOOKUP(P55,PARAM!P:Q,2,0)),"")</f>
        <v>2010200</v>
      </c>
      <c r="T55" s="18">
        <f t="shared" si="4"/>
        <v>7</v>
      </c>
      <c r="U55" s="18" t="str">
        <f t="shared" si="5"/>
        <v>CANGUROS DAMA - MIEL</v>
      </c>
    </row>
    <row r="56">
      <c r="A56" s="64">
        <v>3.0</v>
      </c>
      <c r="B56" s="4" t="s">
        <v>1516</v>
      </c>
      <c r="C56" s="1"/>
      <c r="D56" s="4" t="s">
        <v>1517</v>
      </c>
      <c r="E56" s="3">
        <v>33000.0</v>
      </c>
      <c r="F56" s="2">
        <f t="shared" si="2"/>
        <v>99000</v>
      </c>
      <c r="G56" s="65">
        <f t="shared" si="3"/>
        <v>66000</v>
      </c>
      <c r="H56" s="1"/>
      <c r="I56" s="1"/>
      <c r="J56" s="1"/>
      <c r="K56" s="66" t="s">
        <v>427</v>
      </c>
      <c r="L56" s="66" t="s">
        <v>1112</v>
      </c>
      <c r="M56" s="66" t="s">
        <v>1101</v>
      </c>
      <c r="N56" s="66" t="s">
        <v>1117</v>
      </c>
      <c r="O56" s="66" t="s">
        <v>1069</v>
      </c>
      <c r="P56" s="67" t="s">
        <v>503</v>
      </c>
      <c r="Q56" s="18" t="s">
        <v>484</v>
      </c>
      <c r="R56" s="68" t="str">
        <f>IFERROR(CONCATENATE("*",VLOOKUP(L56,PARAM!D:E,2,0),VLOOKUP(M56,PARAM!J:K,2,0),VLOOKUP(N56,PARAM!G:H,2,0),VLOOKUP(P56,PARAM!P:Q,2,0),"*"),"")</f>
        <v>*1831320*</v>
      </c>
      <c r="S56" s="18" t="str">
        <f>IFERROR(CONCATENATE(VLOOKUP(L56,PARAM!D:E,2,0),VLOOKUP(M56,PARAM!J:K,2,0),VLOOKUP(N56,PARAM!G:H,2,0),VLOOKUP(O56,PARAM!M:N,2,0),VLOOKUP(P56,PARAM!P:Q,2,0)),"")</f>
        <v>183132160</v>
      </c>
      <c r="T56" s="18">
        <f t="shared" si="4"/>
        <v>9</v>
      </c>
      <c r="U56" s="18" t="str">
        <f t="shared" si="5"/>
        <v>CARRIEL UNISEX FASHION VARIOS</v>
      </c>
    </row>
    <row r="57">
      <c r="A57" s="64">
        <v>1.0</v>
      </c>
      <c r="B57" s="4" t="s">
        <v>1518</v>
      </c>
      <c r="C57" s="1"/>
      <c r="D57" s="4" t="s">
        <v>1519</v>
      </c>
      <c r="E57" s="3">
        <v>52000.0</v>
      </c>
      <c r="F57" s="2">
        <f t="shared" si="2"/>
        <v>52000</v>
      </c>
      <c r="G57" s="65">
        <f t="shared" si="3"/>
        <v>104000</v>
      </c>
      <c r="H57" s="1"/>
      <c r="I57" s="1"/>
      <c r="J57" s="1"/>
      <c r="K57" s="66" t="s">
        <v>427</v>
      </c>
      <c r="L57" s="66" t="s">
        <v>418</v>
      </c>
      <c r="M57" s="66" t="s">
        <v>1060</v>
      </c>
      <c r="N57" s="66" t="s">
        <v>1118</v>
      </c>
      <c r="O57" s="66" t="s">
        <v>1069</v>
      </c>
      <c r="P57" s="67" t="s">
        <v>503</v>
      </c>
      <c r="Q57" s="18" t="s">
        <v>484</v>
      </c>
      <c r="R57" s="68" t="str">
        <f>IFERROR(CONCATENATE("*",VLOOKUP(L57,PARAM!D:E,2,0),VLOOKUP(M57,PARAM!J:K,2,0),VLOOKUP(N57,PARAM!G:H,2,0),VLOOKUP(P57,PARAM!P:Q,2,0),"*"),"")</f>
        <v>*1712150*</v>
      </c>
      <c r="S57" s="18" t="str">
        <f>IFERROR(CONCATENATE(VLOOKUP(L57,PARAM!D:E,2,0),VLOOKUP(M57,PARAM!J:K,2,0),VLOOKUP(N57,PARAM!G:H,2,0),VLOOKUP(O57,PARAM!M:N,2,0),VLOOKUP(P57,PARAM!P:Q,2,0)),"")</f>
        <v>171215160</v>
      </c>
      <c r="T57" s="18">
        <f t="shared" si="4"/>
        <v>9</v>
      </c>
      <c r="U57" s="18" t="str">
        <f t="shared" si="5"/>
        <v>BOLSOS DAMA PLAYERO TOUS VARIOS</v>
      </c>
    </row>
    <row r="58">
      <c r="A58" s="64">
        <v>1.0</v>
      </c>
      <c r="B58" s="4" t="s">
        <v>1520</v>
      </c>
      <c r="C58" s="1"/>
      <c r="D58" s="4" t="s">
        <v>1520</v>
      </c>
      <c r="E58" s="3">
        <v>50000.0</v>
      </c>
      <c r="F58" s="2">
        <f t="shared" si="2"/>
        <v>50000</v>
      </c>
      <c r="G58" s="65">
        <f t="shared" si="3"/>
        <v>100000</v>
      </c>
      <c r="H58" s="1"/>
      <c r="I58" s="1"/>
      <c r="J58" s="1"/>
      <c r="K58" s="66" t="s">
        <v>427</v>
      </c>
      <c r="L58" s="66" t="s">
        <v>418</v>
      </c>
      <c r="M58" s="66" t="s">
        <v>1060</v>
      </c>
      <c r="N58" s="66" t="s">
        <v>1119</v>
      </c>
      <c r="O58" s="66" t="s">
        <v>1062</v>
      </c>
      <c r="P58" s="67" t="s">
        <v>503</v>
      </c>
      <c r="Q58" s="18" t="s">
        <v>484</v>
      </c>
      <c r="R58" s="68" t="str">
        <f>IFERROR(CONCATENATE("*",VLOOKUP(L58,PARAM!D:E,2,0),VLOOKUP(M58,PARAM!J:K,2,0),VLOOKUP(N58,PARAM!G:H,2,0),VLOOKUP(P58,PARAM!P:Q,2,0),"*"),"")</f>
        <v>*1712710*</v>
      </c>
      <c r="S58" s="18" t="str">
        <f>IFERROR(CONCATENATE(VLOOKUP(L58,PARAM!D:E,2,0),VLOOKUP(M58,PARAM!J:K,2,0),VLOOKUP(N58,PARAM!G:H,2,0),VLOOKUP(O58,PARAM!M:N,2,0),VLOOKUP(P58,PARAM!P:Q,2,0)),"")</f>
        <v>171271100</v>
      </c>
      <c r="T58" s="18">
        <f t="shared" si="4"/>
        <v>9</v>
      </c>
      <c r="U58" s="18" t="str">
        <f t="shared" si="5"/>
        <v>BOLSOS DAMA TULA GRIS</v>
      </c>
    </row>
    <row r="59">
      <c r="A59" s="64">
        <v>1.0</v>
      </c>
      <c r="B59" s="4" t="s">
        <v>1521</v>
      </c>
      <c r="C59" s="1"/>
      <c r="D59" s="4" t="s">
        <v>1521</v>
      </c>
      <c r="E59" s="3">
        <v>29000.0</v>
      </c>
      <c r="F59" s="2">
        <f t="shared" si="2"/>
        <v>29000</v>
      </c>
      <c r="G59" s="65">
        <f t="shared" si="3"/>
        <v>58000</v>
      </c>
      <c r="H59" s="1"/>
      <c r="I59" s="1"/>
      <c r="J59" s="1"/>
      <c r="K59" s="66" t="s">
        <v>427</v>
      </c>
      <c r="L59" s="66" t="s">
        <v>418</v>
      </c>
      <c r="M59" s="66" t="s">
        <v>1060</v>
      </c>
      <c r="N59" s="18" t="s">
        <v>1120</v>
      </c>
      <c r="O59" s="66" t="s">
        <v>1069</v>
      </c>
      <c r="P59" s="67" t="s">
        <v>503</v>
      </c>
      <c r="Q59" s="18" t="s">
        <v>484</v>
      </c>
      <c r="R59" s="68" t="str">
        <f>IFERROR(CONCATENATE("*",VLOOKUP(L59,PARAM!D:E,2,0),VLOOKUP(M59,PARAM!J:K,2,0),VLOOKUP(N59,PARAM!G:H,2,0),VLOOKUP(P59,PARAM!P:Q,2,0),"*"),"")</f>
        <v>*1711820*</v>
      </c>
      <c r="S59" s="18" t="str">
        <f>IFERROR(CONCATENATE(VLOOKUP(L59,PARAM!D:E,2,0),VLOOKUP(M59,PARAM!J:K,2,0),VLOOKUP(N59,PARAM!G:H,2,0),VLOOKUP(O59,PARAM!M:N,2,0),VLOOKUP(P59,PARAM!P:Q,2,0)),"")</f>
        <v>171182160</v>
      </c>
      <c r="T59" s="18">
        <f t="shared" si="4"/>
        <v>9</v>
      </c>
      <c r="U59" s="18" t="str">
        <f t="shared" si="5"/>
        <v>BOLSOS DAMA MANOS LIBRES VARIOS</v>
      </c>
    </row>
    <row r="60">
      <c r="A60" s="64">
        <v>1.0</v>
      </c>
      <c r="B60" s="4" t="s">
        <v>1522</v>
      </c>
      <c r="C60" s="1"/>
      <c r="D60" s="4" t="s">
        <v>1523</v>
      </c>
      <c r="E60" s="3">
        <v>22000.0</v>
      </c>
      <c r="F60" s="2">
        <f t="shared" si="2"/>
        <v>22000</v>
      </c>
      <c r="G60" s="65">
        <f t="shared" si="3"/>
        <v>44000</v>
      </c>
      <c r="H60" s="1"/>
      <c r="I60" s="1"/>
      <c r="J60" s="1"/>
      <c r="K60" s="66" t="s">
        <v>427</v>
      </c>
      <c r="L60" s="66" t="s">
        <v>1112</v>
      </c>
      <c r="M60" s="66" t="s">
        <v>1101</v>
      </c>
      <c r="N60" s="66" t="s">
        <v>1121</v>
      </c>
      <c r="O60" s="66" t="s">
        <v>1069</v>
      </c>
      <c r="P60" s="67" t="s">
        <v>503</v>
      </c>
      <c r="Q60" s="18" t="s">
        <v>484</v>
      </c>
      <c r="R60" s="68" t="str">
        <f>IFERROR(CONCATENATE("*",VLOOKUP(L60,PARAM!D:E,2,0),VLOOKUP(M60,PARAM!J:K,2,0),VLOOKUP(N60,PARAM!G:H,2,0),VLOOKUP(P60,PARAM!P:Q,2,0),"*"),"")</f>
        <v>*1832740*</v>
      </c>
      <c r="S60" s="18" t="str">
        <f>IFERROR(CONCATENATE(VLOOKUP(L60,PARAM!D:E,2,0),VLOOKUP(M60,PARAM!J:K,2,0),VLOOKUP(N60,PARAM!G:H,2,0),VLOOKUP(O60,PARAM!M:N,2,0),VLOOKUP(P60,PARAM!P:Q,2,0)),"")</f>
        <v>183274160</v>
      </c>
      <c r="T60" s="18">
        <f t="shared" si="4"/>
        <v>9</v>
      </c>
      <c r="U60" s="18" t="str">
        <f t="shared" si="5"/>
        <v>CARRIEL UNISEX VALANT VARIOS</v>
      </c>
    </row>
    <row r="61">
      <c r="A61" s="64">
        <v>1.0</v>
      </c>
      <c r="B61" s="4" t="s">
        <v>1524</v>
      </c>
      <c r="C61" s="1"/>
      <c r="D61" s="4" t="s">
        <v>1525</v>
      </c>
      <c r="E61" s="3">
        <v>32000.0</v>
      </c>
      <c r="F61" s="2">
        <f t="shared" si="2"/>
        <v>32000</v>
      </c>
      <c r="G61" s="65">
        <f t="shared" si="3"/>
        <v>64000</v>
      </c>
      <c r="H61" s="1"/>
      <c r="I61" s="1"/>
      <c r="J61" s="1"/>
      <c r="K61" s="66" t="s">
        <v>427</v>
      </c>
      <c r="L61" s="66" t="s">
        <v>418</v>
      </c>
      <c r="M61" s="66" t="s">
        <v>1060</v>
      </c>
      <c r="N61" s="66" t="s">
        <v>1111</v>
      </c>
      <c r="O61" s="66" t="s">
        <v>1082</v>
      </c>
      <c r="P61" s="67" t="s">
        <v>503</v>
      </c>
      <c r="Q61" s="18" t="s">
        <v>484</v>
      </c>
      <c r="R61" s="68" t="str">
        <f>IFERROR(CONCATENATE("*",VLOOKUP(L61,PARAM!D:E,2,0),VLOOKUP(M61,PARAM!J:K,2,0),VLOOKUP(N61,PARAM!G:H,2,0),VLOOKUP(P61,PARAM!P:Q,2,0),"*"),"")</f>
        <v>*171570*</v>
      </c>
      <c r="S61" s="18" t="str">
        <f>IFERROR(CONCATENATE(VLOOKUP(L61,PARAM!D:E,2,0),VLOOKUP(M61,PARAM!J:K,2,0),VLOOKUP(N61,PARAM!G:H,2,0),VLOOKUP(O61,PARAM!M:N,2,0),VLOOKUP(P61,PARAM!P:Q,2,0)),"")</f>
        <v>1715750</v>
      </c>
      <c r="T61" s="18">
        <f t="shared" si="4"/>
        <v>8</v>
      </c>
      <c r="U61" s="18" t="str">
        <f t="shared" si="5"/>
        <v>BOLSOS DAMA CADENA DORADA BEIGE</v>
      </c>
    </row>
    <row r="62">
      <c r="A62" s="64">
        <v>1.0</v>
      </c>
      <c r="B62" s="4" t="s">
        <v>1526</v>
      </c>
      <c r="C62" s="1"/>
      <c r="D62" s="4" t="s">
        <v>1526</v>
      </c>
      <c r="E62" s="3">
        <v>35000.0</v>
      </c>
      <c r="F62" s="2">
        <f t="shared" si="2"/>
        <v>35000</v>
      </c>
      <c r="G62" s="65">
        <f t="shared" si="3"/>
        <v>70000</v>
      </c>
      <c r="H62" s="1"/>
      <c r="I62" s="1"/>
      <c r="J62" s="1"/>
      <c r="K62" s="66" t="s">
        <v>427</v>
      </c>
      <c r="L62" s="66" t="s">
        <v>418</v>
      </c>
      <c r="M62" s="66" t="s">
        <v>1060</v>
      </c>
      <c r="N62" s="66" t="s">
        <v>503</v>
      </c>
      <c r="O62" s="66" t="s">
        <v>1066</v>
      </c>
      <c r="P62" s="67" t="s">
        <v>503</v>
      </c>
      <c r="Q62" s="18" t="s">
        <v>484</v>
      </c>
      <c r="R62" s="68" t="str">
        <f>IFERROR(CONCATENATE("*",VLOOKUP(L62,PARAM!D:E,2,0),VLOOKUP(M62,PARAM!J:K,2,0),VLOOKUP(N62,PARAM!G:H,2,0),VLOOKUP(P62,PARAM!P:Q,2,0),"*"),"")</f>
        <v>*17100*</v>
      </c>
      <c r="S62" s="18" t="str">
        <f>IFERROR(CONCATENATE(VLOOKUP(L62,PARAM!D:E,2,0),VLOOKUP(M62,PARAM!J:K,2,0),VLOOKUP(N62,PARAM!G:H,2,0),VLOOKUP(O62,PARAM!M:N,2,0),VLOOKUP(P62,PARAM!P:Q,2,0)),"")</f>
        <v>1710120</v>
      </c>
      <c r="T62" s="18">
        <f t="shared" si="4"/>
        <v>7</v>
      </c>
      <c r="U62" s="18" t="str">
        <f t="shared" si="5"/>
        <v>BOLSOS DAMA - NEGRO</v>
      </c>
    </row>
    <row r="63">
      <c r="A63" s="64">
        <v>1.0</v>
      </c>
      <c r="B63" s="4" t="s">
        <v>1527</v>
      </c>
      <c r="C63" s="1"/>
      <c r="D63" s="4" t="s">
        <v>1527</v>
      </c>
      <c r="E63" s="3">
        <v>30000.0</v>
      </c>
      <c r="F63" s="2">
        <f t="shared" si="2"/>
        <v>30000</v>
      </c>
      <c r="G63" s="65">
        <f t="shared" si="3"/>
        <v>60000</v>
      </c>
      <c r="H63" s="1"/>
      <c r="I63" s="1"/>
      <c r="J63" s="1"/>
      <c r="K63" s="66" t="s">
        <v>427</v>
      </c>
      <c r="L63" s="66" t="s">
        <v>418</v>
      </c>
      <c r="M63" s="66" t="s">
        <v>1060</v>
      </c>
      <c r="N63" s="66" t="s">
        <v>503</v>
      </c>
      <c r="O63" s="66" t="s">
        <v>1122</v>
      </c>
      <c r="P63" s="67" t="s">
        <v>503</v>
      </c>
      <c r="Q63" s="18" t="s">
        <v>484</v>
      </c>
      <c r="R63" s="68" t="str">
        <f>IFERROR(CONCATENATE("*",VLOOKUP(L63,PARAM!D:E,2,0),VLOOKUP(M63,PARAM!J:K,2,0),VLOOKUP(N63,PARAM!G:H,2,0),VLOOKUP(P63,PARAM!P:Q,2,0),"*"),"")</f>
        <v>*17100*</v>
      </c>
      <c r="S63" s="18" t="str">
        <f>IFERROR(CONCATENATE(VLOOKUP(L63,PARAM!D:E,2,0),VLOOKUP(M63,PARAM!J:K,2,0),VLOOKUP(N63,PARAM!G:H,2,0),VLOOKUP(O63,PARAM!M:N,2,0),VLOOKUP(P63,PARAM!P:Q,2,0)),"")</f>
        <v>1710140</v>
      </c>
      <c r="T63" s="18">
        <f t="shared" si="4"/>
        <v>7</v>
      </c>
      <c r="U63" s="18" t="str">
        <f t="shared" si="5"/>
        <v>BOLSOS DAMA - ROJO</v>
      </c>
    </row>
    <row r="64">
      <c r="A64" s="64">
        <v>1.0</v>
      </c>
      <c r="B64" s="4" t="s">
        <v>1528</v>
      </c>
      <c r="C64" s="1"/>
      <c r="D64" s="4" t="s">
        <v>1529</v>
      </c>
      <c r="E64" s="3">
        <v>30000.0</v>
      </c>
      <c r="F64" s="2">
        <f t="shared" si="2"/>
        <v>30000</v>
      </c>
      <c r="G64" s="65">
        <f t="shared" si="3"/>
        <v>60000</v>
      </c>
      <c r="H64" s="1"/>
      <c r="I64" s="1"/>
      <c r="J64" s="1"/>
      <c r="K64" s="66" t="s">
        <v>427</v>
      </c>
      <c r="L64" s="66" t="s">
        <v>418</v>
      </c>
      <c r="M64" s="66" t="s">
        <v>1060</v>
      </c>
      <c r="N64" s="18" t="s">
        <v>1123</v>
      </c>
      <c r="O64" s="66" t="s">
        <v>1082</v>
      </c>
      <c r="P64" s="67" t="s">
        <v>503</v>
      </c>
      <c r="Q64" s="18" t="s">
        <v>484</v>
      </c>
      <c r="R64" s="68" t="str">
        <f>IFERROR(CONCATENATE("*",VLOOKUP(L64,PARAM!D:E,2,0),VLOOKUP(M64,PARAM!J:K,2,0),VLOOKUP(N64,PARAM!G:H,2,0),VLOOKUP(P64,PARAM!P:Q,2,0),"*"),"")</f>
        <v>*171730*</v>
      </c>
      <c r="S64" s="18" t="str">
        <f>IFERROR(CONCATENATE(VLOOKUP(L64,PARAM!D:E,2,0),VLOOKUP(M64,PARAM!J:K,2,0),VLOOKUP(N64,PARAM!G:H,2,0),VLOOKUP(O64,PARAM!M:N,2,0),VLOOKUP(P64,PARAM!P:Q,2,0)),"")</f>
        <v>1717350</v>
      </c>
      <c r="T64" s="18">
        <f t="shared" si="4"/>
        <v>8</v>
      </c>
      <c r="U64" s="18" t="str">
        <f t="shared" si="5"/>
        <v>BOLSOS DAMA CHAPA DORADA BEIGE</v>
      </c>
    </row>
    <row r="65">
      <c r="A65" s="64">
        <v>12.0</v>
      </c>
      <c r="B65" s="4" t="s">
        <v>1530</v>
      </c>
      <c r="C65" s="1"/>
      <c r="D65" s="4" t="s">
        <v>1531</v>
      </c>
      <c r="E65" s="3">
        <v>1800.0</v>
      </c>
      <c r="F65" s="2">
        <f t="shared" si="2"/>
        <v>21600</v>
      </c>
      <c r="G65" s="65">
        <f t="shared" si="3"/>
        <v>3600</v>
      </c>
      <c r="H65" s="1"/>
      <c r="I65" s="1"/>
      <c r="J65" s="1"/>
      <c r="K65" s="66" t="s">
        <v>427</v>
      </c>
      <c r="L65" s="66" t="s">
        <v>1124</v>
      </c>
      <c r="M65" s="66" t="s">
        <v>1101</v>
      </c>
      <c r="N65" s="66" t="s">
        <v>1102</v>
      </c>
      <c r="O65" s="66" t="s">
        <v>1069</v>
      </c>
      <c r="P65" s="67" t="s">
        <v>503</v>
      </c>
      <c r="Q65" s="18" t="s">
        <v>503</v>
      </c>
      <c r="R65" s="68" t="str">
        <f>IFERROR(CONCATENATE("*",VLOOKUP(L65,PARAM!D:E,2,0),VLOOKUP(M65,PARAM!J:K,2,0),VLOOKUP(N65,PARAM!G:H,2,0),VLOOKUP(P65,PARAM!P:Q,2,0),"*"),"")</f>
        <v>*213860*</v>
      </c>
      <c r="S65" s="18" t="str">
        <f>IFERROR(CONCATENATE(VLOOKUP(L65,PARAM!D:E,2,0),VLOOKUP(M65,PARAM!J:K,2,0),VLOOKUP(N65,PARAM!G:H,2,0),VLOOKUP(O65,PARAM!M:N,2,0),VLOOKUP(P65,PARAM!P:Q,2,0)),"")</f>
        <v>21386160</v>
      </c>
      <c r="T65" s="18">
        <f t="shared" si="4"/>
        <v>8</v>
      </c>
      <c r="U65" s="18" t="str">
        <f t="shared" si="5"/>
        <v>CAJAS REGALO UNISEX COLOMBIA VARIOS</v>
      </c>
    </row>
    <row r="66">
      <c r="A66" s="64">
        <v>100.0</v>
      </c>
      <c r="B66" s="4" t="s">
        <v>1532</v>
      </c>
      <c r="C66" s="1"/>
      <c r="D66" s="4" t="s">
        <v>1533</v>
      </c>
      <c r="E66" s="3">
        <v>200.0</v>
      </c>
      <c r="F66" s="2">
        <f t="shared" si="2"/>
        <v>20000</v>
      </c>
      <c r="G66" s="65">
        <f t="shared" si="3"/>
        <v>400</v>
      </c>
      <c r="H66" s="1"/>
      <c r="I66" s="1"/>
      <c r="J66" s="1"/>
      <c r="K66" s="66" t="s">
        <v>427</v>
      </c>
      <c r="L66" s="66" t="s">
        <v>1125</v>
      </c>
      <c r="M66" s="66" t="s">
        <v>1101</v>
      </c>
      <c r="N66" s="66" t="s">
        <v>503</v>
      </c>
      <c r="O66" s="66" t="s">
        <v>1066</v>
      </c>
      <c r="P66" s="67" t="s">
        <v>503</v>
      </c>
      <c r="Q66" s="18" t="s">
        <v>503</v>
      </c>
      <c r="R66" s="68" t="str">
        <f>IFERROR(CONCATENATE("*",VLOOKUP(L66,PARAM!D:E,2,0),VLOOKUP(M66,PARAM!J:K,2,0),VLOOKUP(N66,PARAM!G:H,2,0),VLOOKUP(P66,PARAM!P:Q,2,0),"*"),"")</f>
        <v>*48300*</v>
      </c>
      <c r="S66" s="18" t="str">
        <f>IFERROR(CONCATENATE(VLOOKUP(L66,PARAM!D:E,2,0),VLOOKUP(M66,PARAM!J:K,2,0),VLOOKUP(N66,PARAM!G:H,2,0),VLOOKUP(O66,PARAM!M:N,2,0),VLOOKUP(P66,PARAM!P:Q,2,0)),"")</f>
        <v>4830120</v>
      </c>
      <c r="T66" s="18">
        <f t="shared" si="4"/>
        <v>7</v>
      </c>
      <c r="U66" s="18" t="str">
        <f t="shared" si="5"/>
        <v>BOLSAS JOYERIA UNISEX - NEGRO</v>
      </c>
    </row>
    <row r="67">
      <c r="A67" s="64">
        <v>24.0</v>
      </c>
      <c r="B67" s="4" t="s">
        <v>1534</v>
      </c>
      <c r="C67" s="1"/>
      <c r="D67" s="4" t="s">
        <v>1535</v>
      </c>
      <c r="E67" s="3">
        <v>1250.0</v>
      </c>
      <c r="F67" s="2">
        <f t="shared" si="2"/>
        <v>30000</v>
      </c>
      <c r="G67" s="65">
        <f t="shared" si="3"/>
        <v>2500</v>
      </c>
      <c r="H67" s="1"/>
      <c r="I67" s="1"/>
      <c r="J67" s="1"/>
      <c r="K67" s="66" t="s">
        <v>427</v>
      </c>
      <c r="L67" s="18" t="s">
        <v>1126</v>
      </c>
      <c r="M67" s="66" t="s">
        <v>1101</v>
      </c>
      <c r="N67" s="66" t="s">
        <v>503</v>
      </c>
      <c r="O67" s="66" t="s">
        <v>1069</v>
      </c>
      <c r="P67" s="67" t="s">
        <v>503</v>
      </c>
      <c r="Q67" s="18" t="s">
        <v>503</v>
      </c>
      <c r="R67" s="68" t="str">
        <f>IFERROR(CONCATENATE("*",VLOOKUP(L67,PARAM!D:E,2,0),VLOOKUP(M67,PARAM!J:K,2,0),VLOOKUP(N67,PARAM!G:H,2,0),VLOOKUP(P67,PARAM!P:Q,2,0),"*"),"")</f>
        <v>*49300*</v>
      </c>
      <c r="S67" s="18" t="str">
        <f>IFERROR(CONCATENATE(VLOOKUP(L67,PARAM!D:E,2,0),VLOOKUP(M67,PARAM!J:K,2,0),VLOOKUP(N67,PARAM!G:H,2,0),VLOOKUP(O67,PARAM!M:N,2,0),VLOOKUP(P67,PARAM!P:Q,2,0)),"")</f>
        <v>4930160</v>
      </c>
      <c r="T67" s="18">
        <f t="shared" si="4"/>
        <v>7</v>
      </c>
      <c r="U67" s="18" t="str">
        <f t="shared" si="5"/>
        <v>CAJAS JOYERIA UNISEX - VARIOS</v>
      </c>
    </row>
    <row r="68">
      <c r="A68" s="64">
        <v>1.0</v>
      </c>
      <c r="B68" s="4" t="s">
        <v>1536</v>
      </c>
      <c r="C68" s="1"/>
      <c r="D68" s="4" t="s">
        <v>1537</v>
      </c>
      <c r="E68" s="71">
        <v>35000.0</v>
      </c>
      <c r="F68" s="2">
        <f t="shared" si="2"/>
        <v>35000</v>
      </c>
      <c r="G68" s="65">
        <f t="shared" si="3"/>
        <v>70000</v>
      </c>
      <c r="H68" s="1"/>
      <c r="I68" s="1"/>
      <c r="J68" s="1"/>
      <c r="K68" s="66" t="s">
        <v>427</v>
      </c>
      <c r="L68" s="66" t="s">
        <v>1110</v>
      </c>
      <c r="M68" s="66" t="s">
        <v>1080</v>
      </c>
      <c r="N68" s="18" t="s">
        <v>1127</v>
      </c>
      <c r="O68" s="66" t="s">
        <v>1069</v>
      </c>
      <c r="P68" s="67" t="s">
        <v>503</v>
      </c>
      <c r="Q68" s="18" t="s">
        <v>484</v>
      </c>
      <c r="R68" s="68" t="str">
        <f>IFERROR(CONCATENATE("*",VLOOKUP(L68,PARAM!D:E,2,0),VLOOKUP(M68,PARAM!J:K,2,0),VLOOKUP(N68,PARAM!G:H,2,0),VLOOKUP(P68,PARAM!P:Q,2,0),"*"),"")</f>
        <v>*2221910*</v>
      </c>
      <c r="S68" s="18" t="str">
        <f>IFERROR(CONCATENATE(VLOOKUP(L68,PARAM!D:E,2,0),VLOOKUP(M68,PARAM!J:K,2,0),VLOOKUP(N68,PARAM!G:H,2,0),VLOOKUP(O68,PARAM!M:N,2,0),VLOOKUP(P68,PARAM!P:Q,2,0)),"")</f>
        <v>222191160</v>
      </c>
      <c r="T68" s="18">
        <f t="shared" si="4"/>
        <v>9</v>
      </c>
      <c r="U68" s="18" t="str">
        <f t="shared" si="5"/>
        <v>CORREAS CABALLERO MONT BLANC VARIOS</v>
      </c>
    </row>
    <row r="69">
      <c r="A69" s="64">
        <v>2.0</v>
      </c>
      <c r="B69" s="4" t="s">
        <v>1538</v>
      </c>
      <c r="C69" s="1"/>
      <c r="D69" s="4" t="s">
        <v>1539</v>
      </c>
      <c r="E69" s="72">
        <v>30000.0</v>
      </c>
      <c r="F69" s="2">
        <f t="shared" si="2"/>
        <v>60000</v>
      </c>
      <c r="G69" s="65">
        <f t="shared" si="3"/>
        <v>60000</v>
      </c>
      <c r="H69" s="1"/>
      <c r="I69" s="1"/>
      <c r="J69" s="1"/>
      <c r="K69" s="66" t="s">
        <v>427</v>
      </c>
      <c r="L69" s="66" t="s">
        <v>1128</v>
      </c>
      <c r="M69" s="66" t="s">
        <v>1080</v>
      </c>
      <c r="N69" s="66" t="s">
        <v>1129</v>
      </c>
      <c r="O69" s="66" t="s">
        <v>1069</v>
      </c>
      <c r="P69" s="67" t="s">
        <v>503</v>
      </c>
      <c r="Q69" s="18" t="s">
        <v>484</v>
      </c>
      <c r="R69" s="68" t="str">
        <f>IFERROR(CONCATENATE("*",VLOOKUP(L69,PARAM!D:E,2,0),VLOOKUP(M69,PARAM!J:K,2,0),VLOOKUP(N69,PARAM!G:H,2,0),VLOOKUP(P69,PARAM!P:Q,2,0),"*"),"")</f>
        <v>*502620*</v>
      </c>
      <c r="S69" s="18" t="str">
        <f>IFERROR(CONCATENATE(VLOOKUP(L69,PARAM!D:E,2,0),VLOOKUP(M69,PARAM!J:K,2,0),VLOOKUP(N69,PARAM!G:H,2,0),VLOOKUP(O69,PARAM!M:N,2,0),VLOOKUP(P69,PARAM!P:Q,2,0)),"")</f>
        <v>50262160</v>
      </c>
      <c r="T69" s="18">
        <f t="shared" si="4"/>
        <v>8</v>
      </c>
      <c r="U69" s="18" t="str">
        <f t="shared" si="5"/>
        <v>CINTURON+BILLETERA CABALLERO CAJA VERSACE VARIOS</v>
      </c>
    </row>
    <row r="70">
      <c r="A70" s="64">
        <v>1.0</v>
      </c>
      <c r="B70" s="4" t="s">
        <v>1540</v>
      </c>
      <c r="C70" s="1"/>
      <c r="D70" s="4" t="s">
        <v>1541</v>
      </c>
      <c r="E70" s="72">
        <v>38000.0</v>
      </c>
      <c r="F70" s="2">
        <f t="shared" si="2"/>
        <v>38000</v>
      </c>
      <c r="G70" s="65">
        <f t="shared" si="3"/>
        <v>76000</v>
      </c>
      <c r="H70" s="1"/>
      <c r="I70" s="1"/>
      <c r="J70" s="1"/>
      <c r="K70" s="66" t="s">
        <v>427</v>
      </c>
      <c r="L70" s="66" t="s">
        <v>1128</v>
      </c>
      <c r="M70" s="66" t="s">
        <v>1080</v>
      </c>
      <c r="N70" s="18" t="s">
        <v>1130</v>
      </c>
      <c r="O70" s="66" t="s">
        <v>1069</v>
      </c>
      <c r="P70" s="67" t="s">
        <v>503</v>
      </c>
      <c r="Q70" s="18" t="s">
        <v>484</v>
      </c>
      <c r="R70" s="68" t="str">
        <f>IFERROR(CONCATENATE("*",VLOOKUP(L70,PARAM!D:E,2,0),VLOOKUP(M70,PARAM!J:K,2,0),VLOOKUP(N70,PARAM!G:H,2,0),VLOOKUP(P70,PARAM!P:Q,2,0),"*"),"")</f>
        <v>*502600*</v>
      </c>
      <c r="S70" s="18" t="str">
        <f>IFERROR(CONCATENATE(VLOOKUP(L70,PARAM!D:E,2,0),VLOOKUP(M70,PARAM!J:K,2,0),VLOOKUP(N70,PARAM!G:H,2,0),VLOOKUP(O70,PARAM!M:N,2,0),VLOOKUP(P70,PARAM!P:Q,2,0)),"")</f>
        <v>50260160</v>
      </c>
      <c r="T70" s="18">
        <f t="shared" si="4"/>
        <v>8</v>
      </c>
      <c r="U70" s="18" t="str">
        <f t="shared" si="5"/>
        <v>CINTURON+BILLETERA CABALLERO CAJA GUCCI VARIOS</v>
      </c>
    </row>
    <row r="71">
      <c r="A71" s="64">
        <v>1.0</v>
      </c>
      <c r="B71" s="4" t="s">
        <v>1542</v>
      </c>
      <c r="C71" s="1"/>
      <c r="D71" s="4" t="s">
        <v>1543</v>
      </c>
      <c r="E71" s="72">
        <v>38000.0</v>
      </c>
      <c r="F71" s="2">
        <f t="shared" si="2"/>
        <v>38000</v>
      </c>
      <c r="G71" s="65">
        <f t="shared" si="3"/>
        <v>76000</v>
      </c>
      <c r="H71" s="1"/>
      <c r="I71" s="1"/>
      <c r="J71" s="1"/>
      <c r="K71" s="66" t="s">
        <v>427</v>
      </c>
      <c r="L71" s="66" t="s">
        <v>1128</v>
      </c>
      <c r="M71" s="66" t="s">
        <v>1080</v>
      </c>
      <c r="N71" s="18" t="s">
        <v>1131</v>
      </c>
      <c r="O71" s="66" t="s">
        <v>1069</v>
      </c>
      <c r="P71" s="67" t="s">
        <v>503</v>
      </c>
      <c r="Q71" s="18" t="s">
        <v>484</v>
      </c>
      <c r="R71" s="68" t="str">
        <f>IFERROR(CONCATENATE("*",VLOOKUP(L71,PARAM!D:E,2,0),VLOOKUP(M71,PARAM!J:K,2,0),VLOOKUP(N71,PARAM!G:H,2,0),VLOOKUP(P71,PARAM!P:Q,2,0),"*"),"")</f>
        <v>*502610*</v>
      </c>
      <c r="S71" s="18" t="str">
        <f>IFERROR(CONCATENATE(VLOOKUP(L71,PARAM!D:E,2,0),VLOOKUP(M71,PARAM!J:K,2,0),VLOOKUP(N71,PARAM!G:H,2,0),VLOOKUP(O71,PARAM!M:N,2,0),VLOOKUP(P71,PARAM!P:Q,2,0)),"")</f>
        <v>50261160</v>
      </c>
      <c r="T71" s="18">
        <f t="shared" si="4"/>
        <v>8</v>
      </c>
      <c r="U71" s="18" t="str">
        <f t="shared" si="5"/>
        <v>CINTURON+BILLETERA CABALLERO CAJA HERMES VARIOS</v>
      </c>
    </row>
    <row r="72">
      <c r="A72" s="64">
        <v>1.0</v>
      </c>
      <c r="B72" s="4" t="s">
        <v>1544</v>
      </c>
      <c r="C72" s="1"/>
      <c r="D72" s="4" t="s">
        <v>1537</v>
      </c>
      <c r="E72" s="71">
        <v>35000.0</v>
      </c>
      <c r="F72" s="2">
        <f t="shared" si="2"/>
        <v>35000</v>
      </c>
      <c r="G72" s="65">
        <f t="shared" si="3"/>
        <v>70000</v>
      </c>
      <c r="H72" s="1"/>
      <c r="I72" s="1"/>
      <c r="J72" s="1"/>
      <c r="K72" s="66" t="s">
        <v>427</v>
      </c>
      <c r="L72" s="66" t="s">
        <v>1132</v>
      </c>
      <c r="M72" s="66" t="s">
        <v>1080</v>
      </c>
      <c r="N72" s="18" t="s">
        <v>1127</v>
      </c>
      <c r="O72" s="66" t="s">
        <v>1069</v>
      </c>
      <c r="P72" s="67" t="s">
        <v>503</v>
      </c>
      <c r="Q72" s="18" t="s">
        <v>484</v>
      </c>
      <c r="R72" s="68" t="str">
        <f>IFERROR(CONCATENATE("*",VLOOKUP(L72,PARAM!D:E,2,0),VLOOKUP(M72,PARAM!J:K,2,0),VLOOKUP(N72,PARAM!G:H,2,0),VLOOKUP(P72,PARAM!P:Q,2,0),"*"),"")</f>
        <v>*2321910*</v>
      </c>
      <c r="S72" s="18" t="str">
        <f>IFERROR(CONCATENATE(VLOOKUP(L72,PARAM!D:E,2,0),VLOOKUP(M72,PARAM!J:K,2,0),VLOOKUP(N72,PARAM!G:H,2,0),VLOOKUP(O72,PARAM!M:N,2,0),VLOOKUP(P72,PARAM!P:Q,2,0)),"")</f>
        <v>232191160</v>
      </c>
      <c r="T72" s="18">
        <f t="shared" si="4"/>
        <v>9</v>
      </c>
      <c r="U72" s="18" t="str">
        <f t="shared" si="5"/>
        <v>BILLETERAS CABALLERO MONT BLANC VARIOS</v>
      </c>
    </row>
    <row r="73">
      <c r="A73" s="64">
        <v>1.0</v>
      </c>
      <c r="B73" s="4" t="s">
        <v>1545</v>
      </c>
      <c r="C73" s="1"/>
      <c r="D73" s="4" t="s">
        <v>1546</v>
      </c>
      <c r="E73" s="71">
        <v>35000.0</v>
      </c>
      <c r="F73" s="2">
        <f t="shared" si="2"/>
        <v>35000</v>
      </c>
      <c r="G73" s="65">
        <f t="shared" si="3"/>
        <v>70000</v>
      </c>
      <c r="H73" s="1"/>
      <c r="I73" s="1"/>
      <c r="J73" s="1"/>
      <c r="K73" s="66" t="s">
        <v>427</v>
      </c>
      <c r="L73" s="66" t="s">
        <v>1110</v>
      </c>
      <c r="M73" s="66" t="s">
        <v>1080</v>
      </c>
      <c r="N73" s="66" t="s">
        <v>1133</v>
      </c>
      <c r="O73" s="66" t="s">
        <v>1069</v>
      </c>
      <c r="P73" s="67" t="s">
        <v>503</v>
      </c>
      <c r="Q73" s="18" t="s">
        <v>484</v>
      </c>
      <c r="R73" s="68" t="str">
        <f>IFERROR(CONCATENATE("*",VLOOKUP(L73,PARAM!D:E,2,0),VLOOKUP(M73,PARAM!J:K,2,0),VLOOKUP(N73,PARAM!G:H,2,0),VLOOKUP(P73,PARAM!P:Q,2,0),"*"),"")</f>
        <v>*222630*</v>
      </c>
      <c r="S73" s="18" t="str">
        <f>IFERROR(CONCATENATE(VLOOKUP(L73,PARAM!D:E,2,0),VLOOKUP(M73,PARAM!J:K,2,0),VLOOKUP(N73,PARAM!G:H,2,0),VLOOKUP(O73,PARAM!M:N,2,0),VLOOKUP(P73,PARAM!P:Q,2,0)),"")</f>
        <v>22263160</v>
      </c>
      <c r="T73" s="18">
        <f t="shared" si="4"/>
        <v>8</v>
      </c>
      <c r="U73" s="18" t="str">
        <f t="shared" si="5"/>
        <v>CORREAS CABALLERO CALVIN KLEIN VARIOS</v>
      </c>
    </row>
    <row r="74">
      <c r="A74" s="64">
        <v>1.0</v>
      </c>
      <c r="B74" s="4" t="s">
        <v>1547</v>
      </c>
      <c r="C74" s="1"/>
      <c r="D74" s="4" t="s">
        <v>1546</v>
      </c>
      <c r="E74" s="71">
        <v>35000.0</v>
      </c>
      <c r="F74" s="2">
        <f t="shared" si="2"/>
        <v>35000</v>
      </c>
      <c r="G74" s="65">
        <f t="shared" si="3"/>
        <v>70000</v>
      </c>
      <c r="H74" s="1"/>
      <c r="I74" s="1"/>
      <c r="J74" s="1"/>
      <c r="K74" s="66" t="s">
        <v>427</v>
      </c>
      <c r="L74" s="66" t="s">
        <v>1132</v>
      </c>
      <c r="M74" s="66" t="s">
        <v>1080</v>
      </c>
      <c r="N74" s="66" t="s">
        <v>1133</v>
      </c>
      <c r="O74" s="66" t="s">
        <v>1069</v>
      </c>
      <c r="P74" s="67" t="s">
        <v>503</v>
      </c>
      <c r="Q74" s="18" t="s">
        <v>484</v>
      </c>
      <c r="R74" s="68" t="str">
        <f>IFERROR(CONCATENATE("*",VLOOKUP(L74,PARAM!D:E,2,0),VLOOKUP(M74,PARAM!J:K,2,0),VLOOKUP(N74,PARAM!G:H,2,0),VLOOKUP(P74,PARAM!P:Q,2,0),"*"),"")</f>
        <v>*232630*</v>
      </c>
      <c r="S74" s="18" t="str">
        <f>IFERROR(CONCATENATE(VLOOKUP(L74,PARAM!D:E,2,0),VLOOKUP(M74,PARAM!J:K,2,0),VLOOKUP(N74,PARAM!G:H,2,0),VLOOKUP(O74,PARAM!M:N,2,0),VLOOKUP(P74,PARAM!P:Q,2,0)),"")</f>
        <v>23263160</v>
      </c>
      <c r="T74" s="18">
        <f t="shared" si="4"/>
        <v>8</v>
      </c>
      <c r="U74" s="18" t="str">
        <f t="shared" si="5"/>
        <v>BILLETERAS CABALLERO CALVIN KLEIN VARIOS</v>
      </c>
    </row>
    <row r="75">
      <c r="A75" s="64">
        <v>1.0</v>
      </c>
      <c r="B75" s="4" t="s">
        <v>1548</v>
      </c>
      <c r="C75" s="1"/>
      <c r="D75" s="4" t="s">
        <v>1549</v>
      </c>
      <c r="E75" s="71">
        <v>30000.0</v>
      </c>
      <c r="F75" s="2">
        <f t="shared" si="2"/>
        <v>30000</v>
      </c>
      <c r="G75" s="65">
        <f t="shared" si="3"/>
        <v>60000</v>
      </c>
      <c r="H75" s="1"/>
      <c r="I75" s="1"/>
      <c r="J75" s="1"/>
      <c r="K75" s="66" t="s">
        <v>427</v>
      </c>
      <c r="L75" s="66" t="s">
        <v>1110</v>
      </c>
      <c r="M75" s="66" t="s">
        <v>1080</v>
      </c>
      <c r="N75" s="18" t="s">
        <v>1134</v>
      </c>
      <c r="O75" s="66" t="s">
        <v>1069</v>
      </c>
      <c r="P75" s="67" t="s">
        <v>503</v>
      </c>
      <c r="Q75" s="18" t="s">
        <v>484</v>
      </c>
      <c r="R75" s="68" t="str">
        <f>IFERROR(CONCATENATE("*",VLOOKUP(L75,PARAM!D:E,2,0),VLOOKUP(M75,PARAM!J:K,2,0),VLOOKUP(N75,PARAM!G:H,2,0),VLOOKUP(P75,PARAM!P:Q,2,0),"*"),"")</f>
        <v>*2221780*</v>
      </c>
      <c r="S75" s="18" t="str">
        <f>IFERROR(CONCATENATE(VLOOKUP(L75,PARAM!D:E,2,0),VLOOKUP(M75,PARAM!J:K,2,0),VLOOKUP(N75,PARAM!G:H,2,0),VLOOKUP(O75,PARAM!M:N,2,0),VLOOKUP(P75,PARAM!P:Q,2,0)),"")</f>
        <v>222178160</v>
      </c>
      <c r="T75" s="18">
        <f t="shared" si="4"/>
        <v>9</v>
      </c>
      <c r="U75" s="18" t="str">
        <f t="shared" si="5"/>
        <v>CORREAS CABALLERO LOUIS VUITTON VARIOS</v>
      </c>
    </row>
    <row r="76">
      <c r="A76" s="64">
        <v>1.0</v>
      </c>
      <c r="B76" s="4" t="s">
        <v>1550</v>
      </c>
      <c r="C76" s="1"/>
      <c r="D76" s="4" t="s">
        <v>1549</v>
      </c>
      <c r="E76" s="71">
        <v>35000.0</v>
      </c>
      <c r="F76" s="2">
        <f t="shared" si="2"/>
        <v>35000</v>
      </c>
      <c r="G76" s="65">
        <f t="shared" si="3"/>
        <v>70000</v>
      </c>
      <c r="H76" s="1"/>
      <c r="I76" s="1"/>
      <c r="J76" s="1"/>
      <c r="K76" s="66" t="s">
        <v>427</v>
      </c>
      <c r="L76" s="66" t="s">
        <v>1132</v>
      </c>
      <c r="M76" s="66" t="s">
        <v>1080</v>
      </c>
      <c r="N76" s="18" t="s">
        <v>1134</v>
      </c>
      <c r="O76" s="66" t="s">
        <v>1069</v>
      </c>
      <c r="P76" s="67" t="s">
        <v>503</v>
      </c>
      <c r="Q76" s="18" t="s">
        <v>484</v>
      </c>
      <c r="R76" s="68" t="str">
        <f>IFERROR(CONCATENATE("*",VLOOKUP(L76,PARAM!D:E,2,0),VLOOKUP(M76,PARAM!J:K,2,0),VLOOKUP(N76,PARAM!G:H,2,0),VLOOKUP(P76,PARAM!P:Q,2,0),"*"),"")</f>
        <v>*2321780*</v>
      </c>
      <c r="S76" s="18" t="str">
        <f>IFERROR(CONCATENATE(VLOOKUP(L76,PARAM!D:E,2,0),VLOOKUP(M76,PARAM!J:K,2,0),VLOOKUP(N76,PARAM!G:H,2,0),VLOOKUP(O76,PARAM!M:N,2,0),VLOOKUP(P76,PARAM!P:Q,2,0)),"")</f>
        <v>232178160</v>
      </c>
      <c r="T76" s="18">
        <f t="shared" si="4"/>
        <v>9</v>
      </c>
      <c r="U76" s="18" t="str">
        <f t="shared" si="5"/>
        <v>BILLETERAS CABALLERO LOUIS VUITTON VARIOS</v>
      </c>
    </row>
    <row r="77">
      <c r="A77" s="64">
        <v>1.0</v>
      </c>
      <c r="B77" s="4" t="s">
        <v>1551</v>
      </c>
      <c r="C77" s="1"/>
      <c r="D77" s="4" t="s">
        <v>1551</v>
      </c>
      <c r="E77" s="72">
        <v>24000.0</v>
      </c>
      <c r="F77" s="2">
        <f t="shared" si="2"/>
        <v>24000</v>
      </c>
      <c r="G77" s="65">
        <f t="shared" si="3"/>
        <v>48000</v>
      </c>
      <c r="H77" s="1"/>
      <c r="I77" s="1"/>
      <c r="J77" s="1"/>
      <c r="K77" s="66" t="s">
        <v>427</v>
      </c>
      <c r="L77" s="66" t="s">
        <v>1110</v>
      </c>
      <c r="M77" s="66" t="s">
        <v>1080</v>
      </c>
      <c r="N77" s="66" t="s">
        <v>1135</v>
      </c>
      <c r="O77" s="66" t="s">
        <v>1069</v>
      </c>
      <c r="P77" s="67" t="s">
        <v>503</v>
      </c>
      <c r="Q77" s="18" t="s">
        <v>484</v>
      </c>
      <c r="R77" s="68" t="str">
        <f>IFERROR(CONCATENATE("*",VLOOKUP(L77,PARAM!D:E,2,0),VLOOKUP(M77,PARAM!J:K,2,0),VLOOKUP(N77,PARAM!G:H,2,0),VLOOKUP(P77,PARAM!P:Q,2,0),"*"),"")</f>
        <v>*2221330*</v>
      </c>
      <c r="S77" s="18" t="str">
        <f>IFERROR(CONCATENATE(VLOOKUP(L77,PARAM!D:E,2,0),VLOOKUP(M77,PARAM!J:K,2,0),VLOOKUP(N77,PARAM!G:H,2,0),VLOOKUP(O77,PARAM!M:N,2,0),VLOOKUP(P77,PARAM!P:Q,2,0)),"")</f>
        <v>222133160</v>
      </c>
      <c r="T77" s="18">
        <f t="shared" si="4"/>
        <v>9</v>
      </c>
      <c r="U77" s="18" t="str">
        <f t="shared" si="5"/>
        <v>CORREAS CABALLERO FERREGAMO VARIOS</v>
      </c>
    </row>
    <row r="78">
      <c r="A78" s="64">
        <v>3.0</v>
      </c>
      <c r="B78" s="4" t="s">
        <v>1552</v>
      </c>
      <c r="C78" s="1"/>
      <c r="D78" s="4" t="s">
        <v>1553</v>
      </c>
      <c r="E78" s="3">
        <v>40000.0</v>
      </c>
      <c r="F78" s="2">
        <f t="shared" si="2"/>
        <v>120000</v>
      </c>
      <c r="G78" s="65">
        <f t="shared" si="3"/>
        <v>80000</v>
      </c>
      <c r="H78" s="1"/>
      <c r="I78" s="1"/>
      <c r="J78" s="1"/>
      <c r="K78" s="66" t="s">
        <v>1058</v>
      </c>
      <c r="L78" s="66" t="s">
        <v>1136</v>
      </c>
      <c r="M78" s="66" t="s">
        <v>1060</v>
      </c>
      <c r="N78" s="18" t="s">
        <v>1137</v>
      </c>
      <c r="O78" s="66" t="s">
        <v>1069</v>
      </c>
      <c r="P78" s="67" t="s">
        <v>1103</v>
      </c>
      <c r="Q78" s="18" t="s">
        <v>517</v>
      </c>
      <c r="R78" s="68" t="str">
        <f>IFERROR(CONCATENATE("*",VLOOKUP(L78,PARAM!D:E,2,0),VLOOKUP(M78,PARAM!J:K,2,0),VLOOKUP(N78,PARAM!G:H,2,0),VLOOKUP(P78,PARAM!P:Q,2,0),"*"),"")</f>
        <v>*8118130*</v>
      </c>
      <c r="S78" s="18" t="str">
        <f>IFERROR(CONCATENATE(VLOOKUP(L78,PARAM!D:E,2,0),VLOOKUP(M78,PARAM!J:K,2,0),VLOOKUP(N78,PARAM!G:H,2,0),VLOOKUP(O78,PARAM!M:N,2,0),VLOOKUP(P78,PARAM!P:Q,2,0)),"")</f>
        <v>811811630</v>
      </c>
      <c r="T78" s="18">
        <f t="shared" si="4"/>
        <v>9</v>
      </c>
      <c r="U78" s="18" t="str">
        <f t="shared" si="5"/>
        <v>VESTIDOS DAMA MANGA LARGA VARIOS TALLA UN</v>
      </c>
    </row>
    <row r="79">
      <c r="A79" s="64">
        <v>3.0</v>
      </c>
      <c r="B79" s="4" t="s">
        <v>1554</v>
      </c>
      <c r="C79" s="1"/>
      <c r="D79" s="4" t="s">
        <v>1555</v>
      </c>
      <c r="E79" s="3">
        <v>35000.0</v>
      </c>
      <c r="F79" s="2">
        <f t="shared" si="2"/>
        <v>105000</v>
      </c>
      <c r="G79" s="65">
        <f t="shared" si="3"/>
        <v>70000</v>
      </c>
      <c r="H79" s="1"/>
      <c r="I79" s="1"/>
      <c r="J79" s="1"/>
      <c r="K79" s="66" t="s">
        <v>1058</v>
      </c>
      <c r="L79" s="66" t="s">
        <v>1136</v>
      </c>
      <c r="M79" s="66" t="s">
        <v>1060</v>
      </c>
      <c r="N79" s="18" t="s">
        <v>1138</v>
      </c>
      <c r="O79" s="66" t="s">
        <v>1069</v>
      </c>
      <c r="P79" s="67" t="s">
        <v>1103</v>
      </c>
      <c r="Q79" s="18" t="s">
        <v>517</v>
      </c>
      <c r="R79" s="68" t="str">
        <f>IFERROR(CONCATENATE("*",VLOOKUP(L79,PARAM!D:E,2,0),VLOOKUP(M79,PARAM!J:K,2,0),VLOOKUP(N79,PARAM!G:H,2,0),VLOOKUP(P79,PARAM!P:Q,2,0),"*"),"")</f>
        <v>*8111230*</v>
      </c>
      <c r="S79" s="18" t="str">
        <f>IFERROR(CONCATENATE(VLOOKUP(L79,PARAM!D:E,2,0),VLOOKUP(M79,PARAM!J:K,2,0),VLOOKUP(N79,PARAM!G:H,2,0),VLOOKUP(O79,PARAM!M:N,2,0),VLOOKUP(P79,PARAM!P:Q,2,0)),"")</f>
        <v>811121630</v>
      </c>
      <c r="T79" s="18">
        <f t="shared" si="4"/>
        <v>9</v>
      </c>
      <c r="U79" s="18" t="str">
        <f t="shared" si="5"/>
        <v>VESTIDOS DAMA DE TIRAS VARIOS TALLA UN</v>
      </c>
    </row>
    <row r="80">
      <c r="A80" s="64">
        <v>5.0</v>
      </c>
      <c r="B80" s="4" t="s">
        <v>1556</v>
      </c>
      <c r="C80" s="1"/>
      <c r="D80" s="4" t="s">
        <v>1557</v>
      </c>
      <c r="E80" s="3">
        <v>22000.0</v>
      </c>
      <c r="F80" s="2">
        <f t="shared" si="2"/>
        <v>110000</v>
      </c>
      <c r="G80" s="65">
        <f t="shared" si="3"/>
        <v>44000</v>
      </c>
      <c r="H80" s="1"/>
      <c r="I80" s="1"/>
      <c r="J80" s="1"/>
      <c r="K80" s="66" t="s">
        <v>1058</v>
      </c>
      <c r="L80" s="66" t="s">
        <v>421</v>
      </c>
      <c r="M80" s="66" t="s">
        <v>1060</v>
      </c>
      <c r="N80" s="66" t="s">
        <v>1139</v>
      </c>
      <c r="O80" s="66" t="s">
        <v>1069</v>
      </c>
      <c r="P80" s="67" t="s">
        <v>1103</v>
      </c>
      <c r="Q80" s="18" t="s">
        <v>517</v>
      </c>
      <c r="R80" s="68" t="str">
        <f>IFERROR(CONCATENATE("*",VLOOKUP(L80,PARAM!D:E,2,0),VLOOKUP(M80,PARAM!J:K,2,0),VLOOKUP(N80,PARAM!G:H,2,0),VLOOKUP(P80,PARAM!P:Q,2,0),"*"),"")</f>
        <v>*613430*</v>
      </c>
      <c r="S80" s="18" t="str">
        <f>IFERROR(CONCATENATE(VLOOKUP(L80,PARAM!D:E,2,0),VLOOKUP(M80,PARAM!J:K,2,0),VLOOKUP(N80,PARAM!G:H,2,0),VLOOKUP(O80,PARAM!M:N,2,0),VLOOKUP(P80,PARAM!P:Q,2,0)),"")</f>
        <v>61341630</v>
      </c>
      <c r="T80" s="18">
        <f t="shared" si="4"/>
        <v>8</v>
      </c>
      <c r="U80" s="18" t="str">
        <f t="shared" si="5"/>
        <v>BLUSAS DAMA ASIMETRICA 1 HOMBRO VARIOS TALLA UN</v>
      </c>
    </row>
    <row r="81">
      <c r="A81" s="64">
        <v>5.0</v>
      </c>
      <c r="B81" s="4" t="s">
        <v>1558</v>
      </c>
      <c r="C81" s="1"/>
      <c r="D81" s="4" t="s">
        <v>1559</v>
      </c>
      <c r="E81" s="3">
        <v>20000.0</v>
      </c>
      <c r="F81" s="2">
        <f t="shared" si="2"/>
        <v>100000</v>
      </c>
      <c r="G81" s="65">
        <f t="shared" si="3"/>
        <v>40000</v>
      </c>
      <c r="H81" s="1"/>
      <c r="I81" s="1"/>
      <c r="J81" s="1"/>
      <c r="K81" s="66" t="s">
        <v>1058</v>
      </c>
      <c r="L81" s="66" t="s">
        <v>1140</v>
      </c>
      <c r="M81" s="66" t="s">
        <v>1060</v>
      </c>
      <c r="N81" s="18" t="s">
        <v>1141</v>
      </c>
      <c r="O81" s="66" t="s">
        <v>1069</v>
      </c>
      <c r="P81" s="67" t="s">
        <v>1103</v>
      </c>
      <c r="Q81" s="18" t="s">
        <v>517</v>
      </c>
      <c r="R81" s="68" t="str">
        <f>IFERROR(CONCATENATE("*",VLOOKUP(L81,PARAM!D:E,2,0),VLOOKUP(M81,PARAM!J:K,2,0),VLOOKUP(N81,PARAM!G:H,2,0),VLOOKUP(P81,PARAM!P:Q,2,0),"*"),"")</f>
        <v>*51126330*</v>
      </c>
      <c r="S81" s="18" t="str">
        <f>IFERROR(CONCATENATE(VLOOKUP(L81,PARAM!D:E,2,0),VLOOKUP(M81,PARAM!J:K,2,0),VLOOKUP(N81,PARAM!G:H,2,0),VLOOKUP(O81,PARAM!M:N,2,0),VLOOKUP(P81,PARAM!P:Q,2,0)),"")</f>
        <v>5112631630</v>
      </c>
      <c r="T81" s="18">
        <f t="shared" si="4"/>
        <v>10</v>
      </c>
      <c r="U81" s="18" t="str">
        <f t="shared" si="5"/>
        <v>STRAPLE DAMA TIRA CUELLO VARIOS TALLA UN</v>
      </c>
    </row>
    <row r="82">
      <c r="A82" s="64">
        <v>4.0</v>
      </c>
      <c r="B82" s="4" t="s">
        <v>1560</v>
      </c>
      <c r="C82" s="1"/>
      <c r="D82" s="4" t="s">
        <v>1561</v>
      </c>
      <c r="E82" s="3">
        <v>30000.0</v>
      </c>
      <c r="F82" s="2">
        <f t="shared" si="2"/>
        <v>120000</v>
      </c>
      <c r="G82" s="65">
        <f t="shared" si="3"/>
        <v>60000</v>
      </c>
      <c r="H82" s="1"/>
      <c r="I82" s="1"/>
      <c r="J82" s="1"/>
      <c r="K82" s="66" t="s">
        <v>1058</v>
      </c>
      <c r="L82" s="66" t="s">
        <v>1142</v>
      </c>
      <c r="M82" s="66" t="s">
        <v>1060</v>
      </c>
      <c r="N82" s="66" t="s">
        <v>1143</v>
      </c>
      <c r="O82" s="66" t="s">
        <v>1069</v>
      </c>
      <c r="P82" s="67" t="s">
        <v>1103</v>
      </c>
      <c r="Q82" s="18" t="s">
        <v>522</v>
      </c>
      <c r="R82" s="68" t="str">
        <f>IFERROR(CONCATENATE("*",VLOOKUP(L82,PARAM!D:E,2,0),VLOOKUP(M82,PARAM!J:K,2,0),VLOOKUP(N82,PARAM!G:H,2,0),VLOOKUP(P82,PARAM!P:Q,2,0),"*"),"")</f>
        <v>*715030*</v>
      </c>
      <c r="S82" s="18" t="str">
        <f>IFERROR(CONCATENATE(VLOOKUP(L82,PARAM!D:E,2,0),VLOOKUP(M82,PARAM!J:K,2,0),VLOOKUP(N82,PARAM!G:H,2,0),VLOOKUP(O82,PARAM!M:N,2,0),VLOOKUP(P82,PARAM!P:Q,2,0)),"")</f>
        <v>71501630</v>
      </c>
      <c r="T82" s="18">
        <f t="shared" si="4"/>
        <v>8</v>
      </c>
      <c r="U82" s="18" t="str">
        <f t="shared" si="5"/>
        <v>TEJIDOS DAMA BOTONES VARIOS TALLA UN</v>
      </c>
    </row>
    <row r="83">
      <c r="A83" s="64">
        <v>4.0</v>
      </c>
      <c r="B83" s="4" t="s">
        <v>1562</v>
      </c>
      <c r="C83" s="1"/>
      <c r="D83" s="4" t="s">
        <v>1563</v>
      </c>
      <c r="E83" s="3">
        <v>30000.0</v>
      </c>
      <c r="F83" s="2">
        <f t="shared" si="2"/>
        <v>120000</v>
      </c>
      <c r="G83" s="65">
        <f t="shared" si="3"/>
        <v>60000</v>
      </c>
      <c r="H83" s="1"/>
      <c r="I83" s="1"/>
      <c r="J83" s="1"/>
      <c r="K83" s="66" t="s">
        <v>1058</v>
      </c>
      <c r="L83" s="66" t="s">
        <v>1142</v>
      </c>
      <c r="M83" s="66" t="s">
        <v>1060</v>
      </c>
      <c r="N83" s="66" t="s">
        <v>1144</v>
      </c>
      <c r="O83" s="66" t="s">
        <v>1069</v>
      </c>
      <c r="P83" s="67" t="s">
        <v>1103</v>
      </c>
      <c r="Q83" s="18" t="s">
        <v>522</v>
      </c>
      <c r="R83" s="68" t="str">
        <f>IFERROR(CONCATENATE("*",VLOOKUP(L83,PARAM!D:E,2,0),VLOOKUP(M83,PARAM!J:K,2,0),VLOOKUP(N83,PARAM!G:H,2,0),VLOOKUP(P83,PARAM!P:Q,2,0),"*"),"")</f>
        <v>*7110830*</v>
      </c>
      <c r="S83" s="18" t="str">
        <f>IFERROR(CONCATENATE(VLOOKUP(L83,PARAM!D:E,2,0),VLOOKUP(M83,PARAM!J:K,2,0),VLOOKUP(N83,PARAM!G:H,2,0),VLOOKUP(O83,PARAM!M:N,2,0),VLOOKUP(P83,PARAM!P:Q,2,0)),"")</f>
        <v>711081630</v>
      </c>
      <c r="T83" s="18">
        <f t="shared" si="4"/>
        <v>9</v>
      </c>
      <c r="U83" s="18" t="str">
        <f t="shared" si="5"/>
        <v>TEJIDOS DAMA CUELLO REDONDO VARIOS TALLA UN</v>
      </c>
    </row>
    <row r="84">
      <c r="A84" s="64">
        <v>6.0</v>
      </c>
      <c r="B84" s="4" t="s">
        <v>1564</v>
      </c>
      <c r="C84" s="1"/>
      <c r="D84" s="4" t="s">
        <v>1565</v>
      </c>
      <c r="E84" s="3">
        <v>23000.0</v>
      </c>
      <c r="F84" s="2">
        <f t="shared" si="2"/>
        <v>138000</v>
      </c>
      <c r="G84" s="65">
        <f t="shared" si="3"/>
        <v>46000</v>
      </c>
      <c r="H84" s="1"/>
      <c r="I84" s="1"/>
      <c r="J84" s="1"/>
      <c r="K84" s="66" t="s">
        <v>1058</v>
      </c>
      <c r="L84" s="66" t="s">
        <v>1145</v>
      </c>
      <c r="M84" s="66" t="s">
        <v>1060</v>
      </c>
      <c r="N84" s="66" t="s">
        <v>503</v>
      </c>
      <c r="O84" s="66" t="s">
        <v>1069</v>
      </c>
      <c r="P84" s="67" t="s">
        <v>1103</v>
      </c>
      <c r="Q84" s="18" t="s">
        <v>522</v>
      </c>
      <c r="R84" s="68" t="str">
        <f>IFERROR(CONCATENATE("*",VLOOKUP(L84,PARAM!D:E,2,0),VLOOKUP(M84,PARAM!J:K,2,0),VLOOKUP(N84,PARAM!G:H,2,0),VLOOKUP(P84,PARAM!P:Q,2,0),"*"),"")</f>
        <v>*521030*</v>
      </c>
      <c r="S84" s="18" t="str">
        <f>IFERROR(CONCATENATE(VLOOKUP(L84,PARAM!D:E,2,0),VLOOKUP(M84,PARAM!J:K,2,0),VLOOKUP(N84,PARAM!G:H,2,0),VLOOKUP(O84,PARAM!M:N,2,0),VLOOKUP(P84,PARAM!P:Q,2,0)),"")</f>
        <v>52101630</v>
      </c>
      <c r="T84" s="18">
        <f t="shared" si="4"/>
        <v>8</v>
      </c>
      <c r="U84" s="18" t="str">
        <f t="shared" si="5"/>
        <v>BATAS TEJIDO DAMA - VARIOS TALLA UN</v>
      </c>
    </row>
    <row r="85">
      <c r="A85" s="4">
        <v>12.0</v>
      </c>
      <c r="B85" s="4" t="s">
        <v>1566</v>
      </c>
      <c r="C85" s="1"/>
      <c r="D85" s="4" t="s">
        <v>1567</v>
      </c>
      <c r="E85" s="3">
        <v>3000.0</v>
      </c>
      <c r="F85" s="2">
        <f t="shared" si="2"/>
        <v>36000</v>
      </c>
      <c r="G85" s="65">
        <f t="shared" si="3"/>
        <v>6000</v>
      </c>
      <c r="H85" s="1"/>
      <c r="I85" s="1"/>
      <c r="J85" s="1"/>
      <c r="K85" s="66" t="s">
        <v>427</v>
      </c>
      <c r="L85" s="66" t="s">
        <v>426</v>
      </c>
      <c r="M85" s="66" t="s">
        <v>1060</v>
      </c>
      <c r="N85" s="18" t="s">
        <v>1146</v>
      </c>
      <c r="O85" s="66" t="s">
        <v>1069</v>
      </c>
      <c r="P85" s="67" t="s">
        <v>1070</v>
      </c>
      <c r="Q85" s="18" t="s">
        <v>526</v>
      </c>
      <c r="R85" s="68" t="str">
        <f>IFERROR(CONCATENATE("*",VLOOKUP(L85,PARAM!D:E,2,0),VLOOKUP(M85,PARAM!J:K,2,0),VLOOKUP(N85,PARAM!G:H,2,0),VLOOKUP(P85,PARAM!P:Q,2,0),"*"),"")</f>
        <v>*2414931*</v>
      </c>
      <c r="S85" s="18" t="str">
        <f>IFERROR(CONCATENATE(VLOOKUP(L85,PARAM!D:E,2,0),VLOOKUP(M85,PARAM!J:K,2,0),VLOOKUP(N85,PARAM!G:H,2,0),VLOOKUP(O85,PARAM!M:N,2,0),VLOOKUP(P85,PARAM!P:Q,2,0)),"")</f>
        <v>241491631</v>
      </c>
      <c r="T85" s="18">
        <f t="shared" si="4"/>
        <v>9</v>
      </c>
      <c r="U85" s="18" t="str">
        <f t="shared" si="5"/>
        <v>MEDIAS DAMA BORDADA VALANT VARIOS TALLA VA</v>
      </c>
    </row>
    <row r="86">
      <c r="A86" s="4">
        <v>36.0</v>
      </c>
      <c r="B86" s="4" t="s">
        <v>1568</v>
      </c>
      <c r="C86" s="1"/>
      <c r="D86" s="4" t="s">
        <v>1569</v>
      </c>
      <c r="E86" s="3">
        <v>2000.0</v>
      </c>
      <c r="F86" s="2">
        <f t="shared" si="2"/>
        <v>72000</v>
      </c>
      <c r="G86" s="65">
        <f t="shared" si="3"/>
        <v>4000</v>
      </c>
      <c r="H86" s="1"/>
      <c r="I86" s="1"/>
      <c r="J86" s="1"/>
      <c r="K86" s="66" t="s">
        <v>427</v>
      </c>
      <c r="L86" s="66" t="s">
        <v>426</v>
      </c>
      <c r="M86" s="66" t="s">
        <v>1060</v>
      </c>
      <c r="N86" s="18" t="s">
        <v>1147</v>
      </c>
      <c r="O86" s="66" t="s">
        <v>1069</v>
      </c>
      <c r="P86" s="67" t="s">
        <v>1070</v>
      </c>
      <c r="Q86" s="18" t="s">
        <v>526</v>
      </c>
      <c r="R86" s="68" t="str">
        <f>IFERROR(CONCATENATE("*",VLOOKUP(L86,PARAM!D:E,2,0),VLOOKUP(M86,PARAM!J:K,2,0),VLOOKUP(N86,PARAM!G:H,2,0),VLOOKUP(P86,PARAM!P:Q,2,0),"*"),"")</f>
        <v>*24125531*</v>
      </c>
      <c r="S86" s="18" t="str">
        <f>IFERROR(CONCATENATE(VLOOKUP(L86,PARAM!D:E,2,0),VLOOKUP(M86,PARAM!J:K,2,0),VLOOKUP(N86,PARAM!G:H,2,0),VLOOKUP(O86,PARAM!M:N,2,0),VLOOKUP(P86,PARAM!P:Q,2,0)),"")</f>
        <v>2412551631</v>
      </c>
      <c r="T86" s="18">
        <f t="shared" si="4"/>
        <v>10</v>
      </c>
      <c r="U86" s="18" t="str">
        <f t="shared" si="5"/>
        <v>MEDIAS DAMA TALONERA HOLALA VARIOS TALLA VA</v>
      </c>
    </row>
    <row r="87">
      <c r="A87" s="4">
        <v>36.0</v>
      </c>
      <c r="B87" s="4" t="s">
        <v>1570</v>
      </c>
      <c r="C87" s="1"/>
      <c r="D87" s="4" t="s">
        <v>1571</v>
      </c>
      <c r="E87" s="3">
        <v>1083.0</v>
      </c>
      <c r="F87" s="2">
        <f t="shared" si="2"/>
        <v>38988</v>
      </c>
      <c r="G87" s="65">
        <f t="shared" si="3"/>
        <v>2166</v>
      </c>
      <c r="H87" s="1"/>
      <c r="I87" s="1"/>
      <c r="J87" s="1"/>
      <c r="K87" s="66" t="s">
        <v>427</v>
      </c>
      <c r="L87" s="66" t="s">
        <v>426</v>
      </c>
      <c r="M87" s="66" t="s">
        <v>1060</v>
      </c>
      <c r="N87" s="18" t="s">
        <v>1148</v>
      </c>
      <c r="O87" s="66" t="s">
        <v>1069</v>
      </c>
      <c r="P87" s="67" t="s">
        <v>1070</v>
      </c>
      <c r="Q87" s="18" t="s">
        <v>526</v>
      </c>
      <c r="R87" s="68" t="str">
        <f>IFERROR(CONCATENATE("*",VLOOKUP(L87,PARAM!D:E,2,0),VLOOKUP(M87,PARAM!J:K,2,0),VLOOKUP(N87,PARAM!G:H,2,0),VLOOKUP(P87,PARAM!P:Q,2,0),"*"),"")</f>
        <v>*24125631*</v>
      </c>
      <c r="S87" s="18" t="str">
        <f>IFERROR(CONCATENATE(VLOOKUP(L87,PARAM!D:E,2,0),VLOOKUP(M87,PARAM!J:K,2,0),VLOOKUP(N87,PARAM!G:H,2,0),VLOOKUP(O87,PARAM!M:N,2,0),VLOOKUP(P87,PARAM!P:Q,2,0)),"")</f>
        <v>2412561631</v>
      </c>
      <c r="T87" s="18">
        <f t="shared" si="4"/>
        <v>10</v>
      </c>
      <c r="U87" s="18" t="str">
        <f t="shared" si="5"/>
        <v>MEDIAS DAMA TALONERA TOBILLERA VARIOS TALLA VA</v>
      </c>
    </row>
    <row r="88">
      <c r="A88" s="4">
        <v>12.0</v>
      </c>
      <c r="B88" s="4" t="s">
        <v>1572</v>
      </c>
      <c r="C88" s="1"/>
      <c r="D88" s="4" t="s">
        <v>1573</v>
      </c>
      <c r="E88" s="3">
        <v>2167.0</v>
      </c>
      <c r="F88" s="2">
        <f t="shared" si="2"/>
        <v>26004</v>
      </c>
      <c r="G88" s="65">
        <f t="shared" si="3"/>
        <v>4334</v>
      </c>
      <c r="H88" s="1"/>
      <c r="I88" s="1"/>
      <c r="J88" s="1"/>
      <c r="K88" s="66" t="s">
        <v>427</v>
      </c>
      <c r="L88" s="66" t="s">
        <v>426</v>
      </c>
      <c r="M88" s="66" t="s">
        <v>1060</v>
      </c>
      <c r="N88" s="18" t="s">
        <v>1149</v>
      </c>
      <c r="O88" s="66" t="s">
        <v>1069</v>
      </c>
      <c r="P88" s="67" t="s">
        <v>1070</v>
      </c>
      <c r="Q88" s="18" t="s">
        <v>526</v>
      </c>
      <c r="R88" s="68" t="str">
        <f>IFERROR(CONCATENATE("*",VLOOKUP(L88,PARAM!D:E,2,0),VLOOKUP(M88,PARAM!J:K,2,0),VLOOKUP(N88,PARAM!G:H,2,0),VLOOKUP(P88,PARAM!P:Q,2,0),"*"),"")</f>
        <v>*24113431*</v>
      </c>
      <c r="S88" s="18" t="str">
        <f>IFERROR(CONCATENATE(VLOOKUP(L88,PARAM!D:E,2,0),VLOOKUP(M88,PARAM!J:K,2,0),VLOOKUP(N88,PARAM!G:H,2,0),VLOOKUP(O88,PARAM!M:N,2,0),VLOOKUP(P88,PARAM!P:Q,2,0)),"")</f>
        <v>2411341631</v>
      </c>
      <c r="T88" s="18">
        <f t="shared" si="4"/>
        <v>10</v>
      </c>
      <c r="U88" s="18" t="str">
        <f t="shared" si="5"/>
        <v>MEDIAS DAMA FINA HOLALA VARIOS TALLA VA</v>
      </c>
    </row>
    <row r="89">
      <c r="A89" s="4">
        <v>12.0</v>
      </c>
      <c r="B89" s="4" t="s">
        <v>1574</v>
      </c>
      <c r="C89" s="1"/>
      <c r="D89" s="4" t="s">
        <v>1575</v>
      </c>
      <c r="E89" s="3">
        <v>2333.0</v>
      </c>
      <c r="F89" s="2">
        <f t="shared" si="2"/>
        <v>27996</v>
      </c>
      <c r="G89" s="65">
        <f t="shared" si="3"/>
        <v>4666</v>
      </c>
      <c r="H89" s="1"/>
      <c r="I89" s="1"/>
      <c r="J89" s="1"/>
      <c r="K89" s="66" t="s">
        <v>427</v>
      </c>
      <c r="L89" s="66" t="s">
        <v>426</v>
      </c>
      <c r="M89" s="66" t="s">
        <v>1060</v>
      </c>
      <c r="N89" s="18" t="s">
        <v>1150</v>
      </c>
      <c r="O89" s="66" t="s">
        <v>1069</v>
      </c>
      <c r="P89" s="67" t="s">
        <v>1070</v>
      </c>
      <c r="Q89" s="18" t="s">
        <v>526</v>
      </c>
      <c r="R89" s="68" t="str">
        <f>IFERROR(CONCATENATE("*",VLOOKUP(L89,PARAM!D:E,2,0),VLOOKUP(M89,PARAM!J:K,2,0),VLOOKUP(N89,PARAM!G:H,2,0),VLOOKUP(P89,PARAM!P:Q,2,0),"*"),"")</f>
        <v>*24118331*</v>
      </c>
      <c r="S89" s="18" t="str">
        <f>IFERROR(CONCATENATE(VLOOKUP(L89,PARAM!D:E,2,0),VLOOKUP(M89,PARAM!J:K,2,0),VLOOKUP(N89,PARAM!G:H,2,0),VLOOKUP(O89,PARAM!M:N,2,0),VLOOKUP(P89,PARAM!P:Q,2,0)),"")</f>
        <v>2411831631</v>
      </c>
      <c r="T89" s="18">
        <f t="shared" si="4"/>
        <v>10</v>
      </c>
      <c r="U89" s="18" t="str">
        <f t="shared" si="5"/>
        <v>MEDIAS DAMA MARCADA HOLALA VARIOS TALLA VA</v>
      </c>
    </row>
    <row r="90">
      <c r="A90" s="4">
        <v>12.0</v>
      </c>
      <c r="B90" s="4" t="s">
        <v>1576</v>
      </c>
      <c r="C90" s="1"/>
      <c r="D90" s="4" t="s">
        <v>1577</v>
      </c>
      <c r="E90" s="3">
        <v>2000.0</v>
      </c>
      <c r="F90" s="2">
        <f t="shared" si="2"/>
        <v>24000</v>
      </c>
      <c r="G90" s="65">
        <f t="shared" si="3"/>
        <v>4000</v>
      </c>
      <c r="H90" s="1"/>
      <c r="I90" s="1"/>
      <c r="J90" s="1"/>
      <c r="K90" s="66" t="s">
        <v>427</v>
      </c>
      <c r="L90" s="66" t="s">
        <v>426</v>
      </c>
      <c r="M90" s="66" t="s">
        <v>1080</v>
      </c>
      <c r="N90" s="18" t="s">
        <v>1151</v>
      </c>
      <c r="O90" s="66" t="s">
        <v>1066</v>
      </c>
      <c r="P90" s="67" t="s">
        <v>1070</v>
      </c>
      <c r="Q90" s="18" t="s">
        <v>526</v>
      </c>
      <c r="R90" s="68" t="str">
        <f>IFERROR(CONCATENATE("*",VLOOKUP(L90,PARAM!D:E,2,0),VLOOKUP(M90,PARAM!J:K,2,0),VLOOKUP(N90,PARAM!G:H,2,0),VLOOKUP(P90,PARAM!P:Q,2,0),"*"),"")</f>
        <v>*242331*</v>
      </c>
      <c r="S90" s="18" t="str">
        <f>IFERROR(CONCATENATE(VLOOKUP(L90,PARAM!D:E,2,0),VLOOKUP(M90,PARAM!J:K,2,0),VLOOKUP(N90,PARAM!G:H,2,0),VLOOKUP(O90,PARAM!M:N,2,0),VLOOKUP(P90,PARAM!P:Q,2,0)),"")</f>
        <v>24231231</v>
      </c>
      <c r="T90" s="18">
        <f t="shared" si="4"/>
        <v>8</v>
      </c>
      <c r="U90" s="18" t="str">
        <f t="shared" si="5"/>
        <v>MEDIAS CABALLERO 3/4 VALANT NEGRO TALLA VA</v>
      </c>
    </row>
    <row r="91">
      <c r="A91" s="4">
        <v>12.0</v>
      </c>
      <c r="B91" s="4" t="s">
        <v>1578</v>
      </c>
      <c r="C91" s="1"/>
      <c r="D91" s="4" t="s">
        <v>1579</v>
      </c>
      <c r="E91" s="3">
        <v>3167.0</v>
      </c>
      <c r="F91" s="2">
        <f t="shared" si="2"/>
        <v>38004</v>
      </c>
      <c r="G91" s="65">
        <f t="shared" si="3"/>
        <v>6334</v>
      </c>
      <c r="H91" s="1"/>
      <c r="I91" s="1"/>
      <c r="J91" s="1"/>
      <c r="K91" s="66" t="s">
        <v>427</v>
      </c>
      <c r="L91" s="66" t="s">
        <v>426</v>
      </c>
      <c r="M91" s="66" t="s">
        <v>1080</v>
      </c>
      <c r="N91" s="18" t="s">
        <v>1152</v>
      </c>
      <c r="O91" s="66" t="s">
        <v>1069</v>
      </c>
      <c r="P91" s="67" t="s">
        <v>1070</v>
      </c>
      <c r="Q91" s="18" t="s">
        <v>526</v>
      </c>
      <c r="R91" s="68" t="str">
        <f>IFERROR(CONCATENATE("*",VLOOKUP(L91,PARAM!D:E,2,0),VLOOKUP(M91,PARAM!J:K,2,0),VLOOKUP(N91,PARAM!G:H,2,0),VLOOKUP(P91,PARAM!P:Q,2,0),"*"),"")</f>
        <v>*24216531*</v>
      </c>
      <c r="S91" s="18" t="str">
        <f>IFERROR(CONCATENATE(VLOOKUP(L91,PARAM!D:E,2,0),VLOOKUP(M91,PARAM!J:K,2,0),VLOOKUP(N91,PARAM!G:H,2,0),VLOOKUP(O91,PARAM!M:N,2,0),VLOOKUP(P91,PARAM!P:Q,2,0)),"")</f>
        <v>2421651631</v>
      </c>
      <c r="T91" s="18">
        <f t="shared" si="4"/>
        <v>10</v>
      </c>
      <c r="U91" s="18" t="str">
        <f t="shared" si="5"/>
        <v>MEDIAS CABALLERO LARGA HOLALA VARIOS TALLA VA</v>
      </c>
    </row>
    <row r="92">
      <c r="A92" s="4">
        <v>12.0</v>
      </c>
      <c r="B92" s="4" t="s">
        <v>1580</v>
      </c>
      <c r="C92" s="1"/>
      <c r="D92" s="4" t="s">
        <v>1581</v>
      </c>
      <c r="E92" s="3">
        <v>1500.0</v>
      </c>
      <c r="F92" s="2">
        <f t="shared" si="2"/>
        <v>18000</v>
      </c>
      <c r="G92" s="65">
        <f t="shared" si="3"/>
        <v>3000</v>
      </c>
      <c r="H92" s="1"/>
      <c r="I92" s="1"/>
      <c r="J92" s="1"/>
      <c r="K92" s="66" t="s">
        <v>427</v>
      </c>
      <c r="L92" s="66" t="s">
        <v>426</v>
      </c>
      <c r="M92" s="66" t="s">
        <v>1080</v>
      </c>
      <c r="N92" s="18" t="s">
        <v>1153</v>
      </c>
      <c r="O92" s="66" t="s">
        <v>1069</v>
      </c>
      <c r="P92" s="67" t="s">
        <v>503</v>
      </c>
      <c r="Q92" s="18" t="s">
        <v>526</v>
      </c>
      <c r="R92" s="68" t="str">
        <f>IFERROR(CONCATENATE("*",VLOOKUP(L92,PARAM!D:E,2,0),VLOOKUP(M92,PARAM!J:K,2,0),VLOOKUP(N92,PARAM!G:H,2,0),VLOOKUP(P92,PARAM!P:Q,2,0),"*"),"")</f>
        <v>*2422640*</v>
      </c>
      <c r="S92" s="18" t="str">
        <f>IFERROR(CONCATENATE(VLOOKUP(L92,PARAM!D:E,2,0),VLOOKUP(M92,PARAM!J:K,2,0),VLOOKUP(N92,PARAM!G:H,2,0),VLOOKUP(O92,PARAM!M:N,2,0),VLOOKUP(P92,PARAM!P:Q,2,0)),"")</f>
        <v>242264160</v>
      </c>
      <c r="T92" s="18">
        <f t="shared" si="4"/>
        <v>9</v>
      </c>
      <c r="U92" s="18" t="str">
        <f t="shared" si="5"/>
        <v>MEDIAS CABALLERO TOBILLERA COTLINE VARIOS</v>
      </c>
    </row>
    <row r="93">
      <c r="A93" s="4">
        <v>12.0</v>
      </c>
      <c r="B93" s="4" t="s">
        <v>1582</v>
      </c>
      <c r="C93" s="1"/>
      <c r="D93" s="4" t="s">
        <v>1583</v>
      </c>
      <c r="E93" s="3">
        <v>2667.0</v>
      </c>
      <c r="F93" s="2">
        <f t="shared" si="2"/>
        <v>32004</v>
      </c>
      <c r="G93" s="65">
        <f t="shared" si="3"/>
        <v>5334</v>
      </c>
      <c r="H93" s="1"/>
      <c r="I93" s="1"/>
      <c r="J93" s="1"/>
      <c r="K93" s="66" t="s">
        <v>427</v>
      </c>
      <c r="L93" s="66" t="s">
        <v>426</v>
      </c>
      <c r="M93" s="66" t="s">
        <v>1080</v>
      </c>
      <c r="N93" s="18" t="s">
        <v>1154</v>
      </c>
      <c r="O93" s="66" t="s">
        <v>1069</v>
      </c>
      <c r="P93" s="67" t="s">
        <v>503</v>
      </c>
      <c r="Q93" s="18" t="s">
        <v>526</v>
      </c>
      <c r="R93" s="68" t="str">
        <f>IFERROR(CONCATENATE("*",VLOOKUP(L93,PARAM!D:E,2,0),VLOOKUP(M93,PARAM!J:K,2,0),VLOOKUP(N93,PARAM!G:H,2,0),VLOOKUP(P93,PARAM!P:Q,2,0),"*"),"")</f>
        <v>*242760*</v>
      </c>
      <c r="S93" s="18" t="str">
        <f>IFERROR(CONCATENATE(VLOOKUP(L93,PARAM!D:E,2,0),VLOOKUP(M93,PARAM!J:K,2,0),VLOOKUP(N93,PARAM!G:H,2,0),VLOOKUP(O93,PARAM!M:N,2,0),VLOOKUP(P93,PARAM!P:Q,2,0)),"")</f>
        <v>24276160</v>
      </c>
      <c r="T93" s="18">
        <f t="shared" si="4"/>
        <v>8</v>
      </c>
      <c r="U93" s="18" t="str">
        <f t="shared" si="5"/>
        <v>MEDIAS CABALLERO CLASICA FINA VARIOS</v>
      </c>
    </row>
    <row r="94">
      <c r="A94" s="4">
        <v>12.0</v>
      </c>
      <c r="B94" s="4" t="s">
        <v>1584</v>
      </c>
      <c r="C94" s="1"/>
      <c r="D94" s="4" t="s">
        <v>1585</v>
      </c>
      <c r="E94" s="3">
        <v>1500.0</v>
      </c>
      <c r="F94" s="2">
        <f t="shared" si="2"/>
        <v>18000</v>
      </c>
      <c r="G94" s="65">
        <f t="shared" si="3"/>
        <v>3000</v>
      </c>
      <c r="H94" s="1"/>
      <c r="I94" s="1"/>
      <c r="J94" s="1"/>
      <c r="K94" s="66" t="s">
        <v>427</v>
      </c>
      <c r="L94" s="66" t="s">
        <v>426</v>
      </c>
      <c r="M94" s="66" t="s">
        <v>1080</v>
      </c>
      <c r="N94" s="66" t="s">
        <v>1155</v>
      </c>
      <c r="O94" s="66" t="s">
        <v>1069</v>
      </c>
      <c r="P94" s="67" t="s">
        <v>503</v>
      </c>
      <c r="Q94" s="18" t="s">
        <v>526</v>
      </c>
      <c r="R94" s="68" t="str">
        <f>IFERROR(CONCATENATE("*",VLOOKUP(L94,PARAM!D:E,2,0),VLOOKUP(M94,PARAM!J:K,2,0),VLOOKUP(N94,PARAM!G:H,2,0),VLOOKUP(P94,PARAM!P:Q,2,0),"*"),"")</f>
        <v>*242770*</v>
      </c>
      <c r="S94" s="18" t="str">
        <f>IFERROR(CONCATENATE(VLOOKUP(L94,PARAM!D:E,2,0),VLOOKUP(M94,PARAM!J:K,2,0),VLOOKUP(N94,PARAM!G:H,2,0),VLOOKUP(O94,PARAM!M:N,2,0),VLOOKUP(P94,PARAM!P:Q,2,0)),"")</f>
        <v>24277160</v>
      </c>
      <c r="T94" s="18">
        <f t="shared" si="4"/>
        <v>8</v>
      </c>
      <c r="U94" s="18" t="str">
        <f t="shared" si="5"/>
        <v>MEDIAS CABALLERO CLASICAS VARIOS</v>
      </c>
    </row>
    <row r="95">
      <c r="A95" s="4">
        <v>12.0</v>
      </c>
      <c r="B95" s="4" t="s">
        <v>1586</v>
      </c>
      <c r="C95" s="1"/>
      <c r="D95" s="4" t="s">
        <v>1587</v>
      </c>
      <c r="E95" s="3">
        <v>2000.0</v>
      </c>
      <c r="F95" s="2">
        <f t="shared" si="2"/>
        <v>24000</v>
      </c>
      <c r="G95" s="65">
        <f t="shared" si="3"/>
        <v>4000</v>
      </c>
      <c r="H95" s="1"/>
      <c r="I95" s="1"/>
      <c r="J95" s="1"/>
      <c r="K95" s="66" t="s">
        <v>427</v>
      </c>
      <c r="L95" s="66" t="s">
        <v>426</v>
      </c>
      <c r="M95" s="66" t="s">
        <v>1080</v>
      </c>
      <c r="N95" s="18" t="s">
        <v>1156</v>
      </c>
      <c r="O95" s="66" t="s">
        <v>1069</v>
      </c>
      <c r="P95" s="67" t="s">
        <v>503</v>
      </c>
      <c r="Q95" s="18" t="s">
        <v>526</v>
      </c>
      <c r="R95" s="68" t="str">
        <f>IFERROR(CONCATENATE("*",VLOOKUP(L95,PARAM!D:E,2,0),VLOOKUP(M95,PARAM!J:K,2,0),VLOOKUP(N95,PARAM!G:H,2,0),VLOOKUP(P95,PARAM!P:Q,2,0),"*"),"")</f>
        <v>*2422650*</v>
      </c>
      <c r="S95" s="18" t="str">
        <f>IFERROR(CONCATENATE(VLOOKUP(L95,PARAM!D:E,2,0),VLOOKUP(M95,PARAM!J:K,2,0),VLOOKUP(N95,PARAM!G:H,2,0),VLOOKUP(O95,PARAM!M:N,2,0),VLOOKUP(P95,PARAM!P:Q,2,0)),"")</f>
        <v>242265160</v>
      </c>
      <c r="T95" s="18">
        <f t="shared" si="4"/>
        <v>9</v>
      </c>
      <c r="U95" s="18" t="str">
        <f t="shared" si="5"/>
        <v>MEDIAS CABALLERO TOBILLERA GRUESA VARIOS</v>
      </c>
    </row>
    <row r="96">
      <c r="A96" s="4">
        <v>12.0</v>
      </c>
      <c r="B96" s="4" t="s">
        <v>1588</v>
      </c>
      <c r="C96" s="1"/>
      <c r="D96" s="4" t="s">
        <v>1589</v>
      </c>
      <c r="E96" s="3">
        <v>2000.0</v>
      </c>
      <c r="F96" s="2">
        <f t="shared" si="2"/>
        <v>24000</v>
      </c>
      <c r="G96" s="65">
        <f t="shared" si="3"/>
        <v>4000</v>
      </c>
      <c r="H96" s="1"/>
      <c r="I96" s="1"/>
      <c r="J96" s="1"/>
      <c r="K96" s="66" t="s">
        <v>427</v>
      </c>
      <c r="L96" s="66" t="s">
        <v>426</v>
      </c>
      <c r="M96" s="66" t="s">
        <v>1080</v>
      </c>
      <c r="N96" s="66" t="s">
        <v>1157</v>
      </c>
      <c r="O96" s="66" t="s">
        <v>1069</v>
      </c>
      <c r="P96" s="67" t="s">
        <v>503</v>
      </c>
      <c r="Q96" s="18" t="s">
        <v>526</v>
      </c>
      <c r="R96" s="68" t="str">
        <f>IFERROR(CONCATENATE("*",VLOOKUP(L96,PARAM!D:E,2,0),VLOOKUP(M96,PARAM!J:K,2,0),VLOOKUP(N96,PARAM!G:H,2,0),VLOOKUP(P96,PARAM!P:Q,2,0),"*"),"")</f>
        <v>*2422590*</v>
      </c>
      <c r="S96" s="18" t="str">
        <f>IFERROR(CONCATENATE(VLOOKUP(L96,PARAM!D:E,2,0),VLOOKUP(M96,PARAM!J:K,2,0),VLOOKUP(N96,PARAM!G:H,2,0),VLOOKUP(O96,PARAM!M:N,2,0),VLOOKUP(P96,PARAM!P:Q,2,0)),"")</f>
        <v>242259160</v>
      </c>
      <c r="T96" s="18">
        <f t="shared" si="4"/>
        <v>9</v>
      </c>
      <c r="U96" s="18" t="str">
        <f t="shared" si="5"/>
        <v>MEDIAS CABALLERO TERCO NYLON VARIOS</v>
      </c>
    </row>
    <row r="97">
      <c r="A97" s="64">
        <v>2.0</v>
      </c>
      <c r="B97" s="4" t="s">
        <v>1590</v>
      </c>
      <c r="C97" s="1"/>
      <c r="D97" s="4" t="s">
        <v>1591</v>
      </c>
      <c r="E97" s="3">
        <v>35000.0</v>
      </c>
      <c r="F97" s="2">
        <f t="shared" si="2"/>
        <v>70000</v>
      </c>
      <c r="G97" s="65">
        <f t="shared" si="3"/>
        <v>70000</v>
      </c>
      <c r="H97" s="1"/>
      <c r="I97" s="1"/>
      <c r="J97" s="1"/>
      <c r="K97" s="66" t="s">
        <v>1058</v>
      </c>
      <c r="L97" s="66" t="s">
        <v>1158</v>
      </c>
      <c r="M97" s="66" t="s">
        <v>1060</v>
      </c>
      <c r="N97" s="66" t="s">
        <v>1159</v>
      </c>
      <c r="O97" s="66" t="s">
        <v>1069</v>
      </c>
      <c r="P97" s="67" t="s">
        <v>1077</v>
      </c>
      <c r="Q97" s="18" t="s">
        <v>539</v>
      </c>
      <c r="R97" s="68" t="str">
        <f>IFERROR(CONCATENATE("*",VLOOKUP(L97,PARAM!D:E,2,0),VLOOKUP(M97,PARAM!J:K,2,0),VLOOKUP(N97,PARAM!G:H,2,0),VLOOKUP(P97,PARAM!P:Q,2,0),"*"),"")</f>
        <v>*2118432*</v>
      </c>
      <c r="S97" s="18" t="str">
        <f>IFERROR(CONCATENATE(VLOOKUP(L97,PARAM!D:E,2,0),VLOOKUP(M97,PARAM!J:K,2,0),VLOOKUP(N97,PARAM!G:H,2,0),VLOOKUP(O97,PARAM!M:N,2,0),VLOOKUP(P97,PARAM!P:Q,2,0)),"")</f>
        <v>211841632</v>
      </c>
      <c r="T97" s="18">
        <f t="shared" si="4"/>
        <v>9</v>
      </c>
      <c r="U97" s="18" t="str">
        <f t="shared" si="5"/>
        <v>PANTALONES DAMA MARIPOSA VARIOS TALLA XL</v>
      </c>
    </row>
    <row r="98">
      <c r="A98" s="64">
        <v>2.0</v>
      </c>
      <c r="B98" s="4" t="s">
        <v>1592</v>
      </c>
      <c r="C98" s="1"/>
      <c r="D98" s="4" t="s">
        <v>1591</v>
      </c>
      <c r="E98" s="3">
        <v>35000.0</v>
      </c>
      <c r="F98" s="2">
        <f t="shared" si="2"/>
        <v>70000</v>
      </c>
      <c r="G98" s="65">
        <f t="shared" si="3"/>
        <v>70000</v>
      </c>
      <c r="H98" s="1"/>
      <c r="I98" s="1"/>
      <c r="J98" s="1"/>
      <c r="K98" s="66" t="s">
        <v>1058</v>
      </c>
      <c r="L98" s="66" t="s">
        <v>1158</v>
      </c>
      <c r="M98" s="66" t="s">
        <v>1060</v>
      </c>
      <c r="N98" s="66" t="s">
        <v>1159</v>
      </c>
      <c r="O98" s="66" t="s">
        <v>1069</v>
      </c>
      <c r="P98" s="67" t="s">
        <v>1103</v>
      </c>
      <c r="Q98" s="18" t="s">
        <v>539</v>
      </c>
      <c r="R98" s="68" t="str">
        <f>IFERROR(CONCATENATE("*",VLOOKUP(L98,PARAM!D:E,2,0),VLOOKUP(M98,PARAM!J:K,2,0),VLOOKUP(N98,PARAM!G:H,2,0),VLOOKUP(P98,PARAM!P:Q,2,0),"*"),"")</f>
        <v>*2118430*</v>
      </c>
      <c r="S98" s="18" t="str">
        <f>IFERROR(CONCATENATE(VLOOKUP(L98,PARAM!D:E,2,0),VLOOKUP(M98,PARAM!J:K,2,0),VLOOKUP(N98,PARAM!G:H,2,0),VLOOKUP(O98,PARAM!M:N,2,0),VLOOKUP(P98,PARAM!P:Q,2,0)),"")</f>
        <v>211841630</v>
      </c>
      <c r="T98" s="18">
        <f t="shared" si="4"/>
        <v>9</v>
      </c>
      <c r="U98" s="18" t="str">
        <f t="shared" si="5"/>
        <v>PANTALONES DAMA MARIPOSA VARIOS TALLA UN</v>
      </c>
    </row>
    <row r="99">
      <c r="A99" s="64">
        <v>2.0</v>
      </c>
      <c r="B99" s="4" t="s">
        <v>1593</v>
      </c>
      <c r="C99" s="1"/>
      <c r="D99" s="4" t="s">
        <v>1594</v>
      </c>
      <c r="E99" s="3">
        <v>42000.0</v>
      </c>
      <c r="F99" s="2">
        <f t="shared" si="2"/>
        <v>84000</v>
      </c>
      <c r="G99" s="65">
        <f t="shared" si="3"/>
        <v>84000</v>
      </c>
      <c r="H99" s="1"/>
      <c r="I99" s="1"/>
      <c r="J99" s="1"/>
      <c r="K99" s="66" t="s">
        <v>1058</v>
      </c>
      <c r="L99" s="66" t="s">
        <v>1158</v>
      </c>
      <c r="M99" s="66" t="s">
        <v>1060</v>
      </c>
      <c r="N99" s="66" t="s">
        <v>1160</v>
      </c>
      <c r="O99" s="66" t="s">
        <v>1069</v>
      </c>
      <c r="P99" s="67" t="s">
        <v>1077</v>
      </c>
      <c r="Q99" s="18" t="s">
        <v>539</v>
      </c>
      <c r="R99" s="68" t="str">
        <f>IFERROR(CONCATENATE("*",VLOOKUP(L99,PARAM!D:E,2,0),VLOOKUP(M99,PARAM!J:K,2,0),VLOOKUP(N99,PARAM!G:H,2,0),VLOOKUP(P99,PARAM!P:Q,2,0),"*"),"")</f>
        <v>*2124032*</v>
      </c>
      <c r="S99" s="18" t="str">
        <f>IFERROR(CONCATENATE(VLOOKUP(L99,PARAM!D:E,2,0),VLOOKUP(M99,PARAM!J:K,2,0),VLOOKUP(N99,PARAM!G:H,2,0),VLOOKUP(O99,PARAM!M:N,2,0),VLOOKUP(P99,PARAM!P:Q,2,0)),"")</f>
        <v>212401632</v>
      </c>
      <c r="T99" s="18">
        <f t="shared" si="4"/>
        <v>9</v>
      </c>
      <c r="U99" s="18" t="str">
        <f t="shared" si="5"/>
        <v>PANTALONES DAMA ROMA VARIOS TALLA XL</v>
      </c>
    </row>
    <row r="100">
      <c r="A100" s="64">
        <v>2.0</v>
      </c>
      <c r="B100" s="4" t="s">
        <v>1595</v>
      </c>
      <c r="C100" s="1"/>
      <c r="D100" s="4" t="s">
        <v>1594</v>
      </c>
      <c r="E100" s="3">
        <v>42000.0</v>
      </c>
      <c r="F100" s="2">
        <f t="shared" si="2"/>
        <v>84000</v>
      </c>
      <c r="G100" s="65">
        <f t="shared" si="3"/>
        <v>84000</v>
      </c>
      <c r="H100" s="1"/>
      <c r="I100" s="1"/>
      <c r="J100" s="1"/>
      <c r="K100" s="66" t="s">
        <v>1058</v>
      </c>
      <c r="L100" s="66" t="s">
        <v>1158</v>
      </c>
      <c r="M100" s="66" t="s">
        <v>1060</v>
      </c>
      <c r="N100" s="66" t="s">
        <v>1160</v>
      </c>
      <c r="O100" s="66" t="s">
        <v>1069</v>
      </c>
      <c r="P100" s="67" t="s">
        <v>1103</v>
      </c>
      <c r="Q100" s="18" t="s">
        <v>539</v>
      </c>
      <c r="R100" s="68" t="str">
        <f>IFERROR(CONCATENATE("*",VLOOKUP(L100,PARAM!D:E,2,0),VLOOKUP(M100,PARAM!J:K,2,0),VLOOKUP(N100,PARAM!G:H,2,0),VLOOKUP(P100,PARAM!P:Q,2,0),"*"),"")</f>
        <v>*2124030*</v>
      </c>
      <c r="S100" s="18" t="str">
        <f>IFERROR(CONCATENATE(VLOOKUP(L100,PARAM!D:E,2,0),VLOOKUP(M100,PARAM!J:K,2,0),VLOOKUP(N100,PARAM!G:H,2,0),VLOOKUP(O100,PARAM!M:N,2,0),VLOOKUP(P100,PARAM!P:Q,2,0)),"")</f>
        <v>212401630</v>
      </c>
      <c r="T100" s="18">
        <f t="shared" si="4"/>
        <v>9</v>
      </c>
      <c r="U100" s="18" t="str">
        <f t="shared" si="5"/>
        <v>PANTALONES DAMA ROMA VARIOS TALLA UN</v>
      </c>
    </row>
    <row r="101">
      <c r="A101" s="64">
        <v>3.0</v>
      </c>
      <c r="B101" s="4" t="s">
        <v>1596</v>
      </c>
      <c r="C101" s="1"/>
      <c r="D101" s="4" t="s">
        <v>1597</v>
      </c>
      <c r="E101" s="3">
        <v>35000.0</v>
      </c>
      <c r="F101" s="2">
        <f t="shared" si="2"/>
        <v>105000</v>
      </c>
      <c r="G101" s="65">
        <f t="shared" si="3"/>
        <v>70000</v>
      </c>
      <c r="H101" s="1"/>
      <c r="I101" s="1"/>
      <c r="J101" s="1"/>
      <c r="K101" s="66" t="s">
        <v>1058</v>
      </c>
      <c r="L101" s="66" t="s">
        <v>1158</v>
      </c>
      <c r="M101" s="66" t="s">
        <v>1060</v>
      </c>
      <c r="N101" s="66" t="s">
        <v>1161</v>
      </c>
      <c r="O101" s="66" t="s">
        <v>1069</v>
      </c>
      <c r="P101" s="67" t="s">
        <v>1103</v>
      </c>
      <c r="Q101" s="18" t="s">
        <v>539</v>
      </c>
      <c r="R101" s="68" t="str">
        <f>IFERROR(CONCATENATE("*",VLOOKUP(L101,PARAM!D:E,2,0),VLOOKUP(M101,PARAM!J:K,2,0),VLOOKUP(N101,PARAM!G:H,2,0),VLOOKUP(P101,PARAM!P:Q,2,0),"*"),"")</f>
        <v>*2113730*</v>
      </c>
      <c r="S101" s="18" t="str">
        <f>IFERROR(CONCATENATE(VLOOKUP(L101,PARAM!D:E,2,0),VLOOKUP(M101,PARAM!J:K,2,0),VLOOKUP(N101,PARAM!G:H,2,0),VLOOKUP(O101,PARAM!M:N,2,0),VLOOKUP(P101,PARAM!P:Q,2,0)),"")</f>
        <v>211371630</v>
      </c>
      <c r="T101" s="18">
        <f t="shared" si="4"/>
        <v>9</v>
      </c>
      <c r="U101" s="18" t="str">
        <f t="shared" si="5"/>
        <v>PANTALONES DAMA GAMUSA VARIOS TALLA UN</v>
      </c>
    </row>
    <row r="102">
      <c r="A102" s="64">
        <v>3.0</v>
      </c>
      <c r="B102" s="4" t="s">
        <v>1598</v>
      </c>
      <c r="C102" s="1"/>
      <c r="D102" s="4" t="s">
        <v>1597</v>
      </c>
      <c r="E102" s="3">
        <v>35000.0</v>
      </c>
      <c r="F102" s="2">
        <f t="shared" si="2"/>
        <v>105000</v>
      </c>
      <c r="G102" s="65">
        <f t="shared" si="3"/>
        <v>70000</v>
      </c>
      <c r="H102" s="1"/>
      <c r="I102" s="1"/>
      <c r="J102" s="1"/>
      <c r="K102" s="66" t="s">
        <v>1058</v>
      </c>
      <c r="L102" s="66" t="s">
        <v>1158</v>
      </c>
      <c r="M102" s="66" t="s">
        <v>1060</v>
      </c>
      <c r="N102" s="66" t="s">
        <v>1161</v>
      </c>
      <c r="O102" s="66" t="s">
        <v>1069</v>
      </c>
      <c r="P102" s="67" t="s">
        <v>1077</v>
      </c>
      <c r="Q102" s="18" t="s">
        <v>539</v>
      </c>
      <c r="R102" s="68" t="str">
        <f>IFERROR(CONCATENATE("*",VLOOKUP(L102,PARAM!D:E,2,0),VLOOKUP(M102,PARAM!J:K,2,0),VLOOKUP(N102,PARAM!G:H,2,0),VLOOKUP(P102,PARAM!P:Q,2,0),"*"),"")</f>
        <v>*2113732*</v>
      </c>
      <c r="S102" s="18" t="str">
        <f>IFERROR(CONCATENATE(VLOOKUP(L102,PARAM!D:E,2,0),VLOOKUP(M102,PARAM!J:K,2,0),VLOOKUP(N102,PARAM!G:H,2,0),VLOOKUP(O102,PARAM!M:N,2,0),VLOOKUP(P102,PARAM!P:Q,2,0)),"")</f>
        <v>211371632</v>
      </c>
      <c r="T102" s="18">
        <f t="shared" si="4"/>
        <v>9</v>
      </c>
      <c r="U102" s="18" t="str">
        <f t="shared" si="5"/>
        <v>PANTALONES DAMA GAMUSA VARIOS TALLA XL</v>
      </c>
    </row>
    <row r="103">
      <c r="A103" s="64">
        <v>1.0</v>
      </c>
      <c r="B103" s="4" t="s">
        <v>1599</v>
      </c>
      <c r="C103" s="1"/>
      <c r="D103" s="4" t="s">
        <v>1600</v>
      </c>
      <c r="E103" s="3">
        <v>50000.0</v>
      </c>
      <c r="F103" s="2">
        <f t="shared" si="2"/>
        <v>50000</v>
      </c>
      <c r="G103" s="65">
        <f t="shared" si="3"/>
        <v>100000</v>
      </c>
      <c r="H103" s="1"/>
      <c r="I103" s="1"/>
      <c r="J103" s="1"/>
      <c r="K103" s="66" t="s">
        <v>1078</v>
      </c>
      <c r="L103" s="66" t="s">
        <v>1162</v>
      </c>
      <c r="M103" s="66" t="s">
        <v>1080</v>
      </c>
      <c r="N103" s="66" t="s">
        <v>1163</v>
      </c>
      <c r="O103" s="66" t="s">
        <v>1069</v>
      </c>
      <c r="P103" s="67" t="s">
        <v>1077</v>
      </c>
      <c r="Q103" s="18" t="s">
        <v>546</v>
      </c>
      <c r="R103" s="68" t="str">
        <f>IFERROR(CONCATENATE("*",VLOOKUP(L103,PARAM!D:E,2,0),VLOOKUP(M103,PARAM!J:K,2,0),VLOOKUP(N103,PARAM!G:H,2,0),VLOOKUP(P103,PARAM!P:Q,2,0),"*"),"")</f>
        <v>*25215332*</v>
      </c>
      <c r="S103" s="18" t="str">
        <f>IFERROR(CONCATENATE(VLOOKUP(L103,PARAM!D:E,2,0),VLOOKUP(M103,PARAM!J:K,2,0),VLOOKUP(N103,PARAM!G:H,2,0),VLOOKUP(O103,PARAM!M:N,2,0),VLOOKUP(P103,PARAM!P:Q,2,0)),"")</f>
        <v>2521531632</v>
      </c>
      <c r="T103" s="18">
        <f t="shared" si="4"/>
        <v>10</v>
      </c>
      <c r="U103" s="18" t="str">
        <f t="shared" si="5"/>
        <v>CHAQUETAS CABALLERO JEAN CLASICA VARIOS TALLA XL</v>
      </c>
    </row>
    <row r="104">
      <c r="A104" s="64">
        <v>1.0</v>
      </c>
      <c r="B104" s="4" t="s">
        <v>1599</v>
      </c>
      <c r="C104" s="1"/>
      <c r="D104" s="4" t="s">
        <v>1600</v>
      </c>
      <c r="E104" s="3">
        <v>50000.0</v>
      </c>
      <c r="F104" s="2">
        <f t="shared" si="2"/>
        <v>50000</v>
      </c>
      <c r="G104" s="65">
        <f t="shared" si="3"/>
        <v>100000</v>
      </c>
      <c r="H104" s="1"/>
      <c r="I104" s="1"/>
      <c r="J104" s="1"/>
      <c r="K104" s="66" t="s">
        <v>1078</v>
      </c>
      <c r="L104" s="66" t="s">
        <v>1162</v>
      </c>
      <c r="M104" s="66" t="s">
        <v>1080</v>
      </c>
      <c r="N104" s="66" t="s">
        <v>1163</v>
      </c>
      <c r="O104" s="66" t="s">
        <v>1069</v>
      </c>
      <c r="P104" s="67" t="s">
        <v>1164</v>
      </c>
      <c r="Q104" s="18" t="s">
        <v>546</v>
      </c>
      <c r="R104" s="68" t="str">
        <f>IFERROR(CONCATENATE("*",VLOOKUP(L104,PARAM!D:E,2,0),VLOOKUP(M104,PARAM!J:K,2,0),VLOOKUP(N104,PARAM!G:H,2,0),VLOOKUP(P104,PARAM!P:Q,2,0),"*"),"")</f>
        <v>*25215325*</v>
      </c>
      <c r="S104" s="18" t="str">
        <f>IFERROR(CONCATENATE(VLOOKUP(L104,PARAM!D:E,2,0),VLOOKUP(M104,PARAM!J:K,2,0),VLOOKUP(N104,PARAM!G:H,2,0),VLOOKUP(O104,PARAM!M:N,2,0),VLOOKUP(P104,PARAM!P:Q,2,0)),"")</f>
        <v>2521531625</v>
      </c>
      <c r="T104" s="18">
        <f t="shared" si="4"/>
        <v>10</v>
      </c>
      <c r="U104" s="18" t="str">
        <f t="shared" si="5"/>
        <v>CHAQUETAS CABALLERO JEAN CLASICA VARIOS TALLA M</v>
      </c>
    </row>
    <row r="105">
      <c r="A105" s="64">
        <v>1.0</v>
      </c>
      <c r="B105" s="4" t="s">
        <v>1599</v>
      </c>
      <c r="C105" s="1"/>
      <c r="D105" s="4" t="s">
        <v>1600</v>
      </c>
      <c r="E105" s="3">
        <v>50000.0</v>
      </c>
      <c r="F105" s="2">
        <f t="shared" si="2"/>
        <v>50000</v>
      </c>
      <c r="G105" s="65">
        <f t="shared" si="3"/>
        <v>100000</v>
      </c>
      <c r="H105" s="1"/>
      <c r="I105" s="1"/>
      <c r="J105" s="1"/>
      <c r="K105" s="66" t="s">
        <v>1078</v>
      </c>
      <c r="L105" s="66" t="s">
        <v>1162</v>
      </c>
      <c r="M105" s="66" t="s">
        <v>1080</v>
      </c>
      <c r="N105" s="66" t="s">
        <v>1163</v>
      </c>
      <c r="O105" s="66" t="s">
        <v>1069</v>
      </c>
      <c r="P105" s="67" t="s">
        <v>1165</v>
      </c>
      <c r="Q105" s="18" t="s">
        <v>546</v>
      </c>
      <c r="R105" s="68" t="str">
        <f>IFERROR(CONCATENATE("*",VLOOKUP(L105,PARAM!D:E,2,0),VLOOKUP(M105,PARAM!J:K,2,0),VLOOKUP(N105,PARAM!G:H,2,0),VLOOKUP(P105,PARAM!P:Q,2,0),"*"),"")</f>
        <v>*25215323*</v>
      </c>
      <c r="S105" s="18" t="str">
        <f>IFERROR(CONCATENATE(VLOOKUP(L105,PARAM!D:E,2,0),VLOOKUP(M105,PARAM!J:K,2,0),VLOOKUP(N105,PARAM!G:H,2,0),VLOOKUP(O105,PARAM!M:N,2,0),VLOOKUP(P105,PARAM!P:Q,2,0)),"")</f>
        <v>2521531623</v>
      </c>
      <c r="T105" s="18">
        <f t="shared" si="4"/>
        <v>10</v>
      </c>
      <c r="U105" s="18" t="str">
        <f t="shared" si="5"/>
        <v>CHAQUETAS CABALLERO JEAN CLASICA VARIOS TALLA L</v>
      </c>
    </row>
    <row r="106">
      <c r="A106" s="64">
        <v>1.0</v>
      </c>
      <c r="B106" s="4" t="s">
        <v>1601</v>
      </c>
      <c r="C106" s="1"/>
      <c r="D106" s="4" t="s">
        <v>1602</v>
      </c>
      <c r="E106" s="3">
        <v>55000.0</v>
      </c>
      <c r="F106" s="2">
        <f t="shared" si="2"/>
        <v>55000</v>
      </c>
      <c r="G106" s="65">
        <f t="shared" si="3"/>
        <v>110000</v>
      </c>
      <c r="H106" s="1"/>
      <c r="I106" s="1"/>
      <c r="J106" s="1"/>
      <c r="K106" s="66" t="s">
        <v>1078</v>
      </c>
      <c r="L106" s="66" t="s">
        <v>1162</v>
      </c>
      <c r="M106" s="66" t="s">
        <v>1080</v>
      </c>
      <c r="N106" s="66" t="s">
        <v>1166</v>
      </c>
      <c r="O106" s="66" t="s">
        <v>1069</v>
      </c>
      <c r="P106" s="67" t="s">
        <v>1164</v>
      </c>
      <c r="Q106" s="18" t="s">
        <v>546</v>
      </c>
      <c r="R106" s="68" t="str">
        <f>IFERROR(CONCATENATE("*",VLOOKUP(L106,PARAM!D:E,2,0),VLOOKUP(M106,PARAM!J:K,2,0),VLOOKUP(N106,PARAM!G:H,2,0),VLOOKUP(P106,PARAM!P:Q,2,0),"*"),"")</f>
        <v>*25215425*</v>
      </c>
      <c r="S106" s="18" t="str">
        <f>IFERROR(CONCATENATE(VLOOKUP(L106,PARAM!D:E,2,0),VLOOKUP(M106,PARAM!J:K,2,0),VLOOKUP(N106,PARAM!G:H,2,0),VLOOKUP(O106,PARAM!M:N,2,0),VLOOKUP(P106,PARAM!P:Q,2,0)),"")</f>
        <v>2521541625</v>
      </c>
      <c r="T106" s="18">
        <f t="shared" si="4"/>
        <v>10</v>
      </c>
      <c r="U106" s="18" t="str">
        <f t="shared" si="5"/>
        <v>CHAQUETAS CABALLERO JEAN OVEJERA VARIOS TALLA M</v>
      </c>
    </row>
    <row r="107">
      <c r="A107" s="64">
        <v>1.0</v>
      </c>
      <c r="B107" s="4" t="s">
        <v>1601</v>
      </c>
      <c r="C107" s="1"/>
      <c r="D107" s="4" t="s">
        <v>1602</v>
      </c>
      <c r="E107" s="3">
        <v>55000.0</v>
      </c>
      <c r="F107" s="2">
        <f t="shared" si="2"/>
        <v>55000</v>
      </c>
      <c r="G107" s="65">
        <f t="shared" si="3"/>
        <v>110000</v>
      </c>
      <c r="H107" s="1"/>
      <c r="I107" s="1"/>
      <c r="J107" s="1"/>
      <c r="K107" s="66" t="s">
        <v>1078</v>
      </c>
      <c r="L107" s="66" t="s">
        <v>1162</v>
      </c>
      <c r="M107" s="66" t="s">
        <v>1080</v>
      </c>
      <c r="N107" s="66" t="s">
        <v>1166</v>
      </c>
      <c r="O107" s="66" t="s">
        <v>1069</v>
      </c>
      <c r="P107" s="67" t="s">
        <v>1165</v>
      </c>
      <c r="Q107" s="18" t="s">
        <v>546</v>
      </c>
      <c r="R107" s="68" t="str">
        <f>IFERROR(CONCATENATE("*",VLOOKUP(L107,PARAM!D:E,2,0),VLOOKUP(M107,PARAM!J:K,2,0),VLOOKUP(N107,PARAM!G:H,2,0),VLOOKUP(P107,PARAM!P:Q,2,0),"*"),"")</f>
        <v>*25215423*</v>
      </c>
      <c r="S107" s="18" t="str">
        <f>IFERROR(CONCATENATE(VLOOKUP(L107,PARAM!D:E,2,0),VLOOKUP(M107,PARAM!J:K,2,0),VLOOKUP(N107,PARAM!G:H,2,0),VLOOKUP(O107,PARAM!M:N,2,0),VLOOKUP(P107,PARAM!P:Q,2,0)),"")</f>
        <v>2521541623</v>
      </c>
      <c r="T107" s="18">
        <f t="shared" si="4"/>
        <v>10</v>
      </c>
      <c r="U107" s="18" t="str">
        <f t="shared" si="5"/>
        <v>CHAQUETAS CABALLERO JEAN OVEJERA VARIOS TALLA L</v>
      </c>
    </row>
    <row r="108">
      <c r="A108" s="64">
        <v>1.0</v>
      </c>
      <c r="B108" s="4" t="s">
        <v>1601</v>
      </c>
      <c r="C108" s="1"/>
      <c r="D108" s="4" t="s">
        <v>1602</v>
      </c>
      <c r="E108" s="3">
        <v>55000.0</v>
      </c>
      <c r="F108" s="2">
        <f t="shared" si="2"/>
        <v>55000</v>
      </c>
      <c r="G108" s="65">
        <f t="shared" si="3"/>
        <v>110000</v>
      </c>
      <c r="H108" s="1"/>
      <c r="I108" s="1"/>
      <c r="J108" s="1"/>
      <c r="K108" s="66" t="s">
        <v>1078</v>
      </c>
      <c r="L108" s="66" t="s">
        <v>1162</v>
      </c>
      <c r="M108" s="66" t="s">
        <v>1080</v>
      </c>
      <c r="N108" s="66" t="s">
        <v>1166</v>
      </c>
      <c r="O108" s="66" t="s">
        <v>1069</v>
      </c>
      <c r="P108" s="67" t="s">
        <v>1077</v>
      </c>
      <c r="Q108" s="18" t="s">
        <v>546</v>
      </c>
      <c r="R108" s="68" t="str">
        <f>IFERROR(CONCATENATE("*",VLOOKUP(L108,PARAM!D:E,2,0),VLOOKUP(M108,PARAM!J:K,2,0),VLOOKUP(N108,PARAM!G:H,2,0),VLOOKUP(P108,PARAM!P:Q,2,0),"*"),"")</f>
        <v>*25215432*</v>
      </c>
      <c r="S108" s="18" t="str">
        <f>IFERROR(CONCATENATE(VLOOKUP(L108,PARAM!D:E,2,0),VLOOKUP(M108,PARAM!J:K,2,0),VLOOKUP(N108,PARAM!G:H,2,0),VLOOKUP(O108,PARAM!M:N,2,0),VLOOKUP(P108,PARAM!P:Q,2,0)),"")</f>
        <v>2521541632</v>
      </c>
      <c r="T108" s="18">
        <f t="shared" si="4"/>
        <v>10</v>
      </c>
      <c r="U108" s="18" t="str">
        <f t="shared" si="5"/>
        <v>CHAQUETAS CABALLERO JEAN OVEJERA VARIOS TALLA XL</v>
      </c>
    </row>
    <row r="109">
      <c r="A109" s="64">
        <v>1.0</v>
      </c>
      <c r="B109" s="4" t="s">
        <v>1603</v>
      </c>
      <c r="C109" s="1"/>
      <c r="D109" s="4" t="s">
        <v>1604</v>
      </c>
      <c r="E109" s="3">
        <v>42000.0</v>
      </c>
      <c r="F109" s="2">
        <f t="shared" si="2"/>
        <v>42000</v>
      </c>
      <c r="G109" s="65">
        <f t="shared" si="3"/>
        <v>84000</v>
      </c>
      <c r="H109" s="1"/>
      <c r="I109" s="1"/>
      <c r="J109" s="1"/>
      <c r="K109" s="66" t="s">
        <v>1058</v>
      </c>
      <c r="L109" s="66" t="s">
        <v>1162</v>
      </c>
      <c r="M109" s="66" t="s">
        <v>1060</v>
      </c>
      <c r="N109" s="66" t="s">
        <v>1163</v>
      </c>
      <c r="O109" s="66" t="s">
        <v>1069</v>
      </c>
      <c r="P109" s="67" t="s">
        <v>1164</v>
      </c>
      <c r="Q109" s="18" t="s">
        <v>546</v>
      </c>
      <c r="R109" s="68" t="str">
        <f>IFERROR(CONCATENATE("*",VLOOKUP(L109,PARAM!D:E,2,0),VLOOKUP(M109,PARAM!J:K,2,0),VLOOKUP(N109,PARAM!G:H,2,0),VLOOKUP(P109,PARAM!P:Q,2,0),"*"),"")</f>
        <v>*25115325*</v>
      </c>
      <c r="S109" s="18" t="str">
        <f>IFERROR(CONCATENATE(VLOOKUP(L109,PARAM!D:E,2,0),VLOOKUP(M109,PARAM!J:K,2,0),VLOOKUP(N109,PARAM!G:H,2,0),VLOOKUP(O109,PARAM!M:N,2,0),VLOOKUP(P109,PARAM!P:Q,2,0)),"")</f>
        <v>2511531625</v>
      </c>
      <c r="T109" s="18">
        <f t="shared" si="4"/>
        <v>10</v>
      </c>
      <c r="U109" s="18" t="str">
        <f t="shared" si="5"/>
        <v>CHAQUETAS DAMA JEAN CLASICA VARIOS TALLA M</v>
      </c>
    </row>
    <row r="110">
      <c r="A110" s="64">
        <v>1.0</v>
      </c>
      <c r="B110" s="4" t="s">
        <v>1603</v>
      </c>
      <c r="C110" s="1"/>
      <c r="D110" s="4" t="s">
        <v>1604</v>
      </c>
      <c r="E110" s="3">
        <v>42000.0</v>
      </c>
      <c r="F110" s="2">
        <f t="shared" si="2"/>
        <v>42000</v>
      </c>
      <c r="G110" s="65">
        <f t="shared" si="3"/>
        <v>84000</v>
      </c>
      <c r="H110" s="1"/>
      <c r="I110" s="1"/>
      <c r="J110" s="1"/>
      <c r="K110" s="66" t="s">
        <v>1058</v>
      </c>
      <c r="L110" s="66" t="s">
        <v>1162</v>
      </c>
      <c r="M110" s="66" t="s">
        <v>1060</v>
      </c>
      <c r="N110" s="66" t="s">
        <v>1163</v>
      </c>
      <c r="O110" s="66" t="s">
        <v>1069</v>
      </c>
      <c r="P110" s="67" t="s">
        <v>1165</v>
      </c>
      <c r="Q110" s="18" t="s">
        <v>546</v>
      </c>
      <c r="R110" s="68" t="str">
        <f>IFERROR(CONCATENATE("*",VLOOKUP(L110,PARAM!D:E,2,0),VLOOKUP(M110,PARAM!J:K,2,0),VLOOKUP(N110,PARAM!G:H,2,0),VLOOKUP(P110,PARAM!P:Q,2,0),"*"),"")</f>
        <v>*25115323*</v>
      </c>
      <c r="S110" s="18" t="str">
        <f>IFERROR(CONCATENATE(VLOOKUP(L110,PARAM!D:E,2,0),VLOOKUP(M110,PARAM!J:K,2,0),VLOOKUP(N110,PARAM!G:H,2,0),VLOOKUP(O110,PARAM!M:N,2,0),VLOOKUP(P110,PARAM!P:Q,2,0)),"")</f>
        <v>2511531623</v>
      </c>
      <c r="T110" s="18">
        <f t="shared" si="4"/>
        <v>10</v>
      </c>
      <c r="U110" s="18" t="str">
        <f t="shared" si="5"/>
        <v>CHAQUETAS DAMA JEAN CLASICA VARIOS TALLA L</v>
      </c>
    </row>
    <row r="111">
      <c r="A111" s="64">
        <v>1.0</v>
      </c>
      <c r="B111" s="4" t="s">
        <v>1605</v>
      </c>
      <c r="C111" s="1"/>
      <c r="D111" s="4" t="s">
        <v>1606</v>
      </c>
      <c r="E111" s="3">
        <v>50000.0</v>
      </c>
      <c r="F111" s="2">
        <f t="shared" si="2"/>
        <v>50000</v>
      </c>
      <c r="G111" s="65">
        <f t="shared" si="3"/>
        <v>100000</v>
      </c>
      <c r="H111" s="1"/>
      <c r="I111" s="1"/>
      <c r="J111" s="1"/>
      <c r="K111" s="66" t="s">
        <v>1058</v>
      </c>
      <c r="L111" s="66" t="s">
        <v>1162</v>
      </c>
      <c r="M111" s="66" t="s">
        <v>1060</v>
      </c>
      <c r="N111" s="66" t="s">
        <v>1166</v>
      </c>
      <c r="O111" s="66" t="s">
        <v>1069</v>
      </c>
      <c r="P111" s="67" t="s">
        <v>1077</v>
      </c>
      <c r="Q111" s="18" t="s">
        <v>546</v>
      </c>
      <c r="R111" s="68" t="str">
        <f>IFERROR(CONCATENATE("*",VLOOKUP(L111,PARAM!D:E,2,0),VLOOKUP(M111,PARAM!J:K,2,0),VLOOKUP(N111,PARAM!G:H,2,0),VLOOKUP(P111,PARAM!P:Q,2,0),"*"),"")</f>
        <v>*25115432*</v>
      </c>
      <c r="S111" s="18" t="str">
        <f>IFERROR(CONCATENATE(VLOOKUP(L111,PARAM!D:E,2,0),VLOOKUP(M111,PARAM!J:K,2,0),VLOOKUP(N111,PARAM!G:H,2,0),VLOOKUP(O111,PARAM!M:N,2,0),VLOOKUP(P111,PARAM!P:Q,2,0)),"")</f>
        <v>2511541632</v>
      </c>
      <c r="T111" s="18">
        <f t="shared" si="4"/>
        <v>10</v>
      </c>
      <c r="U111" s="18" t="str">
        <f t="shared" si="5"/>
        <v>CHAQUETAS DAMA JEAN OVEJERA VARIOS TALLA XL</v>
      </c>
    </row>
    <row r="112">
      <c r="A112" s="64">
        <v>1.0</v>
      </c>
      <c r="B112" s="4" t="s">
        <v>1605</v>
      </c>
      <c r="C112" s="1"/>
      <c r="D112" s="4" t="s">
        <v>1606</v>
      </c>
      <c r="E112" s="3">
        <v>50000.0</v>
      </c>
      <c r="F112" s="2">
        <f t="shared" si="2"/>
        <v>50000</v>
      </c>
      <c r="G112" s="65">
        <f t="shared" si="3"/>
        <v>100000</v>
      </c>
      <c r="H112" s="1"/>
      <c r="I112" s="1"/>
      <c r="J112" s="1"/>
      <c r="K112" s="66" t="s">
        <v>1058</v>
      </c>
      <c r="L112" s="66" t="s">
        <v>1162</v>
      </c>
      <c r="M112" s="66" t="s">
        <v>1060</v>
      </c>
      <c r="N112" s="66" t="s">
        <v>1166</v>
      </c>
      <c r="O112" s="66" t="s">
        <v>1069</v>
      </c>
      <c r="P112" s="67" t="s">
        <v>1165</v>
      </c>
      <c r="Q112" s="18" t="s">
        <v>546</v>
      </c>
      <c r="R112" s="68" t="str">
        <f>IFERROR(CONCATENATE("*",VLOOKUP(L112,PARAM!D:E,2,0),VLOOKUP(M112,PARAM!J:K,2,0),VLOOKUP(N112,PARAM!G:H,2,0),VLOOKUP(P112,PARAM!P:Q,2,0),"*"),"")</f>
        <v>*25115423*</v>
      </c>
      <c r="S112" s="18" t="str">
        <f>IFERROR(CONCATENATE(VLOOKUP(L112,PARAM!D:E,2,0),VLOOKUP(M112,PARAM!J:K,2,0),VLOOKUP(N112,PARAM!G:H,2,0),VLOOKUP(O112,PARAM!M:N,2,0),VLOOKUP(P112,PARAM!P:Q,2,0)),"")</f>
        <v>2511541623</v>
      </c>
      <c r="T112" s="18">
        <f t="shared" si="4"/>
        <v>10</v>
      </c>
      <c r="U112" s="18" t="str">
        <f t="shared" si="5"/>
        <v>CHAQUETAS DAMA JEAN OVEJERA VARIOS TALLA L</v>
      </c>
    </row>
    <row r="113">
      <c r="A113" s="64">
        <v>1.0</v>
      </c>
      <c r="B113" s="4" t="s">
        <v>1605</v>
      </c>
      <c r="C113" s="1"/>
      <c r="D113" s="4" t="s">
        <v>1606</v>
      </c>
      <c r="E113" s="3">
        <v>50000.0</v>
      </c>
      <c r="F113" s="2">
        <f t="shared" si="2"/>
        <v>50000</v>
      </c>
      <c r="G113" s="65">
        <f t="shared" si="3"/>
        <v>100000</v>
      </c>
      <c r="H113" s="1"/>
      <c r="I113" s="1"/>
      <c r="J113" s="1"/>
      <c r="K113" s="66" t="s">
        <v>1058</v>
      </c>
      <c r="L113" s="66" t="s">
        <v>1162</v>
      </c>
      <c r="M113" s="66" t="s">
        <v>1060</v>
      </c>
      <c r="N113" s="66" t="s">
        <v>1166</v>
      </c>
      <c r="O113" s="66" t="s">
        <v>1069</v>
      </c>
      <c r="P113" s="67" t="s">
        <v>1164</v>
      </c>
      <c r="Q113" s="18" t="s">
        <v>546</v>
      </c>
      <c r="R113" s="68" t="str">
        <f>IFERROR(CONCATENATE("*",VLOOKUP(L113,PARAM!D:E,2,0),VLOOKUP(M113,PARAM!J:K,2,0),VLOOKUP(N113,PARAM!G:H,2,0),VLOOKUP(P113,PARAM!P:Q,2,0),"*"),"")</f>
        <v>*25115425*</v>
      </c>
      <c r="S113" s="18" t="str">
        <f>IFERROR(CONCATENATE(VLOOKUP(L113,PARAM!D:E,2,0),VLOOKUP(M113,PARAM!J:K,2,0),VLOOKUP(N113,PARAM!G:H,2,0),VLOOKUP(O113,PARAM!M:N,2,0),VLOOKUP(P113,PARAM!P:Q,2,0)),"")</f>
        <v>2511541625</v>
      </c>
      <c r="T113" s="18">
        <f t="shared" si="4"/>
        <v>10</v>
      </c>
      <c r="U113" s="18" t="str">
        <f t="shared" si="5"/>
        <v>CHAQUETAS DAMA JEAN OVEJERA VARIOS TALLA M</v>
      </c>
    </row>
    <row r="114">
      <c r="A114" s="64">
        <v>1.0</v>
      </c>
      <c r="B114" s="4" t="s">
        <v>1607</v>
      </c>
      <c r="C114" s="1"/>
      <c r="D114" s="4" t="s">
        <v>1608</v>
      </c>
      <c r="E114" s="3">
        <v>45000.0</v>
      </c>
      <c r="F114" s="2">
        <f t="shared" si="2"/>
        <v>45000</v>
      </c>
      <c r="G114" s="65">
        <f t="shared" si="3"/>
        <v>90000</v>
      </c>
      <c r="H114" s="1"/>
      <c r="I114" s="1"/>
      <c r="J114" s="1"/>
      <c r="K114" s="66" t="s">
        <v>1058</v>
      </c>
      <c r="L114" s="66" t="s">
        <v>1162</v>
      </c>
      <c r="M114" s="66" t="s">
        <v>1060</v>
      </c>
      <c r="N114" s="66" t="s">
        <v>1167</v>
      </c>
      <c r="O114" s="66" t="s">
        <v>1069</v>
      </c>
      <c r="P114" s="67" t="s">
        <v>1168</v>
      </c>
      <c r="Q114" s="18" t="s">
        <v>546</v>
      </c>
      <c r="R114" s="68" t="str">
        <f>IFERROR(CONCATENATE("*",VLOOKUP(L114,PARAM!D:E,2,0),VLOOKUP(M114,PARAM!J:K,2,0),VLOOKUP(N114,PARAM!G:H,2,0),VLOOKUP(P114,PARAM!P:Q,2,0),"*"),"")</f>
        <v>*25115527*</v>
      </c>
      <c r="S114" s="18" t="str">
        <f>IFERROR(CONCATENATE(VLOOKUP(L114,PARAM!D:E,2,0),VLOOKUP(M114,PARAM!J:K,2,0),VLOOKUP(N114,PARAM!G:H,2,0),VLOOKUP(O114,PARAM!M:N,2,0),VLOOKUP(P114,PARAM!P:Q,2,0)),"")</f>
        <v>2511551627</v>
      </c>
      <c r="T114" s="18">
        <f t="shared" si="4"/>
        <v>10</v>
      </c>
      <c r="U114" s="18" t="str">
        <f t="shared" si="5"/>
        <v>CHAQUETAS DAMA JEAN TORERA OVEJERA VARIOS TALLA S</v>
      </c>
    </row>
    <row r="115">
      <c r="A115" s="64">
        <v>1.0</v>
      </c>
      <c r="B115" s="4" t="s">
        <v>1607</v>
      </c>
      <c r="C115" s="1"/>
      <c r="D115" s="4" t="s">
        <v>1608</v>
      </c>
      <c r="E115" s="3">
        <v>45000.0</v>
      </c>
      <c r="F115" s="2">
        <f t="shared" si="2"/>
        <v>45000</v>
      </c>
      <c r="G115" s="65">
        <f t="shared" si="3"/>
        <v>90000</v>
      </c>
      <c r="H115" s="1"/>
      <c r="I115" s="1"/>
      <c r="J115" s="1"/>
      <c r="K115" s="66" t="s">
        <v>1058</v>
      </c>
      <c r="L115" s="66" t="s">
        <v>1162</v>
      </c>
      <c r="M115" s="66" t="s">
        <v>1060</v>
      </c>
      <c r="N115" s="66" t="s">
        <v>1167</v>
      </c>
      <c r="O115" s="66" t="s">
        <v>1069</v>
      </c>
      <c r="P115" s="67" t="s">
        <v>1164</v>
      </c>
      <c r="Q115" s="18" t="s">
        <v>546</v>
      </c>
      <c r="R115" s="68" t="str">
        <f>IFERROR(CONCATENATE("*",VLOOKUP(L115,PARAM!D:E,2,0),VLOOKUP(M115,PARAM!J:K,2,0),VLOOKUP(N115,PARAM!G:H,2,0),VLOOKUP(P115,PARAM!P:Q,2,0),"*"),"")</f>
        <v>*25115525*</v>
      </c>
      <c r="S115" s="18" t="str">
        <f>IFERROR(CONCATENATE(VLOOKUP(L115,PARAM!D:E,2,0),VLOOKUP(M115,PARAM!J:K,2,0),VLOOKUP(N115,PARAM!G:H,2,0),VLOOKUP(O115,PARAM!M:N,2,0),VLOOKUP(P115,PARAM!P:Q,2,0)),"")</f>
        <v>2511551625</v>
      </c>
      <c r="T115" s="18">
        <f t="shared" si="4"/>
        <v>10</v>
      </c>
      <c r="U115" s="18" t="str">
        <f t="shared" si="5"/>
        <v>CHAQUETAS DAMA JEAN TORERA OVEJERA VARIOS TALLA M</v>
      </c>
    </row>
    <row r="116">
      <c r="A116" s="64">
        <v>2.0</v>
      </c>
      <c r="B116" s="4" t="s">
        <v>1609</v>
      </c>
      <c r="C116" s="1"/>
      <c r="D116" s="4" t="s">
        <v>1610</v>
      </c>
      <c r="E116" s="3">
        <v>55000.0</v>
      </c>
      <c r="F116" s="2">
        <f t="shared" si="2"/>
        <v>110000</v>
      </c>
      <c r="G116" s="65">
        <f t="shared" si="3"/>
        <v>110000</v>
      </c>
      <c r="H116" s="1"/>
      <c r="I116" s="1"/>
      <c r="J116" s="1"/>
      <c r="K116" s="66" t="s">
        <v>1058</v>
      </c>
      <c r="L116" s="66" t="s">
        <v>1059</v>
      </c>
      <c r="M116" s="66" t="s">
        <v>1060</v>
      </c>
      <c r="N116" s="66" t="s">
        <v>1169</v>
      </c>
      <c r="O116" s="66" t="s">
        <v>1069</v>
      </c>
      <c r="P116" s="67">
        <v>14.0</v>
      </c>
      <c r="Q116" s="18" t="s">
        <v>560</v>
      </c>
      <c r="R116" s="68" t="str">
        <f>IFERROR(CONCATENATE("*",VLOOKUP(L116,PARAM!D:E,2,0),VLOOKUP(M116,PARAM!J:K,2,0),VLOOKUP(N116,PARAM!G:H,2,0),VLOOKUP(P116,PARAM!P:Q,2,0),"*"),"")</f>
        <v>*11395*</v>
      </c>
      <c r="S116" s="18" t="str">
        <f>IFERROR(CONCATENATE(VLOOKUP(L116,PARAM!D:E,2,0),VLOOKUP(M116,PARAM!J:K,2,0),VLOOKUP(N116,PARAM!G:H,2,0),VLOOKUP(O116,PARAM!M:N,2,0),VLOOKUP(P116,PARAM!P:Q,2,0)),"")</f>
        <v>1139165</v>
      </c>
      <c r="T116" s="18">
        <f t="shared" si="4"/>
        <v>7</v>
      </c>
      <c r="U116" s="18" t="str">
        <f t="shared" si="5"/>
        <v>JEANS DAMA BAGGI VARIOS TALLA 14</v>
      </c>
    </row>
    <row r="117">
      <c r="A117" s="64">
        <v>2.0</v>
      </c>
      <c r="B117" s="4" t="s">
        <v>1609</v>
      </c>
      <c r="C117" s="1"/>
      <c r="D117" s="4" t="s">
        <v>1610</v>
      </c>
      <c r="E117" s="3">
        <v>55000.0</v>
      </c>
      <c r="F117" s="2">
        <f t="shared" si="2"/>
        <v>110000</v>
      </c>
      <c r="G117" s="65">
        <f t="shared" si="3"/>
        <v>110000</v>
      </c>
      <c r="H117" s="1"/>
      <c r="I117" s="1"/>
      <c r="J117" s="1"/>
      <c r="K117" s="66" t="s">
        <v>1058</v>
      </c>
      <c r="L117" s="66" t="s">
        <v>1059</v>
      </c>
      <c r="M117" s="66" t="s">
        <v>1060</v>
      </c>
      <c r="N117" s="66" t="s">
        <v>1169</v>
      </c>
      <c r="O117" s="66" t="s">
        <v>1069</v>
      </c>
      <c r="P117" s="67">
        <v>12.0</v>
      </c>
      <c r="Q117" s="18" t="s">
        <v>560</v>
      </c>
      <c r="R117" s="68" t="str">
        <f>IFERROR(CONCATENATE("*",VLOOKUP(L117,PARAM!D:E,2,0),VLOOKUP(M117,PARAM!J:K,2,0),VLOOKUP(N117,PARAM!G:H,2,0),VLOOKUP(P117,PARAM!P:Q,2,0),"*"),"")</f>
        <v>*11394*</v>
      </c>
      <c r="S117" s="18" t="str">
        <f>IFERROR(CONCATENATE(VLOOKUP(L117,PARAM!D:E,2,0),VLOOKUP(M117,PARAM!J:K,2,0),VLOOKUP(N117,PARAM!G:H,2,0),VLOOKUP(O117,PARAM!M:N,2,0),VLOOKUP(P117,PARAM!P:Q,2,0)),"")</f>
        <v>1139164</v>
      </c>
      <c r="T117" s="18">
        <f t="shared" si="4"/>
        <v>7</v>
      </c>
      <c r="U117" s="18" t="str">
        <f t="shared" si="5"/>
        <v>JEANS DAMA BAGGI VARIOS TALLA 12</v>
      </c>
    </row>
    <row r="118">
      <c r="A118" s="64">
        <v>2.0</v>
      </c>
      <c r="B118" s="4" t="s">
        <v>1609</v>
      </c>
      <c r="C118" s="1"/>
      <c r="D118" s="4" t="s">
        <v>1610</v>
      </c>
      <c r="E118" s="3">
        <v>55000.0</v>
      </c>
      <c r="F118" s="2">
        <f t="shared" si="2"/>
        <v>110000</v>
      </c>
      <c r="G118" s="65">
        <f t="shared" si="3"/>
        <v>110000</v>
      </c>
      <c r="H118" s="1"/>
      <c r="I118" s="1"/>
      <c r="J118" s="1"/>
      <c r="K118" s="66" t="s">
        <v>1058</v>
      </c>
      <c r="L118" s="66" t="s">
        <v>1059</v>
      </c>
      <c r="M118" s="66" t="s">
        <v>1060</v>
      </c>
      <c r="N118" s="66" t="s">
        <v>1169</v>
      </c>
      <c r="O118" s="66" t="s">
        <v>1069</v>
      </c>
      <c r="P118" s="67">
        <v>8.0</v>
      </c>
      <c r="Q118" s="18" t="s">
        <v>560</v>
      </c>
      <c r="R118" s="68" t="str">
        <f>IFERROR(CONCATENATE("*",VLOOKUP(L118,PARAM!D:E,2,0),VLOOKUP(M118,PARAM!J:K,2,0),VLOOKUP(N118,PARAM!G:H,2,0),VLOOKUP(P118,PARAM!P:Q,2,0),"*"),"")</f>
        <v>*11392*</v>
      </c>
      <c r="S118" s="18" t="str">
        <f>IFERROR(CONCATENATE(VLOOKUP(L118,PARAM!D:E,2,0),VLOOKUP(M118,PARAM!J:K,2,0),VLOOKUP(N118,PARAM!G:H,2,0),VLOOKUP(O118,PARAM!M:N,2,0),VLOOKUP(P118,PARAM!P:Q,2,0)),"")</f>
        <v>1139162</v>
      </c>
      <c r="T118" s="18">
        <f t="shared" si="4"/>
        <v>7</v>
      </c>
      <c r="U118" s="18" t="str">
        <f t="shared" si="5"/>
        <v>JEANS DAMA BAGGI VARIOS TALLA 8</v>
      </c>
    </row>
    <row r="119">
      <c r="A119" s="64">
        <v>2.0</v>
      </c>
      <c r="B119" s="4" t="s">
        <v>1609</v>
      </c>
      <c r="C119" s="1"/>
      <c r="D119" s="4" t="s">
        <v>1610</v>
      </c>
      <c r="E119" s="3">
        <v>55000.0</v>
      </c>
      <c r="F119" s="2">
        <f t="shared" si="2"/>
        <v>110000</v>
      </c>
      <c r="G119" s="65">
        <f t="shared" si="3"/>
        <v>110000</v>
      </c>
      <c r="H119" s="1"/>
      <c r="I119" s="1"/>
      <c r="J119" s="1"/>
      <c r="K119" s="66" t="s">
        <v>1058</v>
      </c>
      <c r="L119" s="66" t="s">
        <v>1059</v>
      </c>
      <c r="M119" s="66" t="s">
        <v>1060</v>
      </c>
      <c r="N119" s="66" t="s">
        <v>1169</v>
      </c>
      <c r="O119" s="66" t="s">
        <v>1069</v>
      </c>
      <c r="P119" s="67">
        <v>10.0</v>
      </c>
      <c r="Q119" s="18" t="s">
        <v>560</v>
      </c>
      <c r="R119" s="68" t="str">
        <f>IFERROR(CONCATENATE("*",VLOOKUP(L119,PARAM!D:E,2,0),VLOOKUP(M119,PARAM!J:K,2,0),VLOOKUP(N119,PARAM!G:H,2,0),VLOOKUP(P119,PARAM!P:Q,2,0),"*"),"")</f>
        <v>*11393*</v>
      </c>
      <c r="S119" s="18" t="str">
        <f>IFERROR(CONCATENATE(VLOOKUP(L119,PARAM!D:E,2,0),VLOOKUP(M119,PARAM!J:K,2,0),VLOOKUP(N119,PARAM!G:H,2,0),VLOOKUP(O119,PARAM!M:N,2,0),VLOOKUP(P119,PARAM!P:Q,2,0)),"")</f>
        <v>1139163</v>
      </c>
      <c r="T119" s="18">
        <f t="shared" si="4"/>
        <v>7</v>
      </c>
      <c r="U119" s="18" t="str">
        <f t="shared" si="5"/>
        <v>JEANS DAMA BAGGI VARIOS TALLA 10</v>
      </c>
    </row>
    <row r="120">
      <c r="A120" s="64">
        <v>1.0</v>
      </c>
      <c r="B120" s="4" t="s">
        <v>1609</v>
      </c>
      <c r="C120" s="1"/>
      <c r="D120" s="4" t="s">
        <v>1611</v>
      </c>
      <c r="E120" s="3">
        <v>55000.0</v>
      </c>
      <c r="F120" s="2">
        <f t="shared" si="2"/>
        <v>55000</v>
      </c>
      <c r="G120" s="65">
        <f t="shared" si="3"/>
        <v>110000</v>
      </c>
      <c r="H120" s="1"/>
      <c r="I120" s="1"/>
      <c r="J120" s="1"/>
      <c r="K120" s="66" t="s">
        <v>1058</v>
      </c>
      <c r="L120" s="66" t="s">
        <v>1059</v>
      </c>
      <c r="M120" s="66" t="s">
        <v>1060</v>
      </c>
      <c r="N120" s="66" t="s">
        <v>1170</v>
      </c>
      <c r="O120" s="66" t="s">
        <v>1069</v>
      </c>
      <c r="P120" s="67">
        <v>16.0</v>
      </c>
      <c r="Q120" s="18" t="s">
        <v>560</v>
      </c>
      <c r="R120" s="68" t="str">
        <f>IFERROR(CONCATENATE("*",VLOOKUP(L120,PARAM!D:E,2,0),VLOOKUP(M120,PARAM!J:K,2,0),VLOOKUP(N120,PARAM!G:H,2,0),VLOOKUP(P120,PARAM!P:Q,2,0),"*"),"")</f>
        <v>*11406*</v>
      </c>
      <c r="S120" s="18" t="str">
        <f>IFERROR(CONCATENATE(VLOOKUP(L120,PARAM!D:E,2,0),VLOOKUP(M120,PARAM!J:K,2,0),VLOOKUP(N120,PARAM!G:H,2,0),VLOOKUP(O120,PARAM!M:N,2,0),VLOOKUP(P120,PARAM!P:Q,2,0)),"")</f>
        <v>1140166</v>
      </c>
      <c r="T120" s="18">
        <f t="shared" si="4"/>
        <v>7</v>
      </c>
      <c r="U120" s="18" t="str">
        <f t="shared" si="5"/>
        <v>JEANS DAMA BAGGI CON BRILLANTES VARIOS TALLA 16</v>
      </c>
    </row>
    <row r="121">
      <c r="A121" s="64">
        <v>2.0</v>
      </c>
      <c r="B121" s="4" t="s">
        <v>1612</v>
      </c>
      <c r="C121" s="1"/>
      <c r="D121" s="4" t="s">
        <v>1611</v>
      </c>
      <c r="E121" s="3">
        <v>14000.0</v>
      </c>
      <c r="F121" s="2">
        <f t="shared" si="2"/>
        <v>28000</v>
      </c>
      <c r="G121" s="65">
        <f t="shared" si="3"/>
        <v>28000</v>
      </c>
      <c r="H121" s="1"/>
      <c r="I121" s="1"/>
      <c r="J121" s="1"/>
      <c r="K121" s="66" t="s">
        <v>1058</v>
      </c>
      <c r="L121" s="66" t="s">
        <v>1171</v>
      </c>
      <c r="M121" s="66" t="s">
        <v>1060</v>
      </c>
      <c r="N121" s="18" t="s">
        <v>1172</v>
      </c>
      <c r="O121" s="66" t="s">
        <v>1069</v>
      </c>
      <c r="P121" s="67" t="s">
        <v>1168</v>
      </c>
      <c r="Q121" s="18" t="s">
        <v>503</v>
      </c>
      <c r="R121" s="68" t="str">
        <f>IFERROR(CONCATENATE("*",VLOOKUP(L121,PARAM!D:E,2,0),VLOOKUP(M121,PARAM!J:K,2,0),VLOOKUP(N121,PARAM!G:H,2,0),VLOOKUP(P121,PARAM!P:Q,2,0),"*"),"")</f>
        <v>*1119127*</v>
      </c>
      <c r="S121" s="18" t="str">
        <f>IFERROR(CONCATENATE(VLOOKUP(L121,PARAM!D:E,2,0),VLOOKUP(M121,PARAM!J:K,2,0),VLOOKUP(N121,PARAM!G:H,2,0),VLOOKUP(O121,PARAM!M:N,2,0),VLOOKUP(P121,PARAM!P:Q,2,0)),"")</f>
        <v>111911627</v>
      </c>
      <c r="T121" s="18">
        <f t="shared" si="4"/>
        <v>9</v>
      </c>
      <c r="U121" s="18" t="str">
        <f t="shared" si="5"/>
        <v>CAMISETAS DAMA CON BRILLANTES VARIOS TALLA S</v>
      </c>
    </row>
    <row r="122">
      <c r="A122" s="64">
        <v>2.0</v>
      </c>
      <c r="B122" s="4" t="s">
        <v>1612</v>
      </c>
      <c r="C122" s="1"/>
      <c r="D122" s="4" t="s">
        <v>1611</v>
      </c>
      <c r="E122" s="3">
        <v>14000.0</v>
      </c>
      <c r="F122" s="2">
        <f t="shared" si="2"/>
        <v>28000</v>
      </c>
      <c r="G122" s="65">
        <f t="shared" si="3"/>
        <v>28000</v>
      </c>
      <c r="H122" s="1"/>
      <c r="I122" s="1"/>
      <c r="J122" s="1"/>
      <c r="K122" s="66" t="s">
        <v>1058</v>
      </c>
      <c r="L122" s="66" t="s">
        <v>1171</v>
      </c>
      <c r="M122" s="66" t="s">
        <v>1060</v>
      </c>
      <c r="N122" s="18" t="s">
        <v>1172</v>
      </c>
      <c r="O122" s="66" t="s">
        <v>1069</v>
      </c>
      <c r="P122" s="67" t="s">
        <v>1164</v>
      </c>
      <c r="Q122" s="18" t="s">
        <v>503</v>
      </c>
      <c r="R122" s="68" t="str">
        <f>IFERROR(CONCATENATE("*",VLOOKUP(L122,PARAM!D:E,2,0),VLOOKUP(M122,PARAM!J:K,2,0),VLOOKUP(N122,PARAM!G:H,2,0),VLOOKUP(P122,PARAM!P:Q,2,0),"*"),"")</f>
        <v>*1119125*</v>
      </c>
      <c r="S122" s="18" t="str">
        <f>IFERROR(CONCATENATE(VLOOKUP(L122,PARAM!D:E,2,0),VLOOKUP(M122,PARAM!J:K,2,0),VLOOKUP(N122,PARAM!G:H,2,0),VLOOKUP(O122,PARAM!M:N,2,0),VLOOKUP(P122,PARAM!P:Q,2,0)),"")</f>
        <v>111911625</v>
      </c>
      <c r="T122" s="18">
        <f t="shared" si="4"/>
        <v>9</v>
      </c>
      <c r="U122" s="18" t="str">
        <f t="shared" si="5"/>
        <v>CAMISETAS DAMA CON BRILLANTES VARIOS TALLA M</v>
      </c>
    </row>
    <row r="123">
      <c r="A123" s="64">
        <v>3.0</v>
      </c>
      <c r="B123" s="4" t="s">
        <v>1612</v>
      </c>
      <c r="C123" s="1"/>
      <c r="D123" s="4" t="s">
        <v>1611</v>
      </c>
      <c r="E123" s="3">
        <v>14000.0</v>
      </c>
      <c r="F123" s="2">
        <f t="shared" si="2"/>
        <v>42000</v>
      </c>
      <c r="G123" s="65">
        <f t="shared" si="3"/>
        <v>28000</v>
      </c>
      <c r="H123" s="1"/>
      <c r="I123" s="1"/>
      <c r="J123" s="1"/>
      <c r="K123" s="66" t="s">
        <v>1058</v>
      </c>
      <c r="L123" s="66" t="s">
        <v>1171</v>
      </c>
      <c r="M123" s="66" t="s">
        <v>1060</v>
      </c>
      <c r="N123" s="18" t="s">
        <v>1172</v>
      </c>
      <c r="O123" s="66" t="s">
        <v>1069</v>
      </c>
      <c r="P123" s="67" t="s">
        <v>1165</v>
      </c>
      <c r="Q123" s="18" t="s">
        <v>503</v>
      </c>
      <c r="R123" s="68" t="str">
        <f>IFERROR(CONCATENATE("*",VLOOKUP(L123,PARAM!D:E,2,0),VLOOKUP(M123,PARAM!J:K,2,0),VLOOKUP(N123,PARAM!G:H,2,0),VLOOKUP(P123,PARAM!P:Q,2,0),"*"),"")</f>
        <v>*1119123*</v>
      </c>
      <c r="S123" s="18" t="str">
        <f>IFERROR(CONCATENATE(VLOOKUP(L123,PARAM!D:E,2,0),VLOOKUP(M123,PARAM!J:K,2,0),VLOOKUP(N123,PARAM!G:H,2,0),VLOOKUP(O123,PARAM!M:N,2,0),VLOOKUP(P123,PARAM!P:Q,2,0)),"")</f>
        <v>111911623</v>
      </c>
      <c r="T123" s="18">
        <f t="shared" si="4"/>
        <v>9</v>
      </c>
      <c r="U123" s="18" t="str">
        <f t="shared" si="5"/>
        <v>CAMISETAS DAMA CON BRILLANTES VARIOS TALLA L</v>
      </c>
    </row>
    <row r="124">
      <c r="A124" s="64">
        <v>1.0</v>
      </c>
      <c r="B124" s="4" t="s">
        <v>1612</v>
      </c>
      <c r="C124" s="1"/>
      <c r="D124" s="4" t="s">
        <v>1611</v>
      </c>
      <c r="E124" s="3">
        <v>14000.0</v>
      </c>
      <c r="F124" s="2">
        <f t="shared" si="2"/>
        <v>14000</v>
      </c>
      <c r="G124" s="65">
        <f t="shared" si="3"/>
        <v>28000</v>
      </c>
      <c r="H124" s="1"/>
      <c r="I124" s="1"/>
      <c r="J124" s="1"/>
      <c r="K124" s="66" t="s">
        <v>1058</v>
      </c>
      <c r="L124" s="66" t="s">
        <v>1171</v>
      </c>
      <c r="M124" s="66" t="s">
        <v>1060</v>
      </c>
      <c r="N124" s="18" t="s">
        <v>1172</v>
      </c>
      <c r="O124" s="66" t="s">
        <v>1069</v>
      </c>
      <c r="P124" s="67" t="s">
        <v>1077</v>
      </c>
      <c r="Q124" s="18" t="s">
        <v>503</v>
      </c>
      <c r="R124" s="68" t="str">
        <f>IFERROR(CONCATENATE("*",VLOOKUP(L124,PARAM!D:E,2,0),VLOOKUP(M124,PARAM!J:K,2,0),VLOOKUP(N124,PARAM!G:H,2,0),VLOOKUP(P124,PARAM!P:Q,2,0),"*"),"")</f>
        <v>*1119132*</v>
      </c>
      <c r="S124" s="18" t="str">
        <f>IFERROR(CONCATENATE(VLOOKUP(L124,PARAM!D:E,2,0),VLOOKUP(M124,PARAM!J:K,2,0),VLOOKUP(N124,PARAM!G:H,2,0),VLOOKUP(O124,PARAM!M:N,2,0),VLOOKUP(P124,PARAM!P:Q,2,0)),"")</f>
        <v>111911632</v>
      </c>
      <c r="T124" s="18">
        <f t="shared" si="4"/>
        <v>9</v>
      </c>
      <c r="U124" s="18" t="str">
        <f t="shared" si="5"/>
        <v>CAMISETAS DAMA CON BRILLANTES VARIOS TALLA XL</v>
      </c>
    </row>
    <row r="125">
      <c r="A125" s="64">
        <v>1.0</v>
      </c>
      <c r="B125" s="4" t="s">
        <v>1613</v>
      </c>
      <c r="C125" s="1"/>
      <c r="D125" s="4" t="s">
        <v>1614</v>
      </c>
      <c r="E125" s="3">
        <v>55000.0</v>
      </c>
      <c r="F125" s="2">
        <f t="shared" si="2"/>
        <v>55000</v>
      </c>
      <c r="G125" s="65">
        <f t="shared" si="3"/>
        <v>110000</v>
      </c>
      <c r="H125" s="1"/>
      <c r="I125" s="1"/>
      <c r="J125" s="1"/>
      <c r="K125" s="66" t="s">
        <v>1078</v>
      </c>
      <c r="L125" s="66" t="s">
        <v>1059</v>
      </c>
      <c r="M125" s="66" t="s">
        <v>1080</v>
      </c>
      <c r="N125" s="66" t="s">
        <v>1169</v>
      </c>
      <c r="O125" s="66" t="s">
        <v>1069</v>
      </c>
      <c r="P125" s="67">
        <v>30.0</v>
      </c>
      <c r="Q125" s="18" t="s">
        <v>560</v>
      </c>
      <c r="R125" s="68" t="str">
        <f>IFERROR(CONCATENATE("*",VLOOKUP(L125,PARAM!D:E,2,0),VLOOKUP(M125,PARAM!J:K,2,0),VLOOKUP(N125,PARAM!G:H,2,0),VLOOKUP(P125,PARAM!P:Q,2,0),"*"),"")</f>
        <v>*123913*</v>
      </c>
      <c r="S125" s="18" t="str">
        <f>IFERROR(CONCATENATE(VLOOKUP(L125,PARAM!D:E,2,0),VLOOKUP(M125,PARAM!J:K,2,0),VLOOKUP(N125,PARAM!G:H,2,0),VLOOKUP(O125,PARAM!M:N,2,0),VLOOKUP(P125,PARAM!P:Q,2,0)),"")</f>
        <v>12391613</v>
      </c>
      <c r="T125" s="18">
        <f t="shared" si="4"/>
        <v>8</v>
      </c>
      <c r="U125" s="18" t="str">
        <f t="shared" si="5"/>
        <v>JEANS CABALLERO BAGGI VARIOS TALLA 30</v>
      </c>
    </row>
    <row r="126">
      <c r="A126" s="64">
        <v>1.0</v>
      </c>
      <c r="B126" s="4" t="s">
        <v>1613</v>
      </c>
      <c r="C126" s="1"/>
      <c r="D126" s="4" t="s">
        <v>1614</v>
      </c>
      <c r="E126" s="3">
        <v>55000.0</v>
      </c>
      <c r="F126" s="2">
        <f t="shared" si="2"/>
        <v>55000</v>
      </c>
      <c r="G126" s="65">
        <f t="shared" si="3"/>
        <v>110000</v>
      </c>
      <c r="H126" s="1"/>
      <c r="I126" s="1"/>
      <c r="J126" s="1"/>
      <c r="K126" s="66" t="s">
        <v>1078</v>
      </c>
      <c r="L126" s="66" t="s">
        <v>1059</v>
      </c>
      <c r="M126" s="66" t="s">
        <v>1080</v>
      </c>
      <c r="N126" s="66" t="s">
        <v>1169</v>
      </c>
      <c r="O126" s="66" t="s">
        <v>1069</v>
      </c>
      <c r="P126" s="67">
        <v>32.0</v>
      </c>
      <c r="Q126" s="18" t="s">
        <v>560</v>
      </c>
      <c r="R126" s="68" t="str">
        <f>IFERROR(CONCATENATE("*",VLOOKUP(L126,PARAM!D:E,2,0),VLOOKUP(M126,PARAM!J:K,2,0),VLOOKUP(N126,PARAM!G:H,2,0),VLOOKUP(P126,PARAM!P:Q,2,0),"*"),"")</f>
        <v>*123914*</v>
      </c>
      <c r="S126" s="18" t="str">
        <f>IFERROR(CONCATENATE(VLOOKUP(L126,PARAM!D:E,2,0),VLOOKUP(M126,PARAM!J:K,2,0),VLOOKUP(N126,PARAM!G:H,2,0),VLOOKUP(O126,PARAM!M:N,2,0),VLOOKUP(P126,PARAM!P:Q,2,0)),"")</f>
        <v>12391614</v>
      </c>
      <c r="T126" s="18">
        <f t="shared" si="4"/>
        <v>8</v>
      </c>
      <c r="U126" s="18" t="str">
        <f t="shared" si="5"/>
        <v>JEANS CABALLERO BAGGI VARIOS TALLA 32</v>
      </c>
    </row>
    <row r="127">
      <c r="A127" s="64">
        <v>1.0</v>
      </c>
      <c r="B127" s="4" t="s">
        <v>1613</v>
      </c>
      <c r="C127" s="1"/>
      <c r="D127" s="4" t="s">
        <v>1614</v>
      </c>
      <c r="E127" s="3">
        <v>55000.0</v>
      </c>
      <c r="F127" s="2">
        <f t="shared" si="2"/>
        <v>55000</v>
      </c>
      <c r="G127" s="65">
        <f t="shared" si="3"/>
        <v>110000</v>
      </c>
      <c r="H127" s="1"/>
      <c r="I127" s="1"/>
      <c r="J127" s="1"/>
      <c r="K127" s="66" t="s">
        <v>1078</v>
      </c>
      <c r="L127" s="66" t="s">
        <v>1059</v>
      </c>
      <c r="M127" s="66" t="s">
        <v>1080</v>
      </c>
      <c r="N127" s="66" t="s">
        <v>1169</v>
      </c>
      <c r="O127" s="66" t="s">
        <v>1069</v>
      </c>
      <c r="P127" s="67">
        <v>34.0</v>
      </c>
      <c r="Q127" s="18" t="s">
        <v>560</v>
      </c>
      <c r="R127" s="68" t="str">
        <f>IFERROR(CONCATENATE("*",VLOOKUP(L127,PARAM!D:E,2,0),VLOOKUP(M127,PARAM!J:K,2,0),VLOOKUP(N127,PARAM!G:H,2,0),VLOOKUP(P127,PARAM!P:Q,2,0),"*"),"")</f>
        <v>*123915*</v>
      </c>
      <c r="S127" s="18" t="str">
        <f>IFERROR(CONCATENATE(VLOOKUP(L127,PARAM!D:E,2,0),VLOOKUP(M127,PARAM!J:K,2,0),VLOOKUP(N127,PARAM!G:H,2,0),VLOOKUP(O127,PARAM!M:N,2,0),VLOOKUP(P127,PARAM!P:Q,2,0)),"")</f>
        <v>12391615</v>
      </c>
      <c r="T127" s="18">
        <f t="shared" si="4"/>
        <v>8</v>
      </c>
      <c r="U127" s="18" t="str">
        <f t="shared" si="5"/>
        <v>JEANS CABALLERO BAGGI VARIOS TALLA 34</v>
      </c>
    </row>
    <row r="128">
      <c r="A128" s="64">
        <v>2.0</v>
      </c>
      <c r="B128" s="4" t="s">
        <v>1615</v>
      </c>
      <c r="C128" s="1"/>
      <c r="D128" s="4" t="s">
        <v>1615</v>
      </c>
      <c r="E128" s="3">
        <v>24000.0</v>
      </c>
      <c r="F128" s="2">
        <f t="shared" si="2"/>
        <v>48000</v>
      </c>
      <c r="G128" s="65">
        <f t="shared" si="3"/>
        <v>48000</v>
      </c>
      <c r="H128" s="1"/>
      <c r="I128" s="1"/>
      <c r="J128" s="1"/>
      <c r="K128" s="66" t="s">
        <v>1078</v>
      </c>
      <c r="L128" s="66" t="s">
        <v>1173</v>
      </c>
      <c r="M128" s="66" t="s">
        <v>1080</v>
      </c>
      <c r="N128" s="66" t="s">
        <v>503</v>
      </c>
      <c r="O128" s="66" t="s">
        <v>1069</v>
      </c>
      <c r="P128" s="67" t="s">
        <v>1165</v>
      </c>
      <c r="Q128" s="18" t="s">
        <v>573</v>
      </c>
      <c r="R128" s="68" t="str">
        <f>IFERROR(CONCATENATE("*",VLOOKUP(L128,PARAM!D:E,2,0),VLOOKUP(M128,PARAM!J:K,2,0),VLOOKUP(N128,PARAM!G:H,2,0),VLOOKUP(P128,PARAM!P:Q,2,0),"*"),"")</f>
        <v>*102023*</v>
      </c>
      <c r="S128" s="18" t="str">
        <f>IFERROR(CONCATENATE(VLOOKUP(L128,PARAM!D:E,2,0),VLOOKUP(M128,PARAM!J:K,2,0),VLOOKUP(N128,PARAM!G:H,2,0),VLOOKUP(O128,PARAM!M:N,2,0),VLOOKUP(P128,PARAM!P:Q,2,0)),"")</f>
        <v>10201623</v>
      </c>
      <c r="T128" s="18">
        <f t="shared" si="4"/>
        <v>8</v>
      </c>
      <c r="U128" s="18" t="str">
        <f t="shared" si="5"/>
        <v>CAMISAS CABALLERO - VARIOS TALLA L</v>
      </c>
    </row>
    <row r="129">
      <c r="A129" s="64">
        <v>1.0</v>
      </c>
      <c r="B129" s="4" t="s">
        <v>1616</v>
      </c>
      <c r="C129" s="1"/>
      <c r="D129" s="4" t="s">
        <v>1617</v>
      </c>
      <c r="E129" s="3">
        <v>35000.0</v>
      </c>
      <c r="F129" s="2">
        <f t="shared" si="2"/>
        <v>35000</v>
      </c>
      <c r="G129" s="65">
        <f t="shared" si="3"/>
        <v>70000</v>
      </c>
      <c r="H129" s="1"/>
      <c r="I129" s="1"/>
      <c r="J129" s="1"/>
      <c r="K129" s="66" t="s">
        <v>1078</v>
      </c>
      <c r="L129" s="66" t="s">
        <v>1173</v>
      </c>
      <c r="M129" s="66" t="s">
        <v>1080</v>
      </c>
      <c r="N129" s="66" t="s">
        <v>1174</v>
      </c>
      <c r="O129" s="66" t="s">
        <v>1069</v>
      </c>
      <c r="P129" s="67" t="s">
        <v>1165</v>
      </c>
      <c r="Q129" s="18" t="s">
        <v>573</v>
      </c>
      <c r="R129" s="68" t="str">
        <f>IFERROR(CONCATENATE("*",VLOOKUP(L129,PARAM!D:E,2,0),VLOOKUP(M129,PARAM!J:K,2,0),VLOOKUP(N129,PARAM!G:H,2,0),VLOOKUP(P129,PARAM!P:Q,2,0),"*"),"")</f>
        <v>*10215223*</v>
      </c>
      <c r="S129" s="18" t="str">
        <f>IFERROR(CONCATENATE(VLOOKUP(L129,PARAM!D:E,2,0),VLOOKUP(M129,PARAM!J:K,2,0),VLOOKUP(N129,PARAM!G:H,2,0),VLOOKUP(O129,PARAM!M:N,2,0),VLOOKUP(P129,PARAM!P:Q,2,0)),"")</f>
        <v>1021521623</v>
      </c>
      <c r="T129" s="18">
        <f t="shared" si="4"/>
        <v>10</v>
      </c>
      <c r="U129" s="18" t="str">
        <f t="shared" si="5"/>
        <v>CAMISAS CABALLERO JEAN VARIOS TALLA L</v>
      </c>
    </row>
    <row r="130">
      <c r="A130" s="64">
        <v>3.0</v>
      </c>
      <c r="B130" s="4" t="s">
        <v>1615</v>
      </c>
      <c r="C130" s="1"/>
      <c r="D130" s="4" t="s">
        <v>1615</v>
      </c>
      <c r="E130" s="3">
        <v>24000.0</v>
      </c>
      <c r="F130" s="2">
        <f t="shared" si="2"/>
        <v>72000</v>
      </c>
      <c r="G130" s="65">
        <f t="shared" si="3"/>
        <v>48000</v>
      </c>
      <c r="H130" s="1"/>
      <c r="I130" s="1"/>
      <c r="J130" s="1"/>
      <c r="K130" s="66" t="s">
        <v>1078</v>
      </c>
      <c r="L130" s="66" t="s">
        <v>1173</v>
      </c>
      <c r="M130" s="66" t="s">
        <v>1080</v>
      </c>
      <c r="N130" s="66" t="s">
        <v>503</v>
      </c>
      <c r="O130" s="66" t="s">
        <v>1069</v>
      </c>
      <c r="P130" s="67" t="s">
        <v>1164</v>
      </c>
      <c r="Q130" s="18" t="s">
        <v>573</v>
      </c>
      <c r="R130" s="68" t="str">
        <f>IFERROR(CONCATENATE("*",VLOOKUP(L130,PARAM!D:E,2,0),VLOOKUP(M130,PARAM!J:K,2,0),VLOOKUP(N130,PARAM!G:H,2,0),VLOOKUP(P130,PARAM!P:Q,2,0),"*"),"")</f>
        <v>*102025*</v>
      </c>
      <c r="S130" s="18" t="str">
        <f>IFERROR(CONCATENATE(VLOOKUP(L130,PARAM!D:E,2,0),VLOOKUP(M130,PARAM!J:K,2,0),VLOOKUP(N130,PARAM!G:H,2,0),VLOOKUP(O130,PARAM!M:N,2,0),VLOOKUP(P130,PARAM!P:Q,2,0)),"")</f>
        <v>10201625</v>
      </c>
      <c r="T130" s="18">
        <f t="shared" si="4"/>
        <v>8</v>
      </c>
      <c r="U130" s="18" t="str">
        <f t="shared" si="5"/>
        <v>CAMISAS CABALLERO - VARIOS TALLA M</v>
      </c>
    </row>
    <row r="131">
      <c r="A131" s="64">
        <v>1.0</v>
      </c>
      <c r="B131" s="4" t="s">
        <v>1616</v>
      </c>
      <c r="C131" s="1"/>
      <c r="D131" s="4" t="s">
        <v>1617</v>
      </c>
      <c r="E131" s="3">
        <v>35000.0</v>
      </c>
      <c r="F131" s="2">
        <f t="shared" si="2"/>
        <v>35000</v>
      </c>
      <c r="G131" s="65">
        <f t="shared" si="3"/>
        <v>70000</v>
      </c>
      <c r="H131" s="1"/>
      <c r="I131" s="1"/>
      <c r="J131" s="1"/>
      <c r="K131" s="66" t="s">
        <v>1078</v>
      </c>
      <c r="L131" s="66" t="s">
        <v>1173</v>
      </c>
      <c r="M131" s="66" t="s">
        <v>1080</v>
      </c>
      <c r="N131" s="66" t="s">
        <v>1174</v>
      </c>
      <c r="O131" s="66" t="s">
        <v>1069</v>
      </c>
      <c r="P131" s="67" t="s">
        <v>1164</v>
      </c>
      <c r="Q131" s="18" t="s">
        <v>573</v>
      </c>
      <c r="R131" s="68" t="str">
        <f>IFERROR(CONCATENATE("*",VLOOKUP(L131,PARAM!D:E,2,0),VLOOKUP(M131,PARAM!J:K,2,0),VLOOKUP(N131,PARAM!G:H,2,0),VLOOKUP(P131,PARAM!P:Q,2,0),"*"),"")</f>
        <v>*10215225*</v>
      </c>
      <c r="S131" s="18" t="str">
        <f>IFERROR(CONCATENATE(VLOOKUP(L131,PARAM!D:E,2,0),VLOOKUP(M131,PARAM!J:K,2,0),VLOOKUP(N131,PARAM!G:H,2,0),VLOOKUP(O131,PARAM!M:N,2,0),VLOOKUP(P131,PARAM!P:Q,2,0)),"")</f>
        <v>1021521625</v>
      </c>
      <c r="T131" s="18">
        <f t="shared" si="4"/>
        <v>10</v>
      </c>
      <c r="U131" s="18" t="str">
        <f t="shared" si="5"/>
        <v>CAMISAS CABALLERO JEAN VARIOS TALLA M</v>
      </c>
    </row>
    <row r="132">
      <c r="A132" s="64">
        <v>2.0</v>
      </c>
      <c r="B132" s="4" t="s">
        <v>1615</v>
      </c>
      <c r="C132" s="1"/>
      <c r="D132" s="4" t="s">
        <v>1615</v>
      </c>
      <c r="E132" s="3">
        <v>24000.0</v>
      </c>
      <c r="F132" s="2">
        <f t="shared" si="2"/>
        <v>48000</v>
      </c>
      <c r="G132" s="65">
        <f t="shared" si="3"/>
        <v>48000</v>
      </c>
      <c r="H132" s="1"/>
      <c r="I132" s="1"/>
      <c r="J132" s="1"/>
      <c r="K132" s="66" t="s">
        <v>1078</v>
      </c>
      <c r="L132" s="66" t="s">
        <v>1173</v>
      </c>
      <c r="M132" s="66" t="s">
        <v>1080</v>
      </c>
      <c r="N132" s="66" t="s">
        <v>503</v>
      </c>
      <c r="O132" s="66" t="s">
        <v>1069</v>
      </c>
      <c r="P132" s="67" t="s">
        <v>1168</v>
      </c>
      <c r="Q132" s="18" t="s">
        <v>573</v>
      </c>
      <c r="R132" s="68" t="str">
        <f>IFERROR(CONCATENATE("*",VLOOKUP(L132,PARAM!D:E,2,0),VLOOKUP(M132,PARAM!J:K,2,0),VLOOKUP(N132,PARAM!G:H,2,0),VLOOKUP(P132,PARAM!P:Q,2,0),"*"),"")</f>
        <v>*102027*</v>
      </c>
      <c r="S132" s="18" t="str">
        <f>IFERROR(CONCATENATE(VLOOKUP(L132,PARAM!D:E,2,0),VLOOKUP(M132,PARAM!J:K,2,0),VLOOKUP(N132,PARAM!G:H,2,0),VLOOKUP(O132,PARAM!M:N,2,0),VLOOKUP(P132,PARAM!P:Q,2,0)),"")</f>
        <v>10201627</v>
      </c>
      <c r="T132" s="18">
        <f t="shared" si="4"/>
        <v>8</v>
      </c>
      <c r="U132" s="18" t="str">
        <f t="shared" si="5"/>
        <v>CAMISAS CABALLERO - VARIOS TALLA S</v>
      </c>
    </row>
    <row r="133">
      <c r="A133" s="64">
        <v>2.0</v>
      </c>
      <c r="B133" s="4" t="s">
        <v>1615</v>
      </c>
      <c r="C133" s="1"/>
      <c r="D133" s="4" t="s">
        <v>1615</v>
      </c>
      <c r="E133" s="3">
        <v>24000.0</v>
      </c>
      <c r="F133" s="2">
        <f t="shared" si="2"/>
        <v>48000</v>
      </c>
      <c r="G133" s="65">
        <f t="shared" si="3"/>
        <v>48000</v>
      </c>
      <c r="H133" s="1"/>
      <c r="I133" s="1"/>
      <c r="J133" s="1"/>
      <c r="K133" s="66" t="s">
        <v>1078</v>
      </c>
      <c r="L133" s="66" t="s">
        <v>1173</v>
      </c>
      <c r="M133" s="66" t="s">
        <v>1080</v>
      </c>
      <c r="N133" s="66" t="s">
        <v>503</v>
      </c>
      <c r="O133" s="66" t="s">
        <v>1069</v>
      </c>
      <c r="P133" s="67" t="s">
        <v>1077</v>
      </c>
      <c r="Q133" s="18" t="s">
        <v>573</v>
      </c>
      <c r="R133" s="68" t="str">
        <f>IFERROR(CONCATENATE("*",VLOOKUP(L133,PARAM!D:E,2,0),VLOOKUP(M133,PARAM!J:K,2,0),VLOOKUP(N133,PARAM!G:H,2,0),VLOOKUP(P133,PARAM!P:Q,2,0),"*"),"")</f>
        <v>*102032*</v>
      </c>
      <c r="S133" s="18" t="str">
        <f>IFERROR(CONCATENATE(VLOOKUP(L133,PARAM!D:E,2,0),VLOOKUP(M133,PARAM!J:K,2,0),VLOOKUP(N133,PARAM!G:H,2,0),VLOOKUP(O133,PARAM!M:N,2,0),VLOOKUP(P133,PARAM!P:Q,2,0)),"")</f>
        <v>10201632</v>
      </c>
      <c r="T133" s="18">
        <f t="shared" si="4"/>
        <v>8</v>
      </c>
      <c r="U133" s="18" t="str">
        <f t="shared" si="5"/>
        <v>CAMISAS CABALLERO - VARIOS TALLA XL</v>
      </c>
    </row>
    <row r="134">
      <c r="A134" s="64">
        <v>1.0</v>
      </c>
      <c r="B134" s="4" t="s">
        <v>1618</v>
      </c>
      <c r="C134" s="1"/>
      <c r="D134" s="4" t="s">
        <v>1618</v>
      </c>
      <c r="E134" s="3">
        <v>26000.0</v>
      </c>
      <c r="F134" s="2">
        <f t="shared" si="2"/>
        <v>26000</v>
      </c>
      <c r="G134" s="65">
        <f t="shared" si="3"/>
        <v>52000</v>
      </c>
      <c r="H134" s="1"/>
      <c r="I134" s="1"/>
      <c r="J134" s="1"/>
      <c r="K134" s="66" t="s">
        <v>1058</v>
      </c>
      <c r="L134" s="66" t="s">
        <v>1175</v>
      </c>
      <c r="M134" s="66" t="s">
        <v>1060</v>
      </c>
      <c r="N134" s="66" t="s">
        <v>1176</v>
      </c>
      <c r="O134" s="66" t="s">
        <v>1069</v>
      </c>
      <c r="P134" s="67" t="s">
        <v>1103</v>
      </c>
      <c r="Q134" s="18" t="s">
        <v>580</v>
      </c>
      <c r="R134" s="68" t="str">
        <f>IFERROR(CONCATENATE("*",VLOOKUP(L134,PARAM!D:E,2,0),VLOOKUP(M134,PARAM!J:K,2,0),VLOOKUP(N134,PARAM!G:H,2,0),VLOOKUP(P134,PARAM!P:Q,2,0),"*"),"")</f>
        <v>*3811430*</v>
      </c>
      <c r="S134" s="18" t="str">
        <f>IFERROR(CONCATENATE(VLOOKUP(L134,PARAM!D:E,2,0),VLOOKUP(M134,PARAM!J:K,2,0),VLOOKUP(N134,PARAM!G:H,2,0),VLOOKUP(O134,PARAM!M:N,2,0),VLOOKUP(P134,PARAM!P:Q,2,0)),"")</f>
        <v>381141630</v>
      </c>
      <c r="T134" s="18">
        <f t="shared" si="4"/>
        <v>9</v>
      </c>
      <c r="U134" s="18" t="str">
        <f t="shared" si="5"/>
        <v>BODY DAMA AFELPADO VARIOS TALLA UN</v>
      </c>
    </row>
    <row r="135">
      <c r="A135" s="64">
        <v>3.0</v>
      </c>
      <c r="B135" s="4" t="s">
        <v>1619</v>
      </c>
      <c r="C135" s="1"/>
      <c r="D135" s="4" t="s">
        <v>1620</v>
      </c>
      <c r="E135" s="3">
        <v>26000.0</v>
      </c>
      <c r="F135" s="2">
        <f t="shared" si="2"/>
        <v>78000</v>
      </c>
      <c r="G135" s="65">
        <f t="shared" si="3"/>
        <v>52000</v>
      </c>
      <c r="H135" s="1"/>
      <c r="I135" s="1"/>
      <c r="J135" s="1"/>
      <c r="K135" s="66" t="s">
        <v>1058</v>
      </c>
      <c r="L135" s="66" t="s">
        <v>421</v>
      </c>
      <c r="M135" s="66" t="s">
        <v>1060</v>
      </c>
      <c r="N135" s="66" t="s">
        <v>1177</v>
      </c>
      <c r="O135" s="66" t="s">
        <v>1069</v>
      </c>
      <c r="P135" s="67" t="s">
        <v>1103</v>
      </c>
      <c r="Q135" s="18" t="s">
        <v>580</v>
      </c>
      <c r="R135" s="68" t="str">
        <f>IFERROR(CONCATENATE("*",VLOOKUP(L135,PARAM!D:E,2,0),VLOOKUP(M135,PARAM!J:K,2,0),VLOOKUP(N135,PARAM!G:H,2,0),VLOOKUP(P135,PARAM!P:Q,2,0),"*"),"")</f>
        <v>*615230*</v>
      </c>
      <c r="S135" s="18" t="str">
        <f>IFERROR(CONCATENATE(VLOOKUP(L135,PARAM!D:E,2,0),VLOOKUP(M135,PARAM!J:K,2,0),VLOOKUP(N135,PARAM!G:H,2,0),VLOOKUP(O135,PARAM!M:N,2,0),VLOOKUP(P135,PARAM!P:Q,2,0)),"")</f>
        <v>61521630</v>
      </c>
      <c r="T135" s="18">
        <f t="shared" si="4"/>
        <v>8</v>
      </c>
      <c r="U135" s="18" t="str">
        <f t="shared" si="5"/>
        <v>BLUSAS DAMA BRILLANTE VARIOS TALLA UN</v>
      </c>
    </row>
    <row r="136">
      <c r="A136" s="64">
        <v>2.0</v>
      </c>
      <c r="B136" s="4" t="s">
        <v>1621</v>
      </c>
      <c r="C136" s="1"/>
      <c r="D136" s="4" t="s">
        <v>1622</v>
      </c>
      <c r="E136" s="3">
        <v>18000.0</v>
      </c>
      <c r="F136" s="2">
        <f t="shared" si="2"/>
        <v>36000</v>
      </c>
      <c r="G136" s="65">
        <f t="shared" si="3"/>
        <v>36000</v>
      </c>
      <c r="H136" s="1"/>
      <c r="I136" s="1"/>
      <c r="J136" s="1"/>
      <c r="K136" s="66" t="s">
        <v>1058</v>
      </c>
      <c r="L136" s="66" t="s">
        <v>421</v>
      </c>
      <c r="M136" s="66" t="s">
        <v>1060</v>
      </c>
      <c r="N136" s="66" t="s">
        <v>1159</v>
      </c>
      <c r="O136" s="66" t="s">
        <v>1069</v>
      </c>
      <c r="P136" s="67" t="s">
        <v>1103</v>
      </c>
      <c r="Q136" s="18" t="s">
        <v>580</v>
      </c>
      <c r="R136" s="68" t="str">
        <f>IFERROR(CONCATENATE("*",VLOOKUP(L136,PARAM!D:E,2,0),VLOOKUP(M136,PARAM!J:K,2,0),VLOOKUP(N136,PARAM!G:H,2,0),VLOOKUP(P136,PARAM!P:Q,2,0),"*"),"")</f>
        <v>*6118430*</v>
      </c>
      <c r="S136" s="18" t="str">
        <f>IFERROR(CONCATENATE(VLOOKUP(L136,PARAM!D:E,2,0),VLOOKUP(M136,PARAM!J:K,2,0),VLOOKUP(N136,PARAM!G:H,2,0),VLOOKUP(O136,PARAM!M:N,2,0),VLOOKUP(P136,PARAM!P:Q,2,0)),"")</f>
        <v>611841630</v>
      </c>
      <c r="T136" s="18">
        <f t="shared" si="4"/>
        <v>9</v>
      </c>
      <c r="U136" s="18" t="str">
        <f t="shared" si="5"/>
        <v>BLUSAS DAMA MARIPOSA VARIOS TALLA UN</v>
      </c>
    </row>
    <row r="137">
      <c r="A137" s="64">
        <v>7.0</v>
      </c>
      <c r="B137" s="4" t="s">
        <v>1623</v>
      </c>
      <c r="C137" s="1"/>
      <c r="D137" s="4" t="s">
        <v>1624</v>
      </c>
      <c r="E137" s="3">
        <v>23000.0</v>
      </c>
      <c r="F137" s="2">
        <f t="shared" si="2"/>
        <v>161000</v>
      </c>
      <c r="G137" s="65">
        <f t="shared" si="3"/>
        <v>46000</v>
      </c>
      <c r="H137" s="1"/>
      <c r="I137" s="1"/>
      <c r="J137" s="1"/>
      <c r="K137" s="66" t="s">
        <v>1058</v>
      </c>
      <c r="L137" s="66" t="s">
        <v>421</v>
      </c>
      <c r="M137" s="66" t="s">
        <v>1060</v>
      </c>
      <c r="N137" s="66" t="s">
        <v>1178</v>
      </c>
      <c r="O137" s="66" t="s">
        <v>1069</v>
      </c>
      <c r="P137" s="67" t="s">
        <v>1103</v>
      </c>
      <c r="Q137" s="18" t="s">
        <v>580</v>
      </c>
      <c r="R137" s="68" t="str">
        <f>IFERROR(CONCATENATE("*",VLOOKUP(L137,PARAM!D:E,2,0),VLOOKUP(M137,PARAM!J:K,2,0),VLOOKUP(N137,PARAM!G:H,2,0),VLOOKUP(P137,PARAM!P:Q,2,0),"*"),"")</f>
        <v>*612430*</v>
      </c>
      <c r="S137" s="18" t="str">
        <f>IFERROR(CONCATENATE(VLOOKUP(L137,PARAM!D:E,2,0),VLOOKUP(M137,PARAM!J:K,2,0),VLOOKUP(N137,PARAM!G:H,2,0),VLOOKUP(O137,PARAM!M:N,2,0),VLOOKUP(P137,PARAM!P:Q,2,0)),"")</f>
        <v>61241630</v>
      </c>
      <c r="T137" s="18">
        <f t="shared" si="4"/>
        <v>8</v>
      </c>
      <c r="U137" s="18" t="str">
        <f t="shared" si="5"/>
        <v>BLUSAS DAMA AMBAR VARIOS TALLA UN</v>
      </c>
    </row>
    <row r="138">
      <c r="A138" s="64">
        <v>2.0</v>
      </c>
      <c r="B138" s="4" t="s">
        <v>1625</v>
      </c>
      <c r="C138" s="1"/>
      <c r="D138" s="4" t="s">
        <v>1625</v>
      </c>
      <c r="E138" s="3">
        <v>23000.0</v>
      </c>
      <c r="F138" s="2">
        <f t="shared" si="2"/>
        <v>46000</v>
      </c>
      <c r="G138" s="65">
        <f t="shared" si="3"/>
        <v>46000</v>
      </c>
      <c r="H138" s="1"/>
      <c r="I138" s="1"/>
      <c r="J138" s="1"/>
      <c r="K138" s="66" t="s">
        <v>1058</v>
      </c>
      <c r="L138" s="66" t="s">
        <v>1175</v>
      </c>
      <c r="M138" s="66" t="s">
        <v>1060</v>
      </c>
      <c r="N138" s="18" t="s">
        <v>1179</v>
      </c>
      <c r="O138" s="66" t="s">
        <v>1069</v>
      </c>
      <c r="P138" s="67" t="s">
        <v>1103</v>
      </c>
      <c r="Q138" s="18" t="s">
        <v>580</v>
      </c>
      <c r="R138" s="68" t="str">
        <f>IFERROR(CONCATENATE("*",VLOOKUP(L138,PARAM!D:E,2,0),VLOOKUP(M138,PARAM!J:K,2,0),VLOOKUP(N138,PARAM!G:H,2,0),VLOOKUP(P138,PARAM!P:Q,2,0),"*"),"")</f>
        <v>*3814730*</v>
      </c>
      <c r="S138" s="18" t="str">
        <f>IFERROR(CONCATENATE(VLOOKUP(L138,PARAM!D:E,2,0),VLOOKUP(M138,PARAM!J:K,2,0),VLOOKUP(N138,PARAM!G:H,2,0),VLOOKUP(O138,PARAM!M:N,2,0),VLOOKUP(P138,PARAM!P:Q,2,0)),"")</f>
        <v>381471630</v>
      </c>
      <c r="T138" s="18">
        <f t="shared" si="4"/>
        <v>9</v>
      </c>
      <c r="U138" s="18" t="str">
        <f t="shared" si="5"/>
        <v>BODY DAMA BODY COSMO VARIOS TALLA UN</v>
      </c>
    </row>
    <row r="139">
      <c r="A139" s="64">
        <v>1.0</v>
      </c>
      <c r="B139" s="4" t="s">
        <v>1626</v>
      </c>
      <c r="C139" s="1"/>
      <c r="D139" s="4" t="s">
        <v>1627</v>
      </c>
      <c r="E139" s="3">
        <v>23000.0</v>
      </c>
      <c r="F139" s="2">
        <f t="shared" si="2"/>
        <v>23000</v>
      </c>
      <c r="G139" s="65">
        <f t="shared" si="3"/>
        <v>46000</v>
      </c>
      <c r="H139" s="1"/>
      <c r="I139" s="1"/>
      <c r="J139" s="1"/>
      <c r="K139" s="66" t="s">
        <v>1058</v>
      </c>
      <c r="L139" s="66" t="s">
        <v>1175</v>
      </c>
      <c r="M139" s="66" t="s">
        <v>1060</v>
      </c>
      <c r="N139" s="18" t="s">
        <v>1180</v>
      </c>
      <c r="O139" s="66" t="s">
        <v>1069</v>
      </c>
      <c r="P139" s="67" t="s">
        <v>1103</v>
      </c>
      <c r="Q139" s="18" t="s">
        <v>580</v>
      </c>
      <c r="R139" s="68" t="str">
        <f>IFERROR(CONCATENATE("*",VLOOKUP(L139,PARAM!D:E,2,0),VLOOKUP(M139,PARAM!J:K,2,0),VLOOKUP(N139,PARAM!G:H,2,0),VLOOKUP(P139,PARAM!P:Q,2,0),"*"),"")</f>
        <v>*38119930*</v>
      </c>
      <c r="S139" s="18" t="str">
        <f>IFERROR(CONCATENATE(VLOOKUP(L139,PARAM!D:E,2,0),VLOOKUP(M139,PARAM!J:K,2,0),VLOOKUP(N139,PARAM!G:H,2,0),VLOOKUP(O139,PARAM!M:N,2,0),VLOOKUP(P139,PARAM!P:Q,2,0)),"")</f>
        <v>3811991630</v>
      </c>
      <c r="T139" s="18">
        <f t="shared" si="4"/>
        <v>10</v>
      </c>
      <c r="U139" s="18" t="str">
        <f t="shared" si="5"/>
        <v>BODY DAMA OTRA CLASE VARIOS TALLA UN</v>
      </c>
    </row>
    <row r="140">
      <c r="A140" s="64">
        <v>2.0</v>
      </c>
      <c r="B140" s="4" t="s">
        <v>1628</v>
      </c>
      <c r="C140" s="1"/>
      <c r="D140" s="4" t="s">
        <v>1629</v>
      </c>
      <c r="E140" s="3">
        <v>21000.0</v>
      </c>
      <c r="F140" s="2">
        <f t="shared" si="2"/>
        <v>42000</v>
      </c>
      <c r="G140" s="65">
        <f t="shared" si="3"/>
        <v>42000</v>
      </c>
      <c r="H140" s="1"/>
      <c r="I140" s="1"/>
      <c r="J140" s="1"/>
      <c r="K140" s="66" t="s">
        <v>1058</v>
      </c>
      <c r="L140" s="66" t="s">
        <v>1171</v>
      </c>
      <c r="M140" s="66" t="s">
        <v>1060</v>
      </c>
      <c r="N140" s="66" t="s">
        <v>1181</v>
      </c>
      <c r="O140" s="66" t="s">
        <v>1069</v>
      </c>
      <c r="P140" s="67" t="s">
        <v>1164</v>
      </c>
      <c r="Q140" s="18" t="s">
        <v>587</v>
      </c>
      <c r="R140" s="68" t="str">
        <f>IFERROR(CONCATENATE("*",VLOOKUP(L140,PARAM!D:E,2,0),VLOOKUP(M140,PARAM!J:K,2,0),VLOOKUP(N140,PARAM!G:H,2,0),VLOOKUP(P140,PARAM!P:Q,2,0),"*"),"")</f>
        <v>*11121625*</v>
      </c>
      <c r="S140" s="18" t="str">
        <f>IFERROR(CONCATENATE(VLOOKUP(L140,PARAM!D:E,2,0),VLOOKUP(M140,PARAM!J:K,2,0),VLOOKUP(N140,PARAM!G:H,2,0),VLOOKUP(O140,PARAM!M:N,2,0),VLOOKUP(P140,PARAM!P:Q,2,0)),"")</f>
        <v>1112161625</v>
      </c>
      <c r="T140" s="18">
        <f t="shared" si="4"/>
        <v>10</v>
      </c>
      <c r="U140" s="18" t="str">
        <f t="shared" si="5"/>
        <v>CAMISETAS DAMA POLO VARIOS TALLA M</v>
      </c>
    </row>
    <row r="141">
      <c r="A141" s="64">
        <v>2.0</v>
      </c>
      <c r="B141" s="4" t="s">
        <v>1628</v>
      </c>
      <c r="C141" s="1"/>
      <c r="D141" s="4" t="s">
        <v>1629</v>
      </c>
      <c r="E141" s="3">
        <v>21000.0</v>
      </c>
      <c r="F141" s="2">
        <f t="shared" si="2"/>
        <v>42000</v>
      </c>
      <c r="G141" s="65">
        <f t="shared" si="3"/>
        <v>42000</v>
      </c>
      <c r="H141" s="1"/>
      <c r="I141" s="1"/>
      <c r="J141" s="1"/>
      <c r="K141" s="66" t="s">
        <v>1058</v>
      </c>
      <c r="L141" s="66" t="s">
        <v>1171</v>
      </c>
      <c r="M141" s="66" t="s">
        <v>1060</v>
      </c>
      <c r="N141" s="66" t="s">
        <v>1181</v>
      </c>
      <c r="O141" s="66" t="s">
        <v>1069</v>
      </c>
      <c r="P141" s="67" t="s">
        <v>1168</v>
      </c>
      <c r="Q141" s="18" t="s">
        <v>587</v>
      </c>
      <c r="R141" s="68" t="str">
        <f>IFERROR(CONCATENATE("*",VLOOKUP(L141,PARAM!D:E,2,0),VLOOKUP(M141,PARAM!J:K,2,0),VLOOKUP(N141,PARAM!G:H,2,0),VLOOKUP(P141,PARAM!P:Q,2,0),"*"),"")</f>
        <v>*11121627*</v>
      </c>
      <c r="S141" s="18" t="str">
        <f>IFERROR(CONCATENATE(VLOOKUP(L141,PARAM!D:E,2,0),VLOOKUP(M141,PARAM!J:K,2,0),VLOOKUP(N141,PARAM!G:H,2,0),VLOOKUP(O141,PARAM!M:N,2,0),VLOOKUP(P141,PARAM!P:Q,2,0)),"")</f>
        <v>1112161627</v>
      </c>
      <c r="T141" s="18">
        <f t="shared" si="4"/>
        <v>10</v>
      </c>
      <c r="U141" s="18" t="str">
        <f t="shared" si="5"/>
        <v>CAMISETAS DAMA POLO VARIOS TALLA S</v>
      </c>
    </row>
    <row r="142">
      <c r="A142" s="64">
        <v>2.0</v>
      </c>
      <c r="B142" s="4" t="s">
        <v>1630</v>
      </c>
      <c r="C142" s="1"/>
      <c r="D142" s="4" t="s">
        <v>1631</v>
      </c>
      <c r="E142" s="3">
        <v>25000.0</v>
      </c>
      <c r="F142" s="2">
        <f t="shared" si="2"/>
        <v>50000</v>
      </c>
      <c r="G142" s="65">
        <f t="shared" si="3"/>
        <v>50000</v>
      </c>
      <c r="H142" s="1"/>
      <c r="I142" s="1"/>
      <c r="J142" s="1"/>
      <c r="K142" s="66" t="s">
        <v>1078</v>
      </c>
      <c r="L142" s="66" t="s">
        <v>1171</v>
      </c>
      <c r="M142" s="66" t="s">
        <v>1080</v>
      </c>
      <c r="N142" s="66" t="s">
        <v>1182</v>
      </c>
      <c r="O142" s="66" t="s">
        <v>1069</v>
      </c>
      <c r="P142" s="67" t="s">
        <v>1077</v>
      </c>
      <c r="Q142" s="18" t="s">
        <v>587</v>
      </c>
      <c r="R142" s="68" t="str">
        <f>IFERROR(CONCATENATE("*",VLOOKUP(L142,PARAM!D:E,2,0),VLOOKUP(M142,PARAM!J:K,2,0),VLOOKUP(N142,PARAM!G:H,2,0),VLOOKUP(P142,PARAM!P:Q,2,0),"*"),"")</f>
        <v>*11222032*</v>
      </c>
      <c r="S142" s="18" t="str">
        <f>IFERROR(CONCATENATE(VLOOKUP(L142,PARAM!D:E,2,0),VLOOKUP(M142,PARAM!J:K,2,0),VLOOKUP(N142,PARAM!G:H,2,0),VLOOKUP(O142,PARAM!M:N,2,0),VLOOKUP(P142,PARAM!P:Q,2,0)),"")</f>
        <v>1122201632</v>
      </c>
      <c r="T142" s="18">
        <f t="shared" si="4"/>
        <v>10</v>
      </c>
      <c r="U142" s="18" t="str">
        <f t="shared" si="5"/>
        <v>CAMISETAS CABALLERO POLO TIPO GALLETA VARIOS TALLA XL</v>
      </c>
    </row>
    <row r="143">
      <c r="A143" s="64">
        <v>2.0</v>
      </c>
      <c r="B143" s="4" t="s">
        <v>1630</v>
      </c>
      <c r="C143" s="1"/>
      <c r="D143" s="4" t="s">
        <v>1631</v>
      </c>
      <c r="E143" s="3">
        <v>25000.0</v>
      </c>
      <c r="F143" s="2">
        <f t="shared" si="2"/>
        <v>50000</v>
      </c>
      <c r="G143" s="65">
        <f t="shared" si="3"/>
        <v>50000</v>
      </c>
      <c r="H143" s="1"/>
      <c r="I143" s="1"/>
      <c r="J143" s="1"/>
      <c r="K143" s="66" t="s">
        <v>1078</v>
      </c>
      <c r="L143" s="66" t="s">
        <v>1171</v>
      </c>
      <c r="M143" s="66" t="s">
        <v>1080</v>
      </c>
      <c r="N143" s="66" t="s">
        <v>1182</v>
      </c>
      <c r="O143" s="66" t="s">
        <v>1069</v>
      </c>
      <c r="P143" s="67" t="s">
        <v>1168</v>
      </c>
      <c r="Q143" s="18" t="s">
        <v>587</v>
      </c>
      <c r="R143" s="68" t="str">
        <f>IFERROR(CONCATENATE("*",VLOOKUP(L143,PARAM!D:E,2,0),VLOOKUP(M143,PARAM!J:K,2,0),VLOOKUP(N143,PARAM!G:H,2,0),VLOOKUP(P143,PARAM!P:Q,2,0),"*"),"")</f>
        <v>*11222027*</v>
      </c>
      <c r="S143" s="18" t="str">
        <f>IFERROR(CONCATENATE(VLOOKUP(L143,PARAM!D:E,2,0),VLOOKUP(M143,PARAM!J:K,2,0),VLOOKUP(N143,PARAM!G:H,2,0),VLOOKUP(O143,PARAM!M:N,2,0),VLOOKUP(P143,PARAM!P:Q,2,0)),"")</f>
        <v>1122201627</v>
      </c>
      <c r="T143" s="18">
        <f t="shared" si="4"/>
        <v>10</v>
      </c>
      <c r="U143" s="18" t="str">
        <f t="shared" si="5"/>
        <v>CAMISETAS CABALLERO POLO TIPO GALLETA VARIOS TALLA S</v>
      </c>
    </row>
    <row r="144">
      <c r="A144" s="64">
        <v>2.0</v>
      </c>
      <c r="B144" s="4" t="s">
        <v>1630</v>
      </c>
      <c r="C144" s="1"/>
      <c r="D144" s="4" t="s">
        <v>1631</v>
      </c>
      <c r="E144" s="3">
        <v>25000.0</v>
      </c>
      <c r="F144" s="2">
        <f t="shared" si="2"/>
        <v>50000</v>
      </c>
      <c r="G144" s="65">
        <f t="shared" si="3"/>
        <v>50000</v>
      </c>
      <c r="H144" s="1"/>
      <c r="I144" s="1"/>
      <c r="J144" s="1"/>
      <c r="K144" s="66" t="s">
        <v>1078</v>
      </c>
      <c r="L144" s="66" t="s">
        <v>1171</v>
      </c>
      <c r="M144" s="66" t="s">
        <v>1080</v>
      </c>
      <c r="N144" s="66" t="s">
        <v>1182</v>
      </c>
      <c r="O144" s="66" t="s">
        <v>1069</v>
      </c>
      <c r="P144" s="67" t="s">
        <v>1164</v>
      </c>
      <c r="Q144" s="18" t="s">
        <v>587</v>
      </c>
      <c r="R144" s="68" t="str">
        <f>IFERROR(CONCATENATE("*",VLOOKUP(L144,PARAM!D:E,2,0),VLOOKUP(M144,PARAM!J:K,2,0),VLOOKUP(N144,PARAM!G:H,2,0),VLOOKUP(P144,PARAM!P:Q,2,0),"*"),"")</f>
        <v>*11222025*</v>
      </c>
      <c r="S144" s="18" t="str">
        <f>IFERROR(CONCATENATE(VLOOKUP(L144,PARAM!D:E,2,0),VLOOKUP(M144,PARAM!J:K,2,0),VLOOKUP(N144,PARAM!G:H,2,0),VLOOKUP(O144,PARAM!M:N,2,0),VLOOKUP(P144,PARAM!P:Q,2,0)),"")</f>
        <v>1122201625</v>
      </c>
      <c r="T144" s="18">
        <f t="shared" si="4"/>
        <v>10</v>
      </c>
      <c r="U144" s="18" t="str">
        <f t="shared" si="5"/>
        <v>CAMISETAS CABALLERO POLO TIPO GALLETA VARIOS TALLA M</v>
      </c>
    </row>
    <row r="145">
      <c r="A145" s="64">
        <v>2.0</v>
      </c>
      <c r="B145" s="4" t="s">
        <v>1630</v>
      </c>
      <c r="C145" s="1"/>
      <c r="D145" s="4" t="s">
        <v>1631</v>
      </c>
      <c r="E145" s="3">
        <v>25000.0</v>
      </c>
      <c r="F145" s="2">
        <f t="shared" si="2"/>
        <v>50000</v>
      </c>
      <c r="G145" s="65">
        <f t="shared" si="3"/>
        <v>50000</v>
      </c>
      <c r="H145" s="1"/>
      <c r="I145" s="1"/>
      <c r="J145" s="1"/>
      <c r="K145" s="66" t="s">
        <v>1078</v>
      </c>
      <c r="L145" s="66" t="s">
        <v>1171</v>
      </c>
      <c r="M145" s="66" t="s">
        <v>1080</v>
      </c>
      <c r="N145" s="66" t="s">
        <v>1182</v>
      </c>
      <c r="O145" s="66" t="s">
        <v>1069</v>
      </c>
      <c r="P145" s="67" t="s">
        <v>1165</v>
      </c>
      <c r="Q145" s="18" t="s">
        <v>587</v>
      </c>
      <c r="R145" s="68" t="str">
        <f>IFERROR(CONCATENATE("*",VLOOKUP(L145,PARAM!D:E,2,0),VLOOKUP(M145,PARAM!J:K,2,0),VLOOKUP(N145,PARAM!G:H,2,0),VLOOKUP(P145,PARAM!P:Q,2,0),"*"),"")</f>
        <v>*11222023*</v>
      </c>
      <c r="S145" s="18" t="str">
        <f>IFERROR(CONCATENATE(VLOOKUP(L145,PARAM!D:E,2,0),VLOOKUP(M145,PARAM!J:K,2,0),VLOOKUP(N145,PARAM!G:H,2,0),VLOOKUP(O145,PARAM!M:N,2,0),VLOOKUP(P145,PARAM!P:Q,2,0)),"")</f>
        <v>1122201623</v>
      </c>
      <c r="T145" s="18">
        <f t="shared" si="4"/>
        <v>10</v>
      </c>
      <c r="U145" s="18" t="str">
        <f t="shared" si="5"/>
        <v>CAMISETAS CABALLERO POLO TIPO GALLETA VARIOS TALLA L</v>
      </c>
    </row>
    <row r="146">
      <c r="A146" s="64">
        <v>2.0</v>
      </c>
      <c r="B146" s="4" t="s">
        <v>1632</v>
      </c>
      <c r="C146" s="1"/>
      <c r="D146" s="4" t="s">
        <v>1615</v>
      </c>
      <c r="E146" s="3">
        <v>20000.0</v>
      </c>
      <c r="F146" s="2">
        <f t="shared" si="2"/>
        <v>40000</v>
      </c>
      <c r="G146" s="65">
        <f t="shared" si="3"/>
        <v>40000</v>
      </c>
      <c r="H146" s="1"/>
      <c r="I146" s="1"/>
      <c r="J146" s="1"/>
      <c r="K146" s="66" t="s">
        <v>1078</v>
      </c>
      <c r="L146" s="66" t="s">
        <v>1171</v>
      </c>
      <c r="M146" s="66" t="s">
        <v>1080</v>
      </c>
      <c r="N146" s="66" t="s">
        <v>1144</v>
      </c>
      <c r="O146" s="66" t="s">
        <v>1069</v>
      </c>
      <c r="P146" s="67" t="s">
        <v>1168</v>
      </c>
      <c r="Q146" s="18" t="s">
        <v>587</v>
      </c>
      <c r="R146" s="68" t="str">
        <f>IFERROR(CONCATENATE("*",VLOOKUP(L146,PARAM!D:E,2,0),VLOOKUP(M146,PARAM!J:K,2,0),VLOOKUP(N146,PARAM!G:H,2,0),VLOOKUP(P146,PARAM!P:Q,2,0),"*"),"")</f>
        <v>*11210827*</v>
      </c>
      <c r="S146" s="18" t="str">
        <f>IFERROR(CONCATENATE(VLOOKUP(L146,PARAM!D:E,2,0),VLOOKUP(M146,PARAM!J:K,2,0),VLOOKUP(N146,PARAM!G:H,2,0),VLOOKUP(O146,PARAM!M:N,2,0),VLOOKUP(P146,PARAM!P:Q,2,0)),"")</f>
        <v>1121081627</v>
      </c>
      <c r="T146" s="18">
        <f t="shared" si="4"/>
        <v>10</v>
      </c>
      <c r="U146" s="18" t="str">
        <f t="shared" si="5"/>
        <v>CAMISETAS CABALLERO CUELLO REDONDO VARIOS TALLA S</v>
      </c>
    </row>
    <row r="147">
      <c r="A147" s="64">
        <v>2.0</v>
      </c>
      <c r="B147" s="4" t="s">
        <v>1632</v>
      </c>
      <c r="C147" s="1"/>
      <c r="D147" s="4" t="s">
        <v>1615</v>
      </c>
      <c r="E147" s="3">
        <v>20000.0</v>
      </c>
      <c r="F147" s="2">
        <f t="shared" si="2"/>
        <v>40000</v>
      </c>
      <c r="G147" s="65">
        <f t="shared" si="3"/>
        <v>40000</v>
      </c>
      <c r="H147" s="1"/>
      <c r="I147" s="1"/>
      <c r="J147" s="1"/>
      <c r="K147" s="66" t="s">
        <v>1078</v>
      </c>
      <c r="L147" s="66" t="s">
        <v>1171</v>
      </c>
      <c r="M147" s="66" t="s">
        <v>1080</v>
      </c>
      <c r="N147" s="66" t="s">
        <v>1144</v>
      </c>
      <c r="O147" s="66" t="s">
        <v>1069</v>
      </c>
      <c r="P147" s="67" t="s">
        <v>1164</v>
      </c>
      <c r="Q147" s="18" t="s">
        <v>587</v>
      </c>
      <c r="R147" s="68" t="str">
        <f>IFERROR(CONCATENATE("*",VLOOKUP(L147,PARAM!D:E,2,0),VLOOKUP(M147,PARAM!J:K,2,0),VLOOKUP(N147,PARAM!G:H,2,0),VLOOKUP(P147,PARAM!P:Q,2,0),"*"),"")</f>
        <v>*11210825*</v>
      </c>
      <c r="S147" s="18" t="str">
        <f>IFERROR(CONCATENATE(VLOOKUP(L147,PARAM!D:E,2,0),VLOOKUP(M147,PARAM!J:K,2,0),VLOOKUP(N147,PARAM!G:H,2,0),VLOOKUP(O147,PARAM!M:N,2,0),VLOOKUP(P147,PARAM!P:Q,2,0)),"")</f>
        <v>1121081625</v>
      </c>
      <c r="T147" s="18">
        <f t="shared" si="4"/>
        <v>10</v>
      </c>
      <c r="U147" s="18" t="str">
        <f t="shared" si="5"/>
        <v>CAMISETAS CABALLERO CUELLO REDONDO VARIOS TALLA M</v>
      </c>
    </row>
    <row r="148">
      <c r="A148" s="64">
        <v>2.0</v>
      </c>
      <c r="B148" s="4" t="s">
        <v>1632</v>
      </c>
      <c r="C148" s="1"/>
      <c r="D148" s="4" t="s">
        <v>1615</v>
      </c>
      <c r="E148" s="3">
        <v>20000.0</v>
      </c>
      <c r="F148" s="2">
        <f t="shared" si="2"/>
        <v>40000</v>
      </c>
      <c r="G148" s="65">
        <f t="shared" si="3"/>
        <v>40000</v>
      </c>
      <c r="H148" s="1"/>
      <c r="I148" s="1"/>
      <c r="J148" s="1"/>
      <c r="K148" s="66" t="s">
        <v>1078</v>
      </c>
      <c r="L148" s="66" t="s">
        <v>1171</v>
      </c>
      <c r="M148" s="66" t="s">
        <v>1080</v>
      </c>
      <c r="N148" s="66" t="s">
        <v>1144</v>
      </c>
      <c r="O148" s="66" t="s">
        <v>1069</v>
      </c>
      <c r="P148" s="67" t="s">
        <v>1165</v>
      </c>
      <c r="Q148" s="18" t="s">
        <v>587</v>
      </c>
      <c r="R148" s="68" t="str">
        <f>IFERROR(CONCATENATE("*",VLOOKUP(L148,PARAM!D:E,2,0),VLOOKUP(M148,PARAM!J:K,2,0),VLOOKUP(N148,PARAM!G:H,2,0),VLOOKUP(P148,PARAM!P:Q,2,0),"*"),"")</f>
        <v>*11210823*</v>
      </c>
      <c r="S148" s="18" t="str">
        <f>IFERROR(CONCATENATE(VLOOKUP(L148,PARAM!D:E,2,0),VLOOKUP(M148,PARAM!J:K,2,0),VLOOKUP(N148,PARAM!G:H,2,0),VLOOKUP(O148,PARAM!M:N,2,0),VLOOKUP(P148,PARAM!P:Q,2,0)),"")</f>
        <v>1121081623</v>
      </c>
      <c r="T148" s="18">
        <f t="shared" si="4"/>
        <v>10</v>
      </c>
      <c r="U148" s="18" t="str">
        <f t="shared" si="5"/>
        <v>CAMISETAS CABALLERO CUELLO REDONDO VARIOS TALLA L</v>
      </c>
    </row>
    <row r="149">
      <c r="A149" s="64">
        <v>2.0</v>
      </c>
      <c r="B149" s="4" t="s">
        <v>1632</v>
      </c>
      <c r="C149" s="1"/>
      <c r="D149" s="4" t="s">
        <v>1615</v>
      </c>
      <c r="E149" s="3">
        <v>20000.0</v>
      </c>
      <c r="F149" s="2">
        <f t="shared" si="2"/>
        <v>40000</v>
      </c>
      <c r="G149" s="65">
        <f t="shared" si="3"/>
        <v>40000</v>
      </c>
      <c r="H149" s="1"/>
      <c r="I149" s="1"/>
      <c r="J149" s="1"/>
      <c r="K149" s="66" t="s">
        <v>1078</v>
      </c>
      <c r="L149" s="66" t="s">
        <v>1171</v>
      </c>
      <c r="M149" s="66" t="s">
        <v>1080</v>
      </c>
      <c r="N149" s="66" t="s">
        <v>1144</v>
      </c>
      <c r="O149" s="66" t="s">
        <v>1069</v>
      </c>
      <c r="P149" s="67" t="s">
        <v>1077</v>
      </c>
      <c r="Q149" s="18" t="s">
        <v>587</v>
      </c>
      <c r="R149" s="68" t="str">
        <f>IFERROR(CONCATENATE("*",VLOOKUP(L149,PARAM!D:E,2,0),VLOOKUP(M149,PARAM!J:K,2,0),VLOOKUP(N149,PARAM!G:H,2,0),VLOOKUP(P149,PARAM!P:Q,2,0),"*"),"")</f>
        <v>*11210832*</v>
      </c>
      <c r="S149" s="18" t="str">
        <f>IFERROR(CONCATENATE(VLOOKUP(L149,PARAM!D:E,2,0),VLOOKUP(M149,PARAM!J:K,2,0),VLOOKUP(N149,PARAM!G:H,2,0),VLOOKUP(O149,PARAM!M:N,2,0),VLOOKUP(P149,PARAM!P:Q,2,0)),"")</f>
        <v>1121081632</v>
      </c>
      <c r="T149" s="18">
        <f t="shared" si="4"/>
        <v>10</v>
      </c>
      <c r="U149" s="18" t="str">
        <f t="shared" si="5"/>
        <v>CAMISETAS CABALLERO CUELLO REDONDO VARIOS TALLA XL</v>
      </c>
    </row>
    <row r="150">
      <c r="A150" s="64">
        <v>2.0</v>
      </c>
      <c r="B150" s="4" t="s">
        <v>1633</v>
      </c>
      <c r="C150" s="1"/>
      <c r="D150" s="4" t="s">
        <v>1634</v>
      </c>
      <c r="E150" s="3">
        <v>24000.0</v>
      </c>
      <c r="F150" s="2">
        <f t="shared" si="2"/>
        <v>48000</v>
      </c>
      <c r="G150" s="65">
        <f t="shared" si="3"/>
        <v>48000</v>
      </c>
      <c r="H150" s="1"/>
      <c r="I150" s="1"/>
      <c r="J150" s="1"/>
      <c r="K150" s="66" t="s">
        <v>1078</v>
      </c>
      <c r="L150" s="66" t="s">
        <v>1171</v>
      </c>
      <c r="M150" s="66" t="s">
        <v>1080</v>
      </c>
      <c r="N150" s="66" t="s">
        <v>1183</v>
      </c>
      <c r="O150" s="66" t="s">
        <v>1069</v>
      </c>
      <c r="P150" s="67" t="s">
        <v>1168</v>
      </c>
      <c r="Q150" s="18" t="s">
        <v>587</v>
      </c>
      <c r="R150" s="68" t="str">
        <f>IFERROR(CONCATENATE("*",VLOOKUP(L150,PARAM!D:E,2,0),VLOOKUP(M150,PARAM!J:K,2,0),VLOOKUP(N150,PARAM!G:H,2,0),VLOOKUP(P150,PARAM!P:Q,2,0),"*"),"")</f>
        <v>*11221827*</v>
      </c>
      <c r="S150" s="18" t="str">
        <f>IFERROR(CONCATENATE(VLOOKUP(L150,PARAM!D:E,2,0),VLOOKUP(M150,PARAM!J:K,2,0),VLOOKUP(N150,PARAM!G:H,2,0),VLOOKUP(O150,PARAM!M:N,2,0),VLOOKUP(P150,PARAM!P:Q,2,0)),"")</f>
        <v>1122181627</v>
      </c>
      <c r="T150" s="18">
        <f t="shared" si="4"/>
        <v>10</v>
      </c>
      <c r="U150" s="18" t="str">
        <f t="shared" si="5"/>
        <v>CAMISETAS CABALLERO POLO SEDA FRIA VARIOS TALLA S</v>
      </c>
    </row>
    <row r="151">
      <c r="A151" s="64">
        <v>2.0</v>
      </c>
      <c r="B151" s="4" t="s">
        <v>1633</v>
      </c>
      <c r="C151" s="1"/>
      <c r="D151" s="4" t="s">
        <v>1634</v>
      </c>
      <c r="E151" s="3">
        <v>24000.0</v>
      </c>
      <c r="F151" s="2">
        <f t="shared" si="2"/>
        <v>48000</v>
      </c>
      <c r="G151" s="65">
        <f t="shared" si="3"/>
        <v>48000</v>
      </c>
      <c r="H151" s="1"/>
      <c r="I151" s="1"/>
      <c r="J151" s="1"/>
      <c r="K151" s="66" t="s">
        <v>1078</v>
      </c>
      <c r="L151" s="66" t="s">
        <v>1171</v>
      </c>
      <c r="M151" s="66" t="s">
        <v>1080</v>
      </c>
      <c r="N151" s="66" t="s">
        <v>1183</v>
      </c>
      <c r="O151" s="66" t="s">
        <v>1069</v>
      </c>
      <c r="P151" s="67" t="s">
        <v>1164</v>
      </c>
      <c r="Q151" s="18" t="s">
        <v>587</v>
      </c>
      <c r="R151" s="68" t="str">
        <f>IFERROR(CONCATENATE("*",VLOOKUP(L151,PARAM!D:E,2,0),VLOOKUP(M151,PARAM!J:K,2,0),VLOOKUP(N151,PARAM!G:H,2,0),VLOOKUP(P151,PARAM!P:Q,2,0),"*"),"")</f>
        <v>*11221825*</v>
      </c>
      <c r="S151" s="18" t="str">
        <f>IFERROR(CONCATENATE(VLOOKUP(L151,PARAM!D:E,2,0),VLOOKUP(M151,PARAM!J:K,2,0),VLOOKUP(N151,PARAM!G:H,2,0),VLOOKUP(O151,PARAM!M:N,2,0),VLOOKUP(P151,PARAM!P:Q,2,0)),"")</f>
        <v>1122181625</v>
      </c>
      <c r="T151" s="18">
        <f t="shared" si="4"/>
        <v>10</v>
      </c>
      <c r="U151" s="18" t="str">
        <f t="shared" si="5"/>
        <v>CAMISETAS CABALLERO POLO SEDA FRIA VARIOS TALLA M</v>
      </c>
    </row>
    <row r="152">
      <c r="A152" s="64">
        <v>2.0</v>
      </c>
      <c r="B152" s="4" t="s">
        <v>1633</v>
      </c>
      <c r="C152" s="1"/>
      <c r="D152" s="4" t="s">
        <v>1634</v>
      </c>
      <c r="E152" s="3">
        <v>24000.0</v>
      </c>
      <c r="F152" s="2">
        <f t="shared" si="2"/>
        <v>48000</v>
      </c>
      <c r="G152" s="65">
        <f t="shared" si="3"/>
        <v>48000</v>
      </c>
      <c r="H152" s="1"/>
      <c r="I152" s="1"/>
      <c r="J152" s="1"/>
      <c r="K152" s="66" t="s">
        <v>1078</v>
      </c>
      <c r="L152" s="66" t="s">
        <v>1171</v>
      </c>
      <c r="M152" s="66" t="s">
        <v>1080</v>
      </c>
      <c r="N152" s="66" t="s">
        <v>1183</v>
      </c>
      <c r="O152" s="66" t="s">
        <v>1069</v>
      </c>
      <c r="P152" s="67" t="s">
        <v>1165</v>
      </c>
      <c r="Q152" s="18" t="s">
        <v>587</v>
      </c>
      <c r="R152" s="68" t="str">
        <f>IFERROR(CONCATENATE("*",VLOOKUP(L152,PARAM!D:E,2,0),VLOOKUP(M152,PARAM!J:K,2,0),VLOOKUP(N152,PARAM!G:H,2,0),VLOOKUP(P152,PARAM!P:Q,2,0),"*"),"")</f>
        <v>*11221823*</v>
      </c>
      <c r="S152" s="18" t="str">
        <f>IFERROR(CONCATENATE(VLOOKUP(L152,PARAM!D:E,2,0),VLOOKUP(M152,PARAM!J:K,2,0),VLOOKUP(N152,PARAM!G:H,2,0),VLOOKUP(O152,PARAM!M:N,2,0),VLOOKUP(P152,PARAM!P:Q,2,0)),"")</f>
        <v>1122181623</v>
      </c>
      <c r="T152" s="18">
        <f t="shared" si="4"/>
        <v>10</v>
      </c>
      <c r="U152" s="18" t="str">
        <f t="shared" si="5"/>
        <v>CAMISETAS CABALLERO POLO SEDA FRIA VARIOS TALLA L</v>
      </c>
    </row>
    <row r="153">
      <c r="A153" s="64">
        <v>2.0</v>
      </c>
      <c r="B153" s="4" t="s">
        <v>1633</v>
      </c>
      <c r="C153" s="1"/>
      <c r="D153" s="4" t="s">
        <v>1634</v>
      </c>
      <c r="E153" s="3">
        <v>24000.0</v>
      </c>
      <c r="F153" s="2">
        <f t="shared" si="2"/>
        <v>48000</v>
      </c>
      <c r="G153" s="65">
        <f t="shared" si="3"/>
        <v>48000</v>
      </c>
      <c r="H153" s="1"/>
      <c r="I153" s="1"/>
      <c r="J153" s="1"/>
      <c r="K153" s="66" t="s">
        <v>1078</v>
      </c>
      <c r="L153" s="66" t="s">
        <v>1171</v>
      </c>
      <c r="M153" s="66" t="s">
        <v>1080</v>
      </c>
      <c r="N153" s="66" t="s">
        <v>1183</v>
      </c>
      <c r="O153" s="66" t="s">
        <v>1069</v>
      </c>
      <c r="P153" s="67" t="s">
        <v>1077</v>
      </c>
      <c r="Q153" s="18" t="s">
        <v>587</v>
      </c>
      <c r="R153" s="68" t="str">
        <f>IFERROR(CONCATENATE("*",VLOOKUP(L153,PARAM!D:E,2,0),VLOOKUP(M153,PARAM!J:K,2,0),VLOOKUP(N153,PARAM!G:H,2,0),VLOOKUP(P153,PARAM!P:Q,2,0),"*"),"")</f>
        <v>*11221832*</v>
      </c>
      <c r="S153" s="18" t="str">
        <f>IFERROR(CONCATENATE(VLOOKUP(L153,PARAM!D:E,2,0),VLOOKUP(M153,PARAM!J:K,2,0),VLOOKUP(N153,PARAM!G:H,2,0),VLOOKUP(O153,PARAM!M:N,2,0),VLOOKUP(P153,PARAM!P:Q,2,0)),"")</f>
        <v>1122181632</v>
      </c>
      <c r="T153" s="18">
        <f t="shared" si="4"/>
        <v>10</v>
      </c>
      <c r="U153" s="18" t="str">
        <f t="shared" si="5"/>
        <v>CAMISETAS CABALLERO POLO SEDA FRIA VARIOS TALLA XL</v>
      </c>
    </row>
    <row r="154">
      <c r="A154" s="64">
        <v>2.0</v>
      </c>
      <c r="B154" s="4" t="s">
        <v>1635</v>
      </c>
      <c r="C154" s="1"/>
      <c r="D154" s="4" t="s">
        <v>1636</v>
      </c>
      <c r="E154" s="3">
        <v>46000.0</v>
      </c>
      <c r="F154" s="2">
        <f t="shared" si="2"/>
        <v>92000</v>
      </c>
      <c r="G154" s="65">
        <f t="shared" si="3"/>
        <v>92000</v>
      </c>
      <c r="H154" s="1"/>
      <c r="I154" s="1"/>
      <c r="J154" s="1"/>
      <c r="K154" s="66" t="s">
        <v>1058</v>
      </c>
      <c r="L154" s="66" t="s">
        <v>1158</v>
      </c>
      <c r="M154" s="66" t="s">
        <v>1060</v>
      </c>
      <c r="N154" s="66" t="s">
        <v>1184</v>
      </c>
      <c r="O154" s="66" t="s">
        <v>1069</v>
      </c>
      <c r="P154" s="67">
        <v>12.0</v>
      </c>
      <c r="Q154" s="18" t="s">
        <v>602</v>
      </c>
      <c r="R154" s="68" t="str">
        <f>IFERROR(CONCATENATE("*",VLOOKUP(L154,PARAM!D:E,2,0),VLOOKUP(M154,PARAM!J:K,2,0),VLOOKUP(N154,PARAM!G:H,2,0),VLOOKUP(P154,PARAM!P:Q,2,0),"*"),"")</f>
        <v>*211974*</v>
      </c>
      <c r="S154" s="18" t="str">
        <f>IFERROR(CONCATENATE(VLOOKUP(L154,PARAM!D:E,2,0),VLOOKUP(M154,PARAM!J:K,2,0),VLOOKUP(N154,PARAM!G:H,2,0),VLOOKUP(O154,PARAM!M:N,2,0),VLOOKUP(P154,PARAM!P:Q,2,0)),"")</f>
        <v>21197164</v>
      </c>
      <c r="T154" s="18">
        <f t="shared" si="4"/>
        <v>8</v>
      </c>
      <c r="U154" s="18" t="str">
        <f t="shared" si="5"/>
        <v>PANTALONES DAMA NOCHE VARIOS TALLA 12</v>
      </c>
    </row>
    <row r="155">
      <c r="A155" s="64">
        <v>1.0</v>
      </c>
      <c r="B155" s="4" t="s">
        <v>1635</v>
      </c>
      <c r="C155" s="1"/>
      <c r="D155" s="4" t="s">
        <v>1636</v>
      </c>
      <c r="E155" s="3">
        <v>46000.0</v>
      </c>
      <c r="F155" s="2">
        <f t="shared" si="2"/>
        <v>46000</v>
      </c>
      <c r="G155" s="65">
        <f t="shared" si="3"/>
        <v>92000</v>
      </c>
      <c r="H155" s="1"/>
      <c r="I155" s="1"/>
      <c r="J155" s="1"/>
      <c r="K155" s="66" t="s">
        <v>1058</v>
      </c>
      <c r="L155" s="66" t="s">
        <v>1158</v>
      </c>
      <c r="M155" s="66" t="s">
        <v>1060</v>
      </c>
      <c r="N155" s="66" t="s">
        <v>1184</v>
      </c>
      <c r="O155" s="66" t="s">
        <v>1069</v>
      </c>
      <c r="P155" s="67">
        <v>14.0</v>
      </c>
      <c r="Q155" s="18" t="s">
        <v>602</v>
      </c>
      <c r="R155" s="68" t="str">
        <f>IFERROR(CONCATENATE("*",VLOOKUP(L155,PARAM!D:E,2,0),VLOOKUP(M155,PARAM!J:K,2,0),VLOOKUP(N155,PARAM!G:H,2,0),VLOOKUP(P155,PARAM!P:Q,2,0),"*"),"")</f>
        <v>*211975*</v>
      </c>
      <c r="S155" s="18" t="str">
        <f>IFERROR(CONCATENATE(VLOOKUP(L155,PARAM!D:E,2,0),VLOOKUP(M155,PARAM!J:K,2,0),VLOOKUP(N155,PARAM!G:H,2,0),VLOOKUP(O155,PARAM!M:N,2,0),VLOOKUP(P155,PARAM!P:Q,2,0)),"")</f>
        <v>21197165</v>
      </c>
      <c r="T155" s="18">
        <f t="shared" si="4"/>
        <v>8</v>
      </c>
      <c r="U155" s="18" t="str">
        <f t="shared" si="5"/>
        <v>PANTALONES DAMA NOCHE VARIOS TALLA 14</v>
      </c>
    </row>
    <row r="156">
      <c r="A156" s="64">
        <v>1.0</v>
      </c>
      <c r="B156" s="4" t="s">
        <v>1635</v>
      </c>
      <c r="C156" s="1"/>
      <c r="D156" s="4" t="s">
        <v>1636</v>
      </c>
      <c r="E156" s="3">
        <v>46000.0</v>
      </c>
      <c r="F156" s="2">
        <f t="shared" si="2"/>
        <v>46000</v>
      </c>
      <c r="G156" s="65">
        <f t="shared" si="3"/>
        <v>92000</v>
      </c>
      <c r="H156" s="1"/>
      <c r="I156" s="1"/>
      <c r="J156" s="1"/>
      <c r="K156" s="66" t="s">
        <v>1058</v>
      </c>
      <c r="L156" s="66" t="s">
        <v>1158</v>
      </c>
      <c r="M156" s="66" t="s">
        <v>1060</v>
      </c>
      <c r="N156" s="66" t="s">
        <v>1184</v>
      </c>
      <c r="O156" s="66" t="s">
        <v>1069</v>
      </c>
      <c r="P156" s="67">
        <v>10.0</v>
      </c>
      <c r="Q156" s="18" t="s">
        <v>602</v>
      </c>
      <c r="R156" s="68" t="str">
        <f>IFERROR(CONCATENATE("*",VLOOKUP(L156,PARAM!D:E,2,0),VLOOKUP(M156,PARAM!J:K,2,0),VLOOKUP(N156,PARAM!G:H,2,0),VLOOKUP(P156,PARAM!P:Q,2,0),"*"),"")</f>
        <v>*211973*</v>
      </c>
      <c r="S156" s="18" t="str">
        <f>IFERROR(CONCATENATE(VLOOKUP(L156,PARAM!D:E,2,0),VLOOKUP(M156,PARAM!J:K,2,0),VLOOKUP(N156,PARAM!G:H,2,0),VLOOKUP(O156,PARAM!M:N,2,0),VLOOKUP(P156,PARAM!P:Q,2,0)),"")</f>
        <v>21197163</v>
      </c>
      <c r="T156" s="18">
        <f t="shared" si="4"/>
        <v>8</v>
      </c>
      <c r="U156" s="18" t="str">
        <f t="shared" si="5"/>
        <v>PANTALONES DAMA NOCHE VARIOS TALLA 10</v>
      </c>
    </row>
    <row r="157">
      <c r="A157" s="64">
        <v>1.0</v>
      </c>
      <c r="B157" s="4" t="s">
        <v>1637</v>
      </c>
      <c r="C157" s="1"/>
      <c r="D157" s="4" t="s">
        <v>1638</v>
      </c>
      <c r="E157" s="3">
        <v>48000.0</v>
      </c>
      <c r="F157" s="2">
        <f t="shared" si="2"/>
        <v>48000</v>
      </c>
      <c r="G157" s="65">
        <f t="shared" si="3"/>
        <v>96000</v>
      </c>
      <c r="H157" s="1"/>
      <c r="I157" s="1"/>
      <c r="J157" s="1"/>
      <c r="K157" s="66" t="s">
        <v>1058</v>
      </c>
      <c r="L157" s="66" t="s">
        <v>1185</v>
      </c>
      <c r="M157" s="66" t="s">
        <v>1060</v>
      </c>
      <c r="N157" s="66" t="s">
        <v>1161</v>
      </c>
      <c r="O157" s="66" t="s">
        <v>1069</v>
      </c>
      <c r="P157" s="67">
        <v>6.0</v>
      </c>
      <c r="Q157" s="18" t="s">
        <v>602</v>
      </c>
      <c r="R157" s="68" t="str">
        <f>IFERROR(CONCATENATE("*",VLOOKUP(L157,PARAM!D:E,2,0),VLOOKUP(M157,PARAM!J:K,2,0),VLOOKUP(N157,PARAM!G:H,2,0),VLOOKUP(P157,PARAM!P:Q,2,0),"*"),"")</f>
        <v>*911371*</v>
      </c>
      <c r="S157" s="18" t="str">
        <f>IFERROR(CONCATENATE(VLOOKUP(L157,PARAM!D:E,2,0),VLOOKUP(M157,PARAM!J:K,2,0),VLOOKUP(N157,PARAM!G:H,2,0),VLOOKUP(O157,PARAM!M:N,2,0),VLOOKUP(P157,PARAM!P:Q,2,0)),"")</f>
        <v>91137161</v>
      </c>
      <c r="T157" s="18">
        <f t="shared" si="4"/>
        <v>8</v>
      </c>
      <c r="U157" s="18" t="str">
        <f t="shared" si="5"/>
        <v>FALDAS DAMA GAMUSA VARIOS TALLA 6</v>
      </c>
    </row>
    <row r="158">
      <c r="A158" s="64">
        <v>1.0</v>
      </c>
      <c r="B158" s="4" t="s">
        <v>1637</v>
      </c>
      <c r="C158" s="1"/>
      <c r="D158" s="4" t="s">
        <v>1638</v>
      </c>
      <c r="E158" s="3">
        <v>48000.0</v>
      </c>
      <c r="F158" s="2">
        <f t="shared" si="2"/>
        <v>48000</v>
      </c>
      <c r="G158" s="65">
        <f t="shared" si="3"/>
        <v>96000</v>
      </c>
      <c r="H158" s="1"/>
      <c r="I158" s="1"/>
      <c r="J158" s="1"/>
      <c r="K158" s="66" t="s">
        <v>1058</v>
      </c>
      <c r="L158" s="66" t="s">
        <v>1185</v>
      </c>
      <c r="M158" s="66" t="s">
        <v>1060</v>
      </c>
      <c r="N158" s="66" t="s">
        <v>1161</v>
      </c>
      <c r="O158" s="66" t="s">
        <v>1069</v>
      </c>
      <c r="P158" s="67">
        <v>8.0</v>
      </c>
      <c r="Q158" s="18" t="s">
        <v>602</v>
      </c>
      <c r="R158" s="68" t="str">
        <f>IFERROR(CONCATENATE("*",VLOOKUP(L158,PARAM!D:E,2,0),VLOOKUP(M158,PARAM!J:K,2,0),VLOOKUP(N158,PARAM!G:H,2,0),VLOOKUP(P158,PARAM!P:Q,2,0),"*"),"")</f>
        <v>*911372*</v>
      </c>
      <c r="S158" s="18" t="str">
        <f>IFERROR(CONCATENATE(VLOOKUP(L158,PARAM!D:E,2,0),VLOOKUP(M158,PARAM!J:K,2,0),VLOOKUP(N158,PARAM!G:H,2,0),VLOOKUP(O158,PARAM!M:N,2,0),VLOOKUP(P158,PARAM!P:Q,2,0)),"")</f>
        <v>91137162</v>
      </c>
      <c r="T158" s="18">
        <f t="shared" si="4"/>
        <v>8</v>
      </c>
      <c r="U158" s="18" t="str">
        <f t="shared" si="5"/>
        <v>FALDAS DAMA GAMUSA VARIOS TALLA 8</v>
      </c>
    </row>
    <row r="159">
      <c r="A159" s="64">
        <v>1.0</v>
      </c>
      <c r="B159" s="4" t="s">
        <v>1637</v>
      </c>
      <c r="C159" s="1"/>
      <c r="D159" s="4" t="s">
        <v>1638</v>
      </c>
      <c r="E159" s="3">
        <v>48000.0</v>
      </c>
      <c r="F159" s="2">
        <f t="shared" si="2"/>
        <v>48000</v>
      </c>
      <c r="G159" s="65">
        <f t="shared" si="3"/>
        <v>96000</v>
      </c>
      <c r="H159" s="1"/>
      <c r="I159" s="1"/>
      <c r="J159" s="1"/>
      <c r="K159" s="66" t="s">
        <v>1058</v>
      </c>
      <c r="L159" s="66" t="s">
        <v>1185</v>
      </c>
      <c r="M159" s="66" t="s">
        <v>1060</v>
      </c>
      <c r="N159" s="66" t="s">
        <v>1161</v>
      </c>
      <c r="O159" s="66" t="s">
        <v>1069</v>
      </c>
      <c r="P159" s="67">
        <v>12.0</v>
      </c>
      <c r="Q159" s="18" t="s">
        <v>602</v>
      </c>
      <c r="R159" s="68" t="str">
        <f>IFERROR(CONCATENATE("*",VLOOKUP(L159,PARAM!D:E,2,0),VLOOKUP(M159,PARAM!J:K,2,0),VLOOKUP(N159,PARAM!G:H,2,0),VLOOKUP(P159,PARAM!P:Q,2,0),"*"),"")</f>
        <v>*911374*</v>
      </c>
      <c r="S159" s="18" t="str">
        <f>IFERROR(CONCATENATE(VLOOKUP(L159,PARAM!D:E,2,0),VLOOKUP(M159,PARAM!J:K,2,0),VLOOKUP(N159,PARAM!G:H,2,0),VLOOKUP(O159,PARAM!M:N,2,0),VLOOKUP(P159,PARAM!P:Q,2,0)),"")</f>
        <v>91137164</v>
      </c>
      <c r="T159" s="18">
        <f t="shared" si="4"/>
        <v>8</v>
      </c>
      <c r="U159" s="18" t="str">
        <f t="shared" si="5"/>
        <v>FALDAS DAMA GAMUSA VARIOS TALLA 12</v>
      </c>
    </row>
    <row r="160">
      <c r="A160" s="64">
        <v>1.0</v>
      </c>
      <c r="B160" s="4" t="s">
        <v>1637</v>
      </c>
      <c r="C160" s="1"/>
      <c r="D160" s="4" t="s">
        <v>1638</v>
      </c>
      <c r="E160" s="3">
        <v>48000.0</v>
      </c>
      <c r="F160" s="2">
        <f t="shared" si="2"/>
        <v>48000</v>
      </c>
      <c r="G160" s="65">
        <f t="shared" si="3"/>
        <v>96000</v>
      </c>
      <c r="H160" s="1"/>
      <c r="I160" s="1"/>
      <c r="J160" s="1"/>
      <c r="K160" s="66" t="s">
        <v>1058</v>
      </c>
      <c r="L160" s="66" t="s">
        <v>1185</v>
      </c>
      <c r="M160" s="66" t="s">
        <v>1060</v>
      </c>
      <c r="N160" s="66" t="s">
        <v>1161</v>
      </c>
      <c r="O160" s="66" t="s">
        <v>1069</v>
      </c>
      <c r="P160" s="67">
        <v>10.0</v>
      </c>
      <c r="Q160" s="18" t="s">
        <v>602</v>
      </c>
      <c r="R160" s="68" t="str">
        <f>IFERROR(CONCATENATE("*",VLOOKUP(L160,PARAM!D:E,2,0),VLOOKUP(M160,PARAM!J:K,2,0),VLOOKUP(N160,PARAM!G:H,2,0),VLOOKUP(P160,PARAM!P:Q,2,0),"*"),"")</f>
        <v>*911373*</v>
      </c>
      <c r="S160" s="18" t="str">
        <f>IFERROR(CONCATENATE(VLOOKUP(L160,PARAM!D:E,2,0),VLOOKUP(M160,PARAM!J:K,2,0),VLOOKUP(N160,PARAM!G:H,2,0),VLOOKUP(O160,PARAM!M:N,2,0),VLOOKUP(P160,PARAM!P:Q,2,0)),"")</f>
        <v>91137163</v>
      </c>
      <c r="T160" s="18">
        <f t="shared" si="4"/>
        <v>8</v>
      </c>
      <c r="U160" s="18" t="str">
        <f t="shared" si="5"/>
        <v>FALDAS DAMA GAMUSA VARIOS TALLA 10</v>
      </c>
    </row>
    <row r="161">
      <c r="A161" s="64">
        <v>2.0</v>
      </c>
      <c r="B161" s="4" t="s">
        <v>1639</v>
      </c>
      <c r="C161" s="1"/>
      <c r="D161" s="4" t="s">
        <v>1640</v>
      </c>
      <c r="E161" s="3">
        <v>50000.0</v>
      </c>
      <c r="F161" s="2">
        <f t="shared" si="2"/>
        <v>100000</v>
      </c>
      <c r="G161" s="65">
        <f t="shared" si="3"/>
        <v>100000</v>
      </c>
      <c r="H161" s="1"/>
      <c r="I161" s="1"/>
      <c r="J161" s="1"/>
      <c r="K161" s="66" t="s">
        <v>1058</v>
      </c>
      <c r="L161" s="66" t="s">
        <v>1162</v>
      </c>
      <c r="M161" s="66" t="s">
        <v>1060</v>
      </c>
      <c r="N161" s="66" t="s">
        <v>1161</v>
      </c>
      <c r="O161" s="66" t="s">
        <v>1069</v>
      </c>
      <c r="P161" s="67" t="s">
        <v>1164</v>
      </c>
      <c r="Q161" s="18" t="s">
        <v>610</v>
      </c>
      <c r="R161" s="68" t="str">
        <f>IFERROR(CONCATENATE("*",VLOOKUP(L161,PARAM!D:E,2,0),VLOOKUP(M161,PARAM!J:K,2,0),VLOOKUP(N161,PARAM!G:H,2,0),VLOOKUP(P161,PARAM!P:Q,2,0),"*"),"")</f>
        <v>*25113725*</v>
      </c>
      <c r="S161" s="18" t="str">
        <f>IFERROR(CONCATENATE(VLOOKUP(L161,PARAM!D:E,2,0),VLOOKUP(M161,PARAM!J:K,2,0),VLOOKUP(N161,PARAM!G:H,2,0),VLOOKUP(O161,PARAM!M:N,2,0),VLOOKUP(P161,PARAM!P:Q,2,0)),"")</f>
        <v>2511371625</v>
      </c>
      <c r="T161" s="18">
        <f t="shared" si="4"/>
        <v>10</v>
      </c>
      <c r="U161" s="18" t="str">
        <f t="shared" si="5"/>
        <v>CHAQUETAS DAMA GAMUSA VARIOS TALLA M</v>
      </c>
    </row>
    <row r="162">
      <c r="A162" s="64">
        <v>2.0</v>
      </c>
      <c r="B162" s="4" t="s">
        <v>1639</v>
      </c>
      <c r="C162" s="1"/>
      <c r="D162" s="4" t="s">
        <v>1640</v>
      </c>
      <c r="E162" s="3">
        <v>50000.0</v>
      </c>
      <c r="F162" s="2">
        <f t="shared" si="2"/>
        <v>100000</v>
      </c>
      <c r="G162" s="65">
        <f t="shared" si="3"/>
        <v>100000</v>
      </c>
      <c r="H162" s="1"/>
      <c r="I162" s="1"/>
      <c r="J162" s="1"/>
      <c r="K162" s="66" t="s">
        <v>1058</v>
      </c>
      <c r="L162" s="66" t="s">
        <v>1162</v>
      </c>
      <c r="M162" s="66" t="s">
        <v>1060</v>
      </c>
      <c r="N162" s="66" t="s">
        <v>1161</v>
      </c>
      <c r="O162" s="66" t="s">
        <v>1069</v>
      </c>
      <c r="P162" s="67" t="s">
        <v>1165</v>
      </c>
      <c r="Q162" s="18" t="s">
        <v>610</v>
      </c>
      <c r="R162" s="68" t="str">
        <f>IFERROR(CONCATENATE("*",VLOOKUP(L162,PARAM!D:E,2,0),VLOOKUP(M162,PARAM!J:K,2,0),VLOOKUP(N162,PARAM!G:H,2,0),VLOOKUP(P162,PARAM!P:Q,2,0),"*"),"")</f>
        <v>*25113723*</v>
      </c>
      <c r="S162" s="18" t="str">
        <f>IFERROR(CONCATENATE(VLOOKUP(L162,PARAM!D:E,2,0),VLOOKUP(M162,PARAM!J:K,2,0),VLOOKUP(N162,PARAM!G:H,2,0),VLOOKUP(O162,PARAM!M:N,2,0),VLOOKUP(P162,PARAM!P:Q,2,0)),"")</f>
        <v>2511371623</v>
      </c>
      <c r="T162" s="18">
        <f t="shared" si="4"/>
        <v>10</v>
      </c>
      <c r="U162" s="18" t="str">
        <f t="shared" si="5"/>
        <v>CHAQUETAS DAMA GAMUSA VARIOS TALLA L</v>
      </c>
    </row>
    <row r="163">
      <c r="A163" s="64">
        <v>2.0</v>
      </c>
      <c r="B163" s="4" t="s">
        <v>1641</v>
      </c>
      <c r="C163" s="1"/>
      <c r="D163" s="4" t="s">
        <v>1642</v>
      </c>
      <c r="E163" s="3">
        <v>45000.0</v>
      </c>
      <c r="F163" s="2">
        <f t="shared" si="2"/>
        <v>90000</v>
      </c>
      <c r="G163" s="65">
        <f t="shared" si="3"/>
        <v>90000</v>
      </c>
      <c r="H163" s="1"/>
      <c r="I163" s="1"/>
      <c r="J163" s="1"/>
      <c r="K163" s="66" t="s">
        <v>1058</v>
      </c>
      <c r="L163" s="66" t="s">
        <v>1162</v>
      </c>
      <c r="M163" s="66" t="s">
        <v>1060</v>
      </c>
      <c r="N163" s="66" t="s">
        <v>1186</v>
      </c>
      <c r="O163" s="66" t="s">
        <v>1069</v>
      </c>
      <c r="P163" s="67" t="s">
        <v>1164</v>
      </c>
      <c r="Q163" s="18" t="s">
        <v>613</v>
      </c>
      <c r="R163" s="68" t="str">
        <f>IFERROR(CONCATENATE("*",VLOOKUP(L163,PARAM!D:E,2,0),VLOOKUP(M163,PARAM!J:K,2,0),VLOOKUP(N163,PARAM!G:H,2,0),VLOOKUP(P163,PARAM!P:Q,2,0),"*"),"")</f>
        <v>*25120525*</v>
      </c>
      <c r="S163" s="18" t="str">
        <f>IFERROR(CONCATENATE(VLOOKUP(L163,PARAM!D:E,2,0),VLOOKUP(M163,PARAM!J:K,2,0),VLOOKUP(N163,PARAM!G:H,2,0),VLOOKUP(O163,PARAM!M:N,2,0),VLOOKUP(P163,PARAM!P:Q,2,0)),"")</f>
        <v>2512051625</v>
      </c>
      <c r="T163" s="18">
        <f t="shared" si="4"/>
        <v>10</v>
      </c>
      <c r="U163" s="18" t="str">
        <f t="shared" si="5"/>
        <v>CHAQUETAS DAMA PAÑO VARIOS TALLA M</v>
      </c>
    </row>
    <row r="164">
      <c r="A164" s="64">
        <v>3.0</v>
      </c>
      <c r="B164" s="4" t="s">
        <v>1641</v>
      </c>
      <c r="C164" s="1"/>
      <c r="D164" s="4" t="s">
        <v>1642</v>
      </c>
      <c r="E164" s="3">
        <v>45000.0</v>
      </c>
      <c r="F164" s="2">
        <f t="shared" si="2"/>
        <v>135000</v>
      </c>
      <c r="G164" s="65">
        <f t="shared" si="3"/>
        <v>90000</v>
      </c>
      <c r="H164" s="1"/>
      <c r="I164" s="1"/>
      <c r="J164" s="1"/>
      <c r="K164" s="66" t="s">
        <v>1058</v>
      </c>
      <c r="L164" s="66" t="s">
        <v>1162</v>
      </c>
      <c r="M164" s="66" t="s">
        <v>1060</v>
      </c>
      <c r="N164" s="66" t="s">
        <v>1186</v>
      </c>
      <c r="O164" s="66" t="s">
        <v>1069</v>
      </c>
      <c r="P164" s="67" t="s">
        <v>1165</v>
      </c>
      <c r="Q164" s="18" t="s">
        <v>613</v>
      </c>
      <c r="R164" s="68" t="str">
        <f>IFERROR(CONCATENATE("*",VLOOKUP(L164,PARAM!D:E,2,0),VLOOKUP(M164,PARAM!J:K,2,0),VLOOKUP(N164,PARAM!G:H,2,0),VLOOKUP(P164,PARAM!P:Q,2,0),"*"),"")</f>
        <v>*25120523*</v>
      </c>
      <c r="S164" s="18" t="str">
        <f>IFERROR(CONCATENATE(VLOOKUP(L164,PARAM!D:E,2,0),VLOOKUP(M164,PARAM!J:K,2,0),VLOOKUP(N164,PARAM!G:H,2,0),VLOOKUP(O164,PARAM!M:N,2,0),VLOOKUP(P164,PARAM!P:Q,2,0)),"")</f>
        <v>2512051623</v>
      </c>
      <c r="T164" s="18">
        <f t="shared" si="4"/>
        <v>10</v>
      </c>
      <c r="U164" s="18" t="str">
        <f t="shared" si="5"/>
        <v>CHAQUETAS DAMA PAÑO VARIOS TALLA L</v>
      </c>
    </row>
    <row r="165">
      <c r="A165" s="64">
        <v>2.0</v>
      </c>
      <c r="B165" s="4" t="s">
        <v>1643</v>
      </c>
      <c r="C165" s="1"/>
      <c r="D165" s="4" t="s">
        <v>1644</v>
      </c>
      <c r="E165" s="3">
        <v>20000.0</v>
      </c>
      <c r="F165" s="2">
        <f t="shared" si="2"/>
        <v>40000</v>
      </c>
      <c r="G165" s="65">
        <f t="shared" si="3"/>
        <v>40000</v>
      </c>
      <c r="H165" s="1"/>
      <c r="I165" s="1"/>
      <c r="J165" s="1"/>
      <c r="K165" s="66" t="s">
        <v>1187</v>
      </c>
      <c r="L165" s="66" t="s">
        <v>1158</v>
      </c>
      <c r="M165" s="66" t="s">
        <v>1101</v>
      </c>
      <c r="N165" s="66" t="s">
        <v>1188</v>
      </c>
      <c r="O165" s="66" t="s">
        <v>1069</v>
      </c>
      <c r="P165" s="67" t="s">
        <v>1189</v>
      </c>
      <c r="Q165" s="18" t="s">
        <v>616</v>
      </c>
      <c r="R165" s="68" t="str">
        <f>IFERROR(CONCATENATE("*",VLOOKUP(L165,PARAM!D:E,2,0),VLOOKUP(M165,PARAM!J:K,2,0),VLOOKUP(N165,PARAM!G:H,2,0),VLOOKUP(P165,PARAM!P:Q,2,0),"*"),"")</f>
        <v>*2314534*</v>
      </c>
      <c r="S165" s="18" t="str">
        <f>IFERROR(CONCATENATE(VLOOKUP(L165,PARAM!D:E,2,0),VLOOKUP(M165,PARAM!J:K,2,0),VLOOKUP(N165,PARAM!G:H,2,0),VLOOKUP(O165,PARAM!M:N,2,0),VLOOKUP(P165,PARAM!P:Q,2,0)),"")</f>
        <v>231451634</v>
      </c>
      <c r="T165" s="18">
        <f t="shared" si="4"/>
        <v>9</v>
      </c>
      <c r="U165" s="18" t="str">
        <f t="shared" si="5"/>
        <v>PANTALONES UNISEX IMPERMEABLE VARIOS TALLA XXL</v>
      </c>
    </row>
    <row r="166">
      <c r="A166" s="64">
        <v>4.0</v>
      </c>
      <c r="B166" s="4" t="s">
        <v>1645</v>
      </c>
      <c r="C166" s="1"/>
      <c r="D166" s="4" t="s">
        <v>1644</v>
      </c>
      <c r="E166" s="3">
        <v>23000.0</v>
      </c>
      <c r="F166" s="2">
        <f t="shared" si="2"/>
        <v>92000</v>
      </c>
      <c r="G166" s="65">
        <f t="shared" si="3"/>
        <v>46000</v>
      </c>
      <c r="H166" s="1"/>
      <c r="I166" s="1"/>
      <c r="J166" s="1"/>
      <c r="K166" s="66" t="s">
        <v>1187</v>
      </c>
      <c r="L166" s="66" t="s">
        <v>1158</v>
      </c>
      <c r="M166" s="66" t="s">
        <v>1101</v>
      </c>
      <c r="N166" s="66" t="s">
        <v>1188</v>
      </c>
      <c r="O166" s="66" t="s">
        <v>1069</v>
      </c>
      <c r="P166" s="67" t="s">
        <v>1077</v>
      </c>
      <c r="Q166" s="18" t="s">
        <v>616</v>
      </c>
      <c r="R166" s="68" t="str">
        <f>IFERROR(CONCATENATE("*",VLOOKUP(L166,PARAM!D:E,2,0),VLOOKUP(M166,PARAM!J:K,2,0),VLOOKUP(N166,PARAM!G:H,2,0),VLOOKUP(P166,PARAM!P:Q,2,0),"*"),"")</f>
        <v>*2314532*</v>
      </c>
      <c r="S166" s="18" t="str">
        <f>IFERROR(CONCATENATE(VLOOKUP(L166,PARAM!D:E,2,0),VLOOKUP(M166,PARAM!J:K,2,0),VLOOKUP(N166,PARAM!G:H,2,0),VLOOKUP(O166,PARAM!M:N,2,0),VLOOKUP(P166,PARAM!P:Q,2,0)),"")</f>
        <v>231451632</v>
      </c>
      <c r="T166" s="18">
        <f t="shared" si="4"/>
        <v>9</v>
      </c>
      <c r="U166" s="18" t="str">
        <f t="shared" si="5"/>
        <v>PANTALONES UNISEX IMPERMEABLE VARIOS TALLA XL</v>
      </c>
    </row>
    <row r="167">
      <c r="A167" s="64">
        <v>4.0</v>
      </c>
      <c r="B167" s="4" t="s">
        <v>1645</v>
      </c>
      <c r="C167" s="1"/>
      <c r="D167" s="4" t="s">
        <v>1644</v>
      </c>
      <c r="E167" s="3">
        <v>23000.0</v>
      </c>
      <c r="F167" s="2">
        <f t="shared" si="2"/>
        <v>92000</v>
      </c>
      <c r="G167" s="65">
        <f t="shared" si="3"/>
        <v>46000</v>
      </c>
      <c r="H167" s="1"/>
      <c r="I167" s="1"/>
      <c r="J167" s="1"/>
      <c r="K167" s="66" t="s">
        <v>1187</v>
      </c>
      <c r="L167" s="66" t="s">
        <v>1158</v>
      </c>
      <c r="M167" s="66" t="s">
        <v>1101</v>
      </c>
      <c r="N167" s="66" t="s">
        <v>1188</v>
      </c>
      <c r="O167" s="66" t="s">
        <v>1069</v>
      </c>
      <c r="P167" s="67" t="s">
        <v>1165</v>
      </c>
      <c r="Q167" s="18" t="s">
        <v>616</v>
      </c>
      <c r="R167" s="68" t="str">
        <f>IFERROR(CONCATENATE("*",VLOOKUP(L167,PARAM!D:E,2,0),VLOOKUP(M167,PARAM!J:K,2,0),VLOOKUP(N167,PARAM!G:H,2,0),VLOOKUP(P167,PARAM!P:Q,2,0),"*"),"")</f>
        <v>*2314523*</v>
      </c>
      <c r="S167" s="18" t="str">
        <f>IFERROR(CONCATENATE(VLOOKUP(L167,PARAM!D:E,2,0),VLOOKUP(M167,PARAM!J:K,2,0),VLOOKUP(N167,PARAM!G:H,2,0),VLOOKUP(O167,PARAM!M:N,2,0),VLOOKUP(P167,PARAM!P:Q,2,0)),"")</f>
        <v>231451623</v>
      </c>
      <c r="T167" s="18">
        <f t="shared" si="4"/>
        <v>9</v>
      </c>
      <c r="U167" s="18" t="str">
        <f t="shared" si="5"/>
        <v>PANTALONES UNISEX IMPERMEABLE VARIOS TALLA L</v>
      </c>
    </row>
    <row r="168">
      <c r="A168" s="64">
        <v>3.0</v>
      </c>
      <c r="B168" s="4" t="s">
        <v>1646</v>
      </c>
      <c r="C168" s="1"/>
      <c r="D168" s="4" t="s">
        <v>1647</v>
      </c>
      <c r="E168" s="3">
        <v>16000.0</v>
      </c>
      <c r="F168" s="2">
        <f t="shared" si="2"/>
        <v>48000</v>
      </c>
      <c r="G168" s="65">
        <f t="shared" si="3"/>
        <v>32000</v>
      </c>
      <c r="H168" s="1"/>
      <c r="I168" s="1"/>
      <c r="J168" s="1"/>
      <c r="K168" s="66" t="s">
        <v>1187</v>
      </c>
      <c r="L168" s="66" t="s">
        <v>1158</v>
      </c>
      <c r="M168" s="66" t="s">
        <v>1101</v>
      </c>
      <c r="N168" s="66" t="s">
        <v>1188</v>
      </c>
      <c r="O168" s="66" t="s">
        <v>1069</v>
      </c>
      <c r="P168" s="67" t="s">
        <v>1077</v>
      </c>
      <c r="Q168" s="18" t="s">
        <v>616</v>
      </c>
      <c r="R168" s="68" t="str">
        <f>IFERROR(CONCATENATE("*",VLOOKUP(L168,PARAM!D:E,2,0),VLOOKUP(M168,PARAM!J:K,2,0),VLOOKUP(N168,PARAM!G:H,2,0),VLOOKUP(P168,PARAM!P:Q,2,0),"*"),"")</f>
        <v>*2314532*</v>
      </c>
      <c r="S168" s="18" t="str">
        <f>IFERROR(CONCATENATE(VLOOKUP(L168,PARAM!D:E,2,0),VLOOKUP(M168,PARAM!J:K,2,0),VLOOKUP(N168,PARAM!G:H,2,0),VLOOKUP(O168,PARAM!M:N,2,0),VLOOKUP(P168,PARAM!P:Q,2,0)),"")</f>
        <v>231451632</v>
      </c>
      <c r="T168" s="18">
        <f t="shared" si="4"/>
        <v>9</v>
      </c>
      <c r="U168" s="18" t="str">
        <f t="shared" si="5"/>
        <v>PANTALONES UNISEX IMPERMEABLE VARIOS TALLA XL</v>
      </c>
    </row>
    <row r="169">
      <c r="A169" s="64">
        <v>1.0</v>
      </c>
      <c r="B169" s="4" t="s">
        <v>1646</v>
      </c>
      <c r="C169" s="1"/>
      <c r="D169" s="4" t="s">
        <v>1644</v>
      </c>
      <c r="E169" s="3">
        <v>16000.0</v>
      </c>
      <c r="F169" s="2">
        <f t="shared" si="2"/>
        <v>16000</v>
      </c>
      <c r="G169" s="65">
        <f t="shared" si="3"/>
        <v>32000</v>
      </c>
      <c r="H169" s="1"/>
      <c r="I169" s="1"/>
      <c r="J169" s="1"/>
      <c r="K169" s="66" t="s">
        <v>1187</v>
      </c>
      <c r="L169" s="66" t="s">
        <v>1158</v>
      </c>
      <c r="M169" s="66" t="s">
        <v>1101</v>
      </c>
      <c r="N169" s="66" t="s">
        <v>1188</v>
      </c>
      <c r="O169" s="66" t="s">
        <v>1069</v>
      </c>
      <c r="P169" s="67" t="s">
        <v>1103</v>
      </c>
      <c r="Q169" s="18" t="s">
        <v>616</v>
      </c>
      <c r="R169" s="68" t="str">
        <f>IFERROR(CONCATENATE("*",VLOOKUP(L169,PARAM!D:E,2,0),VLOOKUP(M169,PARAM!J:K,2,0),VLOOKUP(N169,PARAM!G:H,2,0),VLOOKUP(P169,PARAM!P:Q,2,0),"*"),"")</f>
        <v>*2314530*</v>
      </c>
      <c r="S169" s="18" t="str">
        <f>IFERROR(CONCATENATE(VLOOKUP(L169,PARAM!D:E,2,0),VLOOKUP(M169,PARAM!J:K,2,0),VLOOKUP(N169,PARAM!G:H,2,0),VLOOKUP(O169,PARAM!M:N,2,0),VLOOKUP(P169,PARAM!P:Q,2,0)),"")</f>
        <v>231451630</v>
      </c>
      <c r="T169" s="18">
        <f t="shared" si="4"/>
        <v>9</v>
      </c>
      <c r="U169" s="18" t="str">
        <f t="shared" si="5"/>
        <v>PANTALONES UNISEX IMPERMEABLE VARIOS TALLA UN</v>
      </c>
    </row>
    <row r="170">
      <c r="A170" s="64">
        <v>2.0</v>
      </c>
      <c r="B170" s="4" t="s">
        <v>1648</v>
      </c>
      <c r="C170" s="1"/>
      <c r="D170" s="4" t="s">
        <v>1649</v>
      </c>
      <c r="E170" s="3">
        <v>16000.0</v>
      </c>
      <c r="F170" s="2">
        <f t="shared" si="2"/>
        <v>32000</v>
      </c>
      <c r="G170" s="65">
        <f t="shared" si="3"/>
        <v>32000</v>
      </c>
      <c r="H170" s="1"/>
      <c r="I170" s="1"/>
      <c r="J170" s="1"/>
      <c r="K170" s="66" t="s">
        <v>1187</v>
      </c>
      <c r="L170" s="66" t="s">
        <v>1158</v>
      </c>
      <c r="M170" s="66" t="s">
        <v>1101</v>
      </c>
      <c r="N170" s="66" t="s">
        <v>1190</v>
      </c>
      <c r="O170" s="66" t="s">
        <v>1069</v>
      </c>
      <c r="P170" s="67" t="s">
        <v>1164</v>
      </c>
      <c r="Q170" s="18" t="s">
        <v>616</v>
      </c>
      <c r="R170" s="68" t="str">
        <f>IFERROR(CONCATENATE("*",VLOOKUP(L170,PARAM!D:E,2,0),VLOOKUP(M170,PARAM!J:K,2,0),VLOOKUP(N170,PARAM!G:H,2,0),VLOOKUP(P170,PARAM!P:Q,2,0),"*"),"")</f>
        <v>*2327625*</v>
      </c>
      <c r="S170" s="18" t="str">
        <f>IFERROR(CONCATENATE(VLOOKUP(L170,PARAM!D:E,2,0),VLOOKUP(M170,PARAM!J:K,2,0),VLOOKUP(N170,PARAM!G:H,2,0),VLOOKUP(O170,PARAM!M:N,2,0),VLOOKUP(P170,PARAM!P:Q,2,0)),"")</f>
        <v>232761625</v>
      </c>
      <c r="T170" s="18">
        <f t="shared" si="4"/>
        <v>9</v>
      </c>
      <c r="U170" s="18" t="str">
        <f t="shared" si="5"/>
        <v>PANTALONES UNISEX VIOTO VARIOS TALLA M</v>
      </c>
    </row>
    <row r="171">
      <c r="A171" s="64">
        <v>3.0</v>
      </c>
      <c r="B171" s="4" t="s">
        <v>1650</v>
      </c>
      <c r="C171" s="1"/>
      <c r="D171" s="4" t="s">
        <v>1644</v>
      </c>
      <c r="E171" s="3">
        <v>16000.0</v>
      </c>
      <c r="F171" s="2">
        <f t="shared" si="2"/>
        <v>48000</v>
      </c>
      <c r="G171" s="65">
        <f t="shared" si="3"/>
        <v>32000</v>
      </c>
      <c r="H171" s="1"/>
      <c r="I171" s="1"/>
      <c r="J171" s="1"/>
      <c r="K171" s="66" t="s">
        <v>1187</v>
      </c>
      <c r="L171" s="66" t="s">
        <v>1158</v>
      </c>
      <c r="M171" s="66" t="s">
        <v>1101</v>
      </c>
      <c r="N171" s="66" t="s">
        <v>1188</v>
      </c>
      <c r="O171" s="66" t="s">
        <v>1069</v>
      </c>
      <c r="P171" s="67" t="s">
        <v>1164</v>
      </c>
      <c r="Q171" s="18" t="s">
        <v>616</v>
      </c>
      <c r="R171" s="68" t="str">
        <f>IFERROR(CONCATENATE("*",VLOOKUP(L171,PARAM!D:E,2,0),VLOOKUP(M171,PARAM!J:K,2,0),VLOOKUP(N171,PARAM!G:H,2,0),VLOOKUP(P171,PARAM!P:Q,2,0),"*"),"")</f>
        <v>*2314525*</v>
      </c>
      <c r="S171" s="18" t="str">
        <f>IFERROR(CONCATENATE(VLOOKUP(L171,PARAM!D:E,2,0),VLOOKUP(M171,PARAM!J:K,2,0),VLOOKUP(N171,PARAM!G:H,2,0),VLOOKUP(O171,PARAM!M:N,2,0),VLOOKUP(P171,PARAM!P:Q,2,0)),"")</f>
        <v>231451625</v>
      </c>
      <c r="T171" s="18">
        <f t="shared" si="4"/>
        <v>9</v>
      </c>
      <c r="U171" s="18" t="str">
        <f t="shared" si="5"/>
        <v>PANTALONES UNISEX IMPERMEABLE VARIOS TALLA M</v>
      </c>
    </row>
    <row r="172">
      <c r="A172" s="64">
        <v>2.0</v>
      </c>
      <c r="B172" s="4" t="s">
        <v>1650</v>
      </c>
      <c r="C172" s="1"/>
      <c r="D172" s="4" t="s">
        <v>1647</v>
      </c>
      <c r="E172" s="3">
        <v>16000.0</v>
      </c>
      <c r="F172" s="2">
        <f t="shared" si="2"/>
        <v>32000</v>
      </c>
      <c r="G172" s="65">
        <f t="shared" si="3"/>
        <v>32000</v>
      </c>
      <c r="H172" s="1"/>
      <c r="I172" s="1"/>
      <c r="J172" s="1"/>
      <c r="K172" s="66" t="s">
        <v>1187</v>
      </c>
      <c r="L172" s="66" t="s">
        <v>1158</v>
      </c>
      <c r="M172" s="66" t="s">
        <v>1101</v>
      </c>
      <c r="N172" s="66" t="s">
        <v>1188</v>
      </c>
      <c r="O172" s="66" t="s">
        <v>1069</v>
      </c>
      <c r="P172" s="67" t="s">
        <v>1165</v>
      </c>
      <c r="Q172" s="18" t="s">
        <v>616</v>
      </c>
      <c r="R172" s="68" t="str">
        <f>IFERROR(CONCATENATE("*",VLOOKUP(L172,PARAM!D:E,2,0),VLOOKUP(M172,PARAM!J:K,2,0),VLOOKUP(N172,PARAM!G:H,2,0),VLOOKUP(P172,PARAM!P:Q,2,0),"*"),"")</f>
        <v>*2314523*</v>
      </c>
      <c r="S172" s="18" t="str">
        <f>IFERROR(CONCATENATE(VLOOKUP(L172,PARAM!D:E,2,0),VLOOKUP(M172,PARAM!J:K,2,0),VLOOKUP(N172,PARAM!G:H,2,0),VLOOKUP(O172,PARAM!M:N,2,0),VLOOKUP(P172,PARAM!P:Q,2,0)),"")</f>
        <v>231451623</v>
      </c>
      <c r="T172" s="18">
        <f t="shared" si="4"/>
        <v>9</v>
      </c>
      <c r="U172" s="18" t="str">
        <f t="shared" si="5"/>
        <v>PANTALONES UNISEX IMPERMEABLE VARIOS TALLA L</v>
      </c>
    </row>
    <row r="173">
      <c r="A173" s="64">
        <v>2.0</v>
      </c>
      <c r="B173" s="4" t="s">
        <v>1648</v>
      </c>
      <c r="C173" s="1"/>
      <c r="D173" s="4" t="s">
        <v>1649</v>
      </c>
      <c r="E173" s="3">
        <v>16000.0</v>
      </c>
      <c r="F173" s="2">
        <f t="shared" si="2"/>
        <v>32000</v>
      </c>
      <c r="G173" s="65">
        <f t="shared" si="3"/>
        <v>32000</v>
      </c>
      <c r="H173" s="1"/>
      <c r="I173" s="1"/>
      <c r="J173" s="1"/>
      <c r="K173" s="66" t="s">
        <v>1187</v>
      </c>
      <c r="L173" s="66" t="s">
        <v>1158</v>
      </c>
      <c r="M173" s="66" t="s">
        <v>1101</v>
      </c>
      <c r="N173" s="66" t="s">
        <v>1190</v>
      </c>
      <c r="O173" s="66" t="s">
        <v>1069</v>
      </c>
      <c r="P173" s="67" t="s">
        <v>1165</v>
      </c>
      <c r="Q173" s="18" t="s">
        <v>616</v>
      </c>
      <c r="R173" s="68" t="str">
        <f>IFERROR(CONCATENATE("*",VLOOKUP(L173,PARAM!D:E,2,0),VLOOKUP(M173,PARAM!J:K,2,0),VLOOKUP(N173,PARAM!G:H,2,0),VLOOKUP(P173,PARAM!P:Q,2,0),"*"),"")</f>
        <v>*2327623*</v>
      </c>
      <c r="S173" s="18" t="str">
        <f>IFERROR(CONCATENATE(VLOOKUP(L173,PARAM!D:E,2,0),VLOOKUP(M173,PARAM!J:K,2,0),VLOOKUP(N173,PARAM!G:H,2,0),VLOOKUP(O173,PARAM!M:N,2,0),VLOOKUP(P173,PARAM!P:Q,2,0)),"")</f>
        <v>232761623</v>
      </c>
      <c r="T173" s="18">
        <f t="shared" si="4"/>
        <v>9</v>
      </c>
      <c r="U173" s="18" t="str">
        <f t="shared" si="5"/>
        <v>PANTALONES UNISEX VIOTO VARIOS TALLA L</v>
      </c>
    </row>
    <row r="174">
      <c r="A174" s="64">
        <v>2.0</v>
      </c>
      <c r="B174" s="4" t="s">
        <v>1648</v>
      </c>
      <c r="C174" s="1"/>
      <c r="D174" s="4" t="s">
        <v>1649</v>
      </c>
      <c r="E174" s="3">
        <v>16000.0</v>
      </c>
      <c r="F174" s="2">
        <f t="shared" si="2"/>
        <v>32000</v>
      </c>
      <c r="G174" s="65">
        <f t="shared" si="3"/>
        <v>32000</v>
      </c>
      <c r="H174" s="1"/>
      <c r="I174" s="1"/>
      <c r="J174" s="1"/>
      <c r="K174" s="66" t="s">
        <v>1187</v>
      </c>
      <c r="L174" s="66" t="s">
        <v>1158</v>
      </c>
      <c r="M174" s="66" t="s">
        <v>1101</v>
      </c>
      <c r="N174" s="66" t="s">
        <v>1190</v>
      </c>
      <c r="O174" s="66" t="s">
        <v>1069</v>
      </c>
      <c r="P174" s="67" t="s">
        <v>1077</v>
      </c>
      <c r="Q174" s="18" t="s">
        <v>616</v>
      </c>
      <c r="R174" s="68" t="str">
        <f>IFERROR(CONCATENATE("*",VLOOKUP(L174,PARAM!D:E,2,0),VLOOKUP(M174,PARAM!J:K,2,0),VLOOKUP(N174,PARAM!G:H,2,0),VLOOKUP(P174,PARAM!P:Q,2,0),"*"),"")</f>
        <v>*2327632*</v>
      </c>
      <c r="S174" s="18" t="str">
        <f>IFERROR(CONCATENATE(VLOOKUP(L174,PARAM!D:E,2,0),VLOOKUP(M174,PARAM!J:K,2,0),VLOOKUP(N174,PARAM!G:H,2,0),VLOOKUP(O174,PARAM!M:N,2,0),VLOOKUP(P174,PARAM!P:Q,2,0)),"")</f>
        <v>232761632</v>
      </c>
      <c r="T174" s="18">
        <f t="shared" si="4"/>
        <v>9</v>
      </c>
      <c r="U174" s="18" t="str">
        <f t="shared" si="5"/>
        <v>PANTALONES UNISEX VIOTO VARIOS TALLA XL</v>
      </c>
    </row>
    <row r="175">
      <c r="A175" s="64">
        <v>2.0</v>
      </c>
      <c r="B175" s="4" t="s">
        <v>1651</v>
      </c>
      <c r="C175" s="1"/>
      <c r="D175" s="4" t="s">
        <v>1652</v>
      </c>
      <c r="E175" s="3">
        <v>16000.0</v>
      </c>
      <c r="F175" s="2">
        <f t="shared" si="2"/>
        <v>32000</v>
      </c>
      <c r="G175" s="65">
        <f t="shared" si="3"/>
        <v>32000</v>
      </c>
      <c r="H175" s="1"/>
      <c r="I175" s="1"/>
      <c r="J175" s="1"/>
      <c r="K175" s="66" t="s">
        <v>1187</v>
      </c>
      <c r="L175" s="66" t="s">
        <v>1158</v>
      </c>
      <c r="M175" s="66" t="s">
        <v>1101</v>
      </c>
      <c r="N175" s="66" t="s">
        <v>1073</v>
      </c>
      <c r="O175" s="66" t="s">
        <v>1069</v>
      </c>
      <c r="P175" s="67" t="s">
        <v>1164</v>
      </c>
      <c r="Q175" s="18" t="s">
        <v>616</v>
      </c>
      <c r="R175" s="68" t="str">
        <f>IFERROR(CONCATENATE("*",VLOOKUP(L175,PARAM!D:E,2,0),VLOOKUP(M175,PARAM!J:K,2,0),VLOOKUP(N175,PARAM!G:H,2,0),VLOOKUP(P175,PARAM!P:Q,2,0),"*"),"")</f>
        <v>*231625*</v>
      </c>
      <c r="S175" s="18" t="str">
        <f>IFERROR(CONCATENATE(VLOOKUP(L175,PARAM!D:E,2,0),VLOOKUP(M175,PARAM!J:K,2,0),VLOOKUP(N175,PARAM!G:H,2,0),VLOOKUP(O175,PARAM!M:N,2,0),VLOOKUP(P175,PARAM!P:Q,2,0)),"")</f>
        <v>23161625</v>
      </c>
      <c r="T175" s="18">
        <f t="shared" si="4"/>
        <v>8</v>
      </c>
      <c r="U175" s="18" t="str">
        <f t="shared" si="5"/>
        <v>PANTALONES UNISEX ALGODON VARIOS TALLA M</v>
      </c>
    </row>
    <row r="176">
      <c r="A176" s="64">
        <v>2.0</v>
      </c>
      <c r="B176" s="4" t="s">
        <v>1651</v>
      </c>
      <c r="C176" s="1"/>
      <c r="D176" s="4" t="s">
        <v>1652</v>
      </c>
      <c r="E176" s="3">
        <v>16000.0</v>
      </c>
      <c r="F176" s="2">
        <f t="shared" si="2"/>
        <v>32000</v>
      </c>
      <c r="G176" s="65">
        <f t="shared" si="3"/>
        <v>32000</v>
      </c>
      <c r="H176" s="1"/>
      <c r="I176" s="1"/>
      <c r="J176" s="1"/>
      <c r="K176" s="66" t="s">
        <v>1187</v>
      </c>
      <c r="L176" s="66" t="s">
        <v>1158</v>
      </c>
      <c r="M176" s="66" t="s">
        <v>1101</v>
      </c>
      <c r="N176" s="66" t="s">
        <v>1073</v>
      </c>
      <c r="O176" s="66" t="s">
        <v>1069</v>
      </c>
      <c r="P176" s="67" t="s">
        <v>1077</v>
      </c>
      <c r="Q176" s="18" t="s">
        <v>616</v>
      </c>
      <c r="R176" s="68" t="str">
        <f>IFERROR(CONCATENATE("*",VLOOKUP(L176,PARAM!D:E,2,0),VLOOKUP(M176,PARAM!J:K,2,0),VLOOKUP(N176,PARAM!G:H,2,0),VLOOKUP(P176,PARAM!P:Q,2,0),"*"),"")</f>
        <v>*231632*</v>
      </c>
      <c r="S176" s="18" t="str">
        <f>IFERROR(CONCATENATE(VLOOKUP(L176,PARAM!D:E,2,0),VLOOKUP(M176,PARAM!J:K,2,0),VLOOKUP(N176,PARAM!G:H,2,0),VLOOKUP(O176,PARAM!M:N,2,0),VLOOKUP(P176,PARAM!P:Q,2,0)),"")</f>
        <v>23161632</v>
      </c>
      <c r="T176" s="18">
        <f t="shared" si="4"/>
        <v>8</v>
      </c>
      <c r="U176" s="18" t="str">
        <f t="shared" si="5"/>
        <v>PANTALONES UNISEX ALGODON VARIOS TALLA XL</v>
      </c>
    </row>
    <row r="177">
      <c r="A177" s="64">
        <v>2.0</v>
      </c>
      <c r="B177" s="4" t="s">
        <v>1651</v>
      </c>
      <c r="C177" s="1"/>
      <c r="D177" s="4" t="s">
        <v>1652</v>
      </c>
      <c r="E177" s="3">
        <v>16000.0</v>
      </c>
      <c r="F177" s="2">
        <f t="shared" si="2"/>
        <v>32000</v>
      </c>
      <c r="G177" s="65">
        <f t="shared" si="3"/>
        <v>32000</v>
      </c>
      <c r="H177" s="1"/>
      <c r="I177" s="1"/>
      <c r="J177" s="1"/>
      <c r="K177" s="66" t="s">
        <v>1187</v>
      </c>
      <c r="L177" s="66" t="s">
        <v>1158</v>
      </c>
      <c r="M177" s="66" t="s">
        <v>1101</v>
      </c>
      <c r="N177" s="66" t="s">
        <v>1073</v>
      </c>
      <c r="O177" s="66" t="s">
        <v>1069</v>
      </c>
      <c r="P177" s="67" t="s">
        <v>1165</v>
      </c>
      <c r="Q177" s="18" t="s">
        <v>616</v>
      </c>
      <c r="R177" s="68" t="str">
        <f>IFERROR(CONCATENATE("*",VLOOKUP(L177,PARAM!D:E,2,0),VLOOKUP(M177,PARAM!J:K,2,0),VLOOKUP(N177,PARAM!G:H,2,0),VLOOKUP(P177,PARAM!P:Q,2,0),"*"),"")</f>
        <v>*231623*</v>
      </c>
      <c r="S177" s="18" t="str">
        <f>IFERROR(CONCATENATE(VLOOKUP(L177,PARAM!D:E,2,0),VLOOKUP(M177,PARAM!J:K,2,0),VLOOKUP(N177,PARAM!G:H,2,0),VLOOKUP(O177,PARAM!M:N,2,0),VLOOKUP(P177,PARAM!P:Q,2,0)),"")</f>
        <v>23161623</v>
      </c>
      <c r="T177" s="18">
        <f t="shared" si="4"/>
        <v>8</v>
      </c>
      <c r="U177" s="18" t="str">
        <f t="shared" si="5"/>
        <v>PANTALONES UNISEX ALGODON VARIOS TALLA L</v>
      </c>
    </row>
    <row r="178">
      <c r="A178" s="64">
        <v>3.0</v>
      </c>
      <c r="B178" s="4" t="s">
        <v>1653</v>
      </c>
      <c r="C178" s="1"/>
      <c r="D178" s="4" t="s">
        <v>1654</v>
      </c>
      <c r="E178" s="3">
        <v>33000.0</v>
      </c>
      <c r="F178" s="2">
        <f t="shared" si="2"/>
        <v>99000</v>
      </c>
      <c r="G178" s="65">
        <f t="shared" si="3"/>
        <v>66000</v>
      </c>
      <c r="H178" s="1"/>
      <c r="I178" s="1"/>
      <c r="J178" s="1"/>
      <c r="K178" s="66" t="s">
        <v>1191</v>
      </c>
      <c r="L178" s="66" t="s">
        <v>1192</v>
      </c>
      <c r="M178" s="66" t="s">
        <v>1101</v>
      </c>
      <c r="N178" s="66" t="s">
        <v>1193</v>
      </c>
      <c r="O178" s="66" t="s">
        <v>1069</v>
      </c>
      <c r="P178" s="67" t="s">
        <v>1103</v>
      </c>
      <c r="Q178" s="18" t="s">
        <v>628</v>
      </c>
      <c r="R178" s="68" t="str">
        <f>IFERROR(CONCATENATE("*",VLOOKUP(L178,PARAM!D:E,2,0),VLOOKUP(M178,PARAM!J:K,2,0),VLOOKUP(N178,PARAM!G:H,2,0),VLOOKUP(P178,PARAM!P:Q,2,0),"*"),"")</f>
        <v>*41320230*</v>
      </c>
      <c r="S178" s="18" t="str">
        <f>IFERROR(CONCATENATE(VLOOKUP(L178,PARAM!D:E,2,0),VLOOKUP(M178,PARAM!J:K,2,0),VLOOKUP(N178,PARAM!G:H,2,0),VLOOKUP(O178,PARAM!M:N,2,0),VLOOKUP(P178,PARAM!P:Q,2,0)),"")</f>
        <v>4132021630</v>
      </c>
      <c r="T178" s="18">
        <f t="shared" si="4"/>
        <v>10</v>
      </c>
      <c r="U178" s="18" t="str">
        <f t="shared" si="5"/>
        <v>SUDADERA UNISEX OVERSIZE VARIOS TALLA UN</v>
      </c>
    </row>
    <row r="179">
      <c r="A179" s="64">
        <v>2.0</v>
      </c>
      <c r="B179" s="4" t="s">
        <v>1655</v>
      </c>
      <c r="C179" s="1"/>
      <c r="D179" s="4" t="s">
        <v>1656</v>
      </c>
      <c r="E179" s="3">
        <v>38000.0</v>
      </c>
      <c r="F179" s="2">
        <f t="shared" si="2"/>
        <v>76000</v>
      </c>
      <c r="G179" s="65">
        <f t="shared" si="3"/>
        <v>76000</v>
      </c>
      <c r="H179" s="1"/>
      <c r="I179" s="1"/>
      <c r="J179" s="1"/>
      <c r="K179" s="66" t="s">
        <v>1191</v>
      </c>
      <c r="L179" s="66" t="s">
        <v>1194</v>
      </c>
      <c r="M179" s="66" t="s">
        <v>1101</v>
      </c>
      <c r="N179" s="66" t="s">
        <v>1193</v>
      </c>
      <c r="O179" s="66" t="s">
        <v>1069</v>
      </c>
      <c r="P179" s="67" t="s">
        <v>1103</v>
      </c>
      <c r="Q179" s="18" t="s">
        <v>628</v>
      </c>
      <c r="R179" s="68" t="str">
        <f>IFERROR(CONCATENATE("*",VLOOKUP(L179,PARAM!D:E,2,0),VLOOKUP(M179,PARAM!J:K,2,0),VLOOKUP(N179,PARAM!G:H,2,0),VLOOKUP(P179,PARAM!P:Q,2,0),"*"),"")</f>
        <v>*26320230*</v>
      </c>
      <c r="S179" s="18" t="str">
        <f>IFERROR(CONCATENATE(VLOOKUP(L179,PARAM!D:E,2,0),VLOOKUP(M179,PARAM!J:K,2,0),VLOOKUP(N179,PARAM!G:H,2,0),VLOOKUP(O179,PARAM!M:N,2,0),VLOOKUP(P179,PARAM!P:Q,2,0)),"")</f>
        <v>2632021630</v>
      </c>
      <c r="T179" s="18">
        <f t="shared" si="4"/>
        <v>10</v>
      </c>
      <c r="U179" s="18" t="str">
        <f t="shared" si="5"/>
        <v>BUSOS UNISEX OVERSIZE VARIOS TALLA UN</v>
      </c>
    </row>
    <row r="180">
      <c r="A180" s="64">
        <v>2.0</v>
      </c>
      <c r="B180" s="4" t="s">
        <v>1657</v>
      </c>
      <c r="C180" s="1"/>
      <c r="D180" s="4" t="s">
        <v>1658</v>
      </c>
      <c r="E180" s="3">
        <v>29000.0</v>
      </c>
      <c r="F180" s="2">
        <f t="shared" si="2"/>
        <v>58000</v>
      </c>
      <c r="G180" s="65">
        <f t="shared" si="3"/>
        <v>58000</v>
      </c>
      <c r="H180" s="1"/>
      <c r="I180" s="1"/>
      <c r="J180" s="1"/>
      <c r="K180" s="66" t="s">
        <v>1191</v>
      </c>
      <c r="L180" s="66" t="s">
        <v>1171</v>
      </c>
      <c r="M180" s="66" t="s">
        <v>1080</v>
      </c>
      <c r="N180" s="66" t="s">
        <v>1193</v>
      </c>
      <c r="O180" s="66" t="s">
        <v>1069</v>
      </c>
      <c r="P180" s="67" t="s">
        <v>1168</v>
      </c>
      <c r="Q180" s="18" t="s">
        <v>628</v>
      </c>
      <c r="R180" s="68" t="str">
        <f>IFERROR(CONCATENATE("*",VLOOKUP(L180,PARAM!D:E,2,0),VLOOKUP(M180,PARAM!J:K,2,0),VLOOKUP(N180,PARAM!G:H,2,0),VLOOKUP(P180,PARAM!P:Q,2,0),"*"),"")</f>
        <v>*11220227*</v>
      </c>
      <c r="S180" s="18" t="str">
        <f>IFERROR(CONCATENATE(VLOOKUP(L180,PARAM!D:E,2,0),VLOOKUP(M180,PARAM!J:K,2,0),VLOOKUP(N180,PARAM!G:H,2,0),VLOOKUP(O180,PARAM!M:N,2,0),VLOOKUP(P180,PARAM!P:Q,2,0)),"")</f>
        <v>1122021627</v>
      </c>
      <c r="T180" s="18">
        <f t="shared" si="4"/>
        <v>10</v>
      </c>
      <c r="U180" s="18" t="str">
        <f t="shared" si="5"/>
        <v>CAMISETAS CABALLERO OVERSIZE VARIOS TALLA S</v>
      </c>
    </row>
    <row r="181">
      <c r="A181" s="64">
        <v>2.0</v>
      </c>
      <c r="B181" s="4" t="s">
        <v>1657</v>
      </c>
      <c r="C181" s="1"/>
      <c r="D181" s="4" t="s">
        <v>1658</v>
      </c>
      <c r="E181" s="3">
        <v>29000.0</v>
      </c>
      <c r="F181" s="2">
        <f t="shared" si="2"/>
        <v>58000</v>
      </c>
      <c r="G181" s="65">
        <f t="shared" si="3"/>
        <v>58000</v>
      </c>
      <c r="H181" s="1"/>
      <c r="I181" s="1"/>
      <c r="J181" s="1"/>
      <c r="K181" s="66" t="s">
        <v>1191</v>
      </c>
      <c r="L181" s="66" t="s">
        <v>1171</v>
      </c>
      <c r="M181" s="66" t="s">
        <v>1080</v>
      </c>
      <c r="N181" s="66" t="s">
        <v>1193</v>
      </c>
      <c r="O181" s="66" t="s">
        <v>1069</v>
      </c>
      <c r="P181" s="67" t="s">
        <v>1164</v>
      </c>
      <c r="Q181" s="18" t="s">
        <v>628</v>
      </c>
      <c r="R181" s="68" t="str">
        <f>IFERROR(CONCATENATE("*",VLOOKUP(L181,PARAM!D:E,2,0),VLOOKUP(M181,PARAM!J:K,2,0),VLOOKUP(N181,PARAM!G:H,2,0),VLOOKUP(P181,PARAM!P:Q,2,0),"*"),"")</f>
        <v>*11220225*</v>
      </c>
      <c r="S181" s="18" t="str">
        <f>IFERROR(CONCATENATE(VLOOKUP(L181,PARAM!D:E,2,0),VLOOKUP(M181,PARAM!J:K,2,0),VLOOKUP(N181,PARAM!G:H,2,0),VLOOKUP(O181,PARAM!M:N,2,0),VLOOKUP(P181,PARAM!P:Q,2,0)),"")</f>
        <v>1122021625</v>
      </c>
      <c r="T181" s="18">
        <f t="shared" si="4"/>
        <v>10</v>
      </c>
      <c r="U181" s="18" t="str">
        <f t="shared" si="5"/>
        <v>CAMISETAS CABALLERO OVERSIZE VARIOS TALLA M</v>
      </c>
    </row>
    <row r="182">
      <c r="A182" s="64">
        <v>2.0</v>
      </c>
      <c r="B182" s="4" t="s">
        <v>1657</v>
      </c>
      <c r="C182" s="1"/>
      <c r="D182" s="4" t="s">
        <v>1658</v>
      </c>
      <c r="E182" s="3">
        <v>29000.0</v>
      </c>
      <c r="F182" s="2">
        <f t="shared" si="2"/>
        <v>58000</v>
      </c>
      <c r="G182" s="65">
        <f t="shared" si="3"/>
        <v>58000</v>
      </c>
      <c r="H182" s="1"/>
      <c r="I182" s="1"/>
      <c r="J182" s="1"/>
      <c r="K182" s="66" t="s">
        <v>1191</v>
      </c>
      <c r="L182" s="66" t="s">
        <v>1171</v>
      </c>
      <c r="M182" s="66" t="s">
        <v>1080</v>
      </c>
      <c r="N182" s="66" t="s">
        <v>1193</v>
      </c>
      <c r="O182" s="66" t="s">
        <v>1069</v>
      </c>
      <c r="P182" s="67" t="s">
        <v>1165</v>
      </c>
      <c r="Q182" s="18" t="s">
        <v>628</v>
      </c>
      <c r="R182" s="68" t="str">
        <f>IFERROR(CONCATENATE("*",VLOOKUP(L182,PARAM!D:E,2,0),VLOOKUP(M182,PARAM!J:K,2,0),VLOOKUP(N182,PARAM!G:H,2,0),VLOOKUP(P182,PARAM!P:Q,2,0),"*"),"")</f>
        <v>*11220223*</v>
      </c>
      <c r="S182" s="18" t="str">
        <f>IFERROR(CONCATENATE(VLOOKUP(L182,PARAM!D:E,2,0),VLOOKUP(M182,PARAM!J:K,2,0),VLOOKUP(N182,PARAM!G:H,2,0),VLOOKUP(O182,PARAM!M:N,2,0),VLOOKUP(P182,PARAM!P:Q,2,0)),"")</f>
        <v>1122021623</v>
      </c>
      <c r="T182" s="18">
        <f t="shared" si="4"/>
        <v>10</v>
      </c>
      <c r="U182" s="18" t="str">
        <f t="shared" si="5"/>
        <v>CAMISETAS CABALLERO OVERSIZE VARIOS TALLA L</v>
      </c>
    </row>
    <row r="183">
      <c r="A183" s="64">
        <v>2.0</v>
      </c>
      <c r="B183" s="4" t="s">
        <v>1659</v>
      </c>
      <c r="C183" s="1"/>
      <c r="D183" s="4" t="s">
        <v>1660</v>
      </c>
      <c r="E183" s="3">
        <v>36000.0</v>
      </c>
      <c r="F183" s="2">
        <f t="shared" si="2"/>
        <v>72000</v>
      </c>
      <c r="G183" s="65">
        <f t="shared" si="3"/>
        <v>72000</v>
      </c>
      <c r="H183" s="1"/>
      <c r="I183" s="1"/>
      <c r="J183" s="1"/>
      <c r="K183" s="66" t="s">
        <v>1191</v>
      </c>
      <c r="L183" s="66" t="s">
        <v>1194</v>
      </c>
      <c r="M183" s="66" t="s">
        <v>1060</v>
      </c>
      <c r="N183" s="66" t="s">
        <v>1195</v>
      </c>
      <c r="O183" s="66" t="s">
        <v>1069</v>
      </c>
      <c r="P183" s="67" t="s">
        <v>1103</v>
      </c>
      <c r="Q183" s="18" t="s">
        <v>628</v>
      </c>
      <c r="R183" s="68" t="str">
        <f>IFERROR(CONCATENATE("*",VLOOKUP(L183,PARAM!D:E,2,0),VLOOKUP(M183,PARAM!J:K,2,0),VLOOKUP(N183,PARAM!G:H,2,0),VLOOKUP(P183,PARAM!P:Q,2,0),"*"),"")</f>
        <v>*26110430*</v>
      </c>
      <c r="S183" s="18" t="str">
        <f>IFERROR(CONCATENATE(VLOOKUP(L183,PARAM!D:E,2,0),VLOOKUP(M183,PARAM!J:K,2,0),VLOOKUP(N183,PARAM!G:H,2,0),VLOOKUP(O183,PARAM!M:N,2,0),VLOOKUP(P183,PARAM!P:Q,2,0)),"")</f>
        <v>2611041630</v>
      </c>
      <c r="T183" s="18">
        <f t="shared" si="4"/>
        <v>10</v>
      </c>
      <c r="U183" s="18" t="str">
        <f t="shared" si="5"/>
        <v>BUSOS DAMA CREMALLERA OVERSIZE VARIOS TALLA UN</v>
      </c>
    </row>
    <row r="184">
      <c r="A184" s="64">
        <v>4.0</v>
      </c>
      <c r="B184" s="4" t="s">
        <v>1661</v>
      </c>
      <c r="C184" s="1"/>
      <c r="D184" s="4" t="s">
        <v>1662</v>
      </c>
      <c r="E184" s="3">
        <v>35000.0</v>
      </c>
      <c r="F184" s="2">
        <f t="shared" si="2"/>
        <v>140000</v>
      </c>
      <c r="G184" s="65">
        <f t="shared" si="3"/>
        <v>70000</v>
      </c>
      <c r="H184" s="1"/>
      <c r="I184" s="1"/>
      <c r="J184" s="1"/>
      <c r="K184" s="66" t="s">
        <v>1191</v>
      </c>
      <c r="L184" s="66" t="s">
        <v>1194</v>
      </c>
      <c r="M184" s="66" t="s">
        <v>1080</v>
      </c>
      <c r="N184" s="66" t="s">
        <v>1196</v>
      </c>
      <c r="O184" s="66" t="s">
        <v>1069</v>
      </c>
      <c r="P184" s="67" t="s">
        <v>1103</v>
      </c>
      <c r="Q184" s="18" t="s">
        <v>628</v>
      </c>
      <c r="R184" s="68" t="str">
        <f>IFERROR(CONCATENATE("*",VLOOKUP(L184,PARAM!D:E,2,0),VLOOKUP(M184,PARAM!J:K,2,0),VLOOKUP(N184,PARAM!G:H,2,0),VLOOKUP(P184,PARAM!P:Q,2,0),"*"),"")</f>
        <v>*26210930*</v>
      </c>
      <c r="S184" s="18" t="str">
        <f>IFERROR(CONCATENATE(VLOOKUP(L184,PARAM!D:E,2,0),VLOOKUP(M184,PARAM!J:K,2,0),VLOOKUP(N184,PARAM!G:H,2,0),VLOOKUP(O184,PARAM!M:N,2,0),VLOOKUP(P184,PARAM!P:Q,2,0)),"")</f>
        <v>2621091630</v>
      </c>
      <c r="T184" s="18">
        <f t="shared" si="4"/>
        <v>10</v>
      </c>
      <c r="U184" s="18" t="str">
        <f t="shared" si="5"/>
        <v>BUSOS CABALLERO CUELLO REDONDO COMBINADO VARIOS TALLA UN</v>
      </c>
    </row>
    <row r="185">
      <c r="A185" s="64">
        <v>4.0</v>
      </c>
      <c r="B185" s="4" t="s">
        <v>1663</v>
      </c>
      <c r="C185" s="1"/>
      <c r="D185" s="4" t="s">
        <v>1664</v>
      </c>
      <c r="E185" s="3">
        <v>35000.0</v>
      </c>
      <c r="F185" s="2">
        <f t="shared" si="2"/>
        <v>140000</v>
      </c>
      <c r="G185" s="65">
        <f t="shared" si="3"/>
        <v>70000</v>
      </c>
      <c r="H185" s="1"/>
      <c r="I185" s="1"/>
      <c r="J185" s="1"/>
      <c r="K185" s="66" t="s">
        <v>1191</v>
      </c>
      <c r="L185" s="66" t="s">
        <v>1194</v>
      </c>
      <c r="M185" s="66" t="s">
        <v>1080</v>
      </c>
      <c r="N185" s="18" t="s">
        <v>1144</v>
      </c>
      <c r="O185" s="66" t="s">
        <v>1069</v>
      </c>
      <c r="P185" s="67" t="s">
        <v>1103</v>
      </c>
      <c r="Q185" s="18" t="s">
        <v>628</v>
      </c>
      <c r="R185" s="68" t="str">
        <f>IFERROR(CONCATENATE("*",VLOOKUP(L185,PARAM!D:E,2,0),VLOOKUP(M185,PARAM!J:K,2,0),VLOOKUP(N185,PARAM!G:H,2,0),VLOOKUP(P185,PARAM!P:Q,2,0),"*"),"")</f>
        <v>*26210830*</v>
      </c>
      <c r="S185" s="18" t="str">
        <f>IFERROR(CONCATENATE(VLOOKUP(L185,PARAM!D:E,2,0),VLOOKUP(M185,PARAM!J:K,2,0),VLOOKUP(N185,PARAM!G:H,2,0),VLOOKUP(O185,PARAM!M:N,2,0),VLOOKUP(P185,PARAM!P:Q,2,0)),"")</f>
        <v>2621081630</v>
      </c>
      <c r="T185" s="18">
        <f t="shared" si="4"/>
        <v>10</v>
      </c>
      <c r="U185" s="18" t="str">
        <f t="shared" si="5"/>
        <v>BUSOS CABALLERO CUELLO REDONDO VARIOS TALLA UN</v>
      </c>
    </row>
    <row r="186">
      <c r="A186" s="64">
        <v>4.0</v>
      </c>
      <c r="B186" s="4" t="s">
        <v>1665</v>
      </c>
      <c r="C186" s="1"/>
      <c r="D186" s="4" t="s">
        <v>1666</v>
      </c>
      <c r="E186" s="3">
        <v>35000.0</v>
      </c>
      <c r="F186" s="2">
        <f t="shared" si="2"/>
        <v>140000</v>
      </c>
      <c r="G186" s="65">
        <f t="shared" si="3"/>
        <v>70000</v>
      </c>
      <c r="H186" s="1"/>
      <c r="I186" s="1"/>
      <c r="J186" s="1"/>
      <c r="K186" s="66" t="s">
        <v>1191</v>
      </c>
      <c r="L186" s="66" t="s">
        <v>1194</v>
      </c>
      <c r="M186" s="66" t="s">
        <v>1080</v>
      </c>
      <c r="N186" s="66" t="s">
        <v>1197</v>
      </c>
      <c r="O186" s="66" t="s">
        <v>1069</v>
      </c>
      <c r="P186" s="67" t="s">
        <v>1103</v>
      </c>
      <c r="Q186" s="18" t="s">
        <v>628</v>
      </c>
      <c r="R186" s="68" t="str">
        <f>IFERROR(CONCATENATE("*",VLOOKUP(L186,PARAM!D:E,2,0),VLOOKUP(M186,PARAM!J:K,2,0),VLOOKUP(N186,PARAM!G:H,2,0),VLOOKUP(P186,PARAM!P:Q,2,0),"*"),"")</f>
        <v>*26213130*</v>
      </c>
      <c r="S186" s="18" t="str">
        <f>IFERROR(CONCATENATE(VLOOKUP(L186,PARAM!D:E,2,0),VLOOKUP(M186,PARAM!J:K,2,0),VLOOKUP(N186,PARAM!G:H,2,0),VLOOKUP(O186,PARAM!M:N,2,0),VLOOKUP(P186,PARAM!P:Q,2,0)),"")</f>
        <v>2621311630</v>
      </c>
      <c r="T186" s="18">
        <f t="shared" si="4"/>
        <v>10</v>
      </c>
      <c r="U186" s="18" t="str">
        <f t="shared" si="5"/>
        <v>BUSOS CABALLERO ESTAMPADO VARIOS TALLA UN</v>
      </c>
    </row>
    <row r="187">
      <c r="A187" s="64">
        <v>3.0</v>
      </c>
      <c r="B187" s="4" t="s">
        <v>1667</v>
      </c>
      <c r="C187" s="1"/>
      <c r="D187" s="4" t="s">
        <v>1668</v>
      </c>
      <c r="E187" s="3">
        <v>40000.0</v>
      </c>
      <c r="F187" s="2">
        <f t="shared" si="2"/>
        <v>120000</v>
      </c>
      <c r="G187" s="65">
        <f t="shared" si="3"/>
        <v>80000</v>
      </c>
      <c r="H187" s="1"/>
      <c r="I187" s="1"/>
      <c r="J187" s="1"/>
      <c r="K187" s="66" t="s">
        <v>1191</v>
      </c>
      <c r="L187" s="66" t="s">
        <v>1194</v>
      </c>
      <c r="M187" s="66" t="s">
        <v>1080</v>
      </c>
      <c r="N187" s="66" t="s">
        <v>1198</v>
      </c>
      <c r="O187" s="66" t="s">
        <v>1069</v>
      </c>
      <c r="P187" s="67" t="s">
        <v>1103</v>
      </c>
      <c r="Q187" s="18" t="s">
        <v>628</v>
      </c>
      <c r="R187" s="68" t="str">
        <f>IFERROR(CONCATENATE("*",VLOOKUP(L187,PARAM!D:E,2,0),VLOOKUP(M187,PARAM!J:K,2,0),VLOOKUP(N187,PARAM!G:H,2,0),VLOOKUP(P187,PARAM!P:Q,2,0),"*"),"")</f>
        <v>*26218530*</v>
      </c>
      <c r="S187" s="18" t="str">
        <f>IFERROR(CONCATENATE(VLOOKUP(L187,PARAM!D:E,2,0),VLOOKUP(M187,PARAM!J:K,2,0),VLOOKUP(N187,PARAM!G:H,2,0),VLOOKUP(O187,PARAM!M:N,2,0),VLOOKUP(P187,PARAM!P:Q,2,0)),"")</f>
        <v>2621851630</v>
      </c>
      <c r="T187" s="18">
        <f t="shared" si="4"/>
        <v>10</v>
      </c>
      <c r="U187" s="18" t="str">
        <f t="shared" si="5"/>
        <v>BUSOS CABALLERO MEDIA CREMALLERA COMBINADO VARIOS TALLA UN</v>
      </c>
    </row>
    <row r="188">
      <c r="A188" s="64">
        <v>1.0</v>
      </c>
      <c r="B188" s="4" t="s">
        <v>1669</v>
      </c>
      <c r="C188" s="1"/>
      <c r="D188" s="4" t="s">
        <v>1670</v>
      </c>
      <c r="E188" s="3">
        <v>43000.0</v>
      </c>
      <c r="F188" s="2">
        <f t="shared" si="2"/>
        <v>43000</v>
      </c>
      <c r="G188" s="65">
        <f t="shared" si="3"/>
        <v>86000</v>
      </c>
      <c r="H188" s="1"/>
      <c r="I188" s="1"/>
      <c r="J188" s="1"/>
      <c r="K188" s="66" t="s">
        <v>1078</v>
      </c>
      <c r="L188" s="66" t="s">
        <v>1162</v>
      </c>
      <c r="M188" s="66" t="s">
        <v>1080</v>
      </c>
      <c r="N188" s="66" t="s">
        <v>1199</v>
      </c>
      <c r="O188" s="66" t="s">
        <v>1069</v>
      </c>
      <c r="P188" s="67" t="s">
        <v>1165</v>
      </c>
      <c r="Q188" s="18" t="s">
        <v>639</v>
      </c>
      <c r="R188" s="68" t="str">
        <f>IFERROR(CONCATENATE("*",VLOOKUP(L188,PARAM!D:E,2,0),VLOOKUP(M188,PARAM!J:K,2,0),VLOOKUP(N188,PARAM!G:H,2,0),VLOOKUP(P188,PARAM!P:Q,2,0),"*"),"")</f>
        <v>*25221923*</v>
      </c>
      <c r="S188" s="18" t="str">
        <f>IFERROR(CONCATENATE(VLOOKUP(L188,PARAM!D:E,2,0),VLOOKUP(M188,PARAM!J:K,2,0),VLOOKUP(N188,PARAM!G:H,2,0),VLOOKUP(O188,PARAM!M:N,2,0),VLOOKUP(P188,PARAM!P:Q,2,0)),"")</f>
        <v>2522191623</v>
      </c>
      <c r="T188" s="18">
        <f t="shared" si="4"/>
        <v>10</v>
      </c>
      <c r="U188" s="18" t="str">
        <f t="shared" si="5"/>
        <v>CHAQUETAS CABALLERO POLO SENCILLA VARIOS TALLA L</v>
      </c>
    </row>
    <row r="189">
      <c r="A189" s="64">
        <v>1.0</v>
      </c>
      <c r="B189" s="4" t="s">
        <v>1669</v>
      </c>
      <c r="C189" s="1"/>
      <c r="D189" s="4" t="s">
        <v>1670</v>
      </c>
      <c r="E189" s="3">
        <v>43000.0</v>
      </c>
      <c r="F189" s="2">
        <f t="shared" si="2"/>
        <v>43000</v>
      </c>
      <c r="G189" s="65">
        <f t="shared" si="3"/>
        <v>86000</v>
      </c>
      <c r="H189" s="1"/>
      <c r="I189" s="1"/>
      <c r="J189" s="1"/>
      <c r="K189" s="66" t="s">
        <v>1078</v>
      </c>
      <c r="L189" s="66" t="s">
        <v>1162</v>
      </c>
      <c r="M189" s="66" t="s">
        <v>1080</v>
      </c>
      <c r="N189" s="66" t="s">
        <v>1199</v>
      </c>
      <c r="O189" s="66" t="s">
        <v>1069</v>
      </c>
      <c r="P189" s="67" t="s">
        <v>1077</v>
      </c>
      <c r="Q189" s="18" t="s">
        <v>641</v>
      </c>
      <c r="R189" s="68" t="str">
        <f>IFERROR(CONCATENATE("*",VLOOKUP(L189,PARAM!D:E,2,0),VLOOKUP(M189,PARAM!J:K,2,0),VLOOKUP(N189,PARAM!G:H,2,0),VLOOKUP(P189,PARAM!P:Q,2,0),"*"),"")</f>
        <v>*25221932*</v>
      </c>
      <c r="S189" s="18" t="str">
        <f>IFERROR(CONCATENATE(VLOOKUP(L189,PARAM!D:E,2,0),VLOOKUP(M189,PARAM!J:K,2,0),VLOOKUP(N189,PARAM!G:H,2,0),VLOOKUP(O189,PARAM!M:N,2,0),VLOOKUP(P189,PARAM!P:Q,2,0)),"")</f>
        <v>2522191632</v>
      </c>
      <c r="T189" s="18">
        <f t="shared" si="4"/>
        <v>10</v>
      </c>
      <c r="U189" s="18" t="str">
        <f t="shared" si="5"/>
        <v>CHAQUETAS CABALLERO POLO SENCILLA VARIOS TALLA XL</v>
      </c>
    </row>
    <row r="190">
      <c r="A190" s="64">
        <v>1.0</v>
      </c>
      <c r="B190" s="4" t="s">
        <v>1669</v>
      </c>
      <c r="C190" s="1"/>
      <c r="D190" s="4" t="s">
        <v>1670</v>
      </c>
      <c r="E190" s="3">
        <v>43000.0</v>
      </c>
      <c r="F190" s="2">
        <f t="shared" si="2"/>
        <v>43000</v>
      </c>
      <c r="G190" s="65">
        <f t="shared" si="3"/>
        <v>86000</v>
      </c>
      <c r="H190" s="1"/>
      <c r="I190" s="1"/>
      <c r="J190" s="1"/>
      <c r="K190" s="66" t="s">
        <v>1078</v>
      </c>
      <c r="L190" s="66" t="s">
        <v>1162</v>
      </c>
      <c r="M190" s="66" t="s">
        <v>1080</v>
      </c>
      <c r="N190" s="66" t="s">
        <v>1199</v>
      </c>
      <c r="O190" s="66" t="s">
        <v>1069</v>
      </c>
      <c r="P190" s="67" t="s">
        <v>1164</v>
      </c>
      <c r="Q190" s="18" t="s">
        <v>641</v>
      </c>
      <c r="R190" s="68" t="str">
        <f>IFERROR(CONCATENATE("*",VLOOKUP(L190,PARAM!D:E,2,0),VLOOKUP(M190,PARAM!J:K,2,0),VLOOKUP(N190,PARAM!G:H,2,0),VLOOKUP(P190,PARAM!P:Q,2,0),"*"),"")</f>
        <v>*25221925*</v>
      </c>
      <c r="S190" s="18" t="str">
        <f>IFERROR(CONCATENATE(VLOOKUP(L190,PARAM!D:E,2,0),VLOOKUP(M190,PARAM!J:K,2,0),VLOOKUP(N190,PARAM!G:H,2,0),VLOOKUP(O190,PARAM!M:N,2,0),VLOOKUP(P190,PARAM!P:Q,2,0)),"")</f>
        <v>2522191625</v>
      </c>
      <c r="T190" s="18">
        <f t="shared" si="4"/>
        <v>10</v>
      </c>
      <c r="U190" s="18" t="str">
        <f t="shared" si="5"/>
        <v>CHAQUETAS CABALLERO POLO SENCILLA VARIOS TALLA M</v>
      </c>
    </row>
    <row r="191">
      <c r="A191" s="64">
        <v>1.0</v>
      </c>
      <c r="B191" s="4" t="s">
        <v>1671</v>
      </c>
      <c r="C191" s="1"/>
      <c r="D191" s="4" t="s">
        <v>1672</v>
      </c>
      <c r="E191" s="3">
        <v>47000.0</v>
      </c>
      <c r="F191" s="2">
        <f t="shared" si="2"/>
        <v>47000</v>
      </c>
      <c r="G191" s="65">
        <f t="shared" si="3"/>
        <v>94000</v>
      </c>
      <c r="H191" s="1"/>
      <c r="I191" s="1"/>
      <c r="J191" s="1"/>
      <c r="K191" s="66" t="s">
        <v>1078</v>
      </c>
      <c r="L191" s="66" t="s">
        <v>1162</v>
      </c>
      <c r="M191" s="66" t="s">
        <v>1080</v>
      </c>
      <c r="N191" s="66" t="s">
        <v>1200</v>
      </c>
      <c r="O191" s="66" t="s">
        <v>1069</v>
      </c>
      <c r="P191" s="67" t="s">
        <v>1077</v>
      </c>
      <c r="Q191" s="18" t="s">
        <v>641</v>
      </c>
      <c r="R191" s="68" t="str">
        <f>IFERROR(CONCATENATE("*",VLOOKUP(L191,PARAM!D:E,2,0),VLOOKUP(M191,PARAM!J:K,2,0),VLOOKUP(N191,PARAM!G:H,2,0),VLOOKUP(P191,PARAM!P:Q,2,0),"*"),"")</f>
        <v>*25217532*</v>
      </c>
      <c r="S191" s="18" t="str">
        <f>IFERROR(CONCATENATE(VLOOKUP(L191,PARAM!D:E,2,0),VLOOKUP(M191,PARAM!J:K,2,0),VLOOKUP(N191,PARAM!G:H,2,0),VLOOKUP(O191,PARAM!M:N,2,0),VLOOKUP(P191,PARAM!P:Q,2,0)),"")</f>
        <v>2521751632</v>
      </c>
      <c r="T191" s="18">
        <f t="shared" si="4"/>
        <v>10</v>
      </c>
      <c r="U191" s="18" t="str">
        <f t="shared" si="5"/>
        <v>CHAQUETAS CABALLERO LISA ACOLCHADA VARIOS TALLA XL</v>
      </c>
    </row>
    <row r="192">
      <c r="A192" s="64">
        <v>1.0</v>
      </c>
      <c r="B192" s="4" t="s">
        <v>1671</v>
      </c>
      <c r="C192" s="1"/>
      <c r="D192" s="4" t="s">
        <v>1672</v>
      </c>
      <c r="E192" s="3">
        <v>47000.0</v>
      </c>
      <c r="F192" s="2">
        <f t="shared" si="2"/>
        <v>47000</v>
      </c>
      <c r="G192" s="65">
        <f t="shared" si="3"/>
        <v>94000</v>
      </c>
      <c r="H192" s="1"/>
      <c r="I192" s="1"/>
      <c r="J192" s="1"/>
      <c r="K192" s="66" t="s">
        <v>1078</v>
      </c>
      <c r="L192" s="66" t="s">
        <v>1162</v>
      </c>
      <c r="M192" s="66" t="s">
        <v>1080</v>
      </c>
      <c r="N192" s="66" t="s">
        <v>1200</v>
      </c>
      <c r="O192" s="66" t="s">
        <v>1069</v>
      </c>
      <c r="P192" s="67" t="s">
        <v>1165</v>
      </c>
      <c r="Q192" s="18" t="s">
        <v>641</v>
      </c>
      <c r="R192" s="68" t="str">
        <f>IFERROR(CONCATENATE("*",VLOOKUP(L192,PARAM!D:E,2,0),VLOOKUP(M192,PARAM!J:K,2,0),VLOOKUP(N192,PARAM!G:H,2,0),VLOOKUP(P192,PARAM!P:Q,2,0),"*"),"")</f>
        <v>*25217523*</v>
      </c>
      <c r="S192" s="18" t="str">
        <f>IFERROR(CONCATENATE(VLOOKUP(L192,PARAM!D:E,2,0),VLOOKUP(M192,PARAM!J:K,2,0),VLOOKUP(N192,PARAM!G:H,2,0),VLOOKUP(O192,PARAM!M:N,2,0),VLOOKUP(P192,PARAM!P:Q,2,0)),"")</f>
        <v>2521751623</v>
      </c>
      <c r="T192" s="18">
        <f t="shared" si="4"/>
        <v>10</v>
      </c>
      <c r="U192" s="18" t="str">
        <f t="shared" si="5"/>
        <v>CHAQUETAS CABALLERO LISA ACOLCHADA VARIOS TALLA L</v>
      </c>
    </row>
    <row r="193">
      <c r="A193" s="64">
        <v>1.0</v>
      </c>
      <c r="B193" s="4" t="s">
        <v>1671</v>
      </c>
      <c r="C193" s="1"/>
      <c r="D193" s="4" t="s">
        <v>1672</v>
      </c>
      <c r="E193" s="3">
        <v>47000.0</v>
      </c>
      <c r="F193" s="2">
        <f t="shared" si="2"/>
        <v>47000</v>
      </c>
      <c r="G193" s="65">
        <f t="shared" si="3"/>
        <v>94000</v>
      </c>
      <c r="H193" s="1"/>
      <c r="I193" s="1"/>
      <c r="J193" s="1"/>
      <c r="K193" s="66" t="s">
        <v>1078</v>
      </c>
      <c r="L193" s="66" t="s">
        <v>1162</v>
      </c>
      <c r="M193" s="66" t="s">
        <v>1080</v>
      </c>
      <c r="N193" s="66" t="s">
        <v>1200</v>
      </c>
      <c r="O193" s="66" t="s">
        <v>1069</v>
      </c>
      <c r="P193" s="67" t="s">
        <v>1164</v>
      </c>
      <c r="Q193" s="18" t="s">
        <v>641</v>
      </c>
      <c r="R193" s="68" t="str">
        <f>IFERROR(CONCATENATE("*",VLOOKUP(L193,PARAM!D:E,2,0),VLOOKUP(M193,PARAM!J:K,2,0),VLOOKUP(N193,PARAM!G:H,2,0),VLOOKUP(P193,PARAM!P:Q,2,0),"*"),"")</f>
        <v>*25217525*</v>
      </c>
      <c r="S193" s="18" t="str">
        <f>IFERROR(CONCATENATE(VLOOKUP(L193,PARAM!D:E,2,0),VLOOKUP(M193,PARAM!J:K,2,0),VLOOKUP(N193,PARAM!G:H,2,0),VLOOKUP(O193,PARAM!M:N,2,0),VLOOKUP(P193,PARAM!P:Q,2,0)),"")</f>
        <v>2521751625</v>
      </c>
      <c r="T193" s="18">
        <f t="shared" si="4"/>
        <v>10</v>
      </c>
      <c r="U193" s="18" t="str">
        <f t="shared" si="5"/>
        <v>CHAQUETAS CABALLERO LISA ACOLCHADA VARIOS TALLA M</v>
      </c>
    </row>
    <row r="194">
      <c r="A194" s="64">
        <v>2.0</v>
      </c>
      <c r="B194" s="4" t="s">
        <v>1673</v>
      </c>
      <c r="C194" s="1"/>
      <c r="D194" s="4" t="s">
        <v>1674</v>
      </c>
      <c r="E194" s="3">
        <v>36000.0</v>
      </c>
      <c r="F194" s="2">
        <f t="shared" si="2"/>
        <v>72000</v>
      </c>
      <c r="G194" s="65">
        <f t="shared" si="3"/>
        <v>72000</v>
      </c>
      <c r="H194" s="1"/>
      <c r="I194" s="1"/>
      <c r="J194" s="1"/>
      <c r="K194" s="66" t="s">
        <v>1078</v>
      </c>
      <c r="L194" s="66" t="s">
        <v>1162</v>
      </c>
      <c r="M194" s="66" t="s">
        <v>1080</v>
      </c>
      <c r="N194" s="18" t="s">
        <v>1201</v>
      </c>
      <c r="O194" s="66" t="s">
        <v>1069</v>
      </c>
      <c r="P194" s="67" t="s">
        <v>1164</v>
      </c>
      <c r="Q194" s="18" t="s">
        <v>647</v>
      </c>
      <c r="R194" s="68" t="str">
        <f>IFERROR(CONCATENATE("*",VLOOKUP(L194,PARAM!D:E,2,0),VLOOKUP(M194,PARAM!J:K,2,0),VLOOKUP(N194,PARAM!G:H,2,0),VLOOKUP(P194,PARAM!P:Q,2,0),"*"),"")</f>
        <v>*252725*</v>
      </c>
      <c r="S194" s="18" t="str">
        <f>IFERROR(CONCATENATE(VLOOKUP(L194,PARAM!D:E,2,0),VLOOKUP(M194,PARAM!J:K,2,0),VLOOKUP(N194,PARAM!G:H,2,0),VLOOKUP(O194,PARAM!M:N,2,0),VLOOKUP(P194,PARAM!P:Q,2,0)),"")</f>
        <v>25271625</v>
      </c>
      <c r="T194" s="18">
        <f t="shared" si="4"/>
        <v>8</v>
      </c>
      <c r="U194" s="18" t="str">
        <f t="shared" si="5"/>
        <v>CHAQUETAS CABALLERO ABIERTA AIR VARIOS TALLA M</v>
      </c>
    </row>
    <row r="195">
      <c r="A195" s="64">
        <v>2.0</v>
      </c>
      <c r="B195" s="4" t="s">
        <v>1673</v>
      </c>
      <c r="C195" s="1"/>
      <c r="D195" s="4" t="s">
        <v>1674</v>
      </c>
      <c r="E195" s="3">
        <v>36000.0</v>
      </c>
      <c r="F195" s="2">
        <f t="shared" si="2"/>
        <v>72000</v>
      </c>
      <c r="G195" s="65">
        <f t="shared" si="3"/>
        <v>72000</v>
      </c>
      <c r="H195" s="1"/>
      <c r="I195" s="1"/>
      <c r="J195" s="1"/>
      <c r="K195" s="66" t="s">
        <v>1078</v>
      </c>
      <c r="L195" s="66" t="s">
        <v>1162</v>
      </c>
      <c r="M195" s="66" t="s">
        <v>1080</v>
      </c>
      <c r="N195" s="18" t="s">
        <v>1201</v>
      </c>
      <c r="O195" s="66" t="s">
        <v>1069</v>
      </c>
      <c r="P195" s="67" t="s">
        <v>1165</v>
      </c>
      <c r="Q195" s="18" t="s">
        <v>647</v>
      </c>
      <c r="R195" s="68" t="str">
        <f>IFERROR(CONCATENATE("*",VLOOKUP(L195,PARAM!D:E,2,0),VLOOKUP(M195,PARAM!J:K,2,0),VLOOKUP(N195,PARAM!G:H,2,0),VLOOKUP(P195,PARAM!P:Q,2,0),"*"),"")</f>
        <v>*252723*</v>
      </c>
      <c r="S195" s="18" t="str">
        <f>IFERROR(CONCATENATE(VLOOKUP(L195,PARAM!D:E,2,0),VLOOKUP(M195,PARAM!J:K,2,0),VLOOKUP(N195,PARAM!G:H,2,0),VLOOKUP(O195,PARAM!M:N,2,0),VLOOKUP(P195,PARAM!P:Q,2,0)),"")</f>
        <v>25271623</v>
      </c>
      <c r="T195" s="18">
        <f t="shared" si="4"/>
        <v>8</v>
      </c>
      <c r="U195" s="18" t="str">
        <f t="shared" si="5"/>
        <v>CHAQUETAS CABALLERO ABIERTA AIR VARIOS TALLA L</v>
      </c>
    </row>
    <row r="196">
      <c r="A196" s="64">
        <v>2.0</v>
      </c>
      <c r="B196" s="4" t="s">
        <v>1673</v>
      </c>
      <c r="C196" s="1"/>
      <c r="D196" s="4" t="s">
        <v>1674</v>
      </c>
      <c r="E196" s="3">
        <v>36000.0</v>
      </c>
      <c r="F196" s="2">
        <f t="shared" si="2"/>
        <v>72000</v>
      </c>
      <c r="G196" s="65">
        <f t="shared" si="3"/>
        <v>72000</v>
      </c>
      <c r="H196" s="1"/>
      <c r="I196" s="1"/>
      <c r="J196" s="1"/>
      <c r="K196" s="66" t="s">
        <v>1078</v>
      </c>
      <c r="L196" s="66" t="s">
        <v>1162</v>
      </c>
      <c r="M196" s="66" t="s">
        <v>1080</v>
      </c>
      <c r="N196" s="18" t="s">
        <v>1201</v>
      </c>
      <c r="O196" s="66" t="s">
        <v>1069</v>
      </c>
      <c r="P196" s="67" t="s">
        <v>1077</v>
      </c>
      <c r="Q196" s="18" t="s">
        <v>647</v>
      </c>
      <c r="R196" s="68" t="str">
        <f>IFERROR(CONCATENATE("*",VLOOKUP(L196,PARAM!D:E,2,0),VLOOKUP(M196,PARAM!J:K,2,0),VLOOKUP(N196,PARAM!G:H,2,0),VLOOKUP(P196,PARAM!P:Q,2,0),"*"),"")</f>
        <v>*252732*</v>
      </c>
      <c r="S196" s="18" t="str">
        <f>IFERROR(CONCATENATE(VLOOKUP(L196,PARAM!D:E,2,0),VLOOKUP(M196,PARAM!J:K,2,0),VLOOKUP(N196,PARAM!G:H,2,0),VLOOKUP(O196,PARAM!M:N,2,0),VLOOKUP(P196,PARAM!P:Q,2,0)),"")</f>
        <v>25271632</v>
      </c>
      <c r="T196" s="18">
        <f t="shared" si="4"/>
        <v>8</v>
      </c>
      <c r="U196" s="18" t="str">
        <f t="shared" si="5"/>
        <v>CHAQUETAS CABALLERO ABIERTA AIR VARIOS TALLA XL</v>
      </c>
    </row>
    <row r="197">
      <c r="A197" s="64">
        <v>2.0</v>
      </c>
      <c r="B197" s="4" t="s">
        <v>1670</v>
      </c>
      <c r="C197" s="1"/>
      <c r="D197" s="4" t="s">
        <v>1670</v>
      </c>
      <c r="E197" s="3">
        <v>34000.0</v>
      </c>
      <c r="F197" s="2">
        <f t="shared" si="2"/>
        <v>68000</v>
      </c>
      <c r="G197" s="65">
        <f t="shared" si="3"/>
        <v>68000</v>
      </c>
      <c r="H197" s="1"/>
      <c r="I197" s="1"/>
      <c r="J197" s="1"/>
      <c r="K197" s="66" t="s">
        <v>1078</v>
      </c>
      <c r="L197" s="66" t="s">
        <v>1162</v>
      </c>
      <c r="M197" s="66" t="s">
        <v>1080</v>
      </c>
      <c r="N197" s="66" t="s">
        <v>1181</v>
      </c>
      <c r="O197" s="66" t="s">
        <v>1069</v>
      </c>
      <c r="P197" s="67" t="s">
        <v>1103</v>
      </c>
      <c r="Q197" s="18" t="s">
        <v>651</v>
      </c>
      <c r="R197" s="68" t="str">
        <f>IFERROR(CONCATENATE("*",VLOOKUP(L197,PARAM!D:E,2,0),VLOOKUP(M197,PARAM!J:K,2,0),VLOOKUP(N197,PARAM!G:H,2,0),VLOOKUP(P197,PARAM!P:Q,2,0),"*"),"")</f>
        <v>*25221630*</v>
      </c>
      <c r="S197" s="18" t="str">
        <f>IFERROR(CONCATENATE(VLOOKUP(L197,PARAM!D:E,2,0),VLOOKUP(M197,PARAM!J:K,2,0),VLOOKUP(N197,PARAM!G:H,2,0),VLOOKUP(O197,PARAM!M:N,2,0),VLOOKUP(P197,PARAM!P:Q,2,0)),"")</f>
        <v>2522161630</v>
      </c>
      <c r="T197" s="18">
        <f t="shared" si="4"/>
        <v>10</v>
      </c>
      <c r="U197" s="18" t="str">
        <f t="shared" si="5"/>
        <v>CHAQUETAS CABALLERO POLO VARIOS TALLA UN</v>
      </c>
    </row>
    <row r="198">
      <c r="A198" s="64">
        <v>2.0</v>
      </c>
      <c r="B198" s="4" t="s">
        <v>1675</v>
      </c>
      <c r="C198" s="1"/>
      <c r="D198" s="4" t="s">
        <v>1676</v>
      </c>
      <c r="E198" s="3">
        <v>36000.0</v>
      </c>
      <c r="F198" s="2">
        <f t="shared" si="2"/>
        <v>72000</v>
      </c>
      <c r="G198" s="65">
        <f t="shared" si="3"/>
        <v>72000</v>
      </c>
      <c r="H198" s="1"/>
      <c r="I198" s="1"/>
      <c r="J198" s="1"/>
      <c r="K198" s="66" t="s">
        <v>1078</v>
      </c>
      <c r="L198" s="66" t="s">
        <v>1162</v>
      </c>
      <c r="M198" s="66" t="s">
        <v>1080</v>
      </c>
      <c r="N198" s="66" t="s">
        <v>1202</v>
      </c>
      <c r="O198" s="66" t="s">
        <v>1069</v>
      </c>
      <c r="P198" s="67" t="s">
        <v>1103</v>
      </c>
      <c r="Q198" s="18" t="s">
        <v>651</v>
      </c>
      <c r="R198" s="68" t="str">
        <f>IFERROR(CONCATENATE("*",VLOOKUP(L198,PARAM!D:E,2,0),VLOOKUP(M198,PARAM!J:K,2,0),VLOOKUP(N198,PARAM!G:H,2,0),VLOOKUP(P198,PARAM!P:Q,2,0),"*"),"")</f>
        <v>*25214330*</v>
      </c>
      <c r="S198" s="18" t="str">
        <f>IFERROR(CONCATENATE(VLOOKUP(L198,PARAM!D:E,2,0),VLOOKUP(M198,PARAM!J:K,2,0),VLOOKUP(N198,PARAM!G:H,2,0),VLOOKUP(O198,PARAM!M:N,2,0),VLOOKUP(P198,PARAM!P:Q,2,0)),"")</f>
        <v>2521431630</v>
      </c>
      <c r="T198" s="18">
        <f t="shared" si="4"/>
        <v>10</v>
      </c>
      <c r="U198" s="18" t="str">
        <f t="shared" si="5"/>
        <v>CHAQUETAS CABALLERO HUGO BOSS VARIOS TALLA UN</v>
      </c>
    </row>
    <row r="199">
      <c r="A199" s="64">
        <v>1.0</v>
      </c>
      <c r="B199" s="4" t="s">
        <v>1677</v>
      </c>
      <c r="C199" s="1"/>
      <c r="D199" s="4" t="s">
        <v>1676</v>
      </c>
      <c r="E199" s="3">
        <v>36000.0</v>
      </c>
      <c r="F199" s="2">
        <f t="shared" si="2"/>
        <v>36000</v>
      </c>
      <c r="G199" s="65">
        <f t="shared" si="3"/>
        <v>72000</v>
      </c>
      <c r="H199" s="1"/>
      <c r="I199" s="1"/>
      <c r="J199" s="1"/>
      <c r="K199" s="66" t="s">
        <v>1078</v>
      </c>
      <c r="L199" s="66" t="s">
        <v>1162</v>
      </c>
      <c r="M199" s="66" t="s">
        <v>1080</v>
      </c>
      <c r="N199" s="66" t="s">
        <v>1202</v>
      </c>
      <c r="O199" s="66" t="s">
        <v>1069</v>
      </c>
      <c r="P199" s="67" t="s">
        <v>1077</v>
      </c>
      <c r="Q199" s="18" t="s">
        <v>651</v>
      </c>
      <c r="R199" s="68" t="str">
        <f>IFERROR(CONCATENATE("*",VLOOKUP(L199,PARAM!D:E,2,0),VLOOKUP(M199,PARAM!J:K,2,0),VLOOKUP(N199,PARAM!G:H,2,0),VLOOKUP(P199,PARAM!P:Q,2,0),"*"),"")</f>
        <v>*25214332*</v>
      </c>
      <c r="S199" s="18" t="str">
        <f>IFERROR(CONCATENATE(VLOOKUP(L199,PARAM!D:E,2,0),VLOOKUP(M199,PARAM!J:K,2,0),VLOOKUP(N199,PARAM!G:H,2,0),VLOOKUP(O199,PARAM!M:N,2,0),VLOOKUP(P199,PARAM!P:Q,2,0)),"")</f>
        <v>2521431632</v>
      </c>
      <c r="T199" s="18">
        <f t="shared" si="4"/>
        <v>10</v>
      </c>
      <c r="U199" s="18" t="str">
        <f t="shared" si="5"/>
        <v>CHAQUETAS CABALLERO HUGO BOSS VARIOS TALLA XL</v>
      </c>
    </row>
    <row r="200">
      <c r="A200" s="64">
        <v>2.0</v>
      </c>
      <c r="B200" s="4" t="s">
        <v>1678</v>
      </c>
      <c r="C200" s="1"/>
      <c r="D200" s="4" t="s">
        <v>1679</v>
      </c>
      <c r="E200" s="3">
        <v>34000.0</v>
      </c>
      <c r="F200" s="2">
        <f t="shared" si="2"/>
        <v>68000</v>
      </c>
      <c r="G200" s="65">
        <f t="shared" si="3"/>
        <v>68000</v>
      </c>
      <c r="H200" s="1"/>
      <c r="I200" s="1"/>
      <c r="J200" s="1"/>
      <c r="K200" s="66" t="s">
        <v>1078</v>
      </c>
      <c r="L200" s="66" t="s">
        <v>1162</v>
      </c>
      <c r="M200" s="66" t="s">
        <v>1080</v>
      </c>
      <c r="N200" s="18" t="s">
        <v>1203</v>
      </c>
      <c r="O200" s="66" t="s">
        <v>1069</v>
      </c>
      <c r="P200" s="67" t="s">
        <v>1164</v>
      </c>
      <c r="Q200" s="18" t="s">
        <v>651</v>
      </c>
      <c r="R200" s="68" t="str">
        <f>IFERROR(CONCATENATE("*",VLOOKUP(L200,PARAM!D:E,2,0),VLOOKUP(M200,PARAM!J:K,2,0),VLOOKUP(N200,PARAM!G:H,2,0),VLOOKUP(P200,PARAM!P:Q,2,0),"*"),"")</f>
        <v>*2526825*</v>
      </c>
      <c r="S200" s="18" t="str">
        <f>IFERROR(CONCATENATE(VLOOKUP(L200,PARAM!D:E,2,0),VLOOKUP(M200,PARAM!J:K,2,0),VLOOKUP(N200,PARAM!G:H,2,0),VLOOKUP(O200,PARAM!M:N,2,0),VLOOKUP(P200,PARAM!P:Q,2,0)),"")</f>
        <v>252681625</v>
      </c>
      <c r="T200" s="18">
        <f t="shared" si="4"/>
        <v>9</v>
      </c>
      <c r="U200" s="18" t="str">
        <f t="shared" si="5"/>
        <v>CHAQUETAS CABALLERO CANGURO AIR VARIOS TALLA M</v>
      </c>
    </row>
    <row r="201">
      <c r="A201" s="64">
        <v>3.0</v>
      </c>
      <c r="B201" s="4" t="s">
        <v>1678</v>
      </c>
      <c r="C201" s="1"/>
      <c r="D201" s="4" t="s">
        <v>1679</v>
      </c>
      <c r="E201" s="3">
        <v>34000.0</v>
      </c>
      <c r="F201" s="2">
        <f t="shared" si="2"/>
        <v>102000</v>
      </c>
      <c r="G201" s="65">
        <f t="shared" si="3"/>
        <v>68000</v>
      </c>
      <c r="H201" s="1"/>
      <c r="I201" s="1"/>
      <c r="J201" s="1"/>
      <c r="K201" s="66" t="s">
        <v>1078</v>
      </c>
      <c r="L201" s="66" t="s">
        <v>1162</v>
      </c>
      <c r="M201" s="66" t="s">
        <v>1080</v>
      </c>
      <c r="N201" s="18" t="s">
        <v>1203</v>
      </c>
      <c r="O201" s="66" t="s">
        <v>1069</v>
      </c>
      <c r="P201" s="67" t="s">
        <v>1165</v>
      </c>
      <c r="Q201" s="18" t="s">
        <v>647</v>
      </c>
      <c r="R201" s="68" t="str">
        <f>IFERROR(CONCATENATE("*",VLOOKUP(L201,PARAM!D:E,2,0),VLOOKUP(M201,PARAM!J:K,2,0),VLOOKUP(N201,PARAM!G:H,2,0),VLOOKUP(P201,PARAM!P:Q,2,0),"*"),"")</f>
        <v>*2526823*</v>
      </c>
      <c r="S201" s="18" t="str">
        <f>IFERROR(CONCATENATE(VLOOKUP(L201,PARAM!D:E,2,0),VLOOKUP(M201,PARAM!J:K,2,0),VLOOKUP(N201,PARAM!G:H,2,0),VLOOKUP(O201,PARAM!M:N,2,0),VLOOKUP(P201,PARAM!P:Q,2,0)),"")</f>
        <v>252681623</v>
      </c>
      <c r="T201" s="18">
        <f t="shared" si="4"/>
        <v>9</v>
      </c>
      <c r="U201" s="18" t="str">
        <f t="shared" si="5"/>
        <v>CHAQUETAS CABALLERO CANGURO AIR VARIOS TALLA L</v>
      </c>
    </row>
    <row r="202">
      <c r="A202" s="73">
        <v>2.0</v>
      </c>
      <c r="B202" s="74" t="s">
        <v>1680</v>
      </c>
      <c r="C202" s="1"/>
      <c r="D202" s="4" t="s">
        <v>1679</v>
      </c>
      <c r="E202" s="3">
        <v>34000.0</v>
      </c>
      <c r="F202" s="2">
        <f t="shared" si="2"/>
        <v>68000</v>
      </c>
      <c r="G202" s="65">
        <f t="shared" si="3"/>
        <v>68000</v>
      </c>
      <c r="H202" s="1"/>
      <c r="I202" s="1"/>
      <c r="J202" s="1"/>
      <c r="K202" s="66" t="s">
        <v>1078</v>
      </c>
      <c r="L202" s="66" t="s">
        <v>1162</v>
      </c>
      <c r="M202" s="66" t="s">
        <v>1080</v>
      </c>
      <c r="N202" s="18" t="s">
        <v>1203</v>
      </c>
      <c r="O202" s="66" t="s">
        <v>1069</v>
      </c>
      <c r="P202" s="67" t="s">
        <v>1204</v>
      </c>
      <c r="Q202" s="18" t="s">
        <v>647</v>
      </c>
      <c r="R202" s="68" t="str">
        <f>IFERROR(CONCATENATE("*",VLOOKUP(L202,PARAM!D:E,2,0),VLOOKUP(M202,PARAM!J:K,2,0),VLOOKUP(N202,PARAM!G:H,2,0),VLOOKUP(P202,PARAM!P:Q,2,0),"*"),"")</f>
        <v>*2526833*</v>
      </c>
      <c r="S202" s="18" t="str">
        <f>IFERROR(CONCATENATE(VLOOKUP(L202,PARAM!D:E,2,0),VLOOKUP(M202,PARAM!J:K,2,0),VLOOKUP(N202,PARAM!G:H,2,0),VLOOKUP(O202,PARAM!M:N,2,0),VLOOKUP(P202,PARAM!P:Q,2,0)),"")</f>
        <v>252681633</v>
      </c>
      <c r="T202" s="18">
        <f t="shared" si="4"/>
        <v>9</v>
      </c>
      <c r="U202" s="18" t="str">
        <f t="shared" si="5"/>
        <v>CHAQUETAS CABALLERO CANGURO AIR VARIOS TALLA XL </v>
      </c>
    </row>
    <row r="203">
      <c r="A203" s="64">
        <v>7.0</v>
      </c>
      <c r="B203" s="4" t="s">
        <v>1681</v>
      </c>
      <c r="C203" s="1"/>
      <c r="D203" s="4" t="s">
        <v>1682</v>
      </c>
      <c r="E203" s="3">
        <v>25000.0</v>
      </c>
      <c r="F203" s="2">
        <f t="shared" si="2"/>
        <v>175000</v>
      </c>
      <c r="G203" s="65">
        <f t="shared" si="3"/>
        <v>50000</v>
      </c>
      <c r="H203" s="1"/>
      <c r="I203" s="1"/>
      <c r="J203" s="1"/>
      <c r="K203" s="66" t="s">
        <v>1187</v>
      </c>
      <c r="L203" s="66" t="s">
        <v>1089</v>
      </c>
      <c r="M203" s="66" t="s">
        <v>1060</v>
      </c>
      <c r="N203" s="66" t="s">
        <v>1205</v>
      </c>
      <c r="O203" s="66" t="s">
        <v>1069</v>
      </c>
      <c r="P203" s="67" t="s">
        <v>1077</v>
      </c>
      <c r="Q203" s="18" t="s">
        <v>658</v>
      </c>
      <c r="R203" s="68" t="str">
        <f>IFERROR(CONCATENATE("*",VLOOKUP(L203,PARAM!D:E,2,0),VLOOKUP(M203,PARAM!J:K,2,0),VLOOKUP(N203,PARAM!G:H,2,0),VLOOKUP(P203,PARAM!P:Q,2,0),"*"),"")</f>
        <v>*4124632*</v>
      </c>
      <c r="S203" s="18" t="str">
        <f>IFERROR(CONCATENATE(VLOOKUP(L203,PARAM!D:E,2,0),VLOOKUP(M203,PARAM!J:K,2,0),VLOOKUP(N203,PARAM!G:H,2,0),VLOOKUP(O203,PARAM!M:N,2,0),VLOOKUP(P203,PARAM!P:Q,2,0)),"")</f>
        <v>412461632</v>
      </c>
      <c r="T203" s="18">
        <f t="shared" si="4"/>
        <v>9</v>
      </c>
      <c r="U203" s="18" t="str">
        <f t="shared" si="5"/>
        <v>SHORTS DAMA RUNNING VARIOS TALLA XL</v>
      </c>
    </row>
    <row r="204">
      <c r="A204" s="64">
        <v>6.0</v>
      </c>
      <c r="B204" s="4" t="s">
        <v>1683</v>
      </c>
      <c r="C204" s="1"/>
      <c r="D204" s="4" t="s">
        <v>1682</v>
      </c>
      <c r="E204" s="3">
        <v>25000.0</v>
      </c>
      <c r="F204" s="2">
        <f t="shared" si="2"/>
        <v>150000</v>
      </c>
      <c r="G204" s="65">
        <f t="shared" si="3"/>
        <v>50000</v>
      </c>
      <c r="H204" s="1"/>
      <c r="I204" s="1"/>
      <c r="J204" s="1"/>
      <c r="K204" s="66" t="s">
        <v>1187</v>
      </c>
      <c r="L204" s="66" t="s">
        <v>1089</v>
      </c>
      <c r="M204" s="66" t="s">
        <v>1060</v>
      </c>
      <c r="N204" s="66" t="s">
        <v>1205</v>
      </c>
      <c r="O204" s="66" t="s">
        <v>1069</v>
      </c>
      <c r="P204" s="67" t="s">
        <v>1103</v>
      </c>
      <c r="Q204" s="18" t="s">
        <v>660</v>
      </c>
      <c r="R204" s="68" t="str">
        <f>IFERROR(CONCATENATE("*",VLOOKUP(L204,PARAM!D:E,2,0),VLOOKUP(M204,PARAM!J:K,2,0),VLOOKUP(N204,PARAM!G:H,2,0),VLOOKUP(P204,PARAM!P:Q,2,0),"*"),"")</f>
        <v>*4124630*</v>
      </c>
      <c r="S204" s="18" t="str">
        <f>IFERROR(CONCATENATE(VLOOKUP(L204,PARAM!D:E,2,0),VLOOKUP(M204,PARAM!J:K,2,0),VLOOKUP(N204,PARAM!G:H,2,0),VLOOKUP(O204,PARAM!M:N,2,0),VLOOKUP(P204,PARAM!P:Q,2,0)),"")</f>
        <v>412461630</v>
      </c>
      <c r="T204" s="18">
        <f t="shared" si="4"/>
        <v>9</v>
      </c>
      <c r="U204" s="18" t="str">
        <f t="shared" si="5"/>
        <v>SHORTS DAMA RUNNING VARIOS TALLA UN</v>
      </c>
    </row>
    <row r="205">
      <c r="A205" s="64">
        <v>2.0</v>
      </c>
      <c r="B205" s="4" t="s">
        <v>1684</v>
      </c>
      <c r="C205" s="1"/>
      <c r="D205" s="4" t="s">
        <v>1684</v>
      </c>
      <c r="E205" s="3">
        <v>16000.0</v>
      </c>
      <c r="F205" s="2">
        <f t="shared" si="2"/>
        <v>32000</v>
      </c>
      <c r="G205" s="75">
        <v>34000.0</v>
      </c>
      <c r="H205" s="1"/>
      <c r="I205" s="1"/>
      <c r="J205" s="1"/>
      <c r="K205" s="66" t="s">
        <v>1187</v>
      </c>
      <c r="L205" s="66" t="s">
        <v>1089</v>
      </c>
      <c r="M205" s="66" t="s">
        <v>1060</v>
      </c>
      <c r="N205" s="66" t="s">
        <v>1206</v>
      </c>
      <c r="O205" s="66" t="s">
        <v>1069</v>
      </c>
      <c r="P205" s="67" t="s">
        <v>1103</v>
      </c>
      <c r="Q205" s="18" t="s">
        <v>660</v>
      </c>
      <c r="R205" s="68" t="str">
        <f>IFERROR(CONCATENATE("*",VLOOKUP(L205,PARAM!D:E,2,0),VLOOKUP(M205,PARAM!J:K,2,0),VLOOKUP(N205,PARAM!G:H,2,0),VLOOKUP(P205,PARAM!P:Q,2,0),"*"),"")</f>
        <v>*417130*</v>
      </c>
      <c r="S205" s="18" t="str">
        <f>IFERROR(CONCATENATE(VLOOKUP(L205,PARAM!D:E,2,0),VLOOKUP(M205,PARAM!J:K,2,0),VLOOKUP(N205,PARAM!G:H,2,0),VLOOKUP(O205,PARAM!M:N,2,0),VLOOKUP(P205,PARAM!P:Q,2,0)),"")</f>
        <v>41711630</v>
      </c>
      <c r="T205" s="18">
        <f t="shared" si="4"/>
        <v>8</v>
      </c>
      <c r="U205" s="18" t="str">
        <f t="shared" si="5"/>
        <v>SHORTS DAMA CAPRIATY VARIOS TALLA UN</v>
      </c>
    </row>
    <row r="206">
      <c r="A206" s="64">
        <v>2.0</v>
      </c>
      <c r="B206" s="4" t="s">
        <v>1685</v>
      </c>
      <c r="C206" s="1"/>
      <c r="D206" s="4" t="s">
        <v>1686</v>
      </c>
      <c r="E206" s="3">
        <v>18000.0</v>
      </c>
      <c r="F206" s="2">
        <f t="shared" si="2"/>
        <v>36000</v>
      </c>
      <c r="G206" s="65">
        <f t="shared" ref="G206:G211" si="6">(E206*100%)+E206</f>
        <v>36000</v>
      </c>
      <c r="H206" s="1"/>
      <c r="I206" s="1"/>
      <c r="J206" s="1"/>
      <c r="K206" s="66" t="s">
        <v>1187</v>
      </c>
      <c r="L206" s="66" t="s">
        <v>1194</v>
      </c>
      <c r="M206" s="66" t="s">
        <v>1060</v>
      </c>
      <c r="N206" s="66" t="s">
        <v>1207</v>
      </c>
      <c r="O206" s="66" t="s">
        <v>1069</v>
      </c>
      <c r="P206" s="67" t="s">
        <v>1103</v>
      </c>
      <c r="Q206" s="18" t="s">
        <v>660</v>
      </c>
      <c r="R206" s="68" t="str">
        <f>IFERROR(CONCATENATE("*",VLOOKUP(L206,PARAM!D:E,2,0),VLOOKUP(M206,PARAM!J:K,2,0),VLOOKUP(N206,PARAM!G:H,2,0),VLOOKUP(P206,PARAM!P:Q,2,0),"*"),"")</f>
        <v>*26112230*</v>
      </c>
      <c r="S206" s="18" t="str">
        <f>IFERROR(CONCATENATE(VLOOKUP(L206,PARAM!D:E,2,0),VLOOKUP(M206,PARAM!J:K,2,0),VLOOKUP(N206,PARAM!G:H,2,0),VLOOKUP(O206,PARAM!M:N,2,0),VLOOKUP(P206,PARAM!P:Q,2,0)),"")</f>
        <v>2611221630</v>
      </c>
      <c r="T206" s="18">
        <f t="shared" si="4"/>
        <v>10</v>
      </c>
      <c r="U206" s="18" t="str">
        <f t="shared" si="5"/>
        <v>BUSOS DAMA DUO VARIOS TALLA UN</v>
      </c>
    </row>
    <row r="207">
      <c r="A207" s="64">
        <v>3.0</v>
      </c>
      <c r="B207" s="4" t="s">
        <v>1687</v>
      </c>
      <c r="C207" s="1"/>
      <c r="D207" s="4" t="s">
        <v>1688</v>
      </c>
      <c r="E207" s="3">
        <v>16000.0</v>
      </c>
      <c r="F207" s="2">
        <f t="shared" si="2"/>
        <v>48000</v>
      </c>
      <c r="G207" s="65">
        <f t="shared" si="6"/>
        <v>32000</v>
      </c>
      <c r="H207" s="1"/>
      <c r="I207" s="1"/>
      <c r="J207" s="1"/>
      <c r="K207" s="66" t="s">
        <v>1187</v>
      </c>
      <c r="L207" s="66" t="s">
        <v>1185</v>
      </c>
      <c r="M207" s="66" t="s">
        <v>1060</v>
      </c>
      <c r="N207" s="66" t="s">
        <v>1208</v>
      </c>
      <c r="O207" s="66" t="s">
        <v>1069</v>
      </c>
      <c r="P207" s="67" t="s">
        <v>1103</v>
      </c>
      <c r="Q207" s="18" t="s">
        <v>660</v>
      </c>
      <c r="R207" s="68" t="str">
        <f>IFERROR(CONCATENATE("*",VLOOKUP(L207,PARAM!D:E,2,0),VLOOKUP(M207,PARAM!J:K,2,0),VLOOKUP(N207,PARAM!G:H,2,0),VLOOKUP(P207,PARAM!P:Q,2,0),"*"),"")</f>
        <v>*9124330*</v>
      </c>
      <c r="S207" s="18" t="str">
        <f>IFERROR(CONCATENATE(VLOOKUP(L207,PARAM!D:E,2,0),VLOOKUP(M207,PARAM!J:K,2,0),VLOOKUP(N207,PARAM!G:H,2,0),VLOOKUP(O207,PARAM!M:N,2,0),VLOOKUP(P207,PARAM!P:Q,2,0)),"")</f>
        <v>912431630</v>
      </c>
      <c r="T207" s="18">
        <f t="shared" si="4"/>
        <v>9</v>
      </c>
      <c r="U207" s="18" t="str">
        <f t="shared" si="5"/>
        <v>FALDAS DAMA ROTONDA VARIOS TALLA UN</v>
      </c>
    </row>
    <row r="208">
      <c r="A208" s="64">
        <v>2.0</v>
      </c>
      <c r="B208" s="4" t="s">
        <v>1688</v>
      </c>
      <c r="C208" s="1"/>
      <c r="D208" s="4" t="s">
        <v>1688</v>
      </c>
      <c r="E208" s="3">
        <v>16000.0</v>
      </c>
      <c r="F208" s="2">
        <f t="shared" si="2"/>
        <v>32000</v>
      </c>
      <c r="G208" s="65">
        <f t="shared" si="6"/>
        <v>32000</v>
      </c>
      <c r="H208" s="1"/>
      <c r="I208" s="1"/>
      <c r="J208" s="1"/>
      <c r="K208" s="66" t="s">
        <v>1187</v>
      </c>
      <c r="L208" s="66" t="s">
        <v>1185</v>
      </c>
      <c r="M208" s="66" t="s">
        <v>1060</v>
      </c>
      <c r="N208" s="66" t="s">
        <v>1208</v>
      </c>
      <c r="O208" s="66" t="s">
        <v>1069</v>
      </c>
      <c r="P208" s="67" t="s">
        <v>1077</v>
      </c>
      <c r="Q208" s="18" t="s">
        <v>660</v>
      </c>
      <c r="R208" s="68" t="str">
        <f>IFERROR(CONCATENATE("*",VLOOKUP(L208,PARAM!D:E,2,0),VLOOKUP(M208,PARAM!J:K,2,0),VLOOKUP(N208,PARAM!G:H,2,0),VLOOKUP(P208,PARAM!P:Q,2,0),"*"),"")</f>
        <v>*9124332*</v>
      </c>
      <c r="S208" s="18" t="str">
        <f>IFERROR(CONCATENATE(VLOOKUP(L208,PARAM!D:E,2,0),VLOOKUP(M208,PARAM!J:K,2,0),VLOOKUP(N208,PARAM!G:H,2,0),VLOOKUP(O208,PARAM!M:N,2,0),VLOOKUP(P208,PARAM!P:Q,2,0)),"")</f>
        <v>912431632</v>
      </c>
      <c r="T208" s="18">
        <f t="shared" si="4"/>
        <v>9</v>
      </c>
      <c r="U208" s="18" t="str">
        <f t="shared" si="5"/>
        <v>FALDAS DAMA ROTONDA VARIOS TALLA XL</v>
      </c>
    </row>
    <row r="209">
      <c r="A209" s="64">
        <v>2.0</v>
      </c>
      <c r="B209" s="4" t="s">
        <v>1689</v>
      </c>
      <c r="C209" s="1"/>
      <c r="D209" s="4" t="s">
        <v>1690</v>
      </c>
      <c r="E209" s="3">
        <v>18000.0</v>
      </c>
      <c r="F209" s="2">
        <f t="shared" si="2"/>
        <v>36000</v>
      </c>
      <c r="G209" s="65">
        <f t="shared" si="6"/>
        <v>36000</v>
      </c>
      <c r="H209" s="1"/>
      <c r="I209" s="1"/>
      <c r="J209" s="1"/>
      <c r="K209" s="66" t="s">
        <v>1187</v>
      </c>
      <c r="L209" s="66" t="s">
        <v>1162</v>
      </c>
      <c r="M209" s="66" t="s">
        <v>1060</v>
      </c>
      <c r="N209" s="66" t="s">
        <v>1209</v>
      </c>
      <c r="O209" s="66" t="s">
        <v>1069</v>
      </c>
      <c r="P209" s="67" t="s">
        <v>1103</v>
      </c>
      <c r="Q209" s="18" t="s">
        <v>660</v>
      </c>
      <c r="R209" s="68" t="str">
        <f>IFERROR(CONCATENATE("*",VLOOKUP(L209,PARAM!D:E,2,0),VLOOKUP(M209,PARAM!J:K,2,0),VLOOKUP(N209,PARAM!G:H,2,0),VLOOKUP(P209,PARAM!P:Q,2,0),"*"),"")</f>
        <v>*25120430*</v>
      </c>
      <c r="S209" s="18" t="str">
        <f>IFERROR(CONCATENATE(VLOOKUP(L209,PARAM!D:E,2,0),VLOOKUP(M209,PARAM!J:K,2,0),VLOOKUP(N209,PARAM!G:H,2,0),VLOOKUP(O209,PARAM!M:N,2,0),VLOOKUP(P209,PARAM!P:Q,2,0)),"")</f>
        <v>2512041630</v>
      </c>
      <c r="T209" s="18">
        <f t="shared" si="4"/>
        <v>10</v>
      </c>
      <c r="U209" s="18" t="str">
        <f t="shared" si="5"/>
        <v>CHAQUETAS DAMA PACIFIC LICRA VARIOS TALLA UN</v>
      </c>
    </row>
    <row r="210">
      <c r="A210" s="64">
        <v>2.0</v>
      </c>
      <c r="B210" s="4" t="s">
        <v>1691</v>
      </c>
      <c r="C210" s="1"/>
      <c r="D210" s="4" t="s">
        <v>1692</v>
      </c>
      <c r="E210" s="3">
        <v>20000.0</v>
      </c>
      <c r="F210" s="2">
        <f t="shared" si="2"/>
        <v>40000</v>
      </c>
      <c r="G210" s="65">
        <f t="shared" si="6"/>
        <v>40000</v>
      </c>
      <c r="H210" s="1"/>
      <c r="I210" s="1"/>
      <c r="J210" s="1"/>
      <c r="K210" s="66" t="s">
        <v>1187</v>
      </c>
      <c r="L210" s="66" t="s">
        <v>1162</v>
      </c>
      <c r="M210" s="66" t="s">
        <v>1060</v>
      </c>
      <c r="N210" s="18" t="s">
        <v>1210</v>
      </c>
      <c r="O210" s="66" t="s">
        <v>1069</v>
      </c>
      <c r="P210" s="67" t="s">
        <v>1077</v>
      </c>
      <c r="Q210" s="18" t="s">
        <v>660</v>
      </c>
      <c r="R210" s="68" t="str">
        <f>IFERROR(CONCATENATE("*",VLOOKUP(L210,PARAM!D:E,2,0),VLOOKUP(M210,PARAM!J:K,2,0),VLOOKUP(N210,PARAM!G:H,2,0),VLOOKUP(P210,PARAM!P:Q,2,0),"*"),"")</f>
        <v>*25127732*</v>
      </c>
      <c r="S210" s="18" t="str">
        <f>IFERROR(CONCATENATE(VLOOKUP(L210,PARAM!D:E,2,0),VLOOKUP(M210,PARAM!J:K,2,0),VLOOKUP(N210,PARAM!G:H,2,0),VLOOKUP(O210,PARAM!M:N,2,0),VLOOKUP(P210,PARAM!P:Q,2,0)),"")</f>
        <v>2512771632</v>
      </c>
      <c r="T210" s="18">
        <f t="shared" si="4"/>
        <v>10</v>
      </c>
      <c r="U210" s="18" t="str">
        <f t="shared" si="5"/>
        <v>CHAQUETAS DAMA YOGA LICRA VARIOS TALLA XL</v>
      </c>
    </row>
    <row r="211">
      <c r="A211" s="64">
        <v>3.0</v>
      </c>
      <c r="B211" s="4" t="s">
        <v>1691</v>
      </c>
      <c r="C211" s="1"/>
      <c r="D211" s="4" t="s">
        <v>1692</v>
      </c>
      <c r="E211" s="3">
        <v>20000.0</v>
      </c>
      <c r="F211" s="2">
        <f t="shared" si="2"/>
        <v>60000</v>
      </c>
      <c r="G211" s="65">
        <f t="shared" si="6"/>
        <v>40000</v>
      </c>
      <c r="H211" s="1"/>
      <c r="I211" s="1"/>
      <c r="J211" s="1"/>
      <c r="K211" s="66" t="s">
        <v>1187</v>
      </c>
      <c r="L211" s="66" t="s">
        <v>1162</v>
      </c>
      <c r="M211" s="66" t="s">
        <v>1060</v>
      </c>
      <c r="N211" s="18" t="s">
        <v>1210</v>
      </c>
      <c r="O211" s="66" t="s">
        <v>1069</v>
      </c>
      <c r="P211" s="67" t="s">
        <v>1103</v>
      </c>
      <c r="Q211" s="18" t="s">
        <v>660</v>
      </c>
      <c r="R211" s="68" t="str">
        <f>IFERROR(CONCATENATE("*",VLOOKUP(L211,PARAM!D:E,2,0),VLOOKUP(M211,PARAM!J:K,2,0),VLOOKUP(N211,PARAM!G:H,2,0),VLOOKUP(P211,PARAM!P:Q,2,0),"*"),"")</f>
        <v>*25127730*</v>
      </c>
      <c r="S211" s="18" t="str">
        <f>IFERROR(CONCATENATE(VLOOKUP(L211,PARAM!D:E,2,0),VLOOKUP(M211,PARAM!J:K,2,0),VLOOKUP(N211,PARAM!G:H,2,0),VLOOKUP(O211,PARAM!M:N,2,0),VLOOKUP(P211,PARAM!P:Q,2,0)),"")</f>
        <v>2512771630</v>
      </c>
      <c r="T211" s="18">
        <f t="shared" si="4"/>
        <v>10</v>
      </c>
      <c r="U211" s="18" t="str">
        <f t="shared" si="5"/>
        <v>CHAQUETAS DAMA YOGA LICRA VARIOS TALLA UN</v>
      </c>
    </row>
    <row r="212">
      <c r="A212" s="64">
        <v>2.0</v>
      </c>
      <c r="B212" s="4" t="s">
        <v>1693</v>
      </c>
      <c r="C212" s="1"/>
      <c r="D212" s="4" t="s">
        <v>1693</v>
      </c>
      <c r="E212" s="3">
        <v>16000.0</v>
      </c>
      <c r="F212" s="2">
        <f t="shared" si="2"/>
        <v>32000</v>
      </c>
      <c r="G212" s="75">
        <v>34000.0</v>
      </c>
      <c r="H212" s="1"/>
      <c r="I212" s="1"/>
      <c r="J212" s="1"/>
      <c r="K212" s="66" t="s">
        <v>1187</v>
      </c>
      <c r="L212" s="66" t="s">
        <v>1089</v>
      </c>
      <c r="M212" s="66" t="s">
        <v>1060</v>
      </c>
      <c r="N212" s="18" t="s">
        <v>1211</v>
      </c>
      <c r="O212" s="66" t="s">
        <v>1069</v>
      </c>
      <c r="P212" s="67" t="s">
        <v>1103</v>
      </c>
      <c r="Q212" s="18" t="s">
        <v>660</v>
      </c>
      <c r="R212" s="68" t="str">
        <f>IFERROR(CONCATENATE("*",VLOOKUP(L212,PARAM!D:E,2,0),VLOOKUP(M212,PARAM!J:K,2,0),VLOOKUP(N212,PARAM!G:H,2,0),VLOOKUP(P212,PARAM!P:Q,2,0),"*"),"")</f>
        <v>*4125230*</v>
      </c>
      <c r="S212" s="18" t="str">
        <f>IFERROR(CONCATENATE(VLOOKUP(L212,PARAM!D:E,2,0),VLOOKUP(M212,PARAM!J:K,2,0),VLOOKUP(N212,PARAM!G:H,2,0),VLOOKUP(O212,PARAM!M:N,2,0),VLOOKUP(P212,PARAM!P:Q,2,0)),"")</f>
        <v>412521630</v>
      </c>
      <c r="T212" s="18">
        <f t="shared" si="4"/>
        <v>9</v>
      </c>
      <c r="U212" s="18" t="str">
        <f t="shared" si="5"/>
        <v>SHORTS DAMA SHORT PACIFIC VARIOS TALLA UN</v>
      </c>
    </row>
    <row r="213">
      <c r="A213" s="64">
        <v>4.0</v>
      </c>
      <c r="B213" s="4" t="s">
        <v>1694</v>
      </c>
      <c r="C213" s="1"/>
      <c r="D213" s="4" t="s">
        <v>1695</v>
      </c>
      <c r="E213" s="3">
        <v>16000.0</v>
      </c>
      <c r="F213" s="2">
        <f t="shared" si="2"/>
        <v>64000</v>
      </c>
      <c r="G213" s="65">
        <f t="shared" ref="G213:G1013" si="7">(E213*100%)+E213</f>
        <v>32000</v>
      </c>
      <c r="H213" s="1"/>
      <c r="I213" s="1"/>
      <c r="J213" s="1"/>
      <c r="K213" s="66" t="s">
        <v>1187</v>
      </c>
      <c r="L213" s="66" t="s">
        <v>1076</v>
      </c>
      <c r="M213" s="66" t="s">
        <v>1060</v>
      </c>
      <c r="N213" s="66" t="s">
        <v>1212</v>
      </c>
      <c r="O213" s="66" t="s">
        <v>1069</v>
      </c>
      <c r="P213" s="67" t="s">
        <v>1077</v>
      </c>
      <c r="Q213" s="18" t="s">
        <v>670</v>
      </c>
      <c r="R213" s="68" t="str">
        <f>IFERROR(CONCATENATE("*",VLOOKUP(L213,PARAM!D:E,2,0),VLOOKUP(M213,PARAM!J:K,2,0),VLOOKUP(N213,PARAM!G:H,2,0),VLOOKUP(P213,PARAM!P:Q,2,0),"*"),"")</f>
        <v>*44116732*</v>
      </c>
      <c r="S213" s="18" t="str">
        <f>IFERROR(CONCATENATE(VLOOKUP(L213,PARAM!D:E,2,0),VLOOKUP(M213,PARAM!J:K,2,0),VLOOKUP(N213,PARAM!G:H,2,0),VLOOKUP(O213,PARAM!M:N,2,0),VLOOKUP(P213,PARAM!P:Q,2,0)),"")</f>
        <v>4411671632</v>
      </c>
      <c r="T213" s="18">
        <f t="shared" si="4"/>
        <v>10</v>
      </c>
      <c r="U213" s="18" t="str">
        <f t="shared" si="5"/>
        <v>LEGGINS DAMA LICRA VARIOS TALLA XL</v>
      </c>
    </row>
    <row r="214">
      <c r="A214" s="64">
        <v>3.0</v>
      </c>
      <c r="B214" s="4" t="s">
        <v>1696</v>
      </c>
      <c r="C214" s="1"/>
      <c r="D214" s="4" t="s">
        <v>1695</v>
      </c>
      <c r="E214" s="3">
        <v>15000.0</v>
      </c>
      <c r="F214" s="2">
        <f t="shared" si="2"/>
        <v>45000</v>
      </c>
      <c r="G214" s="65">
        <f t="shared" si="7"/>
        <v>30000</v>
      </c>
      <c r="H214" s="1"/>
      <c r="I214" s="1"/>
      <c r="J214" s="1"/>
      <c r="K214" s="66" t="s">
        <v>1187</v>
      </c>
      <c r="L214" s="66" t="s">
        <v>1076</v>
      </c>
      <c r="M214" s="66" t="s">
        <v>1060</v>
      </c>
      <c r="N214" s="66" t="s">
        <v>1212</v>
      </c>
      <c r="O214" s="66" t="s">
        <v>1069</v>
      </c>
      <c r="P214" s="67" t="s">
        <v>1103</v>
      </c>
      <c r="Q214" s="18" t="s">
        <v>670</v>
      </c>
      <c r="R214" s="68" t="str">
        <f>IFERROR(CONCATENATE("*",VLOOKUP(L214,PARAM!D:E,2,0),VLOOKUP(M214,PARAM!J:K,2,0),VLOOKUP(N214,PARAM!G:H,2,0),VLOOKUP(P214,PARAM!P:Q,2,0),"*"),"")</f>
        <v>*44116730*</v>
      </c>
      <c r="S214" s="18" t="str">
        <f>IFERROR(CONCATENATE(VLOOKUP(L214,PARAM!D:E,2,0),VLOOKUP(M214,PARAM!J:K,2,0),VLOOKUP(N214,PARAM!G:H,2,0),VLOOKUP(O214,PARAM!M:N,2,0),VLOOKUP(P214,PARAM!P:Q,2,0)),"")</f>
        <v>4411671630</v>
      </c>
      <c r="T214" s="18">
        <f t="shared" si="4"/>
        <v>10</v>
      </c>
      <c r="U214" s="18" t="str">
        <f t="shared" si="5"/>
        <v>LEGGINS DAMA LICRA VARIOS TALLA UN</v>
      </c>
    </row>
    <row r="215">
      <c r="A215" s="64">
        <v>6.0</v>
      </c>
      <c r="B215" s="4" t="s">
        <v>1697</v>
      </c>
      <c r="C215" s="1"/>
      <c r="D215" s="4" t="s">
        <v>1698</v>
      </c>
      <c r="E215" s="3">
        <v>11000.0</v>
      </c>
      <c r="F215" s="2">
        <f t="shared" si="2"/>
        <v>66000</v>
      </c>
      <c r="G215" s="65">
        <f t="shared" si="7"/>
        <v>22000</v>
      </c>
      <c r="H215" s="1"/>
      <c r="I215" s="1"/>
      <c r="J215" s="1"/>
      <c r="K215" s="66" t="s">
        <v>1187</v>
      </c>
      <c r="L215" s="66" t="s">
        <v>1213</v>
      </c>
      <c r="M215" s="66" t="s">
        <v>1060</v>
      </c>
      <c r="N215" s="66" t="s">
        <v>1214</v>
      </c>
      <c r="O215" s="66" t="s">
        <v>1069</v>
      </c>
      <c r="P215" s="67" t="s">
        <v>1103</v>
      </c>
      <c r="Q215" s="18" t="s">
        <v>670</v>
      </c>
      <c r="R215" s="68" t="str">
        <f>IFERROR(CONCATENATE("*",VLOOKUP(L215,PARAM!D:E,2,0),VLOOKUP(M215,PARAM!J:K,2,0),VLOOKUP(N215,PARAM!G:H,2,0),VLOOKUP(P215,PARAM!P:Q,2,0),"*"),"")</f>
        <v>*31630*</v>
      </c>
      <c r="S215" s="18" t="str">
        <f>IFERROR(CONCATENATE(VLOOKUP(L215,PARAM!D:E,2,0),VLOOKUP(M215,PARAM!J:K,2,0),VLOOKUP(N215,PARAM!G:H,2,0),VLOOKUP(O215,PARAM!M:N,2,0),VLOOKUP(P215,PARAM!P:Q,2,0)),"")</f>
        <v>3161630</v>
      </c>
      <c r="T215" s="18">
        <f t="shared" si="4"/>
        <v>7</v>
      </c>
      <c r="U215" s="18" t="str">
        <f t="shared" si="5"/>
        <v>LICRAS DAMA A RODILLA VARIOS TALLA UN</v>
      </c>
    </row>
    <row r="216">
      <c r="A216" s="64">
        <v>0.0</v>
      </c>
      <c r="B216" s="4" t="s">
        <v>1699</v>
      </c>
      <c r="C216" s="1"/>
      <c r="D216" s="4" t="s">
        <v>1699</v>
      </c>
      <c r="E216" s="3">
        <v>11000.0</v>
      </c>
      <c r="F216" s="2">
        <f t="shared" si="2"/>
        <v>0</v>
      </c>
      <c r="G216" s="65">
        <f t="shared" si="7"/>
        <v>22000</v>
      </c>
      <c r="H216" s="1"/>
      <c r="I216" s="1"/>
      <c r="J216" s="1"/>
      <c r="K216" s="66" t="s">
        <v>1187</v>
      </c>
      <c r="L216" s="66" t="s">
        <v>1213</v>
      </c>
      <c r="M216" s="66" t="s">
        <v>1060</v>
      </c>
      <c r="N216" s="66" t="s">
        <v>1214</v>
      </c>
      <c r="O216" s="66" t="s">
        <v>1069</v>
      </c>
      <c r="P216" s="67" t="s">
        <v>1077</v>
      </c>
      <c r="Q216" s="18" t="s">
        <v>670</v>
      </c>
      <c r="R216" s="68" t="str">
        <f>IFERROR(CONCATENATE("*",VLOOKUP(L216,PARAM!D:E,2,0),VLOOKUP(M216,PARAM!J:K,2,0),VLOOKUP(N216,PARAM!G:H,2,0),VLOOKUP(P216,PARAM!P:Q,2,0),"*"),"")</f>
        <v>*31632*</v>
      </c>
      <c r="S216" s="18" t="str">
        <f>IFERROR(CONCATENATE(VLOOKUP(L216,PARAM!D:E,2,0),VLOOKUP(M216,PARAM!J:K,2,0),VLOOKUP(N216,PARAM!G:H,2,0),VLOOKUP(O216,PARAM!M:N,2,0),VLOOKUP(P216,PARAM!P:Q,2,0)),"")</f>
        <v>3161632</v>
      </c>
      <c r="T216" s="18">
        <f t="shared" si="4"/>
        <v>7</v>
      </c>
      <c r="U216" s="18" t="str">
        <f t="shared" si="5"/>
        <v>LICRAS DAMA A RODILLA VARIOS TALLA XL</v>
      </c>
    </row>
    <row r="217">
      <c r="A217" s="64">
        <v>2.0</v>
      </c>
      <c r="B217" s="4" t="s">
        <v>1700</v>
      </c>
      <c r="C217" s="1"/>
      <c r="D217" s="4" t="s">
        <v>1701</v>
      </c>
      <c r="E217" s="3">
        <v>20000.0</v>
      </c>
      <c r="F217" s="2">
        <f t="shared" si="2"/>
        <v>40000</v>
      </c>
      <c r="G217" s="65">
        <f t="shared" si="7"/>
        <v>40000</v>
      </c>
      <c r="H217" s="1"/>
      <c r="I217" s="1"/>
      <c r="J217" s="1"/>
      <c r="K217" s="66" t="s">
        <v>1187</v>
      </c>
      <c r="L217" s="66" t="s">
        <v>1076</v>
      </c>
      <c r="M217" s="66" t="s">
        <v>1060</v>
      </c>
      <c r="N217" s="66" t="s">
        <v>1215</v>
      </c>
      <c r="O217" s="66" t="s">
        <v>1069</v>
      </c>
      <c r="P217" s="67" t="s">
        <v>1103</v>
      </c>
      <c r="Q217" s="18" t="s">
        <v>670</v>
      </c>
      <c r="R217" s="68" t="str">
        <f>IFERROR(CONCATENATE("*",VLOOKUP(L217,PARAM!D:E,2,0),VLOOKUP(M217,PARAM!J:K,2,0),VLOOKUP(N217,PARAM!G:H,2,0),VLOOKUP(P217,PARAM!P:Q,2,0),"*"),"")</f>
        <v>*44116930*</v>
      </c>
      <c r="S217" s="18" t="str">
        <f>IFERROR(CONCATENATE(VLOOKUP(L217,PARAM!D:E,2,0),VLOOKUP(M217,PARAM!J:K,2,0),VLOOKUP(N217,PARAM!G:H,2,0),VLOOKUP(O217,PARAM!M:N,2,0),VLOOKUP(P217,PARAM!P:Q,2,0)),"")</f>
        <v>4411691630</v>
      </c>
      <c r="T217" s="18">
        <f t="shared" si="4"/>
        <v>10</v>
      </c>
      <c r="U217" s="18" t="str">
        <f t="shared" si="5"/>
        <v>LEGGINS DAMA LICRA CATTO KIEWO VARIOS TALLA UN</v>
      </c>
    </row>
    <row r="218">
      <c r="A218" s="64">
        <v>3.0</v>
      </c>
      <c r="B218" s="4" t="s">
        <v>1702</v>
      </c>
      <c r="C218" s="1"/>
      <c r="D218" s="4" t="s">
        <v>1703</v>
      </c>
      <c r="E218" s="3">
        <v>15000.0</v>
      </c>
      <c r="F218" s="2">
        <f t="shared" si="2"/>
        <v>45000</v>
      </c>
      <c r="G218" s="65">
        <f t="shared" si="7"/>
        <v>30000</v>
      </c>
      <c r="H218" s="1"/>
      <c r="I218" s="1"/>
      <c r="J218" s="1"/>
      <c r="K218" s="66" t="s">
        <v>1187</v>
      </c>
      <c r="L218" s="66" t="s">
        <v>1171</v>
      </c>
      <c r="M218" s="66" t="s">
        <v>1080</v>
      </c>
      <c r="N218" s="66" t="s">
        <v>1216</v>
      </c>
      <c r="O218" s="66" t="s">
        <v>1069</v>
      </c>
      <c r="P218" s="67" t="s">
        <v>1217</v>
      </c>
      <c r="Q218" s="18" t="s">
        <v>670</v>
      </c>
      <c r="R218" s="68" t="str">
        <f>IFERROR(CONCATENATE("*",VLOOKUP(L218,PARAM!D:E,2,0),VLOOKUP(M218,PARAM!J:K,2,0),VLOOKUP(N218,PARAM!G:H,2,0),VLOOKUP(P218,PARAM!P:Q,2,0),"*"),"")</f>
        <v>*11211328*</v>
      </c>
      <c r="S218" s="18" t="str">
        <f>IFERROR(CONCATENATE(VLOOKUP(L218,PARAM!D:E,2,0),VLOOKUP(M218,PARAM!J:K,2,0),VLOOKUP(N218,PARAM!G:H,2,0),VLOOKUP(O218,PARAM!M:N,2,0),VLOOKUP(P218,PARAM!P:Q,2,0)),"")</f>
        <v>1121131628</v>
      </c>
      <c r="T218" s="18">
        <f t="shared" si="4"/>
        <v>10</v>
      </c>
      <c r="U218" s="18" t="str">
        <f t="shared" si="5"/>
        <v>CAMISETAS CABALLERO DEPORTIVA VARIOS TALLA S-M</v>
      </c>
    </row>
    <row r="219">
      <c r="A219" s="64">
        <v>3.0</v>
      </c>
      <c r="B219" s="4" t="s">
        <v>1702</v>
      </c>
      <c r="C219" s="1"/>
      <c r="D219" s="4" t="s">
        <v>1703</v>
      </c>
      <c r="E219" s="3">
        <v>15000.0</v>
      </c>
      <c r="F219" s="2">
        <f t="shared" si="2"/>
        <v>45000</v>
      </c>
      <c r="G219" s="65">
        <f t="shared" si="7"/>
        <v>30000</v>
      </c>
      <c r="H219" s="1"/>
      <c r="I219" s="1"/>
      <c r="J219" s="1"/>
      <c r="K219" s="66" t="s">
        <v>1187</v>
      </c>
      <c r="L219" s="66" t="s">
        <v>1171</v>
      </c>
      <c r="M219" s="66" t="s">
        <v>1080</v>
      </c>
      <c r="N219" s="66" t="s">
        <v>1216</v>
      </c>
      <c r="O219" s="66" t="s">
        <v>1069</v>
      </c>
      <c r="P219" s="67" t="s">
        <v>1218</v>
      </c>
      <c r="Q219" s="18" t="s">
        <v>670</v>
      </c>
      <c r="R219" s="68" t="str">
        <f>IFERROR(CONCATENATE("*",VLOOKUP(L219,PARAM!D:E,2,0),VLOOKUP(M219,PARAM!J:K,2,0),VLOOKUP(N219,PARAM!G:H,2,0),VLOOKUP(P219,PARAM!P:Q,2,0),"*"),"")</f>
        <v>*11211324*</v>
      </c>
      <c r="S219" s="18" t="str">
        <f>IFERROR(CONCATENATE(VLOOKUP(L219,PARAM!D:E,2,0),VLOOKUP(M219,PARAM!J:K,2,0),VLOOKUP(N219,PARAM!G:H,2,0),VLOOKUP(O219,PARAM!M:N,2,0),VLOOKUP(P219,PARAM!P:Q,2,0)),"")</f>
        <v>1121131624</v>
      </c>
      <c r="T219" s="18">
        <f t="shared" si="4"/>
        <v>10</v>
      </c>
      <c r="U219" s="18" t="str">
        <f t="shared" si="5"/>
        <v>CAMISETAS CABALLERO DEPORTIVA VARIOS TALLA L-XL</v>
      </c>
    </row>
    <row r="220">
      <c r="A220" s="64">
        <v>2.0</v>
      </c>
      <c r="B220" s="4" t="s">
        <v>1704</v>
      </c>
      <c r="C220" s="1"/>
      <c r="D220" s="4" t="s">
        <v>1705</v>
      </c>
      <c r="E220" s="3">
        <v>45000.0</v>
      </c>
      <c r="F220" s="2">
        <f t="shared" si="2"/>
        <v>90000</v>
      </c>
      <c r="G220" s="65">
        <f t="shared" si="7"/>
        <v>90000</v>
      </c>
      <c r="H220" s="1"/>
      <c r="I220" s="1"/>
      <c r="J220" s="1"/>
      <c r="K220" s="66" t="s">
        <v>1187</v>
      </c>
      <c r="L220" s="66" t="s">
        <v>1213</v>
      </c>
      <c r="M220" s="66" t="s">
        <v>1060</v>
      </c>
      <c r="N220" s="66" t="s">
        <v>1219</v>
      </c>
      <c r="O220" s="66" t="s">
        <v>1069</v>
      </c>
      <c r="P220" s="67" t="s">
        <v>1103</v>
      </c>
      <c r="Q220" s="18" t="s">
        <v>670</v>
      </c>
      <c r="R220" s="68" t="str">
        <f>IFERROR(CONCATENATE("*",VLOOKUP(L220,PARAM!D:E,2,0),VLOOKUP(M220,PARAM!J:K,2,0),VLOOKUP(N220,PARAM!G:H,2,0),VLOOKUP(P220,PARAM!P:Q,2,0),"*"),"")</f>
        <v>*3112630*</v>
      </c>
      <c r="S220" s="18" t="str">
        <f>IFERROR(CONCATENATE(VLOOKUP(L220,PARAM!D:E,2,0),VLOOKUP(M220,PARAM!J:K,2,0),VLOOKUP(N220,PARAM!G:H,2,0),VLOOKUP(O220,PARAM!M:N,2,0),VLOOKUP(P220,PARAM!P:Q,2,0)),"")</f>
        <v>311261630</v>
      </c>
      <c r="T220" s="18">
        <f t="shared" si="4"/>
        <v>9</v>
      </c>
      <c r="U220" s="18" t="str">
        <f t="shared" si="5"/>
        <v>LICRAS DAMA ENTERIZO DEPORTIVO VARIOS TALLA UN</v>
      </c>
    </row>
    <row r="221">
      <c r="A221" s="64">
        <v>1.0</v>
      </c>
      <c r="B221" s="4" t="s">
        <v>1706</v>
      </c>
      <c r="C221" s="1"/>
      <c r="D221" s="4" t="s">
        <v>1707</v>
      </c>
      <c r="E221" s="3">
        <v>22000.0</v>
      </c>
      <c r="F221" s="2">
        <f t="shared" si="2"/>
        <v>22000</v>
      </c>
      <c r="G221" s="65">
        <f t="shared" si="7"/>
        <v>44000</v>
      </c>
      <c r="H221" s="1"/>
      <c r="I221" s="1"/>
      <c r="J221" s="1"/>
      <c r="K221" s="66" t="s">
        <v>1187</v>
      </c>
      <c r="L221" s="66" t="s">
        <v>420</v>
      </c>
      <c r="M221" s="66" t="s">
        <v>1080</v>
      </c>
      <c r="N221" s="66" t="s">
        <v>1220</v>
      </c>
      <c r="O221" s="66" t="s">
        <v>1069</v>
      </c>
      <c r="P221" s="67" t="s">
        <v>1221</v>
      </c>
      <c r="Q221" s="18" t="s">
        <v>670</v>
      </c>
      <c r="R221" s="68" t="str">
        <f>IFERROR(CONCATENATE("*",VLOOKUP(L221,PARAM!D:E,2,0),VLOOKUP(M221,PARAM!J:K,2,0),VLOOKUP(N221,PARAM!G:H,2,0),VLOOKUP(P221,PARAM!P:Q,2,0),"*"),"")</f>
        <v>*35211429*</v>
      </c>
      <c r="S221" s="18" t="str">
        <f>IFERROR(CONCATENATE(VLOOKUP(L221,PARAM!D:E,2,0),VLOOKUP(M221,PARAM!J:K,2,0),VLOOKUP(N221,PARAM!G:H,2,0),VLOOKUP(O221,PARAM!M:N,2,0),VLOOKUP(P221,PARAM!P:Q,2,0)),"")</f>
        <v>3521141629</v>
      </c>
      <c r="T221" s="18">
        <f t="shared" si="4"/>
        <v>10</v>
      </c>
      <c r="U221" s="18" t="str">
        <f t="shared" si="5"/>
        <v>PANTALONETAS CABALLERO DEPORTIVAS VARIOS TALLA SM</v>
      </c>
    </row>
    <row r="222">
      <c r="A222" s="64">
        <v>2.0</v>
      </c>
      <c r="B222" s="4" t="s">
        <v>1706</v>
      </c>
      <c r="C222" s="1"/>
      <c r="D222" s="4" t="s">
        <v>1707</v>
      </c>
      <c r="E222" s="3">
        <v>22000.0</v>
      </c>
      <c r="F222" s="2">
        <f t="shared" si="2"/>
        <v>44000</v>
      </c>
      <c r="G222" s="65">
        <f t="shared" si="7"/>
        <v>44000</v>
      </c>
      <c r="H222" s="1"/>
      <c r="I222" s="1"/>
      <c r="J222" s="1"/>
      <c r="K222" s="66" t="s">
        <v>1187</v>
      </c>
      <c r="L222" s="66" t="s">
        <v>420</v>
      </c>
      <c r="M222" s="66" t="s">
        <v>1080</v>
      </c>
      <c r="N222" s="66" t="s">
        <v>1220</v>
      </c>
      <c r="O222" s="66" t="s">
        <v>1069</v>
      </c>
      <c r="P222" s="67" t="s">
        <v>1218</v>
      </c>
      <c r="Q222" s="18" t="s">
        <v>670</v>
      </c>
      <c r="R222" s="68" t="str">
        <f>IFERROR(CONCATENATE("*",VLOOKUP(L222,PARAM!D:E,2,0),VLOOKUP(M222,PARAM!J:K,2,0),VLOOKUP(N222,PARAM!G:H,2,0),VLOOKUP(P222,PARAM!P:Q,2,0),"*"),"")</f>
        <v>*35211424*</v>
      </c>
      <c r="S222" s="18" t="str">
        <f>IFERROR(CONCATENATE(VLOOKUP(L222,PARAM!D:E,2,0),VLOOKUP(M222,PARAM!J:K,2,0),VLOOKUP(N222,PARAM!G:H,2,0),VLOOKUP(O222,PARAM!M:N,2,0),VLOOKUP(P222,PARAM!P:Q,2,0)),"")</f>
        <v>3521141624</v>
      </c>
      <c r="T222" s="18">
        <f t="shared" si="4"/>
        <v>10</v>
      </c>
      <c r="U222" s="18" t="str">
        <f t="shared" si="5"/>
        <v>PANTALONETAS CABALLERO DEPORTIVAS VARIOS TALLA L-XL</v>
      </c>
    </row>
    <row r="223">
      <c r="A223" s="64">
        <v>8.0</v>
      </c>
      <c r="B223" s="4" t="s">
        <v>1708</v>
      </c>
      <c r="C223" s="1"/>
      <c r="D223" s="4" t="s">
        <v>1708</v>
      </c>
      <c r="E223" s="3">
        <v>20000.0</v>
      </c>
      <c r="F223" s="2">
        <f t="shared" si="2"/>
        <v>160000</v>
      </c>
      <c r="G223" s="65">
        <f t="shared" si="7"/>
        <v>40000</v>
      </c>
      <c r="H223" s="1"/>
      <c r="I223" s="1"/>
      <c r="J223" s="1"/>
      <c r="K223" s="66" t="s">
        <v>1187</v>
      </c>
      <c r="L223" s="66" t="s">
        <v>1076</v>
      </c>
      <c r="M223" s="66" t="s">
        <v>1060</v>
      </c>
      <c r="N223" s="66" t="s">
        <v>1222</v>
      </c>
      <c r="O223" s="66" t="s">
        <v>1069</v>
      </c>
      <c r="P223" s="67" t="s">
        <v>1165</v>
      </c>
      <c r="Q223" s="18" t="s">
        <v>670</v>
      </c>
      <c r="R223" s="68" t="str">
        <f>IFERROR(CONCATENATE("*",VLOOKUP(L223,PARAM!D:E,2,0),VLOOKUP(M223,PARAM!J:K,2,0),VLOOKUP(N223,PARAM!G:H,2,0),VLOOKUP(P223,PARAM!P:Q,2,0),"*"),"")</f>
        <v>*44125023*</v>
      </c>
      <c r="S223" s="18" t="str">
        <f>IFERROR(CONCATENATE(VLOOKUP(L223,PARAM!D:E,2,0),VLOOKUP(M223,PARAM!J:K,2,0),VLOOKUP(N223,PARAM!G:H,2,0),VLOOKUP(O223,PARAM!M:N,2,0),VLOOKUP(P223,PARAM!P:Q,2,0)),"")</f>
        <v>4412501623</v>
      </c>
      <c r="T223" s="18">
        <f t="shared" si="4"/>
        <v>10</v>
      </c>
      <c r="U223" s="18" t="str">
        <f t="shared" si="5"/>
        <v>LEGGINS DAMA SHORT VARIOS TALLA L</v>
      </c>
    </row>
    <row r="224">
      <c r="A224" s="4">
        <v>5.0</v>
      </c>
      <c r="B224" s="4" t="s">
        <v>1709</v>
      </c>
      <c r="C224" s="1"/>
      <c r="D224" s="4" t="s">
        <v>1710</v>
      </c>
      <c r="E224" s="3">
        <v>22000.0</v>
      </c>
      <c r="F224" s="2">
        <f t="shared" si="2"/>
        <v>110000</v>
      </c>
      <c r="G224" s="65">
        <f t="shared" si="7"/>
        <v>44000</v>
      </c>
      <c r="H224" s="1"/>
      <c r="I224" s="1"/>
      <c r="J224" s="1"/>
      <c r="K224" s="66" t="s">
        <v>1187</v>
      </c>
      <c r="L224" s="66" t="s">
        <v>1076</v>
      </c>
      <c r="M224" s="66" t="s">
        <v>1060</v>
      </c>
      <c r="N224" s="66" t="s">
        <v>1223</v>
      </c>
      <c r="O224" s="66" t="s">
        <v>1069</v>
      </c>
      <c r="P224" s="67" t="s">
        <v>1165</v>
      </c>
      <c r="Q224" s="18" t="s">
        <v>670</v>
      </c>
      <c r="R224" s="68" t="str">
        <f>IFERROR(CONCATENATE("*",VLOOKUP(L224,PARAM!D:E,2,0),VLOOKUP(M224,PARAM!J:K,2,0),VLOOKUP(N224,PARAM!G:H,2,0),VLOOKUP(P224,PARAM!P:Q,2,0),"*"),"")</f>
        <v>*44116823*</v>
      </c>
      <c r="S224" s="18" t="str">
        <f>IFERROR(CONCATENATE(VLOOKUP(L224,PARAM!D:E,2,0),VLOOKUP(M224,PARAM!J:K,2,0),VLOOKUP(N224,PARAM!G:H,2,0),VLOOKUP(O224,PARAM!M:N,2,0),VLOOKUP(P224,PARAM!P:Q,2,0)),"")</f>
        <v>4411681623</v>
      </c>
      <c r="T224" s="18">
        <f t="shared" si="4"/>
        <v>10</v>
      </c>
      <c r="U224" s="18" t="str">
        <f t="shared" si="5"/>
        <v>LEGGINS DAMA LICRA ACANALADA VARIOS TALLA L</v>
      </c>
    </row>
    <row r="225">
      <c r="A225" s="64">
        <v>1.0</v>
      </c>
      <c r="B225" s="4" t="s">
        <v>1711</v>
      </c>
      <c r="C225" s="1"/>
      <c r="D225" s="4" t="s">
        <v>1712</v>
      </c>
      <c r="E225" s="3">
        <v>16000.0</v>
      </c>
      <c r="F225" s="2">
        <f t="shared" si="2"/>
        <v>16000</v>
      </c>
      <c r="G225" s="65">
        <f t="shared" si="7"/>
        <v>32000</v>
      </c>
      <c r="H225" s="1"/>
      <c r="I225" s="1"/>
      <c r="J225" s="1"/>
      <c r="K225" s="66" t="s">
        <v>1187</v>
      </c>
      <c r="L225" s="66" t="s">
        <v>1194</v>
      </c>
      <c r="M225" s="66" t="s">
        <v>1080</v>
      </c>
      <c r="N225" s="66" t="s">
        <v>1187</v>
      </c>
      <c r="O225" s="66" t="s">
        <v>1069</v>
      </c>
      <c r="P225" s="67" t="s">
        <v>1221</v>
      </c>
      <c r="Q225" s="18" t="s">
        <v>670</v>
      </c>
      <c r="R225" s="68" t="str">
        <f>IFERROR(CONCATENATE("*",VLOOKUP(L225,PARAM!D:E,2,0),VLOOKUP(M225,PARAM!J:K,2,0),VLOOKUP(N225,PARAM!G:H,2,0),VLOOKUP(P225,PARAM!P:Q,2,0),"*"),"")</f>
        <v>*26211529*</v>
      </c>
      <c r="S225" s="18" t="str">
        <f>IFERROR(CONCATENATE(VLOOKUP(L225,PARAM!D:E,2,0),VLOOKUP(M225,PARAM!J:K,2,0),VLOOKUP(N225,PARAM!G:H,2,0),VLOOKUP(O225,PARAM!M:N,2,0),VLOOKUP(P225,PARAM!P:Q,2,0)),"")</f>
        <v>2621151629</v>
      </c>
      <c r="T225" s="18">
        <f t="shared" si="4"/>
        <v>10</v>
      </c>
      <c r="U225" s="18" t="str">
        <f t="shared" si="5"/>
        <v>BUSOS CABALLERO DEPORTIVO VARIOS TALLA SM</v>
      </c>
    </row>
    <row r="226">
      <c r="A226" s="64">
        <v>3.0</v>
      </c>
      <c r="B226" s="4" t="s">
        <v>1713</v>
      </c>
      <c r="C226" s="1"/>
      <c r="D226" s="4" t="s">
        <v>1712</v>
      </c>
      <c r="E226" s="3">
        <v>16000.0</v>
      </c>
      <c r="F226" s="2">
        <f t="shared" si="2"/>
        <v>48000</v>
      </c>
      <c r="G226" s="65">
        <f t="shared" si="7"/>
        <v>32000</v>
      </c>
      <c r="H226" s="1"/>
      <c r="I226" s="1"/>
      <c r="J226" s="1"/>
      <c r="K226" s="66" t="s">
        <v>1187</v>
      </c>
      <c r="L226" s="66" t="s">
        <v>1194</v>
      </c>
      <c r="M226" s="66" t="s">
        <v>1080</v>
      </c>
      <c r="N226" s="66" t="s">
        <v>1187</v>
      </c>
      <c r="O226" s="66" t="s">
        <v>1069</v>
      </c>
      <c r="P226" s="67" t="s">
        <v>1218</v>
      </c>
      <c r="Q226" s="18" t="s">
        <v>670</v>
      </c>
      <c r="R226" s="68" t="str">
        <f>IFERROR(CONCATENATE("*",VLOOKUP(L226,PARAM!D:E,2,0),VLOOKUP(M226,PARAM!J:K,2,0),VLOOKUP(N226,PARAM!G:H,2,0),VLOOKUP(P226,PARAM!P:Q,2,0),"*"),"")</f>
        <v>*26211524*</v>
      </c>
      <c r="S226" s="18" t="str">
        <f>IFERROR(CONCATENATE(VLOOKUP(L226,PARAM!D:E,2,0),VLOOKUP(M226,PARAM!J:K,2,0),VLOOKUP(N226,PARAM!G:H,2,0),VLOOKUP(O226,PARAM!M:N,2,0),VLOOKUP(P226,PARAM!P:Q,2,0)),"")</f>
        <v>2621151624</v>
      </c>
      <c r="T226" s="18">
        <f t="shared" si="4"/>
        <v>10</v>
      </c>
      <c r="U226" s="18" t="str">
        <f t="shared" si="5"/>
        <v>BUSOS CABALLERO DEPORTIVO VARIOS TALLA L-XL</v>
      </c>
    </row>
    <row r="227">
      <c r="A227" s="64">
        <v>2.0</v>
      </c>
      <c r="B227" s="4" t="s">
        <v>1714</v>
      </c>
      <c r="C227" s="1"/>
      <c r="D227" s="4" t="s">
        <v>1715</v>
      </c>
      <c r="E227" s="3">
        <v>22000.0</v>
      </c>
      <c r="F227" s="2">
        <f t="shared" si="2"/>
        <v>44000</v>
      </c>
      <c r="G227" s="65">
        <f t="shared" si="7"/>
        <v>44000</v>
      </c>
      <c r="H227" s="1"/>
      <c r="I227" s="1"/>
      <c r="J227" s="1"/>
      <c r="K227" s="66" t="s">
        <v>1187</v>
      </c>
      <c r="L227" s="66" t="s">
        <v>1076</v>
      </c>
      <c r="M227" s="66" t="s">
        <v>1060</v>
      </c>
      <c r="N227" s="18" t="s">
        <v>1224</v>
      </c>
      <c r="O227" s="66" t="s">
        <v>1069</v>
      </c>
      <c r="P227" s="67" t="s">
        <v>1165</v>
      </c>
      <c r="Q227" s="18" t="s">
        <v>670</v>
      </c>
      <c r="R227" s="68" t="str">
        <f>IFERROR(CONCATENATE("*",VLOOKUP(L227,PARAM!D:E,2,0),VLOOKUP(M227,PARAM!J:K,2,0),VLOOKUP(N227,PARAM!G:H,2,0),VLOOKUP(P227,PARAM!P:Q,2,0),"*"),"")</f>
        <v>*44116623*</v>
      </c>
      <c r="S227" s="18" t="str">
        <f>IFERROR(CONCATENATE(VLOOKUP(L227,PARAM!D:E,2,0),VLOOKUP(M227,PARAM!J:K,2,0),VLOOKUP(N227,PARAM!G:H,2,0),VLOOKUP(O227,PARAM!M:N,2,0),VLOOKUP(P227,PARAM!P:Q,2,0)),"")</f>
        <v>4411661623</v>
      </c>
      <c r="T227" s="18">
        <f t="shared" si="4"/>
        <v>10</v>
      </c>
      <c r="U227" s="18" t="str">
        <f t="shared" si="5"/>
        <v>LEGGINS DAMA LEGGINS UNICOLOR VARIOS TALLA L</v>
      </c>
    </row>
    <row r="228">
      <c r="A228" s="64">
        <v>2.0</v>
      </c>
      <c r="B228" s="4" t="s">
        <v>1716</v>
      </c>
      <c r="C228" s="1"/>
      <c r="D228" s="4" t="s">
        <v>1717</v>
      </c>
      <c r="E228" s="3">
        <v>36000.0</v>
      </c>
      <c r="F228" s="2">
        <f t="shared" si="2"/>
        <v>72000</v>
      </c>
      <c r="G228" s="65">
        <f t="shared" si="7"/>
        <v>72000</v>
      </c>
      <c r="H228" s="1"/>
      <c r="I228" s="1"/>
      <c r="J228" s="1"/>
      <c r="K228" s="66" t="s">
        <v>1187</v>
      </c>
      <c r="L228" s="66" t="s">
        <v>1219</v>
      </c>
      <c r="M228" s="66" t="s">
        <v>1060</v>
      </c>
      <c r="N228" s="66" t="s">
        <v>1225</v>
      </c>
      <c r="O228" s="66" t="s">
        <v>1069</v>
      </c>
      <c r="P228" s="67" t="s">
        <v>1103</v>
      </c>
      <c r="Q228" s="18" t="s">
        <v>670</v>
      </c>
      <c r="R228" s="68" t="str">
        <f>IFERROR(CONCATENATE("*",VLOOKUP(L228,PARAM!D:E,2,0),VLOOKUP(M228,PARAM!J:K,2,0),VLOOKUP(N228,PARAM!G:H,2,0),VLOOKUP(P228,PARAM!P:Q,2,0),"*"),"")</f>
        <v>*53110230*</v>
      </c>
      <c r="S228" s="18" t="str">
        <f>IFERROR(CONCATENATE(VLOOKUP(L228,PARAM!D:E,2,0),VLOOKUP(M228,PARAM!J:K,2,0),VLOOKUP(N228,PARAM!G:H,2,0),VLOOKUP(O228,PARAM!M:N,2,0),VLOOKUP(P228,PARAM!P:Q,2,0)),"")</f>
        <v>5311021630</v>
      </c>
      <c r="T228" s="18">
        <f t="shared" si="4"/>
        <v>10</v>
      </c>
      <c r="U228" s="18" t="str">
        <f t="shared" si="5"/>
        <v>ENTERIZO DEPORTIVO DAMA CORTO VARIOS TALLA UN</v>
      </c>
    </row>
    <row r="229">
      <c r="A229" s="64">
        <v>2.0</v>
      </c>
      <c r="B229" s="4" t="s">
        <v>1718</v>
      </c>
      <c r="C229" s="1"/>
      <c r="D229" s="4" t="s">
        <v>1719</v>
      </c>
      <c r="E229" s="3">
        <v>40000.0</v>
      </c>
      <c r="F229" s="2">
        <f t="shared" si="2"/>
        <v>80000</v>
      </c>
      <c r="G229" s="65">
        <f t="shared" si="7"/>
        <v>80000</v>
      </c>
      <c r="H229" s="1"/>
      <c r="I229" s="1"/>
      <c r="J229" s="1"/>
      <c r="K229" s="66" t="s">
        <v>1187</v>
      </c>
      <c r="L229" s="66" t="s">
        <v>1226</v>
      </c>
      <c r="M229" s="66" t="s">
        <v>1060</v>
      </c>
      <c r="N229" s="66" t="s">
        <v>503</v>
      </c>
      <c r="O229" s="66" t="s">
        <v>1069</v>
      </c>
      <c r="P229" s="67" t="s">
        <v>1103</v>
      </c>
      <c r="Q229" s="18" t="s">
        <v>670</v>
      </c>
      <c r="R229" s="68" t="str">
        <f>IFERROR(CONCATENATE("*",VLOOKUP(L229,PARAM!D:E,2,0),VLOOKUP(M229,PARAM!J:K,2,0),VLOOKUP(N229,PARAM!G:H,2,0),VLOOKUP(P229,PARAM!P:Q,2,0),"*"),"")</f>
        <v>*541030*</v>
      </c>
      <c r="S229" s="18" t="str">
        <f>IFERROR(CONCATENATE(VLOOKUP(L229,PARAM!D:E,2,0),VLOOKUP(M229,PARAM!J:K,2,0),VLOOKUP(N229,PARAM!G:H,2,0),VLOOKUP(O229,PARAM!M:N,2,0),VLOOKUP(P229,PARAM!P:Q,2,0)),"")</f>
        <v>54101630</v>
      </c>
      <c r="T229" s="18">
        <f t="shared" si="4"/>
        <v>8</v>
      </c>
      <c r="U229" s="18" t="str">
        <f t="shared" si="5"/>
        <v>CONJUNTO DEPORTIVO DAMA - VARIOS TALLA UN</v>
      </c>
    </row>
    <row r="230">
      <c r="A230" s="64">
        <v>4.0</v>
      </c>
      <c r="B230" s="4" t="s">
        <v>1720</v>
      </c>
      <c r="C230" s="1"/>
      <c r="D230" s="4" t="s">
        <v>1721</v>
      </c>
      <c r="E230" s="3">
        <v>25000.0</v>
      </c>
      <c r="F230" s="2">
        <f t="shared" si="2"/>
        <v>100000</v>
      </c>
      <c r="G230" s="65">
        <f t="shared" si="7"/>
        <v>50000</v>
      </c>
      <c r="H230" s="1"/>
      <c r="I230" s="1"/>
      <c r="J230" s="1"/>
      <c r="K230" s="66" t="s">
        <v>1058</v>
      </c>
      <c r="L230" s="66" t="s">
        <v>1227</v>
      </c>
      <c r="M230" s="66" t="s">
        <v>1060</v>
      </c>
      <c r="N230" s="66" t="s">
        <v>1228</v>
      </c>
      <c r="O230" s="66" t="s">
        <v>1069</v>
      </c>
      <c r="P230" s="67" t="s">
        <v>1103</v>
      </c>
      <c r="Q230" s="18" t="s">
        <v>688</v>
      </c>
      <c r="R230" s="68" t="str">
        <f>IFERROR(CONCATENATE("*",VLOOKUP(L230,PARAM!D:E,2,0),VLOOKUP(M230,PARAM!J:K,2,0),VLOOKUP(N230,PARAM!G:H,2,0),VLOOKUP(P230,PARAM!P:Q,2,0),"*"),"")</f>
        <v>*39125830*</v>
      </c>
      <c r="S230" s="18" t="str">
        <f>IFERROR(CONCATENATE(VLOOKUP(L230,PARAM!D:E,2,0),VLOOKUP(M230,PARAM!J:K,2,0),VLOOKUP(N230,PARAM!G:H,2,0),VLOOKUP(O230,PARAM!M:N,2,0),VLOOKUP(P230,PARAM!P:Q,2,0)),"")</f>
        <v>3912581630</v>
      </c>
      <c r="T230" s="18">
        <f t="shared" si="4"/>
        <v>10</v>
      </c>
      <c r="U230" s="18" t="str">
        <f t="shared" si="5"/>
        <v>SACO DAMA TEJIDO RAYAS VARIOS TALLA UN</v>
      </c>
    </row>
    <row r="231">
      <c r="A231" s="64">
        <v>4.0</v>
      </c>
      <c r="B231" s="4" t="s">
        <v>1722</v>
      </c>
      <c r="C231" s="1"/>
      <c r="D231" s="4" t="s">
        <v>1723</v>
      </c>
      <c r="E231" s="3">
        <v>24000.0</v>
      </c>
      <c r="F231" s="2">
        <f t="shared" si="2"/>
        <v>96000</v>
      </c>
      <c r="G231" s="65">
        <f t="shared" si="7"/>
        <v>48000</v>
      </c>
      <c r="H231" s="1"/>
      <c r="I231" s="1"/>
      <c r="J231" s="1"/>
      <c r="K231" s="66" t="s">
        <v>1058</v>
      </c>
      <c r="L231" s="66" t="s">
        <v>1227</v>
      </c>
      <c r="M231" s="66" t="s">
        <v>1060</v>
      </c>
      <c r="N231" s="66" t="s">
        <v>1229</v>
      </c>
      <c r="O231" s="66" t="s">
        <v>1069</v>
      </c>
      <c r="P231" s="67" t="s">
        <v>1103</v>
      </c>
      <c r="Q231" s="18" t="s">
        <v>690</v>
      </c>
      <c r="R231" s="68" t="str">
        <f>IFERROR(CONCATENATE("*",VLOOKUP(L231,PARAM!D:E,2,0),VLOOKUP(M231,PARAM!J:K,2,0),VLOOKUP(N231,PARAM!G:H,2,0),VLOOKUP(P231,PARAM!P:Q,2,0),"*"),"")</f>
        <v>*39118030*</v>
      </c>
      <c r="S231" s="18" t="str">
        <f>IFERROR(CONCATENATE(VLOOKUP(L231,PARAM!D:E,2,0),VLOOKUP(M231,PARAM!J:K,2,0),VLOOKUP(N231,PARAM!G:H,2,0),VLOOKUP(O231,PARAM!M:N,2,0),VLOOKUP(P231,PARAM!P:Q,2,0)),"")</f>
        <v>3911801630</v>
      </c>
      <c r="T231" s="18">
        <f t="shared" si="4"/>
        <v>10</v>
      </c>
      <c r="U231" s="18" t="str">
        <f t="shared" si="5"/>
        <v>SACO DAMA MANGA CORTA VARIOS TALLA UN</v>
      </c>
    </row>
    <row r="232">
      <c r="A232" s="64">
        <v>5.0</v>
      </c>
      <c r="B232" s="4" t="s">
        <v>1724</v>
      </c>
      <c r="C232" s="1"/>
      <c r="D232" s="4" t="s">
        <v>1725</v>
      </c>
      <c r="E232" s="3">
        <v>30000.0</v>
      </c>
      <c r="F232" s="2">
        <f t="shared" si="2"/>
        <v>150000</v>
      </c>
      <c r="G232" s="65">
        <f t="shared" si="7"/>
        <v>60000</v>
      </c>
      <c r="H232" s="1"/>
      <c r="I232" s="1"/>
      <c r="J232" s="1"/>
      <c r="K232" s="66" t="s">
        <v>1058</v>
      </c>
      <c r="L232" s="66" t="s">
        <v>1227</v>
      </c>
      <c r="M232" s="66" t="s">
        <v>1060</v>
      </c>
      <c r="N232" s="66" t="s">
        <v>1230</v>
      </c>
      <c r="O232" s="66" t="s">
        <v>1069</v>
      </c>
      <c r="P232" s="67" t="s">
        <v>1103</v>
      </c>
      <c r="Q232" s="18" t="s">
        <v>692</v>
      </c>
      <c r="R232" s="68" t="str">
        <f>IFERROR(CONCATENATE("*",VLOOKUP(L232,PARAM!D:E,2,0),VLOOKUP(M232,PARAM!J:K,2,0),VLOOKUP(N232,PARAM!G:H,2,0),VLOOKUP(P232,PARAM!P:Q,2,0),"*"),"")</f>
        <v>*3919730*</v>
      </c>
      <c r="S232" s="18" t="str">
        <f>IFERROR(CONCATENATE(VLOOKUP(L232,PARAM!D:E,2,0),VLOOKUP(M232,PARAM!J:K,2,0),VLOOKUP(N232,PARAM!G:H,2,0),VLOOKUP(O232,PARAM!M:N,2,0),VLOOKUP(P232,PARAM!P:Q,2,0)),"")</f>
        <v>391971630</v>
      </c>
      <c r="T232" s="18">
        <f t="shared" si="4"/>
        <v>9</v>
      </c>
      <c r="U232" s="18" t="str">
        <f t="shared" si="5"/>
        <v>SACO DAMA CORAZON LOVE VARIOS TALLA UN</v>
      </c>
    </row>
    <row r="233">
      <c r="A233" s="64">
        <v>2.0</v>
      </c>
      <c r="B233" s="4" t="s">
        <v>1726</v>
      </c>
      <c r="C233" s="1"/>
      <c r="D233" s="4" t="s">
        <v>1727</v>
      </c>
      <c r="E233" s="3">
        <v>20000.0</v>
      </c>
      <c r="F233" s="2">
        <f t="shared" si="2"/>
        <v>40000</v>
      </c>
      <c r="G233" s="65">
        <f t="shared" si="7"/>
        <v>40000</v>
      </c>
      <c r="H233" s="1"/>
      <c r="I233" s="1"/>
      <c r="J233" s="1"/>
      <c r="K233" s="66" t="s">
        <v>1058</v>
      </c>
      <c r="L233" s="66" t="s">
        <v>1227</v>
      </c>
      <c r="M233" s="66" t="s">
        <v>1060</v>
      </c>
      <c r="N233" s="66" t="s">
        <v>1231</v>
      </c>
      <c r="O233" s="66" t="s">
        <v>1069</v>
      </c>
      <c r="P233" s="67" t="s">
        <v>1103</v>
      </c>
      <c r="Q233" s="18" t="s">
        <v>692</v>
      </c>
      <c r="R233" s="68" t="str">
        <f>IFERROR(CONCATENATE("*",VLOOKUP(L233,PARAM!D:E,2,0),VLOOKUP(M233,PARAM!J:K,2,0),VLOOKUP(N233,PARAM!G:H,2,0),VLOOKUP(P233,PARAM!P:Q,2,0),"*"),"")</f>
        <v>*39123130*</v>
      </c>
      <c r="S233" s="18" t="str">
        <f>IFERROR(CONCATENATE(VLOOKUP(L233,PARAM!D:E,2,0),VLOOKUP(M233,PARAM!J:K,2,0),VLOOKUP(N233,PARAM!G:H,2,0),VLOOKUP(O233,PARAM!M:N,2,0),VLOOKUP(P233,PARAM!P:Q,2,0)),"")</f>
        <v>3912311630</v>
      </c>
      <c r="T233" s="18">
        <f t="shared" si="4"/>
        <v>10</v>
      </c>
      <c r="U233" s="18" t="str">
        <f t="shared" si="5"/>
        <v>SACO DAMA RAYAS COMBINADAS VARIOS TALLA UN</v>
      </c>
    </row>
    <row r="234">
      <c r="A234" s="64">
        <v>2.0</v>
      </c>
      <c r="B234" s="4" t="s">
        <v>1728</v>
      </c>
      <c r="C234" s="1"/>
      <c r="D234" s="4" t="s">
        <v>1729</v>
      </c>
      <c r="E234" s="3">
        <v>28000.0</v>
      </c>
      <c r="F234" s="2">
        <f t="shared" si="2"/>
        <v>56000</v>
      </c>
      <c r="G234" s="65">
        <f t="shared" si="7"/>
        <v>56000</v>
      </c>
      <c r="H234" s="1"/>
      <c r="I234" s="1"/>
      <c r="J234" s="1"/>
      <c r="K234" s="66" t="s">
        <v>1058</v>
      </c>
      <c r="L234" s="66" t="s">
        <v>1194</v>
      </c>
      <c r="M234" s="66" t="s">
        <v>1060</v>
      </c>
      <c r="N234" s="66" t="s">
        <v>1232</v>
      </c>
      <c r="O234" s="66" t="s">
        <v>1069</v>
      </c>
      <c r="P234" s="67" t="s">
        <v>1103</v>
      </c>
      <c r="Q234" s="18" t="s">
        <v>695</v>
      </c>
      <c r="R234" s="68" t="str">
        <f>IFERROR(CONCATENATE("*",VLOOKUP(L234,PARAM!D:E,2,0),VLOOKUP(M234,PARAM!J:K,2,0),VLOOKUP(N234,PARAM!G:H,2,0),VLOOKUP(P234,PARAM!P:Q,2,0),"*"),"")</f>
        <v>*26123630*</v>
      </c>
      <c r="S234" s="18" t="str">
        <f>IFERROR(CONCATENATE(VLOOKUP(L234,PARAM!D:E,2,0),VLOOKUP(M234,PARAM!J:K,2,0),VLOOKUP(N234,PARAM!G:H,2,0),VLOOKUP(O234,PARAM!M:N,2,0),VLOOKUP(P234,PARAM!P:Q,2,0)),"")</f>
        <v>2612361630</v>
      </c>
      <c r="T234" s="18">
        <f t="shared" si="4"/>
        <v>10</v>
      </c>
      <c r="U234" s="18" t="str">
        <f t="shared" si="5"/>
        <v>BUSOS DAMA RESORTADO CON CAPOTA VARIOS TALLA UN</v>
      </c>
    </row>
    <row r="235">
      <c r="A235" s="64">
        <v>3.0</v>
      </c>
      <c r="B235" s="4" t="s">
        <v>1730</v>
      </c>
      <c r="C235" s="1"/>
      <c r="D235" s="4" t="s">
        <v>1731</v>
      </c>
      <c r="E235" s="3">
        <v>28000.0</v>
      </c>
      <c r="F235" s="2">
        <f t="shared" si="2"/>
        <v>84000</v>
      </c>
      <c r="G235" s="65">
        <f t="shared" si="7"/>
        <v>56000</v>
      </c>
      <c r="H235" s="1"/>
      <c r="I235" s="1"/>
      <c r="J235" s="1"/>
      <c r="K235" s="66" t="s">
        <v>1058</v>
      </c>
      <c r="L235" s="66" t="s">
        <v>1194</v>
      </c>
      <c r="M235" s="66" t="s">
        <v>1060</v>
      </c>
      <c r="N235" s="66" t="s">
        <v>1144</v>
      </c>
      <c r="O235" s="66" t="s">
        <v>1069</v>
      </c>
      <c r="P235" s="67" t="s">
        <v>1103</v>
      </c>
      <c r="Q235" s="18" t="s">
        <v>697</v>
      </c>
      <c r="R235" s="68" t="str">
        <f>IFERROR(CONCATENATE("*",VLOOKUP(L235,PARAM!D:E,2,0),VLOOKUP(M235,PARAM!J:K,2,0),VLOOKUP(N235,PARAM!G:H,2,0),VLOOKUP(P235,PARAM!P:Q,2,0),"*"),"")</f>
        <v>*26110830*</v>
      </c>
      <c r="S235" s="18" t="str">
        <f>IFERROR(CONCATENATE(VLOOKUP(L235,PARAM!D:E,2,0),VLOOKUP(M235,PARAM!J:K,2,0),VLOOKUP(N235,PARAM!G:H,2,0),VLOOKUP(O235,PARAM!M:N,2,0),VLOOKUP(P235,PARAM!P:Q,2,0)),"")</f>
        <v>2611081630</v>
      </c>
      <c r="T235" s="18">
        <f t="shared" si="4"/>
        <v>10</v>
      </c>
      <c r="U235" s="18" t="str">
        <f t="shared" si="5"/>
        <v>BUSOS DAMA CUELLO REDONDO VARIOS TALLA UN</v>
      </c>
    </row>
    <row r="236">
      <c r="A236" s="64">
        <v>3.0</v>
      </c>
      <c r="B236" s="76" t="s">
        <v>1732</v>
      </c>
      <c r="C236" s="1"/>
      <c r="D236" s="4" t="s">
        <v>1733</v>
      </c>
      <c r="E236" s="3">
        <v>14000.0</v>
      </c>
      <c r="F236" s="2">
        <f t="shared" si="2"/>
        <v>42000</v>
      </c>
      <c r="G236" s="65">
        <f t="shared" si="7"/>
        <v>28000</v>
      </c>
      <c r="H236" s="1"/>
      <c r="I236" s="1"/>
      <c r="J236" s="1"/>
      <c r="K236" s="66" t="s">
        <v>1058</v>
      </c>
      <c r="L236" s="66" t="s">
        <v>1171</v>
      </c>
      <c r="M236" s="66" t="s">
        <v>1060</v>
      </c>
      <c r="N236" s="66" t="s">
        <v>1233</v>
      </c>
      <c r="O236" s="66" t="s">
        <v>1069</v>
      </c>
      <c r="P236" s="67" t="s">
        <v>1103</v>
      </c>
      <c r="Q236" s="18" t="s">
        <v>697</v>
      </c>
      <c r="R236" s="68" t="str">
        <f>IFERROR(CONCATENATE("*",VLOOKUP(L236,PARAM!D:E,2,0),VLOOKUP(M236,PARAM!J:K,2,0),VLOOKUP(N236,PARAM!G:H,2,0),VLOOKUP(P236,PARAM!P:Q,2,0),"*"),"")</f>
        <v>*111830*</v>
      </c>
      <c r="S236" s="18" t="str">
        <f>IFERROR(CONCATENATE(VLOOKUP(L236,PARAM!D:E,2,0),VLOOKUP(M236,PARAM!J:K,2,0),VLOOKUP(N236,PARAM!G:H,2,0),VLOOKUP(O236,PARAM!M:N,2,0),VLOOKUP(P236,PARAM!P:Q,2,0)),"")</f>
        <v>11181630</v>
      </c>
      <c r="T236" s="18">
        <f t="shared" si="4"/>
        <v>8</v>
      </c>
      <c r="U236" s="18" t="str">
        <f t="shared" si="5"/>
        <v>CAMISETAS DAMA ACANALADA VARIOS TALLA UN</v>
      </c>
    </row>
    <row r="237">
      <c r="A237" s="64">
        <v>2.0</v>
      </c>
      <c r="B237" s="76" t="s">
        <v>1734</v>
      </c>
      <c r="C237" s="1"/>
      <c r="D237" s="4" t="s">
        <v>1735</v>
      </c>
      <c r="E237" s="3">
        <v>14000.0</v>
      </c>
      <c r="F237" s="2">
        <f t="shared" si="2"/>
        <v>28000</v>
      </c>
      <c r="G237" s="65">
        <f t="shared" si="7"/>
        <v>28000</v>
      </c>
      <c r="H237" s="1"/>
      <c r="I237" s="1"/>
      <c r="J237" s="1"/>
      <c r="K237" s="66" t="s">
        <v>1058</v>
      </c>
      <c r="L237" s="66" t="s">
        <v>1234</v>
      </c>
      <c r="M237" s="66" t="s">
        <v>1060</v>
      </c>
      <c r="N237" s="66" t="s">
        <v>1235</v>
      </c>
      <c r="O237" s="66" t="s">
        <v>1069</v>
      </c>
      <c r="P237" s="67" t="s">
        <v>1103</v>
      </c>
      <c r="Q237" s="18" t="s">
        <v>697</v>
      </c>
      <c r="R237" s="68" t="str">
        <f>IFERROR(CONCATENATE("*",VLOOKUP(L237,PARAM!D:E,2,0),VLOOKUP(M237,PARAM!J:K,2,0),VLOOKUP(N237,PARAM!G:H,2,0),VLOOKUP(P237,PARAM!P:Q,2,0),"*"),"")</f>
        <v>*371930*</v>
      </c>
      <c r="S237" s="18" t="str">
        <f>IFERROR(CONCATENATE(VLOOKUP(L237,PARAM!D:E,2,0),VLOOKUP(M237,PARAM!J:K,2,0),VLOOKUP(N237,PARAM!G:H,2,0),VLOOKUP(O237,PARAM!M:N,2,0),VLOOKUP(P237,PARAM!P:Q,2,0)),"")</f>
        <v>37191630</v>
      </c>
      <c r="T237" s="18">
        <f t="shared" si="4"/>
        <v>8</v>
      </c>
      <c r="U237" s="18" t="str">
        <f t="shared" si="5"/>
        <v>ESQUELETO DAMA ACANALADO CORTO VARIOS TALLA UN</v>
      </c>
    </row>
    <row r="238">
      <c r="A238" s="64">
        <v>3.0</v>
      </c>
      <c r="B238" s="76" t="s">
        <v>1736</v>
      </c>
      <c r="C238" s="1"/>
      <c r="D238" s="4" t="s">
        <v>1737</v>
      </c>
      <c r="E238" s="3">
        <v>16000.0</v>
      </c>
      <c r="F238" s="2">
        <f t="shared" si="2"/>
        <v>48000</v>
      </c>
      <c r="G238" s="65">
        <f t="shared" si="7"/>
        <v>32000</v>
      </c>
      <c r="H238" s="1"/>
      <c r="I238" s="1"/>
      <c r="J238" s="1"/>
      <c r="K238" s="66" t="s">
        <v>1058</v>
      </c>
      <c r="L238" s="66" t="s">
        <v>1171</v>
      </c>
      <c r="M238" s="66" t="s">
        <v>1060</v>
      </c>
      <c r="N238" s="66" t="s">
        <v>1236</v>
      </c>
      <c r="O238" s="66" t="s">
        <v>1069</v>
      </c>
      <c r="P238" s="67" t="s">
        <v>1103</v>
      </c>
      <c r="Q238" s="18" t="s">
        <v>697</v>
      </c>
      <c r="R238" s="68" t="str">
        <f>IFERROR(CONCATENATE("*",VLOOKUP(L238,PARAM!D:E,2,0),VLOOKUP(M238,PARAM!J:K,2,0),VLOOKUP(N238,PARAM!G:H,2,0),VLOOKUP(P238,PARAM!P:Q,2,0),"*"),"")</f>
        <v>*1111030*</v>
      </c>
      <c r="S238" s="18" t="str">
        <f>IFERROR(CONCATENATE(VLOOKUP(L238,PARAM!D:E,2,0),VLOOKUP(M238,PARAM!J:K,2,0),VLOOKUP(N238,PARAM!G:H,2,0),VLOOKUP(O238,PARAM!M:N,2,0),VLOOKUP(P238,PARAM!P:Q,2,0)),"")</f>
        <v>111101630</v>
      </c>
      <c r="T238" s="18">
        <f t="shared" si="4"/>
        <v>9</v>
      </c>
      <c r="U238" s="18" t="str">
        <f t="shared" si="5"/>
        <v>CAMISETAS DAMA ACANALADO LARGO VARIOS TALLA UN</v>
      </c>
    </row>
    <row r="239">
      <c r="A239" s="64">
        <v>2.0</v>
      </c>
      <c r="B239" s="76" t="s">
        <v>1738</v>
      </c>
      <c r="C239" s="1"/>
      <c r="D239" s="4" t="s">
        <v>1739</v>
      </c>
      <c r="E239" s="3">
        <v>16000.0</v>
      </c>
      <c r="F239" s="2">
        <f t="shared" si="2"/>
        <v>32000</v>
      </c>
      <c r="G239" s="65">
        <f t="shared" si="7"/>
        <v>32000</v>
      </c>
      <c r="H239" s="1"/>
      <c r="I239" s="1"/>
      <c r="J239" s="1"/>
      <c r="K239" s="66" t="s">
        <v>1058</v>
      </c>
      <c r="L239" s="66" t="s">
        <v>1234</v>
      </c>
      <c r="M239" s="66" t="s">
        <v>1060</v>
      </c>
      <c r="N239" s="66" t="s">
        <v>1236</v>
      </c>
      <c r="O239" s="66" t="s">
        <v>1069</v>
      </c>
      <c r="P239" s="67" t="s">
        <v>1103</v>
      </c>
      <c r="Q239" s="18" t="s">
        <v>697</v>
      </c>
      <c r="R239" s="68" t="str">
        <f>IFERROR(CONCATENATE("*",VLOOKUP(L239,PARAM!D:E,2,0),VLOOKUP(M239,PARAM!J:K,2,0),VLOOKUP(N239,PARAM!G:H,2,0),VLOOKUP(P239,PARAM!P:Q,2,0),"*"),"")</f>
        <v>*3711030*</v>
      </c>
      <c r="S239" s="18" t="str">
        <f>IFERROR(CONCATENATE(VLOOKUP(L239,PARAM!D:E,2,0),VLOOKUP(M239,PARAM!J:K,2,0),VLOOKUP(N239,PARAM!G:H,2,0),VLOOKUP(O239,PARAM!M:N,2,0),VLOOKUP(P239,PARAM!P:Q,2,0)),"")</f>
        <v>371101630</v>
      </c>
      <c r="T239" s="18">
        <f t="shared" si="4"/>
        <v>9</v>
      </c>
      <c r="U239" s="18" t="str">
        <f t="shared" si="5"/>
        <v>ESQUELETO DAMA ACANALADO LARGO VARIOS TALLA UN</v>
      </c>
    </row>
    <row r="240">
      <c r="A240" s="64">
        <v>4.0</v>
      </c>
      <c r="B240" s="4" t="s">
        <v>1740</v>
      </c>
      <c r="C240" s="1"/>
      <c r="D240" s="4" t="s">
        <v>1741</v>
      </c>
      <c r="E240" s="3">
        <v>17000.0</v>
      </c>
      <c r="F240" s="2">
        <f t="shared" si="2"/>
        <v>68000</v>
      </c>
      <c r="G240" s="65">
        <f t="shared" si="7"/>
        <v>34000</v>
      </c>
      <c r="H240" s="1"/>
      <c r="I240" s="1"/>
      <c r="J240" s="1"/>
      <c r="K240" s="66" t="s">
        <v>1058</v>
      </c>
      <c r="L240" s="66" t="s">
        <v>1171</v>
      </c>
      <c r="M240" s="66" t="s">
        <v>1060</v>
      </c>
      <c r="N240" s="66" t="s">
        <v>1237</v>
      </c>
      <c r="O240" s="66" t="s">
        <v>1069</v>
      </c>
      <c r="P240" s="67" t="s">
        <v>1103</v>
      </c>
      <c r="Q240" s="18" t="s">
        <v>697</v>
      </c>
      <c r="R240" s="68" t="str">
        <f>IFERROR(CONCATENATE("*",VLOOKUP(L240,PARAM!D:E,2,0),VLOOKUP(M240,PARAM!J:K,2,0),VLOOKUP(N240,PARAM!G:H,2,0),VLOOKUP(P240,PARAM!P:Q,2,0),"*"),"")</f>
        <v>*11124830*</v>
      </c>
      <c r="S240" s="18" t="str">
        <f>IFERROR(CONCATENATE(VLOOKUP(L240,PARAM!D:E,2,0),VLOOKUP(M240,PARAM!J:K,2,0),VLOOKUP(N240,PARAM!G:H,2,0),VLOOKUP(O240,PARAM!M:N,2,0),VLOOKUP(P240,PARAM!P:Q,2,0)),"")</f>
        <v>1112481630</v>
      </c>
      <c r="T240" s="18">
        <f t="shared" si="4"/>
        <v>10</v>
      </c>
      <c r="U240" s="18" t="str">
        <f t="shared" si="5"/>
        <v>CAMISETAS DAMA SEDA FRIA VARIOS TALLA UN</v>
      </c>
    </row>
    <row r="241">
      <c r="A241" s="64">
        <v>4.0</v>
      </c>
      <c r="B241" s="4" t="s">
        <v>1742</v>
      </c>
      <c r="C241" s="1"/>
      <c r="D241" s="4" t="s">
        <v>1742</v>
      </c>
      <c r="E241" s="3">
        <v>10000.0</v>
      </c>
      <c r="F241" s="2">
        <f t="shared" si="2"/>
        <v>40000</v>
      </c>
      <c r="G241" s="65">
        <f t="shared" si="7"/>
        <v>20000</v>
      </c>
      <c r="H241" s="1"/>
      <c r="I241" s="1"/>
      <c r="J241" s="1"/>
      <c r="K241" s="66" t="s">
        <v>1187</v>
      </c>
      <c r="L241" s="66" t="s">
        <v>1238</v>
      </c>
      <c r="M241" s="66" t="s">
        <v>1101</v>
      </c>
      <c r="N241" s="66" t="s">
        <v>1239</v>
      </c>
      <c r="O241" s="66" t="s">
        <v>1069</v>
      </c>
      <c r="P241" s="67" t="s">
        <v>1070</v>
      </c>
      <c r="Q241" s="18" t="s">
        <v>704</v>
      </c>
      <c r="R241" s="68" t="str">
        <f>IFERROR(CONCATENATE("*",VLOOKUP(L241,PARAM!D:E,2,0),VLOOKUP(M241,PARAM!J:K,2,0),VLOOKUP(N241,PARAM!G:H,2,0),VLOOKUP(P241,PARAM!P:Q,2,0),"*"),"")</f>
        <v>*27314631*</v>
      </c>
      <c r="S241" s="18" t="str">
        <f>IFERROR(CONCATENATE(VLOOKUP(L241,PARAM!D:E,2,0),VLOOKUP(M241,PARAM!J:K,2,0),VLOOKUP(N241,PARAM!G:H,2,0),VLOOKUP(O241,PARAM!M:N,2,0),VLOOKUP(P241,PARAM!P:Q,2,0)),"")</f>
        <v>2731461631</v>
      </c>
      <c r="T241" s="18">
        <f t="shared" si="4"/>
        <v>10</v>
      </c>
      <c r="U241" s="18" t="str">
        <f t="shared" si="5"/>
        <v>CANILLERAS UNISEX IMPORTADA VARIOS TALLA VA</v>
      </c>
    </row>
    <row r="242">
      <c r="A242" s="64">
        <v>3.0</v>
      </c>
      <c r="B242" s="4" t="s">
        <v>1743</v>
      </c>
      <c r="C242" s="1"/>
      <c r="D242" s="4" t="s">
        <v>1744</v>
      </c>
      <c r="E242" s="3">
        <v>7000.0</v>
      </c>
      <c r="F242" s="2">
        <f t="shared" si="2"/>
        <v>21000</v>
      </c>
      <c r="G242" s="65">
        <f t="shared" si="7"/>
        <v>14000</v>
      </c>
      <c r="H242" s="1"/>
      <c r="I242" s="1"/>
      <c r="J242" s="1"/>
      <c r="K242" s="66" t="s">
        <v>1187</v>
      </c>
      <c r="L242" s="66" t="s">
        <v>1238</v>
      </c>
      <c r="M242" s="66" t="s">
        <v>1240</v>
      </c>
      <c r="N242" s="66" t="s">
        <v>1241</v>
      </c>
      <c r="O242" s="66" t="s">
        <v>1069</v>
      </c>
      <c r="P242" s="67" t="s">
        <v>1070</v>
      </c>
      <c r="Q242" s="18" t="s">
        <v>704</v>
      </c>
      <c r="R242" s="68" t="str">
        <f>IFERROR(CONCATENATE("*",VLOOKUP(L242,PARAM!D:E,2,0),VLOOKUP(M242,PARAM!J:K,2,0),VLOOKUP(N242,PARAM!G:H,2,0),VLOOKUP(P242,PARAM!P:Q,2,0),"*"),"")</f>
        <v>*27412731*</v>
      </c>
      <c r="S242" s="18" t="str">
        <f>IFERROR(CONCATENATE(VLOOKUP(L242,PARAM!D:E,2,0),VLOOKUP(M242,PARAM!J:K,2,0),VLOOKUP(N242,PARAM!G:H,2,0),VLOOKUP(O242,PARAM!M:N,2,0),VLOOKUP(P242,PARAM!P:Q,2,0)),"")</f>
        <v>2741271631</v>
      </c>
      <c r="T242" s="18">
        <f t="shared" si="4"/>
        <v>10</v>
      </c>
      <c r="U242" s="18" t="str">
        <f t="shared" si="5"/>
        <v>CANILLERAS NIÑO EQUIPOS VARIOS TALLA VA</v>
      </c>
    </row>
    <row r="243">
      <c r="A243" s="64">
        <v>2.0</v>
      </c>
      <c r="B243" s="4" t="s">
        <v>1745</v>
      </c>
      <c r="C243" s="1"/>
      <c r="D243" s="4" t="s">
        <v>1746</v>
      </c>
      <c r="E243" s="3">
        <v>6000.0</v>
      </c>
      <c r="F243" s="2">
        <f t="shared" si="2"/>
        <v>12000</v>
      </c>
      <c r="G243" s="65">
        <f t="shared" si="7"/>
        <v>12000</v>
      </c>
      <c r="H243" s="1"/>
      <c r="I243" s="1"/>
      <c r="J243" s="1"/>
      <c r="K243" s="66" t="s">
        <v>1187</v>
      </c>
      <c r="L243" s="66" t="s">
        <v>1238</v>
      </c>
      <c r="M243" s="66" t="s">
        <v>1240</v>
      </c>
      <c r="N243" s="66" t="s">
        <v>1242</v>
      </c>
      <c r="O243" s="66" t="s">
        <v>1069</v>
      </c>
      <c r="P243" s="67" t="s">
        <v>1070</v>
      </c>
      <c r="Q243" s="18" t="s">
        <v>704</v>
      </c>
      <c r="R243" s="68" t="str">
        <f>IFERROR(CONCATENATE("*",VLOOKUP(L243,PARAM!D:E,2,0),VLOOKUP(M243,PARAM!J:K,2,0),VLOOKUP(N243,PARAM!G:H,2,0),VLOOKUP(P243,PARAM!P:Q,2,0),"*"),"")</f>
        <v>*2746531*</v>
      </c>
      <c r="S243" s="18" t="str">
        <f>IFERROR(CONCATENATE(VLOOKUP(L243,PARAM!D:E,2,0),VLOOKUP(M243,PARAM!J:K,2,0),VLOOKUP(N243,PARAM!G:H,2,0),VLOOKUP(O243,PARAM!M:N,2,0),VLOOKUP(P243,PARAM!P:Q,2,0)),"")</f>
        <v>274651631</v>
      </c>
      <c r="T243" s="18">
        <f t="shared" si="4"/>
        <v>9</v>
      </c>
      <c r="U243" s="18" t="str">
        <f t="shared" si="5"/>
        <v>CANILLERAS NIÑO CAMPEON VARIOS TALLA VA</v>
      </c>
    </row>
    <row r="244">
      <c r="A244" s="64">
        <v>1.0</v>
      </c>
      <c r="B244" s="4" t="s">
        <v>1747</v>
      </c>
      <c r="C244" s="1"/>
      <c r="D244" s="4" t="s">
        <v>1748</v>
      </c>
      <c r="E244" s="3">
        <v>4500.0</v>
      </c>
      <c r="F244" s="2">
        <f t="shared" si="2"/>
        <v>4500</v>
      </c>
      <c r="G244" s="65">
        <f t="shared" si="7"/>
        <v>9000</v>
      </c>
      <c r="H244" s="1"/>
      <c r="I244" s="1"/>
      <c r="J244" s="1"/>
      <c r="K244" s="66" t="s">
        <v>1187</v>
      </c>
      <c r="L244" s="66" t="s">
        <v>1238</v>
      </c>
      <c r="M244" s="66" t="s">
        <v>1240</v>
      </c>
      <c r="N244" s="66" t="s">
        <v>1243</v>
      </c>
      <c r="O244" s="66" t="s">
        <v>1069</v>
      </c>
      <c r="P244" s="67" t="s">
        <v>1070</v>
      </c>
      <c r="Q244" s="18" t="s">
        <v>704</v>
      </c>
      <c r="R244" s="68" t="str">
        <f>IFERROR(CONCATENATE("*",VLOOKUP(L244,PARAM!D:E,2,0),VLOOKUP(M244,PARAM!J:K,2,0),VLOOKUP(N244,PARAM!G:H,2,0),VLOOKUP(P244,PARAM!P:Q,2,0),"*"),"")</f>
        <v>*27412431*</v>
      </c>
      <c r="S244" s="18" t="str">
        <f>IFERROR(CONCATENATE(VLOOKUP(L244,PARAM!D:E,2,0),VLOOKUP(M244,PARAM!J:K,2,0),VLOOKUP(N244,PARAM!G:H,2,0),VLOOKUP(O244,PARAM!M:N,2,0),VLOOKUP(P244,PARAM!P:Q,2,0)),"")</f>
        <v>2741241631</v>
      </c>
      <c r="T244" s="18">
        <f t="shared" si="4"/>
        <v>10</v>
      </c>
      <c r="U244" s="18" t="str">
        <f t="shared" si="5"/>
        <v>CANILLERAS NIÑO ECONOMICA VARIOS TALLA VA</v>
      </c>
    </row>
    <row r="245">
      <c r="A245" s="64">
        <v>3.0</v>
      </c>
      <c r="B245" s="4" t="s">
        <v>1749</v>
      </c>
      <c r="C245" s="1"/>
      <c r="D245" s="4" t="s">
        <v>1750</v>
      </c>
      <c r="E245" s="3">
        <v>8000.0</v>
      </c>
      <c r="F245" s="2">
        <f t="shared" si="2"/>
        <v>24000</v>
      </c>
      <c r="G245" s="65">
        <f t="shared" si="7"/>
        <v>16000</v>
      </c>
      <c r="H245" s="1"/>
      <c r="I245" s="1"/>
      <c r="J245" s="1"/>
      <c r="K245" s="66" t="s">
        <v>1187</v>
      </c>
      <c r="L245" s="66" t="s">
        <v>1238</v>
      </c>
      <c r="M245" s="66" t="s">
        <v>1101</v>
      </c>
      <c r="N245" s="18" t="s">
        <v>1244</v>
      </c>
      <c r="O245" s="66" t="s">
        <v>1069</v>
      </c>
      <c r="P245" s="67" t="s">
        <v>1070</v>
      </c>
      <c r="Q245" s="18" t="s">
        <v>704</v>
      </c>
      <c r="R245" s="68" t="str">
        <f>IFERROR(CONCATENATE("*",VLOOKUP(L245,PARAM!D:E,2,0),VLOOKUP(M245,PARAM!J:K,2,0),VLOOKUP(N245,PARAM!G:H,2,0),VLOOKUP(P245,PARAM!P:Q,2,0),"*"),"")</f>
        <v>*2736931*</v>
      </c>
      <c r="S245" s="18" t="str">
        <f>IFERROR(CONCATENATE(VLOOKUP(L245,PARAM!D:E,2,0),VLOOKUP(M245,PARAM!J:K,2,0),VLOOKUP(N245,PARAM!G:H,2,0),VLOOKUP(O245,PARAM!M:N,2,0),VLOOKUP(P245,PARAM!P:Q,2,0)),"")</f>
        <v>273691631</v>
      </c>
      <c r="T245" s="18">
        <f t="shared" si="4"/>
        <v>9</v>
      </c>
      <c r="U245" s="18" t="str">
        <f t="shared" si="5"/>
        <v>CANILLERAS UNISEX CANILLERA ADULTO VARIOS TALLA VA</v>
      </c>
    </row>
    <row r="246">
      <c r="A246" s="64">
        <v>16.0</v>
      </c>
      <c r="B246" s="4" t="s">
        <v>1751</v>
      </c>
      <c r="C246" s="1"/>
      <c r="D246" s="4" t="s">
        <v>1752</v>
      </c>
      <c r="E246" s="3">
        <v>4500.0</v>
      </c>
      <c r="F246" s="2">
        <f t="shared" si="2"/>
        <v>72000</v>
      </c>
      <c r="G246" s="65">
        <f t="shared" si="7"/>
        <v>9000</v>
      </c>
      <c r="H246" s="1"/>
      <c r="I246" s="1"/>
      <c r="J246" s="1"/>
      <c r="K246" s="66" t="s">
        <v>1187</v>
      </c>
      <c r="L246" s="66" t="s">
        <v>426</v>
      </c>
      <c r="M246" s="66" t="s">
        <v>1101</v>
      </c>
      <c r="N246" s="66" t="s">
        <v>1243</v>
      </c>
      <c r="O246" s="66" t="s">
        <v>1069</v>
      </c>
      <c r="P246" s="67" t="s">
        <v>1070</v>
      </c>
      <c r="Q246" s="18" t="s">
        <v>704</v>
      </c>
      <c r="R246" s="68" t="str">
        <f>IFERROR(CONCATENATE("*",VLOOKUP(L246,PARAM!D:E,2,0),VLOOKUP(M246,PARAM!J:K,2,0),VLOOKUP(N246,PARAM!G:H,2,0),VLOOKUP(P246,PARAM!P:Q,2,0),"*"),"")</f>
        <v>*24312431*</v>
      </c>
      <c r="S246" s="18" t="str">
        <f>IFERROR(CONCATENATE(VLOOKUP(L246,PARAM!D:E,2,0),VLOOKUP(M246,PARAM!J:K,2,0),VLOOKUP(N246,PARAM!G:H,2,0),VLOOKUP(O246,PARAM!M:N,2,0),VLOOKUP(P246,PARAM!P:Q,2,0)),"")</f>
        <v>2431241631</v>
      </c>
      <c r="T246" s="18">
        <f t="shared" si="4"/>
        <v>10</v>
      </c>
      <c r="U246" s="18" t="str">
        <f t="shared" si="5"/>
        <v>MEDIAS UNISEX ECONOMICA VARIOS TALLA VA</v>
      </c>
    </row>
    <row r="247">
      <c r="A247" s="64">
        <v>16.0</v>
      </c>
      <c r="B247" s="4" t="s">
        <v>1753</v>
      </c>
      <c r="C247" s="1"/>
      <c r="D247" s="4" t="s">
        <v>1754</v>
      </c>
      <c r="E247" s="3">
        <v>8000.0</v>
      </c>
      <c r="F247" s="2">
        <f t="shared" si="2"/>
        <v>128000</v>
      </c>
      <c r="G247" s="65">
        <f t="shared" si="7"/>
        <v>16000</v>
      </c>
      <c r="H247" s="1"/>
      <c r="I247" s="1"/>
      <c r="J247" s="1"/>
      <c r="K247" s="66" t="s">
        <v>1187</v>
      </c>
      <c r="L247" s="66" t="s">
        <v>426</v>
      </c>
      <c r="M247" s="66" t="s">
        <v>1101</v>
      </c>
      <c r="N247" s="18" t="s">
        <v>1245</v>
      </c>
      <c r="O247" s="66" t="s">
        <v>1069</v>
      </c>
      <c r="P247" s="67" t="s">
        <v>1070</v>
      </c>
      <c r="Q247" s="18" t="s">
        <v>704</v>
      </c>
      <c r="R247" s="68" t="str">
        <f>IFERROR(CONCATENATE("*",VLOOKUP(L247,PARAM!D:E,2,0),VLOOKUP(M247,PARAM!J:K,2,0),VLOOKUP(N247,PARAM!G:H,2,0),VLOOKUP(P247,PARAM!P:Q,2,0),"*"),"")</f>
        <v>*24313531*</v>
      </c>
      <c r="S247" s="18" t="str">
        <f>IFERROR(CONCATENATE(VLOOKUP(L247,PARAM!D:E,2,0),VLOOKUP(M247,PARAM!J:K,2,0),VLOOKUP(N247,PARAM!G:H,2,0),VLOOKUP(O247,PARAM!M:N,2,0),VLOOKUP(P247,PARAM!P:Q,2,0)),"")</f>
        <v>2431351631</v>
      </c>
      <c r="T247" s="18">
        <f t="shared" si="4"/>
        <v>10</v>
      </c>
      <c r="U247" s="18" t="str">
        <f t="shared" si="5"/>
        <v>MEDIAS UNISEX FINA MEDIA VARIOS TALLA VA</v>
      </c>
    </row>
    <row r="248">
      <c r="A248" s="64">
        <v>1.0</v>
      </c>
      <c r="B248" s="4" t="s">
        <v>1755</v>
      </c>
      <c r="C248" s="1"/>
      <c r="D248" s="4" t="s">
        <v>1756</v>
      </c>
      <c r="E248" s="3">
        <v>39000.0</v>
      </c>
      <c r="F248" s="2">
        <f t="shared" si="2"/>
        <v>39000</v>
      </c>
      <c r="G248" s="65">
        <f t="shared" si="7"/>
        <v>78000</v>
      </c>
      <c r="H248" s="1"/>
      <c r="I248" s="1"/>
      <c r="J248" s="1"/>
      <c r="K248" s="66" t="s">
        <v>1058</v>
      </c>
      <c r="L248" s="66" t="s">
        <v>1162</v>
      </c>
      <c r="M248" s="66" t="s">
        <v>1060</v>
      </c>
      <c r="N248" s="66" t="s">
        <v>1246</v>
      </c>
      <c r="O248" s="66" t="s">
        <v>1069</v>
      </c>
      <c r="P248" s="67" t="s">
        <v>1077</v>
      </c>
      <c r="Q248" s="18" t="s">
        <v>712</v>
      </c>
      <c r="R248" s="68" t="str">
        <f>IFERROR(CONCATENATE("*",VLOOKUP(L248,PARAM!D:E,2,0),VLOOKUP(M248,PARAM!J:K,2,0),VLOOKUP(N248,PARAM!G:H,2,0),VLOOKUP(P248,PARAM!P:Q,2,0),"*"),"")</f>
        <v>*25124232*</v>
      </c>
      <c r="S248" s="18" t="str">
        <f>IFERROR(CONCATENATE(VLOOKUP(L248,PARAM!D:E,2,0),VLOOKUP(M248,PARAM!J:K,2,0),VLOOKUP(N248,PARAM!G:H,2,0),VLOOKUP(O248,PARAM!M:N,2,0),VLOOKUP(P248,PARAM!P:Q,2,0)),"")</f>
        <v>2512421632</v>
      </c>
      <c r="T248" s="18">
        <f t="shared" si="4"/>
        <v>10</v>
      </c>
      <c r="U248" s="18" t="str">
        <f t="shared" si="5"/>
        <v>CHAQUETAS DAMA ROMBOS VARIOS TALLA XL</v>
      </c>
    </row>
    <row r="249">
      <c r="A249" s="64">
        <v>1.0</v>
      </c>
      <c r="B249" s="4" t="s">
        <v>1755</v>
      </c>
      <c r="C249" s="1"/>
      <c r="D249" s="4" t="s">
        <v>1756</v>
      </c>
      <c r="E249" s="3">
        <v>39000.0</v>
      </c>
      <c r="F249" s="2">
        <f t="shared" si="2"/>
        <v>39000</v>
      </c>
      <c r="G249" s="65">
        <f t="shared" si="7"/>
        <v>78000</v>
      </c>
      <c r="H249" s="1"/>
      <c r="I249" s="1"/>
      <c r="J249" s="1"/>
      <c r="K249" s="66" t="s">
        <v>1058</v>
      </c>
      <c r="L249" s="66" t="s">
        <v>1162</v>
      </c>
      <c r="M249" s="66" t="s">
        <v>1060</v>
      </c>
      <c r="N249" s="66" t="s">
        <v>1246</v>
      </c>
      <c r="O249" s="66" t="s">
        <v>1069</v>
      </c>
      <c r="P249" s="67" t="s">
        <v>1164</v>
      </c>
      <c r="Q249" s="18" t="s">
        <v>712</v>
      </c>
      <c r="R249" s="68" t="str">
        <f>IFERROR(CONCATENATE("*",VLOOKUP(L249,PARAM!D:E,2,0),VLOOKUP(M249,PARAM!J:K,2,0),VLOOKUP(N249,PARAM!G:H,2,0),VLOOKUP(P249,PARAM!P:Q,2,0),"*"),"")</f>
        <v>*25124225*</v>
      </c>
      <c r="S249" s="18" t="str">
        <f>IFERROR(CONCATENATE(VLOOKUP(L249,PARAM!D:E,2,0),VLOOKUP(M249,PARAM!J:K,2,0),VLOOKUP(N249,PARAM!G:H,2,0),VLOOKUP(O249,PARAM!M:N,2,0),VLOOKUP(P249,PARAM!P:Q,2,0)),"")</f>
        <v>2512421625</v>
      </c>
      <c r="T249" s="18">
        <f t="shared" si="4"/>
        <v>10</v>
      </c>
      <c r="U249" s="18" t="str">
        <f t="shared" si="5"/>
        <v>CHAQUETAS DAMA ROMBOS VARIOS TALLA M</v>
      </c>
    </row>
    <row r="250">
      <c r="A250" s="64">
        <v>1.0</v>
      </c>
      <c r="B250" s="4" t="s">
        <v>1755</v>
      </c>
      <c r="C250" s="1"/>
      <c r="D250" s="4" t="s">
        <v>1756</v>
      </c>
      <c r="E250" s="3">
        <v>39000.0</v>
      </c>
      <c r="F250" s="2">
        <f t="shared" si="2"/>
        <v>39000</v>
      </c>
      <c r="G250" s="65">
        <f t="shared" si="7"/>
        <v>78000</v>
      </c>
      <c r="H250" s="1"/>
      <c r="I250" s="1"/>
      <c r="J250" s="1"/>
      <c r="K250" s="66" t="s">
        <v>1058</v>
      </c>
      <c r="L250" s="66" t="s">
        <v>1162</v>
      </c>
      <c r="M250" s="66" t="s">
        <v>1060</v>
      </c>
      <c r="N250" s="66" t="s">
        <v>1246</v>
      </c>
      <c r="O250" s="66" t="s">
        <v>1069</v>
      </c>
      <c r="P250" s="67" t="s">
        <v>1168</v>
      </c>
      <c r="Q250" s="18" t="s">
        <v>712</v>
      </c>
      <c r="R250" s="68" t="str">
        <f>IFERROR(CONCATENATE("*",VLOOKUP(L250,PARAM!D:E,2,0),VLOOKUP(M250,PARAM!J:K,2,0),VLOOKUP(N250,PARAM!G:H,2,0),VLOOKUP(P250,PARAM!P:Q,2,0),"*"),"")</f>
        <v>*25124227*</v>
      </c>
      <c r="S250" s="18" t="str">
        <f>IFERROR(CONCATENATE(VLOOKUP(L250,PARAM!D:E,2,0),VLOOKUP(M250,PARAM!J:K,2,0),VLOOKUP(N250,PARAM!G:H,2,0),VLOOKUP(O250,PARAM!M:N,2,0),VLOOKUP(P250,PARAM!P:Q,2,0)),"")</f>
        <v>2512421627</v>
      </c>
      <c r="T250" s="18">
        <f t="shared" si="4"/>
        <v>10</v>
      </c>
      <c r="U250" s="18" t="str">
        <f t="shared" si="5"/>
        <v>CHAQUETAS DAMA ROMBOS VARIOS TALLA S</v>
      </c>
    </row>
    <row r="251">
      <c r="A251" s="64">
        <v>1.0</v>
      </c>
      <c r="B251" s="4" t="s">
        <v>1755</v>
      </c>
      <c r="C251" s="1"/>
      <c r="D251" s="4" t="s">
        <v>1756</v>
      </c>
      <c r="E251" s="3">
        <v>39000.0</v>
      </c>
      <c r="F251" s="2">
        <f t="shared" si="2"/>
        <v>39000</v>
      </c>
      <c r="G251" s="65">
        <f t="shared" si="7"/>
        <v>78000</v>
      </c>
      <c r="H251" s="1"/>
      <c r="I251" s="1"/>
      <c r="J251" s="1"/>
      <c r="K251" s="66" t="s">
        <v>1058</v>
      </c>
      <c r="L251" s="66" t="s">
        <v>1162</v>
      </c>
      <c r="M251" s="66" t="s">
        <v>1060</v>
      </c>
      <c r="N251" s="66" t="s">
        <v>1246</v>
      </c>
      <c r="O251" s="66" t="s">
        <v>1069</v>
      </c>
      <c r="P251" s="67" t="s">
        <v>1165</v>
      </c>
      <c r="Q251" s="18" t="s">
        <v>712</v>
      </c>
      <c r="R251" s="68" t="str">
        <f>IFERROR(CONCATENATE("*",VLOOKUP(L251,PARAM!D:E,2,0),VLOOKUP(M251,PARAM!J:K,2,0),VLOOKUP(N251,PARAM!G:H,2,0),VLOOKUP(P251,PARAM!P:Q,2,0),"*"),"")</f>
        <v>*25124223*</v>
      </c>
      <c r="S251" s="18" t="str">
        <f>IFERROR(CONCATENATE(VLOOKUP(L251,PARAM!D:E,2,0),VLOOKUP(M251,PARAM!J:K,2,0),VLOOKUP(N251,PARAM!G:H,2,0),VLOOKUP(O251,PARAM!M:N,2,0),VLOOKUP(P251,PARAM!P:Q,2,0)),"")</f>
        <v>2512421623</v>
      </c>
      <c r="T251" s="18">
        <f t="shared" si="4"/>
        <v>10</v>
      </c>
      <c r="U251" s="18" t="str">
        <f t="shared" si="5"/>
        <v>CHAQUETAS DAMA ROMBOS VARIOS TALLA L</v>
      </c>
    </row>
    <row r="252">
      <c r="A252" s="64">
        <v>1.0</v>
      </c>
      <c r="B252" s="4" t="s">
        <v>1757</v>
      </c>
      <c r="C252" s="1"/>
      <c r="D252" s="4" t="s">
        <v>1758</v>
      </c>
      <c r="E252" s="3">
        <v>52000.0</v>
      </c>
      <c r="F252" s="2">
        <f t="shared" si="2"/>
        <v>52000</v>
      </c>
      <c r="G252" s="65">
        <f t="shared" si="7"/>
        <v>104000</v>
      </c>
      <c r="H252" s="1"/>
      <c r="I252" s="1"/>
      <c r="J252" s="1"/>
      <c r="K252" s="66" t="s">
        <v>1058</v>
      </c>
      <c r="L252" s="66" t="s">
        <v>1162</v>
      </c>
      <c r="M252" s="66" t="s">
        <v>1060</v>
      </c>
      <c r="N252" s="66" t="s">
        <v>1247</v>
      </c>
      <c r="O252" s="66" t="s">
        <v>1069</v>
      </c>
      <c r="P252" s="67" t="s">
        <v>1168</v>
      </c>
      <c r="Q252" s="18" t="s">
        <v>712</v>
      </c>
      <c r="R252" s="68" t="str">
        <f>IFERROR(CONCATENATE("*",VLOOKUP(L252,PARAM!D:E,2,0),VLOOKUP(M252,PARAM!J:K,2,0),VLOOKUP(N252,PARAM!G:H,2,0),VLOOKUP(P252,PARAM!P:Q,2,0),"*"),"")</f>
        <v>*25120027*</v>
      </c>
      <c r="S252" s="18" t="str">
        <f>IFERROR(CONCATENATE(VLOOKUP(L252,PARAM!D:E,2,0),VLOOKUP(M252,PARAM!J:K,2,0),VLOOKUP(N252,PARAM!G:H,2,0),VLOOKUP(O252,PARAM!M:N,2,0),VLOOKUP(P252,PARAM!P:Q,2,0)),"")</f>
        <v>2512001627</v>
      </c>
      <c r="T252" s="18">
        <f t="shared" si="4"/>
        <v>10</v>
      </c>
      <c r="U252" s="18" t="str">
        <f t="shared" si="5"/>
        <v>CHAQUETAS DAMA OVEJERA CUERINA VARIOS TALLA S</v>
      </c>
    </row>
    <row r="253">
      <c r="A253" s="64">
        <v>1.0</v>
      </c>
      <c r="B253" s="4" t="s">
        <v>1757</v>
      </c>
      <c r="C253" s="1"/>
      <c r="D253" s="4" t="s">
        <v>1758</v>
      </c>
      <c r="E253" s="3">
        <v>52000.0</v>
      </c>
      <c r="F253" s="2">
        <f t="shared" si="2"/>
        <v>52000</v>
      </c>
      <c r="G253" s="65">
        <f t="shared" si="7"/>
        <v>104000</v>
      </c>
      <c r="H253" s="1"/>
      <c r="I253" s="1"/>
      <c r="J253" s="1"/>
      <c r="K253" s="66" t="s">
        <v>1058</v>
      </c>
      <c r="L253" s="66" t="s">
        <v>1162</v>
      </c>
      <c r="M253" s="66" t="s">
        <v>1060</v>
      </c>
      <c r="N253" s="66" t="s">
        <v>1247</v>
      </c>
      <c r="O253" s="66" t="s">
        <v>1069</v>
      </c>
      <c r="P253" s="67" t="s">
        <v>1077</v>
      </c>
      <c r="Q253" s="18" t="s">
        <v>712</v>
      </c>
      <c r="R253" s="68" t="str">
        <f>IFERROR(CONCATENATE("*",VLOOKUP(L253,PARAM!D:E,2,0),VLOOKUP(M253,PARAM!J:K,2,0),VLOOKUP(N253,PARAM!G:H,2,0),VLOOKUP(P253,PARAM!P:Q,2,0),"*"),"")</f>
        <v>*25120032*</v>
      </c>
      <c r="S253" s="18" t="str">
        <f>IFERROR(CONCATENATE(VLOOKUP(L253,PARAM!D:E,2,0),VLOOKUP(M253,PARAM!J:K,2,0),VLOOKUP(N253,PARAM!G:H,2,0),VLOOKUP(O253,PARAM!M:N,2,0),VLOOKUP(P253,PARAM!P:Q,2,0)),"")</f>
        <v>2512001632</v>
      </c>
      <c r="T253" s="18">
        <f t="shared" si="4"/>
        <v>10</v>
      </c>
      <c r="U253" s="18" t="str">
        <f t="shared" si="5"/>
        <v>CHAQUETAS DAMA OVEJERA CUERINA VARIOS TALLA XL</v>
      </c>
    </row>
    <row r="254">
      <c r="A254" s="64">
        <v>1.0</v>
      </c>
      <c r="B254" s="4" t="s">
        <v>1757</v>
      </c>
      <c r="C254" s="1"/>
      <c r="D254" s="4" t="s">
        <v>1758</v>
      </c>
      <c r="E254" s="3">
        <v>52000.0</v>
      </c>
      <c r="F254" s="2">
        <f t="shared" si="2"/>
        <v>52000</v>
      </c>
      <c r="G254" s="65">
        <f t="shared" si="7"/>
        <v>104000</v>
      </c>
      <c r="H254" s="1"/>
      <c r="I254" s="1"/>
      <c r="J254" s="1"/>
      <c r="K254" s="66" t="s">
        <v>1058</v>
      </c>
      <c r="L254" s="66" t="s">
        <v>1162</v>
      </c>
      <c r="M254" s="66" t="s">
        <v>1060</v>
      </c>
      <c r="N254" s="66" t="s">
        <v>1247</v>
      </c>
      <c r="O254" s="66" t="s">
        <v>1069</v>
      </c>
      <c r="P254" s="67" t="s">
        <v>1165</v>
      </c>
      <c r="Q254" s="18" t="s">
        <v>712</v>
      </c>
      <c r="R254" s="68" t="str">
        <f>IFERROR(CONCATENATE("*",VLOOKUP(L254,PARAM!D:E,2,0),VLOOKUP(M254,PARAM!J:K,2,0),VLOOKUP(N254,PARAM!G:H,2,0),VLOOKUP(P254,PARAM!P:Q,2,0),"*"),"")</f>
        <v>*25120023*</v>
      </c>
      <c r="S254" s="18" t="str">
        <f>IFERROR(CONCATENATE(VLOOKUP(L254,PARAM!D:E,2,0),VLOOKUP(M254,PARAM!J:K,2,0),VLOOKUP(N254,PARAM!G:H,2,0),VLOOKUP(O254,PARAM!M:N,2,0),VLOOKUP(P254,PARAM!P:Q,2,0)),"")</f>
        <v>2512001623</v>
      </c>
      <c r="T254" s="18">
        <f t="shared" si="4"/>
        <v>10</v>
      </c>
      <c r="U254" s="18" t="str">
        <f t="shared" si="5"/>
        <v>CHAQUETAS DAMA OVEJERA CUERINA VARIOS TALLA L</v>
      </c>
    </row>
    <row r="255">
      <c r="A255" s="64">
        <v>1.0</v>
      </c>
      <c r="B255" s="4" t="s">
        <v>1757</v>
      </c>
      <c r="C255" s="1"/>
      <c r="D255" s="4" t="s">
        <v>1758</v>
      </c>
      <c r="E255" s="3">
        <v>52000.0</v>
      </c>
      <c r="F255" s="2">
        <f t="shared" si="2"/>
        <v>52000</v>
      </c>
      <c r="G255" s="65">
        <f t="shared" si="7"/>
        <v>104000</v>
      </c>
      <c r="H255" s="1"/>
      <c r="I255" s="1"/>
      <c r="J255" s="1"/>
      <c r="K255" s="66" t="s">
        <v>1058</v>
      </c>
      <c r="L255" s="66" t="s">
        <v>1162</v>
      </c>
      <c r="M255" s="66" t="s">
        <v>1060</v>
      </c>
      <c r="N255" s="66" t="s">
        <v>1247</v>
      </c>
      <c r="O255" s="66" t="s">
        <v>1069</v>
      </c>
      <c r="P255" s="67" t="s">
        <v>1164</v>
      </c>
      <c r="Q255" s="18" t="s">
        <v>712</v>
      </c>
      <c r="R255" s="68" t="str">
        <f>IFERROR(CONCATENATE("*",VLOOKUP(L255,PARAM!D:E,2,0),VLOOKUP(M255,PARAM!J:K,2,0),VLOOKUP(N255,PARAM!G:H,2,0),VLOOKUP(P255,PARAM!P:Q,2,0),"*"),"")</f>
        <v>*25120025*</v>
      </c>
      <c r="S255" s="18" t="str">
        <f>IFERROR(CONCATENATE(VLOOKUP(L255,PARAM!D:E,2,0),VLOOKUP(M255,PARAM!J:K,2,0),VLOOKUP(N255,PARAM!G:H,2,0),VLOOKUP(O255,PARAM!M:N,2,0),VLOOKUP(P255,PARAM!P:Q,2,0)),"")</f>
        <v>2512001625</v>
      </c>
      <c r="T255" s="18">
        <f t="shared" si="4"/>
        <v>10</v>
      </c>
      <c r="U255" s="18" t="str">
        <f t="shared" si="5"/>
        <v>CHAQUETAS DAMA OVEJERA CUERINA VARIOS TALLA M</v>
      </c>
    </row>
    <row r="256">
      <c r="A256" s="64">
        <v>1.0</v>
      </c>
      <c r="B256" s="4" t="s">
        <v>1759</v>
      </c>
      <c r="C256" s="1"/>
      <c r="D256" s="4" t="s">
        <v>1760</v>
      </c>
      <c r="E256" s="3">
        <v>38000.0</v>
      </c>
      <c r="F256" s="2">
        <f t="shared" si="2"/>
        <v>38000</v>
      </c>
      <c r="G256" s="65">
        <f t="shared" si="7"/>
        <v>76000</v>
      </c>
      <c r="H256" s="1"/>
      <c r="I256" s="1"/>
      <c r="J256" s="1"/>
      <c r="K256" s="66" t="s">
        <v>1058</v>
      </c>
      <c r="L256" s="66" t="s">
        <v>1059</v>
      </c>
      <c r="M256" s="66" t="s">
        <v>1060</v>
      </c>
      <c r="N256" s="66" t="s">
        <v>1081</v>
      </c>
      <c r="O256" s="66" t="s">
        <v>1067</v>
      </c>
      <c r="P256" s="67">
        <v>16.0</v>
      </c>
      <c r="Q256" s="18" t="s">
        <v>721</v>
      </c>
      <c r="R256" s="68" t="str">
        <f>IFERROR(CONCATENATE("*",VLOOKUP(L256,PARAM!D:E,2,0),VLOOKUP(M256,PARAM!J:K,2,0),VLOOKUP(N256,PARAM!G:H,2,0),VLOOKUP(P256,PARAM!P:Q,2,0),"*"),"")</f>
        <v>*11666*</v>
      </c>
      <c r="S256" s="18" t="str">
        <f>IFERROR(CONCATENATE(VLOOKUP(L256,PARAM!D:E,2,0),VLOOKUP(M256,PARAM!J:K,2,0),VLOOKUP(N256,PARAM!G:H,2,0),VLOOKUP(O256,PARAM!M:N,2,0),VLOOKUP(P256,PARAM!P:Q,2,0)),"")</f>
        <v>116626</v>
      </c>
      <c r="T256" s="18">
        <f t="shared" si="4"/>
        <v>7</v>
      </c>
      <c r="U256" s="18" t="str">
        <f t="shared" si="5"/>
        <v>JEANS DAMA CAMUFLADO AZUL TALLA 16</v>
      </c>
    </row>
    <row r="257">
      <c r="A257" s="64">
        <v>1.0</v>
      </c>
      <c r="B257" s="4" t="s">
        <v>1759</v>
      </c>
      <c r="C257" s="1"/>
      <c r="D257" s="4" t="s">
        <v>1760</v>
      </c>
      <c r="E257" s="3">
        <v>38000.0</v>
      </c>
      <c r="F257" s="2">
        <f t="shared" si="2"/>
        <v>38000</v>
      </c>
      <c r="G257" s="65">
        <f t="shared" si="7"/>
        <v>76000</v>
      </c>
      <c r="H257" s="1"/>
      <c r="I257" s="1"/>
      <c r="J257" s="1"/>
      <c r="K257" s="66" t="s">
        <v>1058</v>
      </c>
      <c r="L257" s="66" t="s">
        <v>1059</v>
      </c>
      <c r="M257" s="66" t="s">
        <v>1060</v>
      </c>
      <c r="N257" s="66" t="s">
        <v>1081</v>
      </c>
      <c r="O257" s="66" t="s">
        <v>1067</v>
      </c>
      <c r="P257" s="67">
        <v>14.0</v>
      </c>
      <c r="Q257" s="18" t="s">
        <v>721</v>
      </c>
      <c r="R257" s="68" t="str">
        <f>IFERROR(CONCATENATE("*",VLOOKUP(L257,PARAM!D:E,2,0),VLOOKUP(M257,PARAM!J:K,2,0),VLOOKUP(N257,PARAM!G:H,2,0),VLOOKUP(P257,PARAM!P:Q,2,0),"*"),"")</f>
        <v>*11665*</v>
      </c>
      <c r="S257" s="18" t="str">
        <f>IFERROR(CONCATENATE(VLOOKUP(L257,PARAM!D:E,2,0),VLOOKUP(M257,PARAM!J:K,2,0),VLOOKUP(N257,PARAM!G:H,2,0),VLOOKUP(O257,PARAM!M:N,2,0),VLOOKUP(P257,PARAM!P:Q,2,0)),"")</f>
        <v>116625</v>
      </c>
      <c r="T257" s="18">
        <f t="shared" si="4"/>
        <v>7</v>
      </c>
      <c r="U257" s="18" t="str">
        <f t="shared" si="5"/>
        <v>JEANS DAMA CAMUFLADO AZUL TALLA 14</v>
      </c>
    </row>
    <row r="258">
      <c r="A258" s="64">
        <v>1.0</v>
      </c>
      <c r="B258" s="4" t="s">
        <v>1759</v>
      </c>
      <c r="C258" s="1"/>
      <c r="D258" s="4" t="s">
        <v>1760</v>
      </c>
      <c r="E258" s="3">
        <v>38000.0</v>
      </c>
      <c r="F258" s="2">
        <f t="shared" si="2"/>
        <v>38000</v>
      </c>
      <c r="G258" s="65">
        <f t="shared" si="7"/>
        <v>76000</v>
      </c>
      <c r="H258" s="1"/>
      <c r="I258" s="1"/>
      <c r="J258" s="1"/>
      <c r="K258" s="66" t="s">
        <v>1058</v>
      </c>
      <c r="L258" s="66" t="s">
        <v>1059</v>
      </c>
      <c r="M258" s="66" t="s">
        <v>1060</v>
      </c>
      <c r="N258" s="66" t="s">
        <v>1081</v>
      </c>
      <c r="O258" s="66" t="s">
        <v>1067</v>
      </c>
      <c r="P258" s="67">
        <v>10.0</v>
      </c>
      <c r="Q258" s="18" t="s">
        <v>721</v>
      </c>
      <c r="R258" s="68" t="str">
        <f>IFERROR(CONCATENATE("*",VLOOKUP(L258,PARAM!D:E,2,0),VLOOKUP(M258,PARAM!J:K,2,0),VLOOKUP(N258,PARAM!G:H,2,0),VLOOKUP(P258,PARAM!P:Q,2,0),"*"),"")</f>
        <v>*11663*</v>
      </c>
      <c r="S258" s="18" t="str">
        <f>IFERROR(CONCATENATE(VLOOKUP(L258,PARAM!D:E,2,0),VLOOKUP(M258,PARAM!J:K,2,0),VLOOKUP(N258,PARAM!G:H,2,0),VLOOKUP(O258,PARAM!M:N,2,0),VLOOKUP(P258,PARAM!P:Q,2,0)),"")</f>
        <v>116623</v>
      </c>
      <c r="T258" s="18">
        <f t="shared" si="4"/>
        <v>7</v>
      </c>
      <c r="U258" s="18" t="str">
        <f t="shared" si="5"/>
        <v>JEANS DAMA CAMUFLADO AZUL TALLA 10</v>
      </c>
    </row>
    <row r="259">
      <c r="A259" s="64">
        <v>1.0</v>
      </c>
      <c r="B259" s="4" t="s">
        <v>1759</v>
      </c>
      <c r="C259" s="1"/>
      <c r="D259" s="4" t="s">
        <v>1760</v>
      </c>
      <c r="E259" s="3">
        <v>38000.0</v>
      </c>
      <c r="F259" s="2">
        <f t="shared" si="2"/>
        <v>38000</v>
      </c>
      <c r="G259" s="65">
        <f t="shared" si="7"/>
        <v>76000</v>
      </c>
      <c r="H259" s="1"/>
      <c r="I259" s="1"/>
      <c r="J259" s="1"/>
      <c r="K259" s="66" t="s">
        <v>1058</v>
      </c>
      <c r="L259" s="66" t="s">
        <v>1059</v>
      </c>
      <c r="M259" s="66" t="s">
        <v>1060</v>
      </c>
      <c r="N259" s="66" t="s">
        <v>1081</v>
      </c>
      <c r="O259" s="66" t="s">
        <v>1067</v>
      </c>
      <c r="P259" s="67">
        <v>8.0</v>
      </c>
      <c r="Q259" s="18" t="s">
        <v>721</v>
      </c>
      <c r="R259" s="68" t="str">
        <f>IFERROR(CONCATENATE("*",VLOOKUP(L259,PARAM!D:E,2,0),VLOOKUP(M259,PARAM!J:K,2,0),VLOOKUP(N259,PARAM!G:H,2,0),VLOOKUP(P259,PARAM!P:Q,2,0),"*"),"")</f>
        <v>*11662*</v>
      </c>
      <c r="S259" s="18" t="str">
        <f>IFERROR(CONCATENATE(VLOOKUP(L259,PARAM!D:E,2,0),VLOOKUP(M259,PARAM!J:K,2,0),VLOOKUP(N259,PARAM!G:H,2,0),VLOOKUP(O259,PARAM!M:N,2,0),VLOOKUP(P259,PARAM!P:Q,2,0)),"")</f>
        <v>116622</v>
      </c>
      <c r="T259" s="18">
        <f t="shared" si="4"/>
        <v>7</v>
      </c>
      <c r="U259" s="18" t="str">
        <f t="shared" si="5"/>
        <v>JEANS DAMA CAMUFLADO AZUL TALLA 8</v>
      </c>
    </row>
    <row r="260">
      <c r="A260" s="64">
        <v>1.0</v>
      </c>
      <c r="B260" s="4" t="s">
        <v>1759</v>
      </c>
      <c r="C260" s="1"/>
      <c r="D260" s="4" t="s">
        <v>1760</v>
      </c>
      <c r="E260" s="3">
        <v>38000.0</v>
      </c>
      <c r="F260" s="2">
        <f t="shared" si="2"/>
        <v>38000</v>
      </c>
      <c r="G260" s="65">
        <f t="shared" si="7"/>
        <v>76000</v>
      </c>
      <c r="H260" s="1"/>
      <c r="I260" s="1"/>
      <c r="J260" s="1"/>
      <c r="K260" s="66" t="s">
        <v>1058</v>
      </c>
      <c r="L260" s="66" t="s">
        <v>1059</v>
      </c>
      <c r="M260" s="66" t="s">
        <v>1060</v>
      </c>
      <c r="N260" s="66" t="s">
        <v>1081</v>
      </c>
      <c r="O260" s="66" t="s">
        <v>1067</v>
      </c>
      <c r="P260" s="67">
        <v>12.0</v>
      </c>
      <c r="Q260" s="18" t="s">
        <v>721</v>
      </c>
      <c r="R260" s="68" t="str">
        <f>IFERROR(CONCATENATE("*",VLOOKUP(L260,PARAM!D:E,2,0),VLOOKUP(M260,PARAM!J:K,2,0),VLOOKUP(N260,PARAM!G:H,2,0),VLOOKUP(P260,PARAM!P:Q,2,0),"*"),"")</f>
        <v>*11664*</v>
      </c>
      <c r="S260" s="18" t="str">
        <f>IFERROR(CONCATENATE(VLOOKUP(L260,PARAM!D:E,2,0),VLOOKUP(M260,PARAM!J:K,2,0),VLOOKUP(N260,PARAM!G:H,2,0),VLOOKUP(O260,PARAM!M:N,2,0),VLOOKUP(P260,PARAM!P:Q,2,0)),"")</f>
        <v>116624</v>
      </c>
      <c r="T260" s="18">
        <f t="shared" si="4"/>
        <v>7</v>
      </c>
      <c r="U260" s="18" t="str">
        <f t="shared" si="5"/>
        <v>JEANS DAMA CAMUFLADO AZUL TALLA 12</v>
      </c>
    </row>
    <row r="261">
      <c r="A261" s="64">
        <v>1.0</v>
      </c>
      <c r="B261" s="4" t="s">
        <v>1469</v>
      </c>
      <c r="C261" s="1"/>
      <c r="D261" s="4" t="s">
        <v>1464</v>
      </c>
      <c r="E261" s="3">
        <v>32000.0</v>
      </c>
      <c r="F261" s="2">
        <f t="shared" si="2"/>
        <v>32000</v>
      </c>
      <c r="G261" s="65">
        <f t="shared" si="7"/>
        <v>64000</v>
      </c>
      <c r="H261" s="1"/>
      <c r="I261" s="1"/>
      <c r="J261" s="1"/>
      <c r="K261" s="66" t="s">
        <v>1058</v>
      </c>
      <c r="L261" s="66" t="s">
        <v>1059</v>
      </c>
      <c r="M261" s="66" t="s">
        <v>1060</v>
      </c>
      <c r="N261" s="66" t="s">
        <v>1063</v>
      </c>
      <c r="O261" s="66" t="s">
        <v>1067</v>
      </c>
      <c r="P261" s="67">
        <v>10.0</v>
      </c>
      <c r="Q261" s="18" t="s">
        <v>721</v>
      </c>
      <c r="R261" s="68" t="str">
        <f>IFERROR(CONCATENATE("*",VLOOKUP(L261,PARAM!D:E,2,0),VLOOKUP(M261,PARAM!J:K,2,0),VLOOKUP(N261,PARAM!G:H,2,0),VLOOKUP(P261,PARAM!P:Q,2,0),"*"),"")</f>
        <v>*1153*</v>
      </c>
      <c r="S261" s="18" t="str">
        <f>IFERROR(CONCATENATE(VLOOKUP(L261,PARAM!D:E,2,0),VLOOKUP(M261,PARAM!J:K,2,0),VLOOKUP(N261,PARAM!G:H,2,0),VLOOKUP(O261,PARAM!M:N,2,0),VLOOKUP(P261,PARAM!P:Q,2,0)),"")</f>
        <v>11523</v>
      </c>
      <c r="T261" s="18">
        <f t="shared" si="4"/>
        <v>6</v>
      </c>
      <c r="U261" s="18" t="str">
        <f t="shared" si="5"/>
        <v>JEANS DAMA 4 BOTONES SIN BOLSILLO AZUL TALLA 10</v>
      </c>
    </row>
    <row r="262">
      <c r="A262" s="4">
        <v>1.0</v>
      </c>
      <c r="B262" s="4" t="s">
        <v>1761</v>
      </c>
      <c r="C262" s="1"/>
      <c r="D262" s="4" t="s">
        <v>1761</v>
      </c>
      <c r="E262" s="3">
        <v>22000.0</v>
      </c>
      <c r="F262" s="2">
        <f t="shared" si="2"/>
        <v>22000</v>
      </c>
      <c r="G262" s="65">
        <f t="shared" si="7"/>
        <v>44000</v>
      </c>
      <c r="H262" s="1"/>
      <c r="I262" s="1"/>
      <c r="J262" s="1"/>
      <c r="K262" s="66" t="s">
        <v>1187</v>
      </c>
      <c r="L262" s="66" t="s">
        <v>420</v>
      </c>
      <c r="M262" s="66" t="s">
        <v>1080</v>
      </c>
      <c r="N262" s="66" t="s">
        <v>1216</v>
      </c>
      <c r="O262" s="66" t="s">
        <v>1069</v>
      </c>
      <c r="P262" s="67" t="s">
        <v>1217</v>
      </c>
      <c r="Q262" s="18" t="s">
        <v>476</v>
      </c>
      <c r="R262" s="68" t="str">
        <f>IFERROR(CONCATENATE("*",VLOOKUP(L262,PARAM!D:E,2,0),VLOOKUP(M262,PARAM!J:K,2,0),VLOOKUP(N262,PARAM!G:H,2,0),VLOOKUP(P262,PARAM!P:Q,2,0),"*"),"")</f>
        <v>*35211328*</v>
      </c>
      <c r="S262" s="18" t="str">
        <f>IFERROR(CONCATENATE(VLOOKUP(L262,PARAM!D:E,2,0),VLOOKUP(M262,PARAM!J:K,2,0),VLOOKUP(N262,PARAM!G:H,2,0),VLOOKUP(O262,PARAM!M:N,2,0),VLOOKUP(P262,PARAM!P:Q,2,0)),"")</f>
        <v>3521131628</v>
      </c>
      <c r="T262" s="18">
        <f t="shared" si="4"/>
        <v>10</v>
      </c>
      <c r="U262" s="18" t="str">
        <f t="shared" si="5"/>
        <v>PANTALONETAS CABALLERO DEPORTIVA VARIOS TALLA S-M</v>
      </c>
    </row>
    <row r="263">
      <c r="A263" s="4">
        <v>5.0</v>
      </c>
      <c r="B263" s="4" t="s">
        <v>1762</v>
      </c>
      <c r="C263" s="1"/>
      <c r="D263" s="4" t="s">
        <v>1763</v>
      </c>
      <c r="E263" s="3">
        <v>10500.0</v>
      </c>
      <c r="F263" s="2">
        <f t="shared" si="2"/>
        <v>52500</v>
      </c>
      <c r="G263" s="65">
        <f t="shared" si="7"/>
        <v>21000</v>
      </c>
      <c r="H263" s="1"/>
      <c r="I263" s="1"/>
      <c r="J263" s="1"/>
      <c r="K263" s="66" t="s">
        <v>427</v>
      </c>
      <c r="L263" s="66" t="s">
        <v>1248</v>
      </c>
      <c r="M263" s="66" t="s">
        <v>1101</v>
      </c>
      <c r="N263" s="18" t="s">
        <v>1249</v>
      </c>
      <c r="O263" s="66" t="s">
        <v>1069</v>
      </c>
      <c r="P263" s="67" t="s">
        <v>1070</v>
      </c>
      <c r="Q263" s="18" t="s">
        <v>729</v>
      </c>
      <c r="R263" s="68" t="str">
        <f>IFERROR(CONCATENATE("*",VLOOKUP(L263,PARAM!D:E,2,0),VLOOKUP(M263,PARAM!J:K,2,0),VLOOKUP(N263,PARAM!G:H,2,0),VLOOKUP(P263,PARAM!P:Q,2,0),"*"),"")</f>
        <v>*2832531*</v>
      </c>
      <c r="S263" s="18" t="str">
        <f>IFERROR(CONCATENATE(VLOOKUP(L263,PARAM!D:E,2,0),VLOOKUP(M263,PARAM!J:K,2,0),VLOOKUP(N263,PARAM!G:H,2,0),VLOOKUP(O263,PARAM!M:N,2,0),VLOOKUP(P263,PARAM!P:Q,2,0)),"")</f>
        <v>283251631</v>
      </c>
      <c r="T263" s="18">
        <f t="shared" si="4"/>
        <v>9</v>
      </c>
      <c r="U263" s="18" t="str">
        <f t="shared" si="5"/>
        <v>ANILLOS UNISEX ANILLO 1 VARIOS TALLA VA</v>
      </c>
    </row>
    <row r="264">
      <c r="A264" s="4">
        <v>4.0</v>
      </c>
      <c r="B264" s="4" t="s">
        <v>1764</v>
      </c>
      <c r="C264" s="1"/>
      <c r="D264" s="4" t="s">
        <v>1765</v>
      </c>
      <c r="E264" s="3">
        <v>6500.0</v>
      </c>
      <c r="F264" s="2">
        <f t="shared" si="2"/>
        <v>26000</v>
      </c>
      <c r="G264" s="65">
        <f t="shared" si="7"/>
        <v>13000</v>
      </c>
      <c r="H264" s="1"/>
      <c r="I264" s="1"/>
      <c r="J264" s="1"/>
      <c r="K264" s="66" t="s">
        <v>427</v>
      </c>
      <c r="L264" s="66" t="s">
        <v>1248</v>
      </c>
      <c r="M264" s="66" t="s">
        <v>1101</v>
      </c>
      <c r="N264" s="18" t="s">
        <v>1250</v>
      </c>
      <c r="O264" s="66" t="s">
        <v>1069</v>
      </c>
      <c r="P264" s="67" t="s">
        <v>1070</v>
      </c>
      <c r="Q264" s="18" t="s">
        <v>729</v>
      </c>
      <c r="R264" s="68" t="str">
        <f>IFERROR(CONCATENATE("*",VLOOKUP(L264,PARAM!D:E,2,0),VLOOKUP(M264,PARAM!J:K,2,0),VLOOKUP(N264,PARAM!G:H,2,0),VLOOKUP(P264,PARAM!P:Q,2,0),"*"),"")</f>
        <v>*2832631*</v>
      </c>
      <c r="S264" s="18" t="str">
        <f>IFERROR(CONCATENATE(VLOOKUP(L264,PARAM!D:E,2,0),VLOOKUP(M264,PARAM!J:K,2,0),VLOOKUP(N264,PARAM!G:H,2,0),VLOOKUP(O264,PARAM!M:N,2,0),VLOOKUP(P264,PARAM!P:Q,2,0)),"")</f>
        <v>283261631</v>
      </c>
      <c r="T264" s="18">
        <f t="shared" si="4"/>
        <v>9</v>
      </c>
      <c r="U264" s="18" t="str">
        <f t="shared" si="5"/>
        <v>ANILLOS UNISEX ANILLO 2 VARIOS TALLA VA</v>
      </c>
    </row>
    <row r="265">
      <c r="A265" s="4">
        <v>1.0</v>
      </c>
      <c r="B265" s="4" t="s">
        <v>1766</v>
      </c>
      <c r="C265" s="1"/>
      <c r="D265" s="4" t="s">
        <v>1767</v>
      </c>
      <c r="E265" s="3">
        <v>4500.0</v>
      </c>
      <c r="F265" s="2">
        <f t="shared" si="2"/>
        <v>4500</v>
      </c>
      <c r="G265" s="65">
        <f t="shared" si="7"/>
        <v>9000</v>
      </c>
      <c r="H265" s="1"/>
      <c r="I265" s="1"/>
      <c r="J265" s="1"/>
      <c r="K265" s="66" t="s">
        <v>427</v>
      </c>
      <c r="L265" s="66" t="s">
        <v>1248</v>
      </c>
      <c r="M265" s="66" t="s">
        <v>1101</v>
      </c>
      <c r="N265" s="18" t="s">
        <v>1251</v>
      </c>
      <c r="O265" s="66" t="s">
        <v>1069</v>
      </c>
      <c r="P265" s="67" t="s">
        <v>1070</v>
      </c>
      <c r="Q265" s="18" t="s">
        <v>729</v>
      </c>
      <c r="R265" s="68" t="str">
        <f>IFERROR(CONCATENATE("*",VLOOKUP(L265,PARAM!D:E,2,0),VLOOKUP(M265,PARAM!J:K,2,0),VLOOKUP(N265,PARAM!G:H,2,0),VLOOKUP(P265,PARAM!P:Q,2,0),"*"),"")</f>
        <v>*2832731*</v>
      </c>
      <c r="S265" s="18" t="str">
        <f>IFERROR(CONCATENATE(VLOOKUP(L265,PARAM!D:E,2,0),VLOOKUP(M265,PARAM!J:K,2,0),VLOOKUP(N265,PARAM!G:H,2,0),VLOOKUP(O265,PARAM!M:N,2,0),VLOOKUP(P265,PARAM!P:Q,2,0)),"")</f>
        <v>283271631</v>
      </c>
      <c r="T265" s="18">
        <f t="shared" si="4"/>
        <v>9</v>
      </c>
      <c r="U265" s="18" t="str">
        <f t="shared" si="5"/>
        <v>ANILLOS UNISEX ANILLO 3 VARIOS TALLA VA</v>
      </c>
    </row>
    <row r="266">
      <c r="A266" s="4">
        <v>2.0</v>
      </c>
      <c r="B266" s="4" t="s">
        <v>1768</v>
      </c>
      <c r="C266" s="1"/>
      <c r="D266" s="4" t="s">
        <v>1769</v>
      </c>
      <c r="E266" s="3">
        <v>8000.0</v>
      </c>
      <c r="F266" s="2">
        <f t="shared" si="2"/>
        <v>16000</v>
      </c>
      <c r="G266" s="65">
        <f t="shared" si="7"/>
        <v>16000</v>
      </c>
      <c r="H266" s="1"/>
      <c r="I266" s="1"/>
      <c r="J266" s="1"/>
      <c r="K266" s="66" t="s">
        <v>427</v>
      </c>
      <c r="L266" s="66" t="s">
        <v>1248</v>
      </c>
      <c r="M266" s="66" t="s">
        <v>1101</v>
      </c>
      <c r="N266" s="18" t="s">
        <v>1252</v>
      </c>
      <c r="O266" s="66" t="s">
        <v>1069</v>
      </c>
      <c r="P266" s="67" t="s">
        <v>1070</v>
      </c>
      <c r="Q266" s="18" t="s">
        <v>729</v>
      </c>
      <c r="R266" s="68" t="str">
        <f>IFERROR(CONCATENATE("*",VLOOKUP(L266,PARAM!D:E,2,0),VLOOKUP(M266,PARAM!J:K,2,0),VLOOKUP(N266,PARAM!G:H,2,0),VLOOKUP(P266,PARAM!P:Q,2,0),"*"),"")</f>
        <v>*2832831*</v>
      </c>
      <c r="S266" s="18" t="str">
        <f>IFERROR(CONCATENATE(VLOOKUP(L266,PARAM!D:E,2,0),VLOOKUP(M266,PARAM!J:K,2,0),VLOOKUP(N266,PARAM!G:H,2,0),VLOOKUP(O266,PARAM!M:N,2,0),VLOOKUP(P266,PARAM!P:Q,2,0)),"")</f>
        <v>283281631</v>
      </c>
      <c r="T266" s="18">
        <f t="shared" si="4"/>
        <v>9</v>
      </c>
      <c r="U266" s="18" t="str">
        <f t="shared" si="5"/>
        <v>ANILLOS UNISEX ANILLO 4 VARIOS TALLA VA</v>
      </c>
    </row>
    <row r="267">
      <c r="A267" s="4">
        <v>1.0</v>
      </c>
      <c r="B267" s="4" t="s">
        <v>1770</v>
      </c>
      <c r="C267" s="1"/>
      <c r="D267" s="4" t="s">
        <v>1771</v>
      </c>
      <c r="E267" s="3">
        <v>11000.0</v>
      </c>
      <c r="F267" s="2">
        <f t="shared" si="2"/>
        <v>11000</v>
      </c>
      <c r="G267" s="65">
        <f t="shared" si="7"/>
        <v>22000</v>
      </c>
      <c r="H267" s="1"/>
      <c r="I267" s="1"/>
      <c r="J267" s="1"/>
      <c r="K267" s="66" t="s">
        <v>427</v>
      </c>
      <c r="L267" s="66" t="s">
        <v>1248</v>
      </c>
      <c r="M267" s="66" t="s">
        <v>1101</v>
      </c>
      <c r="N267" s="18" t="s">
        <v>1253</v>
      </c>
      <c r="O267" s="66" t="s">
        <v>1069</v>
      </c>
      <c r="P267" s="67" t="s">
        <v>1070</v>
      </c>
      <c r="Q267" s="18" t="s">
        <v>729</v>
      </c>
      <c r="R267" s="68" t="str">
        <f>IFERROR(CONCATENATE("*",VLOOKUP(L267,PARAM!D:E,2,0),VLOOKUP(M267,PARAM!J:K,2,0),VLOOKUP(N267,PARAM!G:H,2,0),VLOOKUP(P267,PARAM!P:Q,2,0),"*"),"")</f>
        <v>*2832931*</v>
      </c>
      <c r="S267" s="18" t="str">
        <f>IFERROR(CONCATENATE(VLOOKUP(L267,PARAM!D:E,2,0),VLOOKUP(M267,PARAM!J:K,2,0),VLOOKUP(N267,PARAM!G:H,2,0),VLOOKUP(O267,PARAM!M:N,2,0),VLOOKUP(P267,PARAM!P:Q,2,0)),"")</f>
        <v>283291631</v>
      </c>
      <c r="T267" s="18">
        <f t="shared" si="4"/>
        <v>9</v>
      </c>
      <c r="U267" s="18" t="str">
        <f t="shared" si="5"/>
        <v>ANILLOS UNISEX ANILLO 5 VARIOS TALLA VA</v>
      </c>
    </row>
    <row r="268">
      <c r="A268" s="4">
        <v>1.0</v>
      </c>
      <c r="B268" s="4" t="s">
        <v>1772</v>
      </c>
      <c r="C268" s="1"/>
      <c r="D268" s="4" t="s">
        <v>1773</v>
      </c>
      <c r="E268" s="3">
        <v>6000.0</v>
      </c>
      <c r="F268" s="2">
        <f t="shared" si="2"/>
        <v>6000</v>
      </c>
      <c r="G268" s="65">
        <f t="shared" si="7"/>
        <v>12000</v>
      </c>
      <c r="H268" s="1"/>
      <c r="I268" s="1"/>
      <c r="J268" s="1"/>
      <c r="K268" s="66" t="s">
        <v>427</v>
      </c>
      <c r="L268" s="66" t="s">
        <v>1248</v>
      </c>
      <c r="M268" s="66" t="s">
        <v>1101</v>
      </c>
      <c r="N268" s="18" t="s">
        <v>1254</v>
      </c>
      <c r="O268" s="66" t="s">
        <v>1069</v>
      </c>
      <c r="P268" s="67" t="s">
        <v>1070</v>
      </c>
      <c r="Q268" s="18" t="s">
        <v>729</v>
      </c>
      <c r="R268" s="68" t="str">
        <f>IFERROR(CONCATENATE("*",VLOOKUP(L268,PARAM!D:E,2,0),VLOOKUP(M268,PARAM!J:K,2,0),VLOOKUP(N268,PARAM!G:H,2,0),VLOOKUP(P268,PARAM!P:Q,2,0),"*"),"")</f>
        <v>*2833031*</v>
      </c>
      <c r="S268" s="18" t="str">
        <f>IFERROR(CONCATENATE(VLOOKUP(L268,PARAM!D:E,2,0),VLOOKUP(M268,PARAM!J:K,2,0),VLOOKUP(N268,PARAM!G:H,2,0),VLOOKUP(O268,PARAM!M:N,2,0),VLOOKUP(P268,PARAM!P:Q,2,0)),"")</f>
        <v>283301631</v>
      </c>
      <c r="T268" s="18">
        <f t="shared" si="4"/>
        <v>9</v>
      </c>
      <c r="U268" s="18" t="str">
        <f t="shared" si="5"/>
        <v>ANILLOS UNISEX ANILLO 6 VARIOS TALLA VA</v>
      </c>
    </row>
    <row r="269">
      <c r="A269" s="4">
        <v>1.0</v>
      </c>
      <c r="B269" s="4" t="s">
        <v>1774</v>
      </c>
      <c r="C269" s="1"/>
      <c r="D269" s="4" t="s">
        <v>1775</v>
      </c>
      <c r="E269" s="3">
        <v>9000.0</v>
      </c>
      <c r="F269" s="2">
        <f t="shared" si="2"/>
        <v>9000</v>
      </c>
      <c r="G269" s="65">
        <f t="shared" si="7"/>
        <v>18000</v>
      </c>
      <c r="H269" s="1"/>
      <c r="I269" s="1"/>
      <c r="J269" s="1"/>
      <c r="K269" s="66" t="s">
        <v>427</v>
      </c>
      <c r="L269" s="66" t="s">
        <v>1248</v>
      </c>
      <c r="M269" s="66" t="s">
        <v>1101</v>
      </c>
      <c r="N269" s="18" t="s">
        <v>1255</v>
      </c>
      <c r="O269" s="66" t="s">
        <v>1069</v>
      </c>
      <c r="P269" s="67" t="s">
        <v>1070</v>
      </c>
      <c r="Q269" s="18" t="s">
        <v>729</v>
      </c>
      <c r="R269" s="68" t="str">
        <f>IFERROR(CONCATENATE("*",VLOOKUP(L269,PARAM!D:E,2,0),VLOOKUP(M269,PARAM!J:K,2,0),VLOOKUP(N269,PARAM!G:H,2,0),VLOOKUP(P269,PARAM!P:Q,2,0),"*"),"")</f>
        <v>*2833131*</v>
      </c>
      <c r="S269" s="18" t="str">
        <f>IFERROR(CONCATENATE(VLOOKUP(L269,PARAM!D:E,2,0),VLOOKUP(M269,PARAM!J:K,2,0),VLOOKUP(N269,PARAM!G:H,2,0),VLOOKUP(O269,PARAM!M:N,2,0),VLOOKUP(P269,PARAM!P:Q,2,0)),"")</f>
        <v>283311631</v>
      </c>
      <c r="T269" s="18">
        <f t="shared" si="4"/>
        <v>9</v>
      </c>
      <c r="U269" s="18" t="str">
        <f t="shared" si="5"/>
        <v>ANILLOS UNISEX ANILLO 7 VARIOS TALLA VA</v>
      </c>
    </row>
    <row r="270">
      <c r="A270" s="4">
        <v>3.0</v>
      </c>
      <c r="B270" s="4" t="s">
        <v>1776</v>
      </c>
      <c r="C270" s="1"/>
      <c r="D270" s="4" t="s">
        <v>1777</v>
      </c>
      <c r="E270" s="3">
        <v>2000.0</v>
      </c>
      <c r="F270" s="2">
        <f t="shared" si="2"/>
        <v>6000</v>
      </c>
      <c r="G270" s="65">
        <f t="shared" si="7"/>
        <v>4000</v>
      </c>
      <c r="H270" s="1"/>
      <c r="I270" s="1"/>
      <c r="J270" s="1"/>
      <c r="K270" s="66" t="s">
        <v>427</v>
      </c>
      <c r="L270" s="66" t="s">
        <v>1256</v>
      </c>
      <c r="M270" s="66" t="s">
        <v>1101</v>
      </c>
      <c r="N270" s="18" t="s">
        <v>1257</v>
      </c>
      <c r="O270" s="66" t="s">
        <v>1069</v>
      </c>
      <c r="P270" s="67" t="s">
        <v>1070</v>
      </c>
      <c r="Q270" s="18" t="s">
        <v>729</v>
      </c>
      <c r="R270" s="68" t="str">
        <f>IFERROR(CONCATENATE("*",VLOOKUP(L270,PARAM!D:E,2,0),VLOOKUP(M270,PARAM!J:K,2,0),VLOOKUP(N270,PARAM!G:H,2,0),VLOOKUP(P270,PARAM!P:Q,2,0),"*"),"")</f>
        <v>*29321331*</v>
      </c>
      <c r="S270" s="18" t="str">
        <f>IFERROR(CONCATENATE(VLOOKUP(L270,PARAM!D:E,2,0),VLOOKUP(M270,PARAM!J:K,2,0),VLOOKUP(N270,PARAM!G:H,2,0),VLOOKUP(O270,PARAM!M:N,2,0),VLOOKUP(P270,PARAM!P:Q,2,0)),"")</f>
        <v>2932131631</v>
      </c>
      <c r="T270" s="18">
        <f t="shared" si="4"/>
        <v>10</v>
      </c>
      <c r="U270" s="18" t="str">
        <f t="shared" si="5"/>
        <v>CABELLO-ACCESORIOS UNISEX PINZAS CABELLO VARIOS TALLA VA</v>
      </c>
    </row>
    <row r="271">
      <c r="A271" s="4">
        <v>4.0</v>
      </c>
      <c r="B271" s="4" t="s">
        <v>1778</v>
      </c>
      <c r="C271" s="1"/>
      <c r="D271" s="4" t="s">
        <v>1779</v>
      </c>
      <c r="E271" s="3">
        <v>600.0</v>
      </c>
      <c r="F271" s="2">
        <f t="shared" si="2"/>
        <v>2400</v>
      </c>
      <c r="G271" s="65">
        <f t="shared" si="7"/>
        <v>1200</v>
      </c>
      <c r="H271" s="1"/>
      <c r="I271" s="1"/>
      <c r="J271" s="1"/>
      <c r="K271" s="66" t="s">
        <v>427</v>
      </c>
      <c r="L271" s="66" t="s">
        <v>1256</v>
      </c>
      <c r="M271" s="66" t="s">
        <v>1101</v>
      </c>
      <c r="N271" s="18" t="s">
        <v>1258</v>
      </c>
      <c r="O271" s="66" t="s">
        <v>1069</v>
      </c>
      <c r="P271" s="67" t="s">
        <v>1070</v>
      </c>
      <c r="Q271" s="18" t="s">
        <v>729</v>
      </c>
      <c r="R271" s="68" t="str">
        <f>IFERROR(CONCATENATE("*",VLOOKUP(L271,PARAM!D:E,2,0),VLOOKUP(M271,PARAM!J:K,2,0),VLOOKUP(N271,PARAM!G:H,2,0),VLOOKUP(P271,PARAM!P:Q,2,0),"*"),"")</f>
        <v>*29319231*</v>
      </c>
      <c r="S271" s="18" t="str">
        <f>IFERROR(CONCATENATE(VLOOKUP(L271,PARAM!D:E,2,0),VLOOKUP(M271,PARAM!J:K,2,0),VLOOKUP(N271,PARAM!G:H,2,0),VLOOKUP(O271,PARAM!M:N,2,0),VLOOKUP(P271,PARAM!P:Q,2,0)),"")</f>
        <v>2931921631</v>
      </c>
      <c r="T271" s="18">
        <f t="shared" si="4"/>
        <v>10</v>
      </c>
      <c r="U271" s="18" t="str">
        <f t="shared" si="5"/>
        <v>CABELLO-ACCESORIOS UNISEX MOÑAS COLERA VARIOS TALLA VA</v>
      </c>
    </row>
    <row r="272">
      <c r="A272" s="4">
        <v>3.0</v>
      </c>
      <c r="B272" s="4" t="s">
        <v>1780</v>
      </c>
      <c r="C272" s="1"/>
      <c r="D272" s="4" t="s">
        <v>1780</v>
      </c>
      <c r="E272" s="3">
        <v>6000.0</v>
      </c>
      <c r="F272" s="2">
        <f t="shared" si="2"/>
        <v>18000</v>
      </c>
      <c r="G272" s="65">
        <f t="shared" si="7"/>
        <v>12000</v>
      </c>
      <c r="H272" s="1"/>
      <c r="I272" s="1"/>
      <c r="J272" s="1"/>
      <c r="K272" s="66" t="s">
        <v>427</v>
      </c>
      <c r="L272" s="66" t="s">
        <v>1256</v>
      </c>
      <c r="M272" s="66" t="s">
        <v>1101</v>
      </c>
      <c r="N272" s="18" t="s">
        <v>1259</v>
      </c>
      <c r="O272" s="66" t="s">
        <v>1069</v>
      </c>
      <c r="P272" s="67" t="s">
        <v>1070</v>
      </c>
      <c r="Q272" s="18" t="s">
        <v>729</v>
      </c>
      <c r="R272" s="68" t="str">
        <f>IFERROR(CONCATENATE("*",VLOOKUP(L272,PARAM!D:E,2,0),VLOOKUP(M272,PARAM!J:K,2,0),VLOOKUP(N272,PARAM!G:H,2,0),VLOOKUP(P272,PARAM!P:Q,2,0),"*"),"")</f>
        <v>*29311731*</v>
      </c>
      <c r="S272" s="18" t="str">
        <f>IFERROR(CONCATENATE(VLOOKUP(L272,PARAM!D:E,2,0),VLOOKUP(M272,PARAM!J:K,2,0),VLOOKUP(N272,PARAM!G:H,2,0),VLOOKUP(O272,PARAM!M:N,2,0),VLOOKUP(P272,PARAM!P:Q,2,0)),"")</f>
        <v>2931171631</v>
      </c>
      <c r="T272" s="18">
        <f t="shared" si="4"/>
        <v>10</v>
      </c>
      <c r="U272" s="18" t="str">
        <f t="shared" si="5"/>
        <v>CABELLO-ACCESORIOS UNISEX DIADEMA MEDIANA VARIOS TALLA VA</v>
      </c>
    </row>
    <row r="273">
      <c r="A273" s="4">
        <v>6.0</v>
      </c>
      <c r="B273" s="4" t="s">
        <v>1781</v>
      </c>
      <c r="C273" s="1"/>
      <c r="D273" s="4" t="s">
        <v>1781</v>
      </c>
      <c r="E273" s="3">
        <v>3000.0</v>
      </c>
      <c r="F273" s="2">
        <f t="shared" si="2"/>
        <v>18000</v>
      </c>
      <c r="G273" s="65">
        <f t="shared" si="7"/>
        <v>6000</v>
      </c>
      <c r="H273" s="1"/>
      <c r="I273" s="1"/>
      <c r="J273" s="1"/>
      <c r="K273" s="66" t="s">
        <v>427</v>
      </c>
      <c r="L273" s="66" t="s">
        <v>1256</v>
      </c>
      <c r="M273" s="66" t="s">
        <v>1101</v>
      </c>
      <c r="N273" s="18" t="s">
        <v>1260</v>
      </c>
      <c r="O273" s="66" t="s">
        <v>1069</v>
      </c>
      <c r="P273" s="67" t="s">
        <v>1070</v>
      </c>
      <c r="Q273" s="18" t="s">
        <v>729</v>
      </c>
      <c r="R273" s="68" t="str">
        <f>IFERROR(CONCATENATE("*",VLOOKUP(L273,PARAM!D:E,2,0),VLOOKUP(M273,PARAM!J:K,2,0),VLOOKUP(N273,PARAM!G:H,2,0),VLOOKUP(P273,PARAM!P:Q,2,0),"*"),"")</f>
        <v>*29311631*</v>
      </c>
      <c r="S273" s="18" t="str">
        <f>IFERROR(CONCATENATE(VLOOKUP(L273,PARAM!D:E,2,0),VLOOKUP(M273,PARAM!J:K,2,0),VLOOKUP(N273,PARAM!G:H,2,0),VLOOKUP(O273,PARAM!M:N,2,0),VLOOKUP(P273,PARAM!P:Q,2,0)),"")</f>
        <v>2931161631</v>
      </c>
      <c r="T273" s="18">
        <f t="shared" si="4"/>
        <v>10</v>
      </c>
      <c r="U273" s="18" t="str">
        <f t="shared" si="5"/>
        <v>CABELLO-ACCESORIOS UNISEX DIADEMA DELGADA VARIOS TALLA VA</v>
      </c>
    </row>
    <row r="274">
      <c r="A274" s="4">
        <v>2.0</v>
      </c>
      <c r="B274" s="4" t="s">
        <v>1782</v>
      </c>
      <c r="C274" s="1"/>
      <c r="D274" s="4" t="s">
        <v>1783</v>
      </c>
      <c r="E274" s="3">
        <v>16000.0</v>
      </c>
      <c r="F274" s="2">
        <f t="shared" si="2"/>
        <v>32000</v>
      </c>
      <c r="G274" s="65">
        <f t="shared" si="7"/>
        <v>32000</v>
      </c>
      <c r="H274" s="1"/>
      <c r="I274" s="1"/>
      <c r="J274" s="1"/>
      <c r="K274" s="66" t="s">
        <v>427</v>
      </c>
      <c r="L274" s="66" t="s">
        <v>1261</v>
      </c>
      <c r="M274" s="66" t="s">
        <v>1101</v>
      </c>
      <c r="N274" s="18" t="s">
        <v>1262</v>
      </c>
      <c r="O274" s="66" t="s">
        <v>1069</v>
      </c>
      <c r="P274" s="67" t="s">
        <v>1070</v>
      </c>
      <c r="Q274" s="18" t="s">
        <v>729</v>
      </c>
      <c r="R274" s="68" t="str">
        <f>IFERROR(CONCATENATE("*",VLOOKUP(L274,PARAM!D:E,2,0),VLOOKUP(M274,PARAM!J:K,2,0),VLOOKUP(N274,PARAM!G:H,2,0),VLOOKUP(P274,PARAM!P:Q,2,0),"*"),"")</f>
        <v>*3037931*</v>
      </c>
      <c r="S274" s="18" t="str">
        <f>IFERROR(CONCATENATE(VLOOKUP(L274,PARAM!D:E,2,0),VLOOKUP(M274,PARAM!J:K,2,0),VLOOKUP(N274,PARAM!G:H,2,0),VLOOKUP(O274,PARAM!M:N,2,0),VLOOKUP(P274,PARAM!P:Q,2,0)),"")</f>
        <v>303791631</v>
      </c>
      <c r="T274" s="18">
        <f t="shared" si="4"/>
        <v>9</v>
      </c>
      <c r="U274" s="18" t="str">
        <f t="shared" si="5"/>
        <v>COLLAR UNISEX COLLAR 1 VARIOS TALLA VA</v>
      </c>
    </row>
    <row r="275">
      <c r="A275" s="4">
        <v>1.0</v>
      </c>
      <c r="B275" s="4" t="s">
        <v>1784</v>
      </c>
      <c r="C275" s="1"/>
      <c r="D275" s="4" t="s">
        <v>1785</v>
      </c>
      <c r="E275" s="3">
        <v>17000.0</v>
      </c>
      <c r="F275" s="2">
        <f t="shared" si="2"/>
        <v>17000</v>
      </c>
      <c r="G275" s="65">
        <f t="shared" si="7"/>
        <v>34000</v>
      </c>
      <c r="H275" s="1"/>
      <c r="I275" s="1"/>
      <c r="J275" s="1"/>
      <c r="K275" s="66" t="s">
        <v>427</v>
      </c>
      <c r="L275" s="66" t="s">
        <v>1261</v>
      </c>
      <c r="M275" s="66" t="s">
        <v>1101</v>
      </c>
      <c r="N275" s="18" t="s">
        <v>1263</v>
      </c>
      <c r="O275" s="66" t="s">
        <v>1069</v>
      </c>
      <c r="P275" s="67" t="s">
        <v>1070</v>
      </c>
      <c r="Q275" s="18" t="s">
        <v>729</v>
      </c>
      <c r="R275" s="68" t="str">
        <f>IFERROR(CONCATENATE("*",VLOOKUP(L275,PARAM!D:E,2,0),VLOOKUP(M275,PARAM!J:K,2,0),VLOOKUP(N275,PARAM!G:H,2,0),VLOOKUP(P275,PARAM!P:Q,2,0),"*"),"")</f>
        <v>*3038031*</v>
      </c>
      <c r="S275" s="18" t="str">
        <f>IFERROR(CONCATENATE(VLOOKUP(L275,PARAM!D:E,2,0),VLOOKUP(M275,PARAM!J:K,2,0),VLOOKUP(N275,PARAM!G:H,2,0),VLOOKUP(O275,PARAM!M:N,2,0),VLOOKUP(P275,PARAM!P:Q,2,0)),"")</f>
        <v>303801631</v>
      </c>
      <c r="T275" s="18">
        <f t="shared" si="4"/>
        <v>9</v>
      </c>
      <c r="U275" s="18" t="str">
        <f t="shared" si="5"/>
        <v>COLLAR UNISEX COLLAR 2 VARIOS TALLA VA</v>
      </c>
    </row>
    <row r="276">
      <c r="A276" s="4">
        <v>1.0</v>
      </c>
      <c r="B276" s="4" t="s">
        <v>1786</v>
      </c>
      <c r="C276" s="1"/>
      <c r="D276" s="4" t="s">
        <v>1787</v>
      </c>
      <c r="E276" s="3">
        <v>18500.0</v>
      </c>
      <c r="F276" s="2">
        <f t="shared" si="2"/>
        <v>18500</v>
      </c>
      <c r="G276" s="65">
        <f t="shared" si="7"/>
        <v>37000</v>
      </c>
      <c r="H276" s="1"/>
      <c r="I276" s="1"/>
      <c r="J276" s="1"/>
      <c r="K276" s="66" t="s">
        <v>427</v>
      </c>
      <c r="L276" s="66" t="s">
        <v>1261</v>
      </c>
      <c r="M276" s="66" t="s">
        <v>1101</v>
      </c>
      <c r="N276" s="18" t="s">
        <v>1264</v>
      </c>
      <c r="O276" s="66" t="s">
        <v>1069</v>
      </c>
      <c r="P276" s="67" t="s">
        <v>1070</v>
      </c>
      <c r="Q276" s="18" t="s">
        <v>729</v>
      </c>
      <c r="R276" s="68" t="str">
        <f>IFERROR(CONCATENATE("*",VLOOKUP(L276,PARAM!D:E,2,0),VLOOKUP(M276,PARAM!J:K,2,0),VLOOKUP(N276,PARAM!G:H,2,0),VLOOKUP(P276,PARAM!P:Q,2,0),"*"),"")</f>
        <v>*3038131*</v>
      </c>
      <c r="S276" s="18" t="str">
        <f>IFERROR(CONCATENATE(VLOOKUP(L276,PARAM!D:E,2,0),VLOOKUP(M276,PARAM!J:K,2,0),VLOOKUP(N276,PARAM!G:H,2,0),VLOOKUP(O276,PARAM!M:N,2,0),VLOOKUP(P276,PARAM!P:Q,2,0)),"")</f>
        <v>303811631</v>
      </c>
      <c r="T276" s="18">
        <f t="shared" si="4"/>
        <v>9</v>
      </c>
      <c r="U276" s="18" t="str">
        <f t="shared" si="5"/>
        <v>COLLAR UNISEX COLLAR 3 VARIOS TALLA VA</v>
      </c>
    </row>
    <row r="277">
      <c r="A277" s="4">
        <v>4.0</v>
      </c>
      <c r="B277" s="4" t="s">
        <v>1788</v>
      </c>
      <c r="C277" s="1"/>
      <c r="D277" s="4" t="s">
        <v>1789</v>
      </c>
      <c r="E277" s="3">
        <v>14500.0</v>
      </c>
      <c r="F277" s="2">
        <f t="shared" si="2"/>
        <v>58000</v>
      </c>
      <c r="G277" s="65">
        <f t="shared" si="7"/>
        <v>29000</v>
      </c>
      <c r="H277" s="1"/>
      <c r="I277" s="1"/>
      <c r="J277" s="1"/>
      <c r="K277" s="66" t="s">
        <v>427</v>
      </c>
      <c r="L277" s="66" t="s">
        <v>1261</v>
      </c>
      <c r="M277" s="66" t="s">
        <v>1101</v>
      </c>
      <c r="N277" s="18" t="s">
        <v>1265</v>
      </c>
      <c r="O277" s="66" t="s">
        <v>1069</v>
      </c>
      <c r="P277" s="67" t="s">
        <v>1070</v>
      </c>
      <c r="Q277" s="18" t="s">
        <v>729</v>
      </c>
      <c r="R277" s="68" t="str">
        <f>IFERROR(CONCATENATE("*",VLOOKUP(L277,PARAM!D:E,2,0),VLOOKUP(M277,PARAM!J:K,2,0),VLOOKUP(N277,PARAM!G:H,2,0),VLOOKUP(P277,PARAM!P:Q,2,0),"*"),"")</f>
        <v>*3038231*</v>
      </c>
      <c r="S277" s="18" t="str">
        <f>IFERROR(CONCATENATE(VLOOKUP(L277,PARAM!D:E,2,0),VLOOKUP(M277,PARAM!J:K,2,0),VLOOKUP(N277,PARAM!G:H,2,0),VLOOKUP(O277,PARAM!M:N,2,0),VLOOKUP(P277,PARAM!P:Q,2,0)),"")</f>
        <v>303821631</v>
      </c>
      <c r="T277" s="18">
        <f t="shared" si="4"/>
        <v>9</v>
      </c>
      <c r="U277" s="18" t="str">
        <f t="shared" si="5"/>
        <v>COLLAR UNISEX COLLAR 4 VARIOS TALLA VA</v>
      </c>
    </row>
    <row r="278">
      <c r="A278" s="4">
        <v>1.0</v>
      </c>
      <c r="B278" s="4" t="s">
        <v>1790</v>
      </c>
      <c r="C278" s="1"/>
      <c r="D278" s="4" t="s">
        <v>1791</v>
      </c>
      <c r="E278" s="3">
        <v>7000.0</v>
      </c>
      <c r="F278" s="2">
        <f t="shared" si="2"/>
        <v>7000</v>
      </c>
      <c r="G278" s="65">
        <f t="shared" si="7"/>
        <v>14000</v>
      </c>
      <c r="H278" s="1"/>
      <c r="I278" s="1"/>
      <c r="J278" s="1"/>
      <c r="K278" s="66" t="s">
        <v>427</v>
      </c>
      <c r="L278" s="66" t="s">
        <v>1261</v>
      </c>
      <c r="M278" s="66" t="s">
        <v>1101</v>
      </c>
      <c r="N278" s="18" t="s">
        <v>1266</v>
      </c>
      <c r="O278" s="66" t="s">
        <v>1069</v>
      </c>
      <c r="P278" s="67" t="s">
        <v>1070</v>
      </c>
      <c r="Q278" s="18" t="s">
        <v>729</v>
      </c>
      <c r="R278" s="68" t="str">
        <f>IFERROR(CONCATENATE("*",VLOOKUP(L278,PARAM!D:E,2,0),VLOOKUP(M278,PARAM!J:K,2,0),VLOOKUP(N278,PARAM!G:H,2,0),VLOOKUP(P278,PARAM!P:Q,2,0),"*"),"")</f>
        <v>*3038331*</v>
      </c>
      <c r="S278" s="18" t="str">
        <f>IFERROR(CONCATENATE(VLOOKUP(L278,PARAM!D:E,2,0),VLOOKUP(M278,PARAM!J:K,2,0),VLOOKUP(N278,PARAM!G:H,2,0),VLOOKUP(O278,PARAM!M:N,2,0),VLOOKUP(P278,PARAM!P:Q,2,0)),"")</f>
        <v>303831631</v>
      </c>
      <c r="T278" s="18">
        <f t="shared" si="4"/>
        <v>9</v>
      </c>
      <c r="U278" s="18" t="str">
        <f t="shared" si="5"/>
        <v>COLLAR UNISEX COLLAR 5 VARIOS TALLA VA</v>
      </c>
    </row>
    <row r="279">
      <c r="A279" s="4">
        <v>1.0</v>
      </c>
      <c r="B279" s="4" t="s">
        <v>1792</v>
      </c>
      <c r="C279" s="1"/>
      <c r="D279" s="4" t="s">
        <v>1793</v>
      </c>
      <c r="E279" s="3">
        <v>11000.0</v>
      </c>
      <c r="F279" s="2">
        <f t="shared" si="2"/>
        <v>11000</v>
      </c>
      <c r="G279" s="65">
        <f t="shared" si="7"/>
        <v>22000</v>
      </c>
      <c r="H279" s="1"/>
      <c r="I279" s="1"/>
      <c r="J279" s="1"/>
      <c r="K279" s="66" t="s">
        <v>427</v>
      </c>
      <c r="L279" s="66" t="s">
        <v>1261</v>
      </c>
      <c r="M279" s="66" t="s">
        <v>1101</v>
      </c>
      <c r="N279" s="18" t="s">
        <v>1267</v>
      </c>
      <c r="O279" s="66" t="s">
        <v>1069</v>
      </c>
      <c r="P279" s="67" t="s">
        <v>1070</v>
      </c>
      <c r="Q279" s="18" t="s">
        <v>729</v>
      </c>
      <c r="R279" s="68" t="str">
        <f>IFERROR(CONCATENATE("*",VLOOKUP(L279,PARAM!D:E,2,0),VLOOKUP(M279,PARAM!J:K,2,0),VLOOKUP(N279,PARAM!G:H,2,0),VLOOKUP(P279,PARAM!P:Q,2,0),"*"),"")</f>
        <v>*3038431*</v>
      </c>
      <c r="S279" s="18" t="str">
        <f>IFERROR(CONCATENATE(VLOOKUP(L279,PARAM!D:E,2,0),VLOOKUP(M279,PARAM!J:K,2,0),VLOOKUP(N279,PARAM!G:H,2,0),VLOOKUP(O279,PARAM!M:N,2,0),VLOOKUP(P279,PARAM!P:Q,2,0)),"")</f>
        <v>303841631</v>
      </c>
      <c r="T279" s="18">
        <f t="shared" si="4"/>
        <v>9</v>
      </c>
      <c r="U279" s="18" t="str">
        <f t="shared" si="5"/>
        <v>COLLAR UNISEX COLLAR 6 VARIOS TALLA VA</v>
      </c>
    </row>
    <row r="280">
      <c r="A280" s="4">
        <v>1.0</v>
      </c>
      <c r="B280" s="4" t="s">
        <v>1794</v>
      </c>
      <c r="C280" s="1"/>
      <c r="D280" s="4" t="s">
        <v>1795</v>
      </c>
      <c r="E280" s="3">
        <v>9000.0</v>
      </c>
      <c r="F280" s="2">
        <f t="shared" si="2"/>
        <v>9000</v>
      </c>
      <c r="G280" s="65">
        <f t="shared" si="7"/>
        <v>18000</v>
      </c>
      <c r="H280" s="1"/>
      <c r="I280" s="1"/>
      <c r="J280" s="1"/>
      <c r="K280" s="66" t="s">
        <v>427</v>
      </c>
      <c r="L280" s="66" t="s">
        <v>1261</v>
      </c>
      <c r="M280" s="66" t="s">
        <v>1101</v>
      </c>
      <c r="N280" s="18" t="s">
        <v>1268</v>
      </c>
      <c r="O280" s="66" t="s">
        <v>1069</v>
      </c>
      <c r="P280" s="67" t="s">
        <v>1070</v>
      </c>
      <c r="Q280" s="18" t="s">
        <v>729</v>
      </c>
      <c r="R280" s="68" t="str">
        <f>IFERROR(CONCATENATE("*",VLOOKUP(L280,PARAM!D:E,2,0),VLOOKUP(M280,PARAM!J:K,2,0),VLOOKUP(N280,PARAM!G:H,2,0),VLOOKUP(P280,PARAM!P:Q,2,0),"*"),"")</f>
        <v>*3038531*</v>
      </c>
      <c r="S280" s="18" t="str">
        <f>IFERROR(CONCATENATE(VLOOKUP(L280,PARAM!D:E,2,0),VLOOKUP(M280,PARAM!J:K,2,0),VLOOKUP(N280,PARAM!G:H,2,0),VLOOKUP(O280,PARAM!M:N,2,0),VLOOKUP(P280,PARAM!P:Q,2,0)),"")</f>
        <v>303851631</v>
      </c>
      <c r="T280" s="18">
        <f t="shared" si="4"/>
        <v>9</v>
      </c>
      <c r="U280" s="18" t="str">
        <f t="shared" si="5"/>
        <v>COLLAR UNISEX COLLAR 7 VARIOS TALLA VA</v>
      </c>
    </row>
    <row r="281">
      <c r="A281" s="4">
        <v>2.0</v>
      </c>
      <c r="B281" s="4" t="s">
        <v>1796</v>
      </c>
      <c r="C281" s="1"/>
      <c r="D281" s="4" t="s">
        <v>1797</v>
      </c>
      <c r="E281" s="3">
        <v>10000.0</v>
      </c>
      <c r="F281" s="2">
        <f t="shared" si="2"/>
        <v>20000</v>
      </c>
      <c r="G281" s="65">
        <f t="shared" si="7"/>
        <v>20000</v>
      </c>
      <c r="H281" s="1"/>
      <c r="I281" s="1"/>
      <c r="J281" s="1"/>
      <c r="K281" s="66" t="s">
        <v>427</v>
      </c>
      <c r="L281" s="66" t="s">
        <v>1269</v>
      </c>
      <c r="M281" s="66" t="s">
        <v>1101</v>
      </c>
      <c r="N281" s="18" t="s">
        <v>1270</v>
      </c>
      <c r="O281" s="66" t="s">
        <v>1069</v>
      </c>
      <c r="P281" s="67" t="s">
        <v>1070</v>
      </c>
      <c r="Q281" s="18" t="s">
        <v>729</v>
      </c>
      <c r="R281" s="68" t="str">
        <f>IFERROR(CONCATENATE("*",VLOOKUP(L281,PARAM!D:E,2,0),VLOOKUP(M281,PARAM!J:K,2,0),VLOOKUP(N281,PARAM!G:H,2,0),VLOOKUP(P281,PARAM!P:Q,2,0),"*"),"")</f>
        <v>*31322431*</v>
      </c>
      <c r="S281" s="18" t="str">
        <f>IFERROR(CONCATENATE(VLOOKUP(L281,PARAM!D:E,2,0),VLOOKUP(M281,PARAM!J:K,2,0),VLOOKUP(N281,PARAM!G:H,2,0),VLOOKUP(O281,PARAM!M:N,2,0),VLOOKUP(P281,PARAM!P:Q,2,0)),"")</f>
        <v>3132241631</v>
      </c>
      <c r="T281" s="18">
        <f t="shared" si="4"/>
        <v>10</v>
      </c>
      <c r="U281" s="18" t="str">
        <f t="shared" si="5"/>
        <v>PULSERAS UNISEX PULSERA 1 VARIOS TALLA VA</v>
      </c>
    </row>
    <row r="282">
      <c r="A282" s="4">
        <v>1.0</v>
      </c>
      <c r="B282" s="4" t="s">
        <v>1798</v>
      </c>
      <c r="C282" s="1"/>
      <c r="D282" s="4" t="s">
        <v>1799</v>
      </c>
      <c r="E282" s="3">
        <v>12000.0</v>
      </c>
      <c r="F282" s="2">
        <f t="shared" si="2"/>
        <v>12000</v>
      </c>
      <c r="G282" s="65">
        <f t="shared" si="7"/>
        <v>24000</v>
      </c>
      <c r="H282" s="1"/>
      <c r="I282" s="1"/>
      <c r="J282" s="1"/>
      <c r="K282" s="66" t="s">
        <v>427</v>
      </c>
      <c r="L282" s="66" t="s">
        <v>1269</v>
      </c>
      <c r="M282" s="66" t="s">
        <v>1101</v>
      </c>
      <c r="N282" s="18" t="s">
        <v>1271</v>
      </c>
      <c r="O282" s="66" t="s">
        <v>1069</v>
      </c>
      <c r="P282" s="67" t="s">
        <v>1070</v>
      </c>
      <c r="Q282" s="18" t="s">
        <v>729</v>
      </c>
      <c r="R282" s="68" t="str">
        <f>IFERROR(CONCATENATE("*",VLOOKUP(L282,PARAM!D:E,2,0),VLOOKUP(M282,PARAM!J:K,2,0),VLOOKUP(N282,PARAM!G:H,2,0),VLOOKUP(P282,PARAM!P:Q,2,0),"*"),"")</f>
        <v>*31322531*</v>
      </c>
      <c r="S282" s="18" t="str">
        <f>IFERROR(CONCATENATE(VLOOKUP(L282,PARAM!D:E,2,0),VLOOKUP(M282,PARAM!J:K,2,0),VLOOKUP(N282,PARAM!G:H,2,0),VLOOKUP(O282,PARAM!M:N,2,0),VLOOKUP(P282,PARAM!P:Q,2,0)),"")</f>
        <v>3132251631</v>
      </c>
      <c r="T282" s="18">
        <f t="shared" si="4"/>
        <v>10</v>
      </c>
      <c r="U282" s="18" t="str">
        <f t="shared" si="5"/>
        <v>PULSERAS UNISEX PULSERA 2 VARIOS TALLA VA</v>
      </c>
    </row>
    <row r="283">
      <c r="A283" s="4">
        <v>2.0</v>
      </c>
      <c r="B283" s="4" t="s">
        <v>1800</v>
      </c>
      <c r="C283" s="1"/>
      <c r="D283" s="4" t="s">
        <v>1801</v>
      </c>
      <c r="E283" s="3">
        <v>10500.0</v>
      </c>
      <c r="F283" s="2">
        <f t="shared" si="2"/>
        <v>21000</v>
      </c>
      <c r="G283" s="65">
        <f t="shared" si="7"/>
        <v>21000</v>
      </c>
      <c r="H283" s="1"/>
      <c r="I283" s="1"/>
      <c r="J283" s="1"/>
      <c r="K283" s="66" t="s">
        <v>427</v>
      </c>
      <c r="L283" s="66" t="s">
        <v>1269</v>
      </c>
      <c r="M283" s="66" t="s">
        <v>1101</v>
      </c>
      <c r="N283" s="18" t="s">
        <v>1272</v>
      </c>
      <c r="O283" s="66" t="s">
        <v>1069</v>
      </c>
      <c r="P283" s="67" t="s">
        <v>1070</v>
      </c>
      <c r="Q283" s="18" t="s">
        <v>729</v>
      </c>
      <c r="R283" s="68" t="str">
        <f>IFERROR(CONCATENATE("*",VLOOKUP(L283,PARAM!D:E,2,0),VLOOKUP(M283,PARAM!J:K,2,0),VLOOKUP(N283,PARAM!G:H,2,0),VLOOKUP(P283,PARAM!P:Q,2,0),"*"),"")</f>
        <v>*31322631*</v>
      </c>
      <c r="S283" s="18" t="str">
        <f>IFERROR(CONCATENATE(VLOOKUP(L283,PARAM!D:E,2,0),VLOOKUP(M283,PARAM!J:K,2,0),VLOOKUP(N283,PARAM!G:H,2,0),VLOOKUP(O283,PARAM!M:N,2,0),VLOOKUP(P283,PARAM!P:Q,2,0)),"")</f>
        <v>3132261631</v>
      </c>
      <c r="T283" s="18">
        <f t="shared" si="4"/>
        <v>10</v>
      </c>
      <c r="U283" s="18" t="str">
        <f t="shared" si="5"/>
        <v>PULSERAS UNISEX PULSERA 3 VARIOS TALLA VA</v>
      </c>
    </row>
    <row r="284">
      <c r="A284" s="4">
        <v>1.0</v>
      </c>
      <c r="B284" s="4" t="s">
        <v>1802</v>
      </c>
      <c r="C284" s="1"/>
      <c r="D284" s="4" t="s">
        <v>1803</v>
      </c>
      <c r="E284" s="3">
        <v>8000.0</v>
      </c>
      <c r="F284" s="2">
        <f t="shared" si="2"/>
        <v>8000</v>
      </c>
      <c r="G284" s="65">
        <f t="shared" si="7"/>
        <v>16000</v>
      </c>
      <c r="H284" s="1"/>
      <c r="I284" s="1"/>
      <c r="J284" s="1"/>
      <c r="K284" s="66" t="s">
        <v>427</v>
      </c>
      <c r="L284" s="66" t="s">
        <v>1269</v>
      </c>
      <c r="M284" s="66" t="s">
        <v>1101</v>
      </c>
      <c r="N284" s="18" t="s">
        <v>1273</v>
      </c>
      <c r="O284" s="66" t="s">
        <v>1069</v>
      </c>
      <c r="P284" s="67" t="s">
        <v>1070</v>
      </c>
      <c r="Q284" s="18" t="s">
        <v>729</v>
      </c>
      <c r="R284" s="68" t="str">
        <f>IFERROR(CONCATENATE("*",VLOOKUP(L284,PARAM!D:E,2,0),VLOOKUP(M284,PARAM!J:K,2,0),VLOOKUP(N284,PARAM!G:H,2,0),VLOOKUP(P284,PARAM!P:Q,2,0),"*"),"")</f>
        <v>*31322731*</v>
      </c>
      <c r="S284" s="18" t="str">
        <f>IFERROR(CONCATENATE(VLOOKUP(L284,PARAM!D:E,2,0),VLOOKUP(M284,PARAM!J:K,2,0),VLOOKUP(N284,PARAM!G:H,2,0),VLOOKUP(O284,PARAM!M:N,2,0),VLOOKUP(P284,PARAM!P:Q,2,0)),"")</f>
        <v>3132271631</v>
      </c>
      <c r="T284" s="18">
        <f t="shared" si="4"/>
        <v>10</v>
      </c>
      <c r="U284" s="18" t="str">
        <f t="shared" si="5"/>
        <v>PULSERAS UNISEX PULSERA 4 VARIOS TALLA VA</v>
      </c>
    </row>
    <row r="285">
      <c r="A285" s="4">
        <v>1.0</v>
      </c>
      <c r="B285" s="4" t="s">
        <v>1804</v>
      </c>
      <c r="C285" s="1"/>
      <c r="D285" s="4" t="s">
        <v>1805</v>
      </c>
      <c r="E285" s="3">
        <v>11000.0</v>
      </c>
      <c r="F285" s="2">
        <f t="shared" si="2"/>
        <v>11000</v>
      </c>
      <c r="G285" s="65">
        <f t="shared" si="7"/>
        <v>22000</v>
      </c>
      <c r="H285" s="1"/>
      <c r="I285" s="1"/>
      <c r="J285" s="1"/>
      <c r="K285" s="66" t="s">
        <v>427</v>
      </c>
      <c r="L285" s="66" t="s">
        <v>1269</v>
      </c>
      <c r="M285" s="66" t="s">
        <v>1101</v>
      </c>
      <c r="N285" s="18" t="s">
        <v>1274</v>
      </c>
      <c r="O285" s="66" t="s">
        <v>1069</v>
      </c>
      <c r="P285" s="67" t="s">
        <v>1070</v>
      </c>
      <c r="Q285" s="18" t="s">
        <v>729</v>
      </c>
      <c r="R285" s="68" t="str">
        <f>IFERROR(CONCATENATE("*",VLOOKUP(L285,PARAM!D:E,2,0),VLOOKUP(M285,PARAM!J:K,2,0),VLOOKUP(N285,PARAM!G:H,2,0),VLOOKUP(P285,PARAM!P:Q,2,0),"*"),"")</f>
        <v>*31322831*</v>
      </c>
      <c r="S285" s="18" t="str">
        <f>IFERROR(CONCATENATE(VLOOKUP(L285,PARAM!D:E,2,0),VLOOKUP(M285,PARAM!J:K,2,0),VLOOKUP(N285,PARAM!G:H,2,0),VLOOKUP(O285,PARAM!M:N,2,0),VLOOKUP(P285,PARAM!P:Q,2,0)),"")</f>
        <v>3132281631</v>
      </c>
      <c r="T285" s="18">
        <f t="shared" si="4"/>
        <v>10</v>
      </c>
      <c r="U285" s="18" t="str">
        <f t="shared" si="5"/>
        <v>PULSERAS UNISEX PULSERA 5 VARIOS TALLA VA</v>
      </c>
    </row>
    <row r="286">
      <c r="A286" s="4">
        <v>1.0</v>
      </c>
      <c r="B286" s="4" t="s">
        <v>1806</v>
      </c>
      <c r="C286" s="1"/>
      <c r="D286" s="4" t="s">
        <v>1807</v>
      </c>
      <c r="E286" s="3">
        <v>11500.0</v>
      </c>
      <c r="F286" s="2">
        <f t="shared" si="2"/>
        <v>11500</v>
      </c>
      <c r="G286" s="65">
        <f t="shared" si="7"/>
        <v>23000</v>
      </c>
      <c r="H286" s="1"/>
      <c r="I286" s="1"/>
      <c r="J286" s="1"/>
      <c r="K286" s="66" t="s">
        <v>427</v>
      </c>
      <c r="L286" s="66" t="s">
        <v>1269</v>
      </c>
      <c r="M286" s="66" t="s">
        <v>1101</v>
      </c>
      <c r="N286" s="18" t="s">
        <v>1275</v>
      </c>
      <c r="O286" s="66" t="s">
        <v>1069</v>
      </c>
      <c r="P286" s="67" t="s">
        <v>1070</v>
      </c>
      <c r="Q286" s="18" t="s">
        <v>729</v>
      </c>
      <c r="R286" s="68" t="str">
        <f>IFERROR(CONCATENATE("*",VLOOKUP(L286,PARAM!D:E,2,0),VLOOKUP(M286,PARAM!J:K,2,0),VLOOKUP(N286,PARAM!G:H,2,0),VLOOKUP(P286,PARAM!P:Q,2,0),"*"),"")</f>
        <v>*31322931*</v>
      </c>
      <c r="S286" s="18" t="str">
        <f>IFERROR(CONCATENATE(VLOOKUP(L286,PARAM!D:E,2,0),VLOOKUP(M286,PARAM!J:K,2,0),VLOOKUP(N286,PARAM!G:H,2,0),VLOOKUP(O286,PARAM!M:N,2,0),VLOOKUP(P286,PARAM!P:Q,2,0)),"")</f>
        <v>3132291631</v>
      </c>
      <c r="T286" s="18">
        <f t="shared" si="4"/>
        <v>10</v>
      </c>
      <c r="U286" s="18" t="str">
        <f t="shared" si="5"/>
        <v>PULSERAS UNISEX PULSERA 6 VARIOS TALLA VA</v>
      </c>
    </row>
    <row r="287">
      <c r="A287" s="4">
        <v>2.0</v>
      </c>
      <c r="B287" s="4" t="s">
        <v>1808</v>
      </c>
      <c r="C287" s="1"/>
      <c r="D287" s="4" t="s">
        <v>1809</v>
      </c>
      <c r="E287" s="3">
        <v>4000.0</v>
      </c>
      <c r="F287" s="2">
        <f t="shared" si="2"/>
        <v>8000</v>
      </c>
      <c r="G287" s="65">
        <f t="shared" si="7"/>
        <v>8000</v>
      </c>
      <c r="H287" s="1"/>
      <c r="I287" s="1"/>
      <c r="J287" s="1"/>
      <c r="K287" s="66" t="s">
        <v>427</v>
      </c>
      <c r="L287" s="66" t="s">
        <v>1276</v>
      </c>
      <c r="M287" s="66" t="s">
        <v>1101</v>
      </c>
      <c r="N287" s="66" t="s">
        <v>1277</v>
      </c>
      <c r="O287" s="66" t="s">
        <v>1069</v>
      </c>
      <c r="P287" s="67" t="s">
        <v>1070</v>
      </c>
      <c r="Q287" s="18" t="s">
        <v>729</v>
      </c>
      <c r="R287" s="68" t="str">
        <f>IFERROR(CONCATENATE("*",VLOOKUP(L287,PARAM!D:E,2,0),VLOOKUP(M287,PARAM!J:K,2,0),VLOOKUP(N287,PARAM!G:H,2,0),VLOOKUP(P287,PARAM!P:Q,2,0),"*"),"")</f>
        <v>*32326731*</v>
      </c>
      <c r="S287" s="18" t="str">
        <f>IFERROR(CONCATENATE(VLOOKUP(L287,PARAM!D:E,2,0),VLOOKUP(M287,PARAM!J:K,2,0),VLOOKUP(N287,PARAM!G:H,2,0),VLOOKUP(O287,PARAM!M:N,2,0),VLOOKUP(P287,PARAM!P:Q,2,0)),"")</f>
        <v>3232671631</v>
      </c>
      <c r="T287" s="18">
        <f t="shared" si="4"/>
        <v>10</v>
      </c>
      <c r="U287" s="18" t="str">
        <f t="shared" si="5"/>
        <v>TOPOS UNISEX TOPOS DE SEGURIDAD 1 VARIOS TALLA VA</v>
      </c>
    </row>
    <row r="288">
      <c r="A288" s="4">
        <v>4.0</v>
      </c>
      <c r="B288" s="4" t="s">
        <v>1810</v>
      </c>
      <c r="C288" s="1"/>
      <c r="D288" s="4" t="s">
        <v>1811</v>
      </c>
      <c r="E288" s="3">
        <v>4500.0</v>
      </c>
      <c r="F288" s="2">
        <f t="shared" si="2"/>
        <v>18000</v>
      </c>
      <c r="G288" s="65">
        <f t="shared" si="7"/>
        <v>9000</v>
      </c>
      <c r="H288" s="1"/>
      <c r="I288" s="1"/>
      <c r="J288" s="1"/>
      <c r="K288" s="66" t="s">
        <v>427</v>
      </c>
      <c r="L288" s="66" t="s">
        <v>1276</v>
      </c>
      <c r="M288" s="66" t="s">
        <v>1101</v>
      </c>
      <c r="N288" s="66" t="s">
        <v>1278</v>
      </c>
      <c r="O288" s="66" t="s">
        <v>1069</v>
      </c>
      <c r="P288" s="67" t="s">
        <v>1070</v>
      </c>
      <c r="Q288" s="18" t="s">
        <v>729</v>
      </c>
      <c r="R288" s="68" t="str">
        <f>IFERROR(CONCATENATE("*",VLOOKUP(L288,PARAM!D:E,2,0),VLOOKUP(M288,PARAM!J:K,2,0),VLOOKUP(N288,PARAM!G:H,2,0),VLOOKUP(P288,PARAM!P:Q,2,0),"*"),"")</f>
        <v>*32326831*</v>
      </c>
      <c r="S288" s="18" t="str">
        <f>IFERROR(CONCATENATE(VLOOKUP(L288,PARAM!D:E,2,0),VLOOKUP(M288,PARAM!J:K,2,0),VLOOKUP(N288,PARAM!G:H,2,0),VLOOKUP(O288,PARAM!M:N,2,0),VLOOKUP(P288,PARAM!P:Q,2,0)),"")</f>
        <v>3232681631</v>
      </c>
      <c r="T288" s="18">
        <f t="shared" si="4"/>
        <v>10</v>
      </c>
      <c r="U288" s="18" t="str">
        <f t="shared" si="5"/>
        <v>TOPOS UNISEX TOPOS DE SEGURIDAD 2 VARIOS TALLA VA</v>
      </c>
    </row>
    <row r="289">
      <c r="A289" s="4">
        <v>2.0</v>
      </c>
      <c r="B289" s="4" t="s">
        <v>1812</v>
      </c>
      <c r="C289" s="1"/>
      <c r="D289" s="4" t="s">
        <v>1813</v>
      </c>
      <c r="E289" s="3">
        <v>5000.0</v>
      </c>
      <c r="F289" s="2">
        <f t="shared" si="2"/>
        <v>10000</v>
      </c>
      <c r="G289" s="65">
        <f t="shared" si="7"/>
        <v>10000</v>
      </c>
      <c r="H289" s="1"/>
      <c r="I289" s="1"/>
      <c r="J289" s="1"/>
      <c r="K289" s="66" t="s">
        <v>427</v>
      </c>
      <c r="L289" s="66" t="s">
        <v>1276</v>
      </c>
      <c r="M289" s="66" t="s">
        <v>1101</v>
      </c>
      <c r="N289" s="66" t="s">
        <v>1279</v>
      </c>
      <c r="O289" s="66" t="s">
        <v>1069</v>
      </c>
      <c r="P289" s="67" t="s">
        <v>1070</v>
      </c>
      <c r="Q289" s="18" t="s">
        <v>729</v>
      </c>
      <c r="R289" s="68" t="str">
        <f>IFERROR(CONCATENATE("*",VLOOKUP(L289,PARAM!D:E,2,0),VLOOKUP(M289,PARAM!J:K,2,0),VLOOKUP(N289,PARAM!G:H,2,0),VLOOKUP(P289,PARAM!P:Q,2,0),"*"),"")</f>
        <v>*32326931*</v>
      </c>
      <c r="S289" s="18" t="str">
        <f>IFERROR(CONCATENATE(VLOOKUP(L289,PARAM!D:E,2,0),VLOOKUP(M289,PARAM!J:K,2,0),VLOOKUP(N289,PARAM!G:H,2,0),VLOOKUP(O289,PARAM!M:N,2,0),VLOOKUP(P289,PARAM!P:Q,2,0)),"")</f>
        <v>3232691631</v>
      </c>
      <c r="T289" s="18">
        <f t="shared" si="4"/>
        <v>10</v>
      </c>
      <c r="U289" s="18" t="str">
        <f t="shared" si="5"/>
        <v>TOPOS UNISEX TOPOS DE SEGURIDAD 3 VARIOS TALLA VA</v>
      </c>
    </row>
    <row r="290">
      <c r="A290" s="4">
        <v>1.0</v>
      </c>
      <c r="B290" s="4" t="s">
        <v>1814</v>
      </c>
      <c r="C290" s="1"/>
      <c r="D290" s="4" t="s">
        <v>1815</v>
      </c>
      <c r="E290" s="3">
        <v>4000.0</v>
      </c>
      <c r="F290" s="2">
        <f t="shared" si="2"/>
        <v>4000</v>
      </c>
      <c r="G290" s="65">
        <f t="shared" si="7"/>
        <v>8000</v>
      </c>
      <c r="H290" s="1"/>
      <c r="I290" s="1"/>
      <c r="J290" s="1"/>
      <c r="K290" s="66" t="s">
        <v>427</v>
      </c>
      <c r="L290" s="66" t="s">
        <v>1280</v>
      </c>
      <c r="M290" s="66" t="s">
        <v>1101</v>
      </c>
      <c r="N290" s="66" t="s">
        <v>1281</v>
      </c>
      <c r="O290" s="66" t="s">
        <v>1069</v>
      </c>
      <c r="P290" s="67" t="s">
        <v>1070</v>
      </c>
      <c r="Q290" s="18" t="s">
        <v>729</v>
      </c>
      <c r="R290" s="68" t="str">
        <f>IFERROR(CONCATENATE("*",VLOOKUP(L290,PARAM!D:E,2,0),VLOOKUP(M290,PARAM!J:K,2,0),VLOOKUP(N290,PARAM!G:H,2,0),VLOOKUP(P290,PARAM!P:Q,2,0),"*"),"")</f>
        <v>*34310531*</v>
      </c>
      <c r="S290" s="18" t="str">
        <f>IFERROR(CONCATENATE(VLOOKUP(L290,PARAM!D:E,2,0),VLOOKUP(M290,PARAM!J:K,2,0),VLOOKUP(N290,PARAM!G:H,2,0),VLOOKUP(O290,PARAM!M:N,2,0),VLOOKUP(P290,PARAM!P:Q,2,0)),"")</f>
        <v>3431051631</v>
      </c>
      <c r="T290" s="18">
        <f t="shared" si="4"/>
        <v>10</v>
      </c>
      <c r="U290" s="18" t="str">
        <f t="shared" si="5"/>
        <v>CANDONGAS UNISEX CUADRADA 1 VARIOS TALLA VA</v>
      </c>
    </row>
    <row r="291">
      <c r="A291" s="4">
        <v>1.0</v>
      </c>
      <c r="B291" s="4" t="s">
        <v>1816</v>
      </c>
      <c r="C291" s="1"/>
      <c r="D291" s="4" t="s">
        <v>1817</v>
      </c>
      <c r="E291" s="3">
        <v>6500.0</v>
      </c>
      <c r="F291" s="2">
        <f t="shared" si="2"/>
        <v>6500</v>
      </c>
      <c r="G291" s="65">
        <f t="shared" si="7"/>
        <v>13000</v>
      </c>
      <c r="H291" s="1"/>
      <c r="I291" s="1"/>
      <c r="J291" s="1"/>
      <c r="K291" s="66" t="s">
        <v>427</v>
      </c>
      <c r="L291" s="66" t="s">
        <v>1280</v>
      </c>
      <c r="M291" s="66" t="s">
        <v>1101</v>
      </c>
      <c r="N291" s="66" t="s">
        <v>1282</v>
      </c>
      <c r="O291" s="66" t="s">
        <v>1069</v>
      </c>
      <c r="P291" s="67" t="s">
        <v>1070</v>
      </c>
      <c r="Q291" s="18" t="s">
        <v>729</v>
      </c>
      <c r="R291" s="68" t="str">
        <f>IFERROR(CONCATENATE("*",VLOOKUP(L291,PARAM!D:E,2,0),VLOOKUP(M291,PARAM!J:K,2,0),VLOOKUP(N291,PARAM!G:H,2,0),VLOOKUP(P291,PARAM!P:Q,2,0),"*"),"")</f>
        <v>*34310631*</v>
      </c>
      <c r="S291" s="18" t="str">
        <f>IFERROR(CONCATENATE(VLOOKUP(L291,PARAM!D:E,2,0),VLOOKUP(M291,PARAM!J:K,2,0),VLOOKUP(N291,PARAM!G:H,2,0),VLOOKUP(O291,PARAM!M:N,2,0),VLOOKUP(P291,PARAM!P:Q,2,0)),"")</f>
        <v>3431061631</v>
      </c>
      <c r="T291" s="18">
        <f t="shared" si="4"/>
        <v>10</v>
      </c>
      <c r="U291" s="18" t="str">
        <f t="shared" si="5"/>
        <v>CANDONGAS UNISEX CUADRADA 2 VARIOS TALLA VA</v>
      </c>
    </row>
    <row r="292">
      <c r="A292" s="64">
        <v>2.0</v>
      </c>
      <c r="B292" s="4" t="s">
        <v>1818</v>
      </c>
      <c r="C292" s="1"/>
      <c r="D292" s="4" t="s">
        <v>1819</v>
      </c>
      <c r="E292" s="3">
        <v>9500.0</v>
      </c>
      <c r="F292" s="2">
        <f t="shared" si="2"/>
        <v>19000</v>
      </c>
      <c r="G292" s="65">
        <f t="shared" si="7"/>
        <v>19000</v>
      </c>
      <c r="H292" s="1"/>
      <c r="I292" s="1"/>
      <c r="J292" s="1"/>
      <c r="K292" s="66" t="s">
        <v>427</v>
      </c>
      <c r="L292" s="66" t="s">
        <v>1280</v>
      </c>
      <c r="M292" s="66" t="s">
        <v>1101</v>
      </c>
      <c r="N292" s="66" t="s">
        <v>1283</v>
      </c>
      <c r="O292" s="66" t="s">
        <v>1069</v>
      </c>
      <c r="P292" s="67" t="s">
        <v>1070</v>
      </c>
      <c r="Q292" s="18" t="s">
        <v>729</v>
      </c>
      <c r="R292" s="68" t="str">
        <f>IFERROR(CONCATENATE("*",VLOOKUP(L292,PARAM!D:E,2,0),VLOOKUP(M292,PARAM!J:K,2,0),VLOOKUP(N292,PARAM!G:H,2,0),VLOOKUP(P292,PARAM!P:Q,2,0),"*"),"")</f>
        <v>*34310731*</v>
      </c>
      <c r="S292" s="18" t="str">
        <f>IFERROR(CONCATENATE(VLOOKUP(L292,PARAM!D:E,2,0),VLOOKUP(M292,PARAM!J:K,2,0),VLOOKUP(N292,PARAM!G:H,2,0),VLOOKUP(O292,PARAM!M:N,2,0),VLOOKUP(P292,PARAM!P:Q,2,0)),"")</f>
        <v>3431071631</v>
      </c>
      <c r="T292" s="18">
        <f t="shared" si="4"/>
        <v>10</v>
      </c>
      <c r="U292" s="18" t="str">
        <f t="shared" si="5"/>
        <v>CANDONGAS UNISEX CUADRADA 3 VARIOS TALLA VA</v>
      </c>
    </row>
    <row r="293">
      <c r="A293" s="4">
        <v>1.0</v>
      </c>
      <c r="B293" s="4" t="s">
        <v>1820</v>
      </c>
      <c r="C293" s="1"/>
      <c r="D293" s="4" t="s">
        <v>1821</v>
      </c>
      <c r="E293" s="3">
        <v>2000.0</v>
      </c>
      <c r="F293" s="2">
        <f t="shared" si="2"/>
        <v>2000</v>
      </c>
      <c r="G293" s="65">
        <f t="shared" si="7"/>
        <v>4000</v>
      </c>
      <c r="H293" s="1"/>
      <c r="I293" s="1"/>
      <c r="J293" s="1"/>
      <c r="K293" s="66" t="s">
        <v>427</v>
      </c>
      <c r="L293" s="66" t="s">
        <v>1280</v>
      </c>
      <c r="M293" s="66" t="s">
        <v>1101</v>
      </c>
      <c r="N293" s="66" t="s">
        <v>1284</v>
      </c>
      <c r="O293" s="66" t="s">
        <v>1069</v>
      </c>
      <c r="P293" s="67" t="s">
        <v>1070</v>
      </c>
      <c r="Q293" s="18" t="s">
        <v>729</v>
      </c>
      <c r="R293" s="68" t="str">
        <f>IFERROR(CONCATENATE("*",VLOOKUP(L293,PARAM!D:E,2,0),VLOOKUP(M293,PARAM!J:K,2,0),VLOOKUP(N293,PARAM!G:H,2,0),VLOOKUP(P293,PARAM!P:Q,2,0),"*"),"")</f>
        <v>*3439831*</v>
      </c>
      <c r="S293" s="18" t="str">
        <f>IFERROR(CONCATENATE(VLOOKUP(L293,PARAM!D:E,2,0),VLOOKUP(M293,PARAM!J:K,2,0),VLOOKUP(N293,PARAM!G:H,2,0),VLOOKUP(O293,PARAM!M:N,2,0),VLOOKUP(P293,PARAM!P:Q,2,0)),"")</f>
        <v>343981631</v>
      </c>
      <c r="T293" s="18">
        <f t="shared" si="4"/>
        <v>9</v>
      </c>
      <c r="U293" s="18" t="str">
        <f t="shared" si="5"/>
        <v>CANDONGAS UNISEX CORAZON LOVE 1 VARIOS TALLA VA</v>
      </c>
    </row>
    <row r="294">
      <c r="A294" s="4">
        <v>1.0</v>
      </c>
      <c r="B294" s="4" t="s">
        <v>1822</v>
      </c>
      <c r="C294" s="1"/>
      <c r="D294" s="4" t="s">
        <v>1823</v>
      </c>
      <c r="E294" s="3">
        <v>4500.0</v>
      </c>
      <c r="F294" s="2">
        <f t="shared" si="2"/>
        <v>4500</v>
      </c>
      <c r="G294" s="65">
        <f t="shared" si="7"/>
        <v>9000</v>
      </c>
      <c r="H294" s="1"/>
      <c r="I294" s="1"/>
      <c r="J294" s="1"/>
      <c r="K294" s="66" t="s">
        <v>427</v>
      </c>
      <c r="L294" s="66" t="s">
        <v>1280</v>
      </c>
      <c r="M294" s="66" t="s">
        <v>1101</v>
      </c>
      <c r="N294" s="66" t="s">
        <v>1285</v>
      </c>
      <c r="O294" s="66" t="s">
        <v>1069</v>
      </c>
      <c r="P294" s="67" t="s">
        <v>1070</v>
      </c>
      <c r="Q294" s="18" t="s">
        <v>729</v>
      </c>
      <c r="R294" s="68" t="str">
        <f>IFERROR(CONCATENATE("*",VLOOKUP(L294,PARAM!D:E,2,0),VLOOKUP(M294,PARAM!J:K,2,0),VLOOKUP(N294,PARAM!G:H,2,0),VLOOKUP(P294,PARAM!P:Q,2,0),"*"),"")</f>
        <v>*3439931*</v>
      </c>
      <c r="S294" s="18" t="str">
        <f>IFERROR(CONCATENATE(VLOOKUP(L294,PARAM!D:E,2,0),VLOOKUP(M294,PARAM!J:K,2,0),VLOOKUP(N294,PARAM!G:H,2,0),VLOOKUP(O294,PARAM!M:N,2,0),VLOOKUP(P294,PARAM!P:Q,2,0)),"")</f>
        <v>343991631</v>
      </c>
      <c r="T294" s="18">
        <f t="shared" si="4"/>
        <v>9</v>
      </c>
      <c r="U294" s="18" t="str">
        <f t="shared" si="5"/>
        <v>CANDONGAS UNISEX CORAZON LOVE 2 VARIOS TALLA VA</v>
      </c>
    </row>
    <row r="295">
      <c r="A295" s="4">
        <v>1.0</v>
      </c>
      <c r="B295" s="4" t="s">
        <v>1824</v>
      </c>
      <c r="C295" s="1"/>
      <c r="D295" s="4" t="s">
        <v>1825</v>
      </c>
      <c r="E295" s="3">
        <v>7500.0</v>
      </c>
      <c r="F295" s="2">
        <f t="shared" si="2"/>
        <v>7500</v>
      </c>
      <c r="G295" s="65">
        <f t="shared" si="7"/>
        <v>15000</v>
      </c>
      <c r="H295" s="1"/>
      <c r="I295" s="1"/>
      <c r="J295" s="1"/>
      <c r="K295" s="66" t="s">
        <v>427</v>
      </c>
      <c r="L295" s="66" t="s">
        <v>1280</v>
      </c>
      <c r="M295" s="66" t="s">
        <v>1101</v>
      </c>
      <c r="N295" s="66" t="s">
        <v>1286</v>
      </c>
      <c r="O295" s="66" t="s">
        <v>1069</v>
      </c>
      <c r="P295" s="67" t="s">
        <v>1070</v>
      </c>
      <c r="Q295" s="18" t="s">
        <v>729</v>
      </c>
      <c r="R295" s="68" t="str">
        <f>IFERROR(CONCATENATE("*",VLOOKUP(L295,PARAM!D:E,2,0),VLOOKUP(M295,PARAM!J:K,2,0),VLOOKUP(N295,PARAM!G:H,2,0),VLOOKUP(P295,PARAM!P:Q,2,0),"*"),"")</f>
        <v>*34310031*</v>
      </c>
      <c r="S295" s="18" t="str">
        <f>IFERROR(CONCATENATE(VLOOKUP(L295,PARAM!D:E,2,0),VLOOKUP(M295,PARAM!J:K,2,0),VLOOKUP(N295,PARAM!G:H,2,0),VLOOKUP(O295,PARAM!M:N,2,0),VLOOKUP(P295,PARAM!P:Q,2,0)),"")</f>
        <v>3431001631</v>
      </c>
      <c r="T295" s="18">
        <f t="shared" si="4"/>
        <v>10</v>
      </c>
      <c r="U295" s="18" t="str">
        <f t="shared" si="5"/>
        <v>CANDONGAS UNISEX CORAZON LOVE 3 VARIOS TALLA VA</v>
      </c>
    </row>
    <row r="296">
      <c r="A296" s="4">
        <v>2.0</v>
      </c>
      <c r="B296" s="4" t="s">
        <v>1826</v>
      </c>
      <c r="C296" s="1"/>
      <c r="D296" s="4" t="s">
        <v>1827</v>
      </c>
      <c r="E296" s="3">
        <v>11000.0</v>
      </c>
      <c r="F296" s="2">
        <f t="shared" si="2"/>
        <v>22000</v>
      </c>
      <c r="G296" s="65">
        <f t="shared" si="7"/>
        <v>22000</v>
      </c>
      <c r="H296" s="1"/>
      <c r="I296" s="1"/>
      <c r="J296" s="1"/>
      <c r="K296" s="66" t="s">
        <v>427</v>
      </c>
      <c r="L296" s="66" t="s">
        <v>1280</v>
      </c>
      <c r="M296" s="66" t="s">
        <v>1101</v>
      </c>
      <c r="N296" s="66" t="s">
        <v>1287</v>
      </c>
      <c r="O296" s="66" t="s">
        <v>1069</v>
      </c>
      <c r="P296" s="67" t="s">
        <v>1070</v>
      </c>
      <c r="Q296" s="18" t="s">
        <v>729</v>
      </c>
      <c r="R296" s="68" t="str">
        <f>IFERROR(CONCATENATE("*",VLOOKUP(L296,PARAM!D:E,2,0),VLOOKUP(M296,PARAM!J:K,2,0),VLOOKUP(N296,PARAM!G:H,2,0),VLOOKUP(P296,PARAM!P:Q,2,0),"*"),"")</f>
        <v>*34310131*</v>
      </c>
      <c r="S296" s="18" t="str">
        <f>IFERROR(CONCATENATE(VLOOKUP(L296,PARAM!D:E,2,0),VLOOKUP(M296,PARAM!J:K,2,0),VLOOKUP(N296,PARAM!G:H,2,0),VLOOKUP(O296,PARAM!M:N,2,0),VLOOKUP(P296,PARAM!P:Q,2,0)),"")</f>
        <v>3431011631</v>
      </c>
      <c r="T296" s="18">
        <f t="shared" si="4"/>
        <v>10</v>
      </c>
      <c r="U296" s="18" t="str">
        <f t="shared" si="5"/>
        <v>CANDONGAS UNISEX CORAZON LOVE 4 VARIOS TALLA VA</v>
      </c>
    </row>
    <row r="297">
      <c r="A297" s="4">
        <v>1.0</v>
      </c>
      <c r="B297" s="4" t="s">
        <v>1828</v>
      </c>
      <c r="C297" s="1"/>
      <c r="D297" s="4" t="s">
        <v>1828</v>
      </c>
      <c r="E297" s="3">
        <v>10000.0</v>
      </c>
      <c r="F297" s="2">
        <f t="shared" si="2"/>
        <v>10000</v>
      </c>
      <c r="G297" s="65">
        <f t="shared" si="7"/>
        <v>20000</v>
      </c>
      <c r="H297" s="1"/>
      <c r="I297" s="1"/>
      <c r="J297" s="1"/>
      <c r="K297" s="66" t="s">
        <v>427</v>
      </c>
      <c r="L297" s="66" t="s">
        <v>1280</v>
      </c>
      <c r="M297" s="66" t="s">
        <v>1101</v>
      </c>
      <c r="N297" s="18" t="s">
        <v>1288</v>
      </c>
      <c r="O297" s="66" t="s">
        <v>1069</v>
      </c>
      <c r="P297" s="67" t="s">
        <v>1070</v>
      </c>
      <c r="Q297" s="18" t="s">
        <v>729</v>
      </c>
      <c r="R297" s="68" t="str">
        <f>IFERROR(CONCATENATE("*",VLOOKUP(L297,PARAM!D:E,2,0),VLOOKUP(M297,PARAM!J:K,2,0),VLOOKUP(N297,PARAM!G:H,2,0),VLOOKUP(P297,PARAM!P:Q,2,0),"*"),"")</f>
        <v>*3436731*</v>
      </c>
      <c r="S297" s="18" t="str">
        <f>IFERROR(CONCATENATE(VLOOKUP(L297,PARAM!D:E,2,0),VLOOKUP(M297,PARAM!J:K,2,0),VLOOKUP(N297,PARAM!G:H,2,0),VLOOKUP(O297,PARAM!M:N,2,0),VLOOKUP(P297,PARAM!P:Q,2,0)),"")</f>
        <v>343671631</v>
      </c>
      <c r="T297" s="18">
        <f t="shared" si="4"/>
        <v>9</v>
      </c>
      <c r="U297" s="18" t="str">
        <f t="shared" si="5"/>
        <v>CANDONGAS UNISEX CANDONGA MEDIANA VARIOS TALLA VA</v>
      </c>
    </row>
    <row r="298">
      <c r="A298" s="4">
        <v>2.0</v>
      </c>
      <c r="B298" s="4" t="s">
        <v>1829</v>
      </c>
      <c r="C298" s="1"/>
      <c r="D298" s="4" t="s">
        <v>1829</v>
      </c>
      <c r="E298" s="3">
        <v>10500.0</v>
      </c>
      <c r="F298" s="2">
        <f t="shared" si="2"/>
        <v>21000</v>
      </c>
      <c r="G298" s="65">
        <f t="shared" si="7"/>
        <v>21000</v>
      </c>
      <c r="H298" s="1"/>
      <c r="I298" s="1"/>
      <c r="J298" s="1"/>
      <c r="K298" s="66" t="s">
        <v>427</v>
      </c>
      <c r="L298" s="66" t="s">
        <v>1280</v>
      </c>
      <c r="M298" s="66" t="s">
        <v>1101</v>
      </c>
      <c r="N298" s="66" t="s">
        <v>1289</v>
      </c>
      <c r="O298" s="66" t="s">
        <v>1069</v>
      </c>
      <c r="P298" s="67" t="s">
        <v>1070</v>
      </c>
      <c r="Q298" s="18" t="s">
        <v>729</v>
      </c>
      <c r="R298" s="68" t="str">
        <f>IFERROR(CONCATENATE("*",VLOOKUP(L298,PARAM!D:E,2,0),VLOOKUP(M298,PARAM!J:K,2,0),VLOOKUP(N298,PARAM!G:H,2,0),VLOOKUP(P298,PARAM!P:Q,2,0),"*"),"")</f>
        <v>*34313931*</v>
      </c>
      <c r="S298" s="18" t="str">
        <f>IFERROR(CONCATENATE(VLOOKUP(L298,PARAM!D:E,2,0),VLOOKUP(M298,PARAM!J:K,2,0),VLOOKUP(N298,PARAM!G:H,2,0),VLOOKUP(O298,PARAM!M:N,2,0),VLOOKUP(P298,PARAM!P:Q,2,0)),"")</f>
        <v>3431391631</v>
      </c>
      <c r="T298" s="18">
        <f t="shared" si="4"/>
        <v>10</v>
      </c>
      <c r="U298" s="18" t="str">
        <f t="shared" si="5"/>
        <v>CANDONGAS UNISEX GRANDE VARIOS TALLA VA</v>
      </c>
    </row>
    <row r="299">
      <c r="A299" s="64">
        <v>1.0</v>
      </c>
      <c r="B299" s="4" t="s">
        <v>1830</v>
      </c>
      <c r="C299" s="1"/>
      <c r="D299" s="4" t="s">
        <v>1831</v>
      </c>
      <c r="E299" s="3">
        <v>11000.0</v>
      </c>
      <c r="F299" s="2">
        <f t="shared" si="2"/>
        <v>11000</v>
      </c>
      <c r="G299" s="65">
        <f t="shared" si="7"/>
        <v>22000</v>
      </c>
      <c r="H299" s="1"/>
      <c r="I299" s="1"/>
      <c r="J299" s="1"/>
      <c r="K299" s="66" t="s">
        <v>427</v>
      </c>
      <c r="L299" s="66" t="s">
        <v>1280</v>
      </c>
      <c r="M299" s="66" t="s">
        <v>1101</v>
      </c>
      <c r="N299" s="66" t="s">
        <v>1290</v>
      </c>
      <c r="O299" s="66" t="s">
        <v>1069</v>
      </c>
      <c r="P299" s="67" t="s">
        <v>1070</v>
      </c>
      <c r="Q299" s="18" t="s">
        <v>729</v>
      </c>
      <c r="R299" s="68" t="str">
        <f>IFERROR(CONCATENATE("*",VLOOKUP(L299,PARAM!D:E,2,0),VLOOKUP(M299,PARAM!J:K,2,0),VLOOKUP(N299,PARAM!G:H,2,0),VLOOKUP(P299,PARAM!P:Q,2,0),"*"),"")</f>
        <v>*34324131*</v>
      </c>
      <c r="S299" s="18" t="str">
        <f>IFERROR(CONCATENATE(VLOOKUP(L299,PARAM!D:E,2,0),VLOOKUP(M299,PARAM!J:K,2,0),VLOOKUP(N299,PARAM!G:H,2,0),VLOOKUP(O299,PARAM!M:N,2,0),VLOOKUP(P299,PARAM!P:Q,2,0)),"")</f>
        <v>3432411631</v>
      </c>
      <c r="T299" s="18">
        <f t="shared" si="4"/>
        <v>10</v>
      </c>
      <c r="U299" s="18" t="str">
        <f t="shared" si="5"/>
        <v>CANDONGAS UNISEX ROMBA VARIOS TALLA VA</v>
      </c>
    </row>
    <row r="300">
      <c r="A300" s="4">
        <v>2.0</v>
      </c>
      <c r="B300" s="4" t="s">
        <v>1832</v>
      </c>
      <c r="C300" s="1"/>
      <c r="D300" s="4" t="s">
        <v>1833</v>
      </c>
      <c r="E300" s="3">
        <v>5000.0</v>
      </c>
      <c r="F300" s="2">
        <f t="shared" si="2"/>
        <v>10000</v>
      </c>
      <c r="G300" s="65">
        <f t="shared" si="7"/>
        <v>10000</v>
      </c>
      <c r="H300" s="1"/>
      <c r="I300" s="1"/>
      <c r="J300" s="1"/>
      <c r="K300" s="66" t="s">
        <v>427</v>
      </c>
      <c r="L300" s="66" t="s">
        <v>1280</v>
      </c>
      <c r="M300" s="66" t="s">
        <v>1101</v>
      </c>
      <c r="N300" s="18" t="s">
        <v>1291</v>
      </c>
      <c r="O300" s="66" t="s">
        <v>1069</v>
      </c>
      <c r="P300" s="67" t="s">
        <v>1070</v>
      </c>
      <c r="Q300" s="18" t="s">
        <v>729</v>
      </c>
      <c r="R300" s="68" t="str">
        <f>IFERROR(CONCATENATE("*",VLOOKUP(L300,PARAM!D:E,2,0),VLOOKUP(M300,PARAM!J:K,2,0),VLOOKUP(N300,PARAM!G:H,2,0),VLOOKUP(P300,PARAM!P:Q,2,0),"*"),"")</f>
        <v>*34323331*</v>
      </c>
      <c r="S300" s="18" t="str">
        <f>IFERROR(CONCATENATE(VLOOKUP(L300,PARAM!D:E,2,0),VLOOKUP(M300,PARAM!J:K,2,0),VLOOKUP(N300,PARAM!G:H,2,0),VLOOKUP(O300,PARAM!M:N,2,0),VLOOKUP(P300,PARAM!P:Q,2,0)),"")</f>
        <v>3432331631</v>
      </c>
      <c r="T300" s="18">
        <f t="shared" si="4"/>
        <v>10</v>
      </c>
      <c r="U300" s="18" t="str">
        <f t="shared" si="5"/>
        <v>CANDONGAS UNISEX REDONDA 1 VARIOS TALLA VA</v>
      </c>
    </row>
    <row r="301">
      <c r="A301" s="64">
        <v>1.0</v>
      </c>
      <c r="B301" s="4" t="s">
        <v>1834</v>
      </c>
      <c r="C301" s="1"/>
      <c r="D301" s="4" t="s">
        <v>1835</v>
      </c>
      <c r="E301" s="3">
        <v>9000.0</v>
      </c>
      <c r="F301" s="2">
        <f t="shared" si="2"/>
        <v>9000</v>
      </c>
      <c r="G301" s="65">
        <f t="shared" si="7"/>
        <v>18000</v>
      </c>
      <c r="H301" s="1"/>
      <c r="I301" s="1"/>
      <c r="J301" s="1"/>
      <c r="K301" s="66" t="s">
        <v>427</v>
      </c>
      <c r="L301" s="66" t="s">
        <v>1280</v>
      </c>
      <c r="M301" s="66" t="s">
        <v>1101</v>
      </c>
      <c r="N301" s="18" t="s">
        <v>1292</v>
      </c>
      <c r="O301" s="66" t="s">
        <v>1069</v>
      </c>
      <c r="P301" s="67" t="s">
        <v>1070</v>
      </c>
      <c r="Q301" s="18" t="s">
        <v>729</v>
      </c>
      <c r="R301" s="68" t="str">
        <f>IFERROR(CONCATENATE("*",VLOOKUP(L301,PARAM!D:E,2,0),VLOOKUP(M301,PARAM!J:K,2,0),VLOOKUP(N301,PARAM!G:H,2,0),VLOOKUP(P301,PARAM!P:Q,2,0),"*"),"")</f>
        <v>*34323431*</v>
      </c>
      <c r="S301" s="18" t="str">
        <f>IFERROR(CONCATENATE(VLOOKUP(L301,PARAM!D:E,2,0),VLOOKUP(M301,PARAM!J:K,2,0),VLOOKUP(N301,PARAM!G:H,2,0),VLOOKUP(O301,PARAM!M:N,2,0),VLOOKUP(P301,PARAM!P:Q,2,0)),"")</f>
        <v>3432341631</v>
      </c>
      <c r="T301" s="18">
        <f t="shared" si="4"/>
        <v>10</v>
      </c>
      <c r="U301" s="18" t="str">
        <f t="shared" si="5"/>
        <v>CANDONGAS UNISEX REDONDA 2 VARIOS TALLA VA</v>
      </c>
    </row>
    <row r="302">
      <c r="A302" s="64">
        <v>1.0</v>
      </c>
      <c r="B302" s="4" t="s">
        <v>1836</v>
      </c>
      <c r="C302" s="1"/>
      <c r="D302" s="4" t="s">
        <v>1837</v>
      </c>
      <c r="E302" s="3">
        <v>4500.0</v>
      </c>
      <c r="F302" s="2">
        <f t="shared" si="2"/>
        <v>4500</v>
      </c>
      <c r="G302" s="65">
        <f t="shared" si="7"/>
        <v>9000</v>
      </c>
      <c r="H302" s="1"/>
      <c r="I302" s="1"/>
      <c r="J302" s="1"/>
      <c r="K302" s="66" t="s">
        <v>427</v>
      </c>
      <c r="L302" s="66" t="s">
        <v>1280</v>
      </c>
      <c r="M302" s="66" t="s">
        <v>1101</v>
      </c>
      <c r="N302" s="18" t="s">
        <v>1293</v>
      </c>
      <c r="O302" s="66" t="s">
        <v>1069</v>
      </c>
      <c r="P302" s="67" t="s">
        <v>1070</v>
      </c>
      <c r="Q302" s="18" t="s">
        <v>729</v>
      </c>
      <c r="R302" s="68" t="str">
        <f>IFERROR(CONCATENATE("*",VLOOKUP(L302,PARAM!D:E,2,0),VLOOKUP(M302,PARAM!J:K,2,0),VLOOKUP(N302,PARAM!G:H,2,0),VLOOKUP(P302,PARAM!P:Q,2,0),"*"),"")</f>
        <v>*34323531*</v>
      </c>
      <c r="S302" s="18" t="str">
        <f>IFERROR(CONCATENATE(VLOOKUP(L302,PARAM!D:E,2,0),VLOOKUP(M302,PARAM!J:K,2,0),VLOOKUP(N302,PARAM!G:H,2,0),VLOOKUP(O302,PARAM!M:N,2,0),VLOOKUP(P302,PARAM!P:Q,2,0)),"")</f>
        <v>3432351631</v>
      </c>
      <c r="T302" s="18">
        <f t="shared" si="4"/>
        <v>10</v>
      </c>
      <c r="U302" s="18" t="str">
        <f t="shared" si="5"/>
        <v>CANDONGAS UNISEX REDONDA 3 VARIOS TALLA VA</v>
      </c>
    </row>
    <row r="303">
      <c r="A303" s="4">
        <v>1.0</v>
      </c>
      <c r="B303" s="4" t="s">
        <v>1838</v>
      </c>
      <c r="C303" s="1"/>
      <c r="D303" s="4" t="s">
        <v>1839</v>
      </c>
      <c r="E303" s="3">
        <v>8000.0</v>
      </c>
      <c r="F303" s="2">
        <f t="shared" si="2"/>
        <v>8000</v>
      </c>
      <c r="G303" s="65">
        <f t="shared" si="7"/>
        <v>16000</v>
      </c>
      <c r="H303" s="1"/>
      <c r="I303" s="1"/>
      <c r="J303" s="1"/>
      <c r="K303" s="66" t="s">
        <v>427</v>
      </c>
      <c r="L303" s="66" t="s">
        <v>1294</v>
      </c>
      <c r="M303" s="66" t="s">
        <v>1101</v>
      </c>
      <c r="N303" s="18" t="s">
        <v>1295</v>
      </c>
      <c r="O303" s="66" t="s">
        <v>1069</v>
      </c>
      <c r="P303" s="67" t="s">
        <v>1070</v>
      </c>
      <c r="Q303" s="18" t="s">
        <v>729</v>
      </c>
      <c r="R303" s="68" t="str">
        <f>IFERROR(CONCATENATE("*",VLOOKUP(L303,PARAM!D:E,2,0),VLOOKUP(M303,PARAM!J:K,2,0),VLOOKUP(N303,PARAM!G:H,2,0),VLOOKUP(P303,PARAM!P:Q,2,0),"*"),"")</f>
        <v>*33327831*</v>
      </c>
      <c r="S303" s="18" t="str">
        <f>IFERROR(CONCATENATE(VLOOKUP(L303,PARAM!D:E,2,0),VLOOKUP(M303,PARAM!J:K,2,0),VLOOKUP(N303,PARAM!G:H,2,0),VLOOKUP(O303,PARAM!M:N,2,0),VLOOKUP(P303,PARAM!P:Q,2,0)),"")</f>
        <v>3332781631</v>
      </c>
      <c r="T303" s="18">
        <f t="shared" si="4"/>
        <v>10</v>
      </c>
      <c r="U303" s="18" t="str">
        <f t="shared" si="5"/>
        <v>ARETES UNISEX ZARCILLO 1 VARIOS TALLA VA</v>
      </c>
    </row>
    <row r="304">
      <c r="A304" s="4">
        <v>1.0</v>
      </c>
      <c r="B304" s="4" t="s">
        <v>1840</v>
      </c>
      <c r="C304" s="1"/>
      <c r="D304" s="4" t="s">
        <v>1841</v>
      </c>
      <c r="E304" s="3">
        <v>6000.0</v>
      </c>
      <c r="F304" s="2">
        <f t="shared" si="2"/>
        <v>6000</v>
      </c>
      <c r="G304" s="65">
        <f t="shared" si="7"/>
        <v>12000</v>
      </c>
      <c r="H304" s="1"/>
      <c r="I304" s="1"/>
      <c r="J304" s="1"/>
      <c r="K304" s="66" t="s">
        <v>427</v>
      </c>
      <c r="L304" s="66" t="s">
        <v>1294</v>
      </c>
      <c r="M304" s="66" t="s">
        <v>1101</v>
      </c>
      <c r="N304" s="18" t="s">
        <v>1296</v>
      </c>
      <c r="O304" s="66" t="s">
        <v>1069</v>
      </c>
      <c r="P304" s="67" t="s">
        <v>1070</v>
      </c>
      <c r="Q304" s="18" t="s">
        <v>729</v>
      </c>
      <c r="R304" s="68" t="str">
        <f>IFERROR(CONCATENATE("*",VLOOKUP(L304,PARAM!D:E,2,0),VLOOKUP(M304,PARAM!J:K,2,0),VLOOKUP(N304,PARAM!G:H,2,0),VLOOKUP(P304,PARAM!P:Q,2,0),"*"),"")</f>
        <v>*33327931*</v>
      </c>
      <c r="S304" s="18" t="str">
        <f>IFERROR(CONCATENATE(VLOOKUP(L304,PARAM!D:E,2,0),VLOOKUP(M304,PARAM!J:K,2,0),VLOOKUP(N304,PARAM!G:H,2,0),VLOOKUP(O304,PARAM!M:N,2,0),VLOOKUP(P304,PARAM!P:Q,2,0)),"")</f>
        <v>3332791631</v>
      </c>
      <c r="T304" s="18">
        <f t="shared" si="4"/>
        <v>10</v>
      </c>
      <c r="U304" s="18" t="str">
        <f t="shared" si="5"/>
        <v>ARETES UNISEX ZARCILLO 2 VARIOS TALLA VA</v>
      </c>
    </row>
    <row r="305">
      <c r="A305" s="4">
        <v>2.0</v>
      </c>
      <c r="B305" s="4" t="s">
        <v>1842</v>
      </c>
      <c r="C305" s="1"/>
      <c r="D305" s="4" t="s">
        <v>1843</v>
      </c>
      <c r="E305" s="3">
        <v>7500.0</v>
      </c>
      <c r="F305" s="2">
        <f t="shared" si="2"/>
        <v>15000</v>
      </c>
      <c r="G305" s="65">
        <f t="shared" si="7"/>
        <v>15000</v>
      </c>
      <c r="H305" s="1"/>
      <c r="I305" s="1"/>
      <c r="J305" s="1"/>
      <c r="K305" s="66" t="s">
        <v>427</v>
      </c>
      <c r="L305" s="66" t="s">
        <v>1294</v>
      </c>
      <c r="M305" s="66" t="s">
        <v>1101</v>
      </c>
      <c r="N305" s="18" t="s">
        <v>1297</v>
      </c>
      <c r="O305" s="66" t="s">
        <v>1069</v>
      </c>
      <c r="P305" s="67" t="s">
        <v>1070</v>
      </c>
      <c r="Q305" s="18" t="s">
        <v>729</v>
      </c>
      <c r="R305" s="68" t="str">
        <f>IFERROR(CONCATENATE("*",VLOOKUP(L305,PARAM!D:E,2,0),VLOOKUP(M305,PARAM!J:K,2,0),VLOOKUP(N305,PARAM!G:H,2,0),VLOOKUP(P305,PARAM!P:Q,2,0),"*"),"")</f>
        <v>*33328031*</v>
      </c>
      <c r="S305" s="18" t="str">
        <f>IFERROR(CONCATENATE(VLOOKUP(L305,PARAM!D:E,2,0),VLOOKUP(M305,PARAM!J:K,2,0),VLOOKUP(N305,PARAM!G:H,2,0),VLOOKUP(O305,PARAM!M:N,2,0),VLOOKUP(P305,PARAM!P:Q,2,0)),"")</f>
        <v>3332801631</v>
      </c>
      <c r="T305" s="18">
        <f t="shared" si="4"/>
        <v>10</v>
      </c>
      <c r="U305" s="18" t="str">
        <f t="shared" si="5"/>
        <v>ARETES UNISEX ZARCILLO 3 VARIOS TALLA VA</v>
      </c>
    </row>
    <row r="306">
      <c r="A306" s="4">
        <v>2.0</v>
      </c>
      <c r="B306" s="4" t="s">
        <v>1844</v>
      </c>
      <c r="C306" s="1"/>
      <c r="D306" s="4" t="s">
        <v>1845</v>
      </c>
      <c r="E306" s="3">
        <v>7000.0</v>
      </c>
      <c r="F306" s="2">
        <f t="shared" si="2"/>
        <v>14000</v>
      </c>
      <c r="G306" s="65">
        <f t="shared" si="7"/>
        <v>14000</v>
      </c>
      <c r="H306" s="1"/>
      <c r="I306" s="1"/>
      <c r="J306" s="1"/>
      <c r="K306" s="66" t="s">
        <v>427</v>
      </c>
      <c r="L306" s="66" t="s">
        <v>1294</v>
      </c>
      <c r="M306" s="66" t="s">
        <v>1101</v>
      </c>
      <c r="N306" s="18" t="s">
        <v>1298</v>
      </c>
      <c r="O306" s="66" t="s">
        <v>1069</v>
      </c>
      <c r="P306" s="67" t="s">
        <v>1070</v>
      </c>
      <c r="Q306" s="18" t="s">
        <v>729</v>
      </c>
      <c r="R306" s="68" t="str">
        <f>IFERROR(CONCATENATE("*",VLOOKUP(L306,PARAM!D:E,2,0),VLOOKUP(M306,PARAM!J:K,2,0),VLOOKUP(N306,PARAM!G:H,2,0),VLOOKUP(P306,PARAM!P:Q,2,0),"*"),"")</f>
        <v>*33328131*</v>
      </c>
      <c r="S306" s="18" t="str">
        <f>IFERROR(CONCATENATE(VLOOKUP(L306,PARAM!D:E,2,0),VLOOKUP(M306,PARAM!J:K,2,0),VLOOKUP(N306,PARAM!G:H,2,0),VLOOKUP(O306,PARAM!M:N,2,0),VLOOKUP(P306,PARAM!P:Q,2,0)),"")</f>
        <v>3332811631</v>
      </c>
      <c r="T306" s="18">
        <f t="shared" si="4"/>
        <v>10</v>
      </c>
      <c r="U306" s="18" t="str">
        <f t="shared" si="5"/>
        <v>ARETES UNISEX ZARCILLO 4 VARIOS TALLA VA</v>
      </c>
    </row>
    <row r="307">
      <c r="A307" s="4">
        <v>1.0</v>
      </c>
      <c r="B307" s="4" t="s">
        <v>1846</v>
      </c>
      <c r="C307" s="1"/>
      <c r="D307" s="4" t="s">
        <v>1847</v>
      </c>
      <c r="E307" s="3">
        <v>10500.0</v>
      </c>
      <c r="F307" s="2">
        <f t="shared" si="2"/>
        <v>10500</v>
      </c>
      <c r="G307" s="65">
        <f t="shared" si="7"/>
        <v>21000</v>
      </c>
      <c r="H307" s="1"/>
      <c r="I307" s="1"/>
      <c r="J307" s="1"/>
      <c r="K307" s="66" t="s">
        <v>427</v>
      </c>
      <c r="L307" s="66" t="s">
        <v>1294</v>
      </c>
      <c r="M307" s="66" t="s">
        <v>1101</v>
      </c>
      <c r="N307" s="18" t="s">
        <v>1299</v>
      </c>
      <c r="O307" s="66" t="s">
        <v>1069</v>
      </c>
      <c r="P307" s="67" t="s">
        <v>1070</v>
      </c>
      <c r="Q307" s="18" t="s">
        <v>729</v>
      </c>
      <c r="R307" s="68" t="str">
        <f>IFERROR(CONCATENATE("*",VLOOKUP(L307,PARAM!D:E,2,0),VLOOKUP(M307,PARAM!J:K,2,0),VLOOKUP(N307,PARAM!G:H,2,0),VLOOKUP(P307,PARAM!P:Q,2,0),"*"),"")</f>
        <v>*33328231*</v>
      </c>
      <c r="S307" s="18" t="str">
        <f>IFERROR(CONCATENATE(VLOOKUP(L307,PARAM!D:E,2,0),VLOOKUP(M307,PARAM!J:K,2,0),VLOOKUP(N307,PARAM!G:H,2,0),VLOOKUP(O307,PARAM!M:N,2,0),VLOOKUP(P307,PARAM!P:Q,2,0)),"")</f>
        <v>3332821631</v>
      </c>
      <c r="T307" s="18">
        <f t="shared" si="4"/>
        <v>10</v>
      </c>
      <c r="U307" s="18" t="str">
        <f t="shared" si="5"/>
        <v>ARETES UNISEX ZARCILLO 5 VARIOS TALLA VA</v>
      </c>
    </row>
    <row r="308">
      <c r="A308" s="4">
        <v>4.0</v>
      </c>
      <c r="B308" s="4" t="s">
        <v>1848</v>
      </c>
      <c r="C308" s="1"/>
      <c r="D308" s="4" t="s">
        <v>1848</v>
      </c>
      <c r="E308" s="3">
        <v>3000.0</v>
      </c>
      <c r="F308" s="2">
        <f t="shared" si="2"/>
        <v>12000</v>
      </c>
      <c r="G308" s="65">
        <f t="shared" si="7"/>
        <v>6000</v>
      </c>
      <c r="H308" s="1"/>
      <c r="I308" s="1"/>
      <c r="J308" s="1"/>
      <c r="K308" s="66" t="s">
        <v>427</v>
      </c>
      <c r="L308" s="66" t="s">
        <v>1300</v>
      </c>
      <c r="M308" s="66" t="s">
        <v>1101</v>
      </c>
      <c r="N308" s="18" t="s">
        <v>1300</v>
      </c>
      <c r="O308" s="66" t="s">
        <v>1069</v>
      </c>
      <c r="P308" s="67" t="s">
        <v>1070</v>
      </c>
      <c r="Q308" s="18" t="s">
        <v>729</v>
      </c>
      <c r="R308" s="68" t="str">
        <f>IFERROR(CONCATENATE("*",VLOOKUP(L308,PARAM!D:E,2,0),VLOOKUP(M308,PARAM!J:K,2,0),VLOOKUP(N308,PARAM!G:H,2,0),VLOOKUP(P308,PARAM!P:Q,2,0),"*"),"")</f>
        <v>*36312331*</v>
      </c>
      <c r="S308" s="18" t="str">
        <f>IFERROR(CONCATENATE(VLOOKUP(L308,PARAM!D:E,2,0),VLOOKUP(M308,PARAM!J:K,2,0),VLOOKUP(N308,PARAM!G:H,2,0),VLOOKUP(O308,PARAM!M:N,2,0),VLOOKUP(P308,PARAM!P:Q,2,0)),"")</f>
        <v>3631231631</v>
      </c>
      <c r="T308" s="18">
        <f t="shared" si="4"/>
        <v>10</v>
      </c>
      <c r="U308" s="18" t="str">
        <f t="shared" si="5"/>
        <v>EAR CUFF UNISEX EAR CUFF VARIOS TALLA VA</v>
      </c>
    </row>
    <row r="309">
      <c r="A309" s="4">
        <v>1.0</v>
      </c>
      <c r="B309" s="4" t="s">
        <v>1849</v>
      </c>
      <c r="C309" s="1"/>
      <c r="D309" s="4" t="s">
        <v>1850</v>
      </c>
      <c r="E309" s="3">
        <v>4000.0</v>
      </c>
      <c r="F309" s="2">
        <f t="shared" si="2"/>
        <v>4000</v>
      </c>
      <c r="G309" s="65">
        <f t="shared" si="7"/>
        <v>8000</v>
      </c>
      <c r="H309" s="1"/>
      <c r="I309" s="1"/>
      <c r="J309" s="1"/>
      <c r="K309" s="66" t="s">
        <v>427</v>
      </c>
      <c r="L309" s="66" t="s">
        <v>1276</v>
      </c>
      <c r="M309" s="66" t="s">
        <v>1101</v>
      </c>
      <c r="N309" s="18" t="s">
        <v>1301</v>
      </c>
      <c r="O309" s="66" t="s">
        <v>1069</v>
      </c>
      <c r="P309" s="67" t="s">
        <v>1070</v>
      </c>
      <c r="Q309" s="18" t="s">
        <v>729</v>
      </c>
      <c r="R309" s="68" t="str">
        <f>IFERROR(CONCATENATE("*",VLOOKUP(L309,PARAM!D:E,2,0),VLOOKUP(M309,PARAM!J:K,2,0),VLOOKUP(N309,PARAM!G:H,2,0),VLOOKUP(P309,PARAM!P:Q,2,0),"*"),"")</f>
        <v>*32326631*</v>
      </c>
      <c r="S309" s="18" t="str">
        <f>IFERROR(CONCATENATE(VLOOKUP(L309,PARAM!D:E,2,0),VLOOKUP(M309,PARAM!J:K,2,0),VLOOKUP(N309,PARAM!G:H,2,0),VLOOKUP(O309,PARAM!M:N,2,0),VLOOKUP(P309,PARAM!P:Q,2,0)),"")</f>
        <v>3232661631</v>
      </c>
      <c r="T309" s="18">
        <f t="shared" si="4"/>
        <v>10</v>
      </c>
      <c r="U309" s="18" t="str">
        <f t="shared" si="5"/>
        <v>TOPOS UNISEX TOPO SEGURIDAD VARIOS TALLA VA</v>
      </c>
    </row>
    <row r="310">
      <c r="A310" s="4">
        <v>5.0</v>
      </c>
      <c r="B310" s="4" t="s">
        <v>1851</v>
      </c>
      <c r="C310" s="1"/>
      <c r="D310" s="4" t="s">
        <v>1852</v>
      </c>
      <c r="E310" s="3">
        <v>12500.0</v>
      </c>
      <c r="F310" s="2">
        <f t="shared" si="2"/>
        <v>62500</v>
      </c>
      <c r="G310" s="65">
        <f t="shared" si="7"/>
        <v>25000</v>
      </c>
      <c r="H310" s="1"/>
      <c r="I310" s="1"/>
      <c r="J310" s="1"/>
      <c r="K310" s="66" t="s">
        <v>427</v>
      </c>
      <c r="L310" s="66" t="s">
        <v>1099</v>
      </c>
      <c r="M310" s="66" t="s">
        <v>1080</v>
      </c>
      <c r="N310" s="66" t="s">
        <v>1302</v>
      </c>
      <c r="O310" s="66" t="s">
        <v>1069</v>
      </c>
      <c r="P310" s="67" t="s">
        <v>1070</v>
      </c>
      <c r="Q310" s="18" t="s">
        <v>476</v>
      </c>
      <c r="R310" s="68" t="str">
        <f>IFERROR(CONCATENATE("*",VLOOKUP(L310,PARAM!D:E,2,0),VLOOKUP(M310,PARAM!J:K,2,0),VLOOKUP(N310,PARAM!G:H,2,0),VLOOKUP(P310,PARAM!P:Q,2,0),"*"),"")</f>
        <v>*46223031*</v>
      </c>
      <c r="S310" s="18" t="str">
        <f>IFERROR(CONCATENATE(VLOOKUP(L310,PARAM!D:E,2,0),VLOOKUP(M310,PARAM!J:K,2,0),VLOOKUP(N310,PARAM!G:H,2,0),VLOOKUP(O310,PARAM!M:N,2,0),VLOOKUP(P310,PARAM!P:Q,2,0)),"")</f>
        <v>4622301631</v>
      </c>
      <c r="T310" s="18">
        <f t="shared" si="4"/>
        <v>10</v>
      </c>
      <c r="U310" s="18" t="str">
        <f t="shared" si="5"/>
        <v>SPLASH CABALLERO PULSERA COMBO VARIOS TALLA VA</v>
      </c>
    </row>
    <row r="311">
      <c r="A311" s="4">
        <v>4.0</v>
      </c>
      <c r="B311" s="4" t="s">
        <v>1853</v>
      </c>
      <c r="C311" s="1"/>
      <c r="D311" s="4" t="s">
        <v>1854</v>
      </c>
      <c r="E311" s="3">
        <v>17000.0</v>
      </c>
      <c r="F311" s="2">
        <f t="shared" si="2"/>
        <v>68000</v>
      </c>
      <c r="G311" s="65">
        <f t="shared" si="7"/>
        <v>34000</v>
      </c>
      <c r="H311" s="1"/>
      <c r="I311" s="1"/>
      <c r="J311" s="1"/>
      <c r="K311" s="66" t="s">
        <v>427</v>
      </c>
      <c r="L311" s="66" t="s">
        <v>1099</v>
      </c>
      <c r="M311" s="66" t="s">
        <v>1080</v>
      </c>
      <c r="N311" s="66" t="s">
        <v>1302</v>
      </c>
      <c r="O311" s="66" t="s">
        <v>1069</v>
      </c>
      <c r="P311" s="67" t="s">
        <v>1070</v>
      </c>
      <c r="Q311" s="18" t="s">
        <v>476</v>
      </c>
      <c r="R311" s="68" t="str">
        <f>IFERROR(CONCATENATE("*",VLOOKUP(L311,PARAM!D:E,2,0),VLOOKUP(M311,PARAM!J:K,2,0),VLOOKUP(N311,PARAM!G:H,2,0),VLOOKUP(P311,PARAM!P:Q,2,0),"*"),"")</f>
        <v>*46223031*</v>
      </c>
      <c r="S311" s="18" t="str">
        <f>IFERROR(CONCATENATE(VLOOKUP(L311,PARAM!D:E,2,0),VLOOKUP(M311,PARAM!J:K,2,0),VLOOKUP(N311,PARAM!G:H,2,0),VLOOKUP(O311,PARAM!M:N,2,0),VLOOKUP(P311,PARAM!P:Q,2,0)),"")</f>
        <v>4622301631</v>
      </c>
      <c r="T311" s="18">
        <f t="shared" si="4"/>
        <v>10</v>
      </c>
      <c r="U311" s="18" t="str">
        <f t="shared" si="5"/>
        <v>SPLASH CABALLERO PULSERA COMBO VARIOS TALLA VA</v>
      </c>
    </row>
    <row r="312">
      <c r="A312" s="64">
        <v>3.0</v>
      </c>
      <c r="B312" s="76" t="s">
        <v>1855</v>
      </c>
      <c r="C312" s="1"/>
      <c r="D312" s="4" t="s">
        <v>1856</v>
      </c>
      <c r="E312" s="3">
        <v>24000.0</v>
      </c>
      <c r="F312" s="2">
        <f t="shared" si="2"/>
        <v>72000</v>
      </c>
      <c r="G312" s="65">
        <f t="shared" si="7"/>
        <v>48000</v>
      </c>
      <c r="H312" s="1"/>
      <c r="I312" s="1"/>
      <c r="J312" s="1"/>
      <c r="K312" s="66" t="s">
        <v>1187</v>
      </c>
      <c r="L312" s="66" t="s">
        <v>1194</v>
      </c>
      <c r="M312" s="66" t="s">
        <v>1101</v>
      </c>
      <c r="N312" s="18" t="s">
        <v>1303</v>
      </c>
      <c r="O312" s="66" t="s">
        <v>1069</v>
      </c>
      <c r="P312" s="67" t="s">
        <v>1168</v>
      </c>
      <c r="Q312" s="18" t="s">
        <v>778</v>
      </c>
      <c r="R312" s="68" t="str">
        <f>IFERROR(CONCATENATE("*",VLOOKUP(L312,PARAM!D:E,2,0),VLOOKUP(M312,PARAM!J:K,2,0),VLOOKUP(N312,PARAM!G:H,2,0),VLOOKUP(P312,PARAM!P:Q,2,0),"*"),"")</f>
        <v>*2639327*</v>
      </c>
      <c r="S312" s="18" t="str">
        <f>IFERROR(CONCATENATE(VLOOKUP(L312,PARAM!D:E,2,0),VLOOKUP(M312,PARAM!J:K,2,0),VLOOKUP(N312,PARAM!G:H,2,0),VLOOKUP(O312,PARAM!M:N,2,0),VLOOKUP(P312,PARAM!P:Q,2,0)),"")</f>
        <v>263931627</v>
      </c>
      <c r="T312" s="18">
        <f t="shared" si="4"/>
        <v>9</v>
      </c>
      <c r="U312" s="18" t="str">
        <f t="shared" si="5"/>
        <v>BUSOS UNISEX CON CAPOTA ESTAMPADO CREMALLERA VARIOS TALLA S</v>
      </c>
    </row>
    <row r="313">
      <c r="A313" s="64">
        <v>3.0</v>
      </c>
      <c r="B313" s="76" t="s">
        <v>1855</v>
      </c>
      <c r="C313" s="1"/>
      <c r="D313" s="4" t="s">
        <v>1856</v>
      </c>
      <c r="E313" s="3">
        <v>24000.0</v>
      </c>
      <c r="F313" s="2">
        <f t="shared" si="2"/>
        <v>72000</v>
      </c>
      <c r="G313" s="65">
        <f t="shared" si="7"/>
        <v>48000</v>
      </c>
      <c r="H313" s="1"/>
      <c r="I313" s="1"/>
      <c r="J313" s="1"/>
      <c r="K313" s="66" t="s">
        <v>1187</v>
      </c>
      <c r="L313" s="66" t="s">
        <v>1194</v>
      </c>
      <c r="M313" s="66" t="s">
        <v>1101</v>
      </c>
      <c r="N313" s="66" t="s">
        <v>1304</v>
      </c>
      <c r="O313" s="66" t="s">
        <v>1069</v>
      </c>
      <c r="P313" s="67" t="s">
        <v>1164</v>
      </c>
      <c r="Q313" s="18" t="s">
        <v>476</v>
      </c>
      <c r="R313" s="68" t="str">
        <f>IFERROR(CONCATENATE("*",VLOOKUP(L313,PARAM!D:E,2,0),VLOOKUP(M313,PARAM!J:K,2,0),VLOOKUP(N313,PARAM!G:H,2,0),VLOOKUP(P313,PARAM!P:Q,2,0),"*"),"")</f>
        <v>*2631925*</v>
      </c>
      <c r="S313" s="18" t="str">
        <f>IFERROR(CONCATENATE(VLOOKUP(L313,PARAM!D:E,2,0),VLOOKUP(M313,PARAM!J:K,2,0),VLOOKUP(N313,PARAM!G:H,2,0),VLOOKUP(O313,PARAM!M:N,2,0),VLOOKUP(P313,PARAM!P:Q,2,0)),"")</f>
        <v>263191625</v>
      </c>
      <c r="T313" s="18">
        <f t="shared" si="4"/>
        <v>9</v>
      </c>
      <c r="U313" s="18" t="str">
        <f t="shared" si="5"/>
        <v>BUSOS UNISEX ALGODON CON CAPOTA ESTAMPADO CREMALLERA VARIOS TALLA M</v>
      </c>
    </row>
    <row r="314">
      <c r="A314" s="64">
        <v>3.0</v>
      </c>
      <c r="B314" s="76" t="s">
        <v>1855</v>
      </c>
      <c r="C314" s="1"/>
      <c r="D314" s="4" t="s">
        <v>1856</v>
      </c>
      <c r="E314" s="3">
        <v>24000.0</v>
      </c>
      <c r="F314" s="2">
        <f t="shared" si="2"/>
        <v>72000</v>
      </c>
      <c r="G314" s="65">
        <f t="shared" si="7"/>
        <v>48000</v>
      </c>
      <c r="H314" s="1"/>
      <c r="I314" s="1"/>
      <c r="J314" s="1"/>
      <c r="K314" s="66" t="s">
        <v>1187</v>
      </c>
      <c r="L314" s="66" t="s">
        <v>1194</v>
      </c>
      <c r="M314" s="66" t="s">
        <v>1101</v>
      </c>
      <c r="N314" s="66" t="s">
        <v>1304</v>
      </c>
      <c r="O314" s="66" t="s">
        <v>1069</v>
      </c>
      <c r="P314" s="67" t="s">
        <v>1165</v>
      </c>
      <c r="Q314" s="18" t="s">
        <v>476</v>
      </c>
      <c r="R314" s="68" t="str">
        <f>IFERROR(CONCATENATE("*",VLOOKUP(L314,PARAM!D:E,2,0),VLOOKUP(M314,PARAM!J:K,2,0),VLOOKUP(N314,PARAM!G:H,2,0),VLOOKUP(P314,PARAM!P:Q,2,0),"*"),"")</f>
        <v>*2631923*</v>
      </c>
      <c r="S314" s="18" t="str">
        <f>IFERROR(CONCATENATE(VLOOKUP(L314,PARAM!D:E,2,0),VLOOKUP(M314,PARAM!J:K,2,0),VLOOKUP(N314,PARAM!G:H,2,0),VLOOKUP(O314,PARAM!M:N,2,0),VLOOKUP(P314,PARAM!P:Q,2,0)),"")</f>
        <v>263191623</v>
      </c>
      <c r="T314" s="18">
        <f t="shared" si="4"/>
        <v>9</v>
      </c>
      <c r="U314" s="18" t="str">
        <f t="shared" si="5"/>
        <v>BUSOS UNISEX ALGODON CON CAPOTA ESTAMPADO CREMALLERA VARIOS TALLA L</v>
      </c>
    </row>
    <row r="315">
      <c r="A315" s="64">
        <v>2.0</v>
      </c>
      <c r="B315" s="76" t="s">
        <v>1855</v>
      </c>
      <c r="C315" s="1"/>
      <c r="D315" s="4" t="s">
        <v>1856</v>
      </c>
      <c r="E315" s="3">
        <v>24000.0</v>
      </c>
      <c r="F315" s="2">
        <f t="shared" si="2"/>
        <v>48000</v>
      </c>
      <c r="G315" s="65">
        <f t="shared" si="7"/>
        <v>48000</v>
      </c>
      <c r="H315" s="1"/>
      <c r="I315" s="1"/>
      <c r="J315" s="1"/>
      <c r="K315" s="66" t="s">
        <v>1187</v>
      </c>
      <c r="L315" s="66" t="s">
        <v>1194</v>
      </c>
      <c r="M315" s="66" t="s">
        <v>1101</v>
      </c>
      <c r="N315" s="66" t="s">
        <v>1304</v>
      </c>
      <c r="O315" s="66" t="s">
        <v>1069</v>
      </c>
      <c r="P315" s="67" t="s">
        <v>1077</v>
      </c>
      <c r="Q315" s="18" t="s">
        <v>476</v>
      </c>
      <c r="R315" s="68" t="str">
        <f>IFERROR(CONCATENATE("*",VLOOKUP(L315,PARAM!D:E,2,0),VLOOKUP(M315,PARAM!J:K,2,0),VLOOKUP(N315,PARAM!G:H,2,0),VLOOKUP(P315,PARAM!P:Q,2,0),"*"),"")</f>
        <v>*2631932*</v>
      </c>
      <c r="S315" s="18" t="str">
        <f>IFERROR(CONCATENATE(VLOOKUP(L315,PARAM!D:E,2,0),VLOOKUP(M315,PARAM!J:K,2,0),VLOOKUP(N315,PARAM!G:H,2,0),VLOOKUP(O315,PARAM!M:N,2,0),VLOOKUP(P315,PARAM!P:Q,2,0)),"")</f>
        <v>263191632</v>
      </c>
      <c r="T315" s="18">
        <f t="shared" si="4"/>
        <v>9</v>
      </c>
      <c r="U315" s="18" t="str">
        <f t="shared" si="5"/>
        <v>BUSOS UNISEX ALGODON CON CAPOTA ESTAMPADO CREMALLERA VARIOS TALLA XL</v>
      </c>
    </row>
    <row r="316">
      <c r="A316" s="64">
        <v>3.0</v>
      </c>
      <c r="B316" s="76" t="s">
        <v>1855</v>
      </c>
      <c r="C316" s="1"/>
      <c r="D316" s="4" t="s">
        <v>1857</v>
      </c>
      <c r="E316" s="3">
        <v>24000.0</v>
      </c>
      <c r="F316" s="2">
        <f t="shared" si="2"/>
        <v>72000</v>
      </c>
      <c r="G316" s="65">
        <f t="shared" si="7"/>
        <v>48000</v>
      </c>
      <c r="H316" s="1"/>
      <c r="I316" s="1"/>
      <c r="J316" s="1"/>
      <c r="K316" s="66" t="s">
        <v>1187</v>
      </c>
      <c r="L316" s="66" t="s">
        <v>1194</v>
      </c>
      <c r="M316" s="66" t="s">
        <v>1101</v>
      </c>
      <c r="N316" s="66" t="s">
        <v>1305</v>
      </c>
      <c r="O316" s="66" t="s">
        <v>1069</v>
      </c>
      <c r="P316" s="67" t="s">
        <v>1168</v>
      </c>
      <c r="Q316" s="18" t="s">
        <v>476</v>
      </c>
      <c r="R316" s="68" t="str">
        <f>IFERROR(CONCATENATE("*",VLOOKUP(L316,PARAM!D:E,2,0),VLOOKUP(M316,PARAM!J:K,2,0),VLOOKUP(N316,PARAM!G:H,2,0),VLOOKUP(P316,PARAM!P:Q,2,0),"*"),"")</f>
        <v>*2631827*</v>
      </c>
      <c r="S316" s="18" t="str">
        <f>IFERROR(CONCATENATE(VLOOKUP(L316,PARAM!D:E,2,0),VLOOKUP(M316,PARAM!J:K,2,0),VLOOKUP(N316,PARAM!G:H,2,0),VLOOKUP(O316,PARAM!M:N,2,0),VLOOKUP(P316,PARAM!P:Q,2,0)),"")</f>
        <v>263181627</v>
      </c>
      <c r="T316" s="18">
        <f t="shared" si="4"/>
        <v>9</v>
      </c>
      <c r="U316" s="18" t="str">
        <f t="shared" si="5"/>
        <v>BUSOS UNISEX ALGODON CAPOTA ESTAMPADO VARIOS TALLA S</v>
      </c>
    </row>
    <row r="317">
      <c r="A317" s="64">
        <v>2.0</v>
      </c>
      <c r="B317" s="76" t="s">
        <v>1855</v>
      </c>
      <c r="C317" s="1"/>
      <c r="D317" s="4" t="s">
        <v>1857</v>
      </c>
      <c r="E317" s="3">
        <v>24000.0</v>
      </c>
      <c r="F317" s="2">
        <f t="shared" si="2"/>
        <v>48000</v>
      </c>
      <c r="G317" s="65">
        <f t="shared" si="7"/>
        <v>48000</v>
      </c>
      <c r="H317" s="1"/>
      <c r="I317" s="1"/>
      <c r="J317" s="1"/>
      <c r="K317" s="66" t="s">
        <v>1187</v>
      </c>
      <c r="L317" s="66" t="s">
        <v>1194</v>
      </c>
      <c r="M317" s="66" t="s">
        <v>1101</v>
      </c>
      <c r="N317" s="66" t="s">
        <v>1305</v>
      </c>
      <c r="O317" s="66" t="s">
        <v>1069</v>
      </c>
      <c r="P317" s="67" t="s">
        <v>1164</v>
      </c>
      <c r="Q317" s="18" t="s">
        <v>476</v>
      </c>
      <c r="R317" s="68" t="str">
        <f>IFERROR(CONCATENATE("*",VLOOKUP(L317,PARAM!D:E,2,0),VLOOKUP(M317,PARAM!J:K,2,0),VLOOKUP(N317,PARAM!G:H,2,0),VLOOKUP(P317,PARAM!P:Q,2,0),"*"),"")</f>
        <v>*2631825*</v>
      </c>
      <c r="S317" s="18" t="str">
        <f>IFERROR(CONCATENATE(VLOOKUP(L317,PARAM!D:E,2,0),VLOOKUP(M317,PARAM!J:K,2,0),VLOOKUP(N317,PARAM!G:H,2,0),VLOOKUP(O317,PARAM!M:N,2,0),VLOOKUP(P317,PARAM!P:Q,2,0)),"")</f>
        <v>263181625</v>
      </c>
      <c r="T317" s="18">
        <f t="shared" si="4"/>
        <v>9</v>
      </c>
      <c r="U317" s="18" t="str">
        <f t="shared" si="5"/>
        <v>BUSOS UNISEX ALGODON CAPOTA ESTAMPADO VARIOS TALLA M</v>
      </c>
    </row>
    <row r="318">
      <c r="A318" s="64">
        <v>3.0</v>
      </c>
      <c r="B318" s="76" t="s">
        <v>1855</v>
      </c>
      <c r="C318" s="1"/>
      <c r="D318" s="4" t="s">
        <v>1857</v>
      </c>
      <c r="E318" s="3">
        <v>24000.0</v>
      </c>
      <c r="F318" s="2">
        <f t="shared" si="2"/>
        <v>72000</v>
      </c>
      <c r="G318" s="65">
        <f t="shared" si="7"/>
        <v>48000</v>
      </c>
      <c r="H318" s="1"/>
      <c r="I318" s="1"/>
      <c r="J318" s="1"/>
      <c r="K318" s="66" t="s">
        <v>1187</v>
      </c>
      <c r="L318" s="66" t="s">
        <v>1194</v>
      </c>
      <c r="M318" s="66" t="s">
        <v>1101</v>
      </c>
      <c r="N318" s="66" t="s">
        <v>1305</v>
      </c>
      <c r="O318" s="66" t="s">
        <v>1069</v>
      </c>
      <c r="P318" s="67" t="s">
        <v>1165</v>
      </c>
      <c r="Q318" s="18" t="s">
        <v>476</v>
      </c>
      <c r="R318" s="68" t="str">
        <f>IFERROR(CONCATENATE("*",VLOOKUP(L318,PARAM!D:E,2,0),VLOOKUP(M318,PARAM!J:K,2,0),VLOOKUP(N318,PARAM!G:H,2,0),VLOOKUP(P318,PARAM!P:Q,2,0),"*"),"")</f>
        <v>*2631823*</v>
      </c>
      <c r="S318" s="18" t="str">
        <f>IFERROR(CONCATENATE(VLOOKUP(L318,PARAM!D:E,2,0),VLOOKUP(M318,PARAM!J:K,2,0),VLOOKUP(N318,PARAM!G:H,2,0),VLOOKUP(O318,PARAM!M:N,2,0),VLOOKUP(P318,PARAM!P:Q,2,0)),"")</f>
        <v>263181623</v>
      </c>
      <c r="T318" s="18">
        <f t="shared" si="4"/>
        <v>9</v>
      </c>
      <c r="U318" s="18" t="str">
        <f t="shared" si="5"/>
        <v>BUSOS UNISEX ALGODON CAPOTA ESTAMPADO VARIOS TALLA L</v>
      </c>
    </row>
    <row r="319">
      <c r="A319" s="64">
        <v>2.0</v>
      </c>
      <c r="B319" s="76" t="s">
        <v>1855</v>
      </c>
      <c r="C319" s="1"/>
      <c r="D319" s="4" t="s">
        <v>1857</v>
      </c>
      <c r="E319" s="3">
        <v>24000.0</v>
      </c>
      <c r="F319" s="2">
        <f t="shared" si="2"/>
        <v>48000</v>
      </c>
      <c r="G319" s="65">
        <f t="shared" si="7"/>
        <v>48000</v>
      </c>
      <c r="H319" s="1"/>
      <c r="I319" s="1"/>
      <c r="J319" s="1"/>
      <c r="K319" s="66" t="s">
        <v>1187</v>
      </c>
      <c r="L319" s="66" t="s">
        <v>1194</v>
      </c>
      <c r="M319" s="66" t="s">
        <v>1101</v>
      </c>
      <c r="N319" s="66" t="s">
        <v>1305</v>
      </c>
      <c r="O319" s="66" t="s">
        <v>1069</v>
      </c>
      <c r="P319" s="67" t="s">
        <v>1077</v>
      </c>
      <c r="Q319" s="18" t="s">
        <v>476</v>
      </c>
      <c r="R319" s="68" t="str">
        <f>IFERROR(CONCATENATE("*",VLOOKUP(L319,PARAM!D:E,2,0),VLOOKUP(M319,PARAM!J:K,2,0),VLOOKUP(N319,PARAM!G:H,2,0),VLOOKUP(P319,PARAM!P:Q,2,0),"*"),"")</f>
        <v>*2631832*</v>
      </c>
      <c r="S319" s="18" t="str">
        <f>IFERROR(CONCATENATE(VLOOKUP(L319,PARAM!D:E,2,0),VLOOKUP(M319,PARAM!J:K,2,0),VLOOKUP(N319,PARAM!G:H,2,0),VLOOKUP(O319,PARAM!M:N,2,0),VLOOKUP(P319,PARAM!P:Q,2,0)),"")</f>
        <v>263181632</v>
      </c>
      <c r="T319" s="18">
        <f t="shared" si="4"/>
        <v>9</v>
      </c>
      <c r="U319" s="18" t="str">
        <f t="shared" si="5"/>
        <v>BUSOS UNISEX ALGODON CAPOTA ESTAMPADO VARIOS TALLA XL</v>
      </c>
    </row>
    <row r="320">
      <c r="A320" s="64">
        <v>2.0</v>
      </c>
      <c r="B320" s="76" t="s">
        <v>1855</v>
      </c>
      <c r="C320" s="1"/>
      <c r="D320" s="4" t="s">
        <v>1858</v>
      </c>
      <c r="E320" s="3">
        <v>22000.0</v>
      </c>
      <c r="F320" s="2">
        <f t="shared" si="2"/>
        <v>44000</v>
      </c>
      <c r="G320" s="65">
        <f t="shared" si="7"/>
        <v>44000</v>
      </c>
      <c r="H320" s="1"/>
      <c r="I320" s="1"/>
      <c r="J320" s="1"/>
      <c r="K320" s="66" t="s">
        <v>1187</v>
      </c>
      <c r="L320" s="66" t="s">
        <v>1194</v>
      </c>
      <c r="M320" s="66" t="s">
        <v>1101</v>
      </c>
      <c r="N320" s="66" t="s">
        <v>1306</v>
      </c>
      <c r="O320" s="66" t="s">
        <v>1069</v>
      </c>
      <c r="P320" s="67" t="s">
        <v>1168</v>
      </c>
      <c r="Q320" s="18" t="s">
        <v>476</v>
      </c>
      <c r="R320" s="68" t="str">
        <f>IFERROR(CONCATENATE("*",VLOOKUP(L320,PARAM!D:E,2,0),VLOOKUP(M320,PARAM!J:K,2,0),VLOOKUP(N320,PARAM!G:H,2,0),VLOOKUP(P320,PARAM!P:Q,2,0),"*"),"")</f>
        <v>*2632127*</v>
      </c>
      <c r="S320" s="18" t="str">
        <f>IFERROR(CONCATENATE(VLOOKUP(L320,PARAM!D:E,2,0),VLOOKUP(M320,PARAM!J:K,2,0),VLOOKUP(N320,PARAM!G:H,2,0),VLOOKUP(O320,PARAM!M:N,2,0),VLOOKUP(P320,PARAM!P:Q,2,0)),"")</f>
        <v>263211627</v>
      </c>
      <c r="T320" s="18">
        <f t="shared" si="4"/>
        <v>9</v>
      </c>
      <c r="U320" s="18" t="str">
        <f t="shared" si="5"/>
        <v>BUSOS UNISEX ALGODON CUELLO REDONDO ESTAMPADO VARIOS TALLA S</v>
      </c>
    </row>
    <row r="321">
      <c r="A321" s="64">
        <v>3.0</v>
      </c>
      <c r="B321" s="76" t="s">
        <v>1855</v>
      </c>
      <c r="C321" s="1"/>
      <c r="D321" s="4" t="s">
        <v>1858</v>
      </c>
      <c r="E321" s="3">
        <v>22000.0</v>
      </c>
      <c r="F321" s="2">
        <f t="shared" si="2"/>
        <v>66000</v>
      </c>
      <c r="G321" s="65">
        <f t="shared" si="7"/>
        <v>44000</v>
      </c>
      <c r="H321" s="1"/>
      <c r="I321" s="1"/>
      <c r="J321" s="1"/>
      <c r="K321" s="66" t="s">
        <v>1187</v>
      </c>
      <c r="L321" s="66" t="s">
        <v>1194</v>
      </c>
      <c r="M321" s="66" t="s">
        <v>1101</v>
      </c>
      <c r="N321" s="66" t="s">
        <v>1306</v>
      </c>
      <c r="O321" s="66" t="s">
        <v>1069</v>
      </c>
      <c r="P321" s="67" t="s">
        <v>1164</v>
      </c>
      <c r="Q321" s="18" t="s">
        <v>476</v>
      </c>
      <c r="R321" s="68" t="str">
        <f>IFERROR(CONCATENATE("*",VLOOKUP(L321,PARAM!D:E,2,0),VLOOKUP(M321,PARAM!J:K,2,0),VLOOKUP(N321,PARAM!G:H,2,0),VLOOKUP(P321,PARAM!P:Q,2,0),"*"),"")</f>
        <v>*2632125*</v>
      </c>
      <c r="S321" s="18" t="str">
        <f>IFERROR(CONCATENATE(VLOOKUP(L321,PARAM!D:E,2,0),VLOOKUP(M321,PARAM!J:K,2,0),VLOOKUP(N321,PARAM!G:H,2,0),VLOOKUP(O321,PARAM!M:N,2,0),VLOOKUP(P321,PARAM!P:Q,2,0)),"")</f>
        <v>263211625</v>
      </c>
      <c r="T321" s="18">
        <f t="shared" si="4"/>
        <v>9</v>
      </c>
      <c r="U321" s="18" t="str">
        <f t="shared" si="5"/>
        <v>BUSOS UNISEX ALGODON CUELLO REDONDO ESTAMPADO VARIOS TALLA M</v>
      </c>
    </row>
    <row r="322">
      <c r="A322" s="64">
        <v>2.0</v>
      </c>
      <c r="B322" s="76" t="s">
        <v>1855</v>
      </c>
      <c r="C322" s="1"/>
      <c r="D322" s="4" t="s">
        <v>1858</v>
      </c>
      <c r="E322" s="3">
        <v>22000.0</v>
      </c>
      <c r="F322" s="2">
        <f t="shared" si="2"/>
        <v>44000</v>
      </c>
      <c r="G322" s="65">
        <f t="shared" si="7"/>
        <v>44000</v>
      </c>
      <c r="H322" s="1"/>
      <c r="I322" s="1"/>
      <c r="J322" s="1"/>
      <c r="K322" s="66" t="s">
        <v>1187</v>
      </c>
      <c r="L322" s="66" t="s">
        <v>1194</v>
      </c>
      <c r="M322" s="66" t="s">
        <v>1101</v>
      </c>
      <c r="N322" s="66" t="s">
        <v>1306</v>
      </c>
      <c r="O322" s="66" t="s">
        <v>1069</v>
      </c>
      <c r="P322" s="67" t="s">
        <v>1165</v>
      </c>
      <c r="Q322" s="18" t="s">
        <v>476</v>
      </c>
      <c r="R322" s="68" t="str">
        <f>IFERROR(CONCATENATE("*",VLOOKUP(L322,PARAM!D:E,2,0),VLOOKUP(M322,PARAM!J:K,2,0),VLOOKUP(N322,PARAM!G:H,2,0),VLOOKUP(P322,PARAM!P:Q,2,0),"*"),"")</f>
        <v>*2632123*</v>
      </c>
      <c r="S322" s="18" t="str">
        <f>IFERROR(CONCATENATE(VLOOKUP(L322,PARAM!D:E,2,0),VLOOKUP(M322,PARAM!J:K,2,0),VLOOKUP(N322,PARAM!G:H,2,0),VLOOKUP(O322,PARAM!M:N,2,0),VLOOKUP(P322,PARAM!P:Q,2,0)),"")</f>
        <v>263211623</v>
      </c>
      <c r="T322" s="18">
        <f t="shared" si="4"/>
        <v>9</v>
      </c>
      <c r="U322" s="18" t="str">
        <f t="shared" si="5"/>
        <v>BUSOS UNISEX ALGODON CUELLO REDONDO ESTAMPADO VARIOS TALLA L</v>
      </c>
    </row>
    <row r="323">
      <c r="A323" s="64">
        <v>2.0</v>
      </c>
      <c r="B323" s="76" t="s">
        <v>1855</v>
      </c>
      <c r="C323" s="1"/>
      <c r="D323" s="4" t="s">
        <v>1858</v>
      </c>
      <c r="E323" s="3">
        <v>22000.0</v>
      </c>
      <c r="F323" s="2">
        <f t="shared" si="2"/>
        <v>44000</v>
      </c>
      <c r="G323" s="65">
        <f t="shared" si="7"/>
        <v>44000</v>
      </c>
      <c r="H323" s="1"/>
      <c r="I323" s="1"/>
      <c r="J323" s="1"/>
      <c r="K323" s="66" t="s">
        <v>1187</v>
      </c>
      <c r="L323" s="66" t="s">
        <v>1194</v>
      </c>
      <c r="M323" s="66" t="s">
        <v>1101</v>
      </c>
      <c r="N323" s="66" t="s">
        <v>1306</v>
      </c>
      <c r="O323" s="66" t="s">
        <v>1069</v>
      </c>
      <c r="P323" s="67" t="s">
        <v>1077</v>
      </c>
      <c r="Q323" s="18" t="s">
        <v>476</v>
      </c>
      <c r="R323" s="68" t="str">
        <f>IFERROR(CONCATENATE("*",VLOOKUP(L323,PARAM!D:E,2,0),VLOOKUP(M323,PARAM!J:K,2,0),VLOOKUP(N323,PARAM!G:H,2,0),VLOOKUP(P323,PARAM!P:Q,2,0),"*"),"")</f>
        <v>*2632132*</v>
      </c>
      <c r="S323" s="18" t="str">
        <f>IFERROR(CONCATENATE(VLOOKUP(L323,PARAM!D:E,2,0),VLOOKUP(M323,PARAM!J:K,2,0),VLOOKUP(N323,PARAM!G:H,2,0),VLOOKUP(O323,PARAM!M:N,2,0),VLOOKUP(P323,PARAM!P:Q,2,0)),"")</f>
        <v>263211632</v>
      </c>
      <c r="T323" s="18">
        <f t="shared" si="4"/>
        <v>9</v>
      </c>
      <c r="U323" s="18" t="str">
        <f t="shared" si="5"/>
        <v>BUSOS UNISEX ALGODON CUELLO REDONDO ESTAMPADO VARIOS TALLA XL</v>
      </c>
    </row>
    <row r="324">
      <c r="A324" s="64">
        <v>4.0</v>
      </c>
      <c r="B324" s="76" t="s">
        <v>1855</v>
      </c>
      <c r="C324" s="1"/>
      <c r="D324" s="4" t="s">
        <v>1858</v>
      </c>
      <c r="E324" s="3">
        <v>22000.0</v>
      </c>
      <c r="F324" s="2">
        <f t="shared" si="2"/>
        <v>88000</v>
      </c>
      <c r="G324" s="65">
        <f t="shared" si="7"/>
        <v>44000</v>
      </c>
      <c r="H324" s="1"/>
      <c r="I324" s="1"/>
      <c r="J324" s="1"/>
      <c r="K324" s="66" t="s">
        <v>1187</v>
      </c>
      <c r="L324" s="66" t="s">
        <v>1194</v>
      </c>
      <c r="M324" s="66" t="s">
        <v>1101</v>
      </c>
      <c r="N324" s="66" t="s">
        <v>1306</v>
      </c>
      <c r="O324" s="66" t="s">
        <v>1069</v>
      </c>
      <c r="P324" s="67" t="s">
        <v>1189</v>
      </c>
      <c r="Q324" s="18" t="s">
        <v>476</v>
      </c>
      <c r="R324" s="68" t="str">
        <f>IFERROR(CONCATENATE("*",VLOOKUP(L324,PARAM!D:E,2,0),VLOOKUP(M324,PARAM!J:K,2,0),VLOOKUP(N324,PARAM!G:H,2,0),VLOOKUP(P324,PARAM!P:Q,2,0),"*"),"")</f>
        <v>*2632134*</v>
      </c>
      <c r="S324" s="18" t="str">
        <f>IFERROR(CONCATENATE(VLOOKUP(L324,PARAM!D:E,2,0),VLOOKUP(M324,PARAM!J:K,2,0),VLOOKUP(N324,PARAM!G:H,2,0),VLOOKUP(O324,PARAM!M:N,2,0),VLOOKUP(P324,PARAM!P:Q,2,0)),"")</f>
        <v>263211634</v>
      </c>
      <c r="T324" s="18">
        <f t="shared" si="4"/>
        <v>9</v>
      </c>
      <c r="U324" s="18" t="str">
        <f t="shared" si="5"/>
        <v>BUSOS UNISEX ALGODON CUELLO REDONDO ESTAMPADO VARIOS TALLA XXL</v>
      </c>
    </row>
    <row r="325">
      <c r="A325" s="64">
        <v>2.0</v>
      </c>
      <c r="B325" s="76" t="s">
        <v>1855</v>
      </c>
      <c r="C325" s="1"/>
      <c r="D325" s="4" t="s">
        <v>1859</v>
      </c>
      <c r="E325" s="3">
        <v>22000.0</v>
      </c>
      <c r="F325" s="2">
        <f t="shared" si="2"/>
        <v>44000</v>
      </c>
      <c r="G325" s="65">
        <f t="shared" si="7"/>
        <v>44000</v>
      </c>
      <c r="H325" s="1"/>
      <c r="I325" s="1"/>
      <c r="J325" s="1"/>
      <c r="K325" s="66" t="s">
        <v>1187</v>
      </c>
      <c r="L325" s="66" t="s">
        <v>1194</v>
      </c>
      <c r="M325" s="66" t="s">
        <v>1101</v>
      </c>
      <c r="N325" s="66" t="s">
        <v>1307</v>
      </c>
      <c r="O325" s="66" t="s">
        <v>1069</v>
      </c>
      <c r="P325" s="67" t="s">
        <v>1168</v>
      </c>
      <c r="Q325" s="18" t="s">
        <v>476</v>
      </c>
      <c r="R325" s="68" t="str">
        <f>IFERROR(CONCATENATE("*",VLOOKUP(L325,PARAM!D:E,2,0),VLOOKUP(M325,PARAM!J:K,2,0),VLOOKUP(N325,PARAM!G:H,2,0),VLOOKUP(P325,PARAM!P:Q,2,0),"*"),"")</f>
        <v>*2632327*</v>
      </c>
      <c r="S325" s="18" t="str">
        <f>IFERROR(CONCATENATE(VLOOKUP(L325,PARAM!D:E,2,0),VLOOKUP(M325,PARAM!J:K,2,0),VLOOKUP(N325,PARAM!G:H,2,0),VLOOKUP(O325,PARAM!M:N,2,0),VLOOKUP(P325,PARAM!P:Q,2,0)),"")</f>
        <v>263231627</v>
      </c>
      <c r="T325" s="18">
        <f t="shared" si="4"/>
        <v>9</v>
      </c>
      <c r="U325" s="18" t="str">
        <f t="shared" si="5"/>
        <v>BUSOS UNISEX ALGODON SIN ESTAMPADO VARIOS TALLA S</v>
      </c>
    </row>
    <row r="326">
      <c r="A326" s="64">
        <v>2.0</v>
      </c>
      <c r="B326" s="76" t="s">
        <v>1855</v>
      </c>
      <c r="C326" s="1"/>
      <c r="D326" s="4" t="s">
        <v>1859</v>
      </c>
      <c r="E326" s="3">
        <v>22000.0</v>
      </c>
      <c r="F326" s="2">
        <f t="shared" si="2"/>
        <v>44000</v>
      </c>
      <c r="G326" s="65">
        <f t="shared" si="7"/>
        <v>44000</v>
      </c>
      <c r="H326" s="1"/>
      <c r="I326" s="1"/>
      <c r="J326" s="1"/>
      <c r="K326" s="66" t="s">
        <v>1187</v>
      </c>
      <c r="L326" s="66" t="s">
        <v>1194</v>
      </c>
      <c r="M326" s="66" t="s">
        <v>1101</v>
      </c>
      <c r="N326" s="66" t="s">
        <v>1307</v>
      </c>
      <c r="O326" s="66" t="s">
        <v>1069</v>
      </c>
      <c r="P326" s="67" t="s">
        <v>1164</v>
      </c>
      <c r="Q326" s="18" t="s">
        <v>476</v>
      </c>
      <c r="R326" s="68" t="str">
        <f>IFERROR(CONCATENATE("*",VLOOKUP(L326,PARAM!D:E,2,0),VLOOKUP(M326,PARAM!J:K,2,0),VLOOKUP(N326,PARAM!G:H,2,0),VLOOKUP(P326,PARAM!P:Q,2,0),"*"),"")</f>
        <v>*2632325*</v>
      </c>
      <c r="S326" s="18" t="str">
        <f>IFERROR(CONCATENATE(VLOOKUP(L326,PARAM!D:E,2,0),VLOOKUP(M326,PARAM!J:K,2,0),VLOOKUP(N326,PARAM!G:H,2,0),VLOOKUP(O326,PARAM!M:N,2,0),VLOOKUP(P326,PARAM!P:Q,2,0)),"")</f>
        <v>263231625</v>
      </c>
      <c r="T326" s="18">
        <f t="shared" si="4"/>
        <v>9</v>
      </c>
      <c r="U326" s="18" t="str">
        <f t="shared" si="5"/>
        <v>BUSOS UNISEX ALGODON SIN ESTAMPADO VARIOS TALLA M</v>
      </c>
    </row>
    <row r="327">
      <c r="A327" s="64">
        <v>2.0</v>
      </c>
      <c r="B327" s="76" t="s">
        <v>1855</v>
      </c>
      <c r="C327" s="1"/>
      <c r="D327" s="4" t="s">
        <v>1859</v>
      </c>
      <c r="E327" s="3">
        <v>22000.0</v>
      </c>
      <c r="F327" s="2">
        <f t="shared" si="2"/>
        <v>44000</v>
      </c>
      <c r="G327" s="65">
        <f t="shared" si="7"/>
        <v>44000</v>
      </c>
      <c r="H327" s="1"/>
      <c r="I327" s="1"/>
      <c r="J327" s="1"/>
      <c r="K327" s="66" t="s">
        <v>1187</v>
      </c>
      <c r="L327" s="66" t="s">
        <v>1194</v>
      </c>
      <c r="M327" s="66" t="s">
        <v>1101</v>
      </c>
      <c r="N327" s="66" t="s">
        <v>1307</v>
      </c>
      <c r="O327" s="66" t="s">
        <v>1069</v>
      </c>
      <c r="P327" s="67" t="s">
        <v>1165</v>
      </c>
      <c r="Q327" s="18" t="s">
        <v>476</v>
      </c>
      <c r="R327" s="68" t="str">
        <f>IFERROR(CONCATENATE("*",VLOOKUP(L327,PARAM!D:E,2,0),VLOOKUP(M327,PARAM!J:K,2,0),VLOOKUP(N327,PARAM!G:H,2,0),VLOOKUP(P327,PARAM!P:Q,2,0),"*"),"")</f>
        <v>*2632323*</v>
      </c>
      <c r="S327" s="18" t="str">
        <f>IFERROR(CONCATENATE(VLOOKUP(L327,PARAM!D:E,2,0),VLOOKUP(M327,PARAM!J:K,2,0),VLOOKUP(N327,PARAM!G:H,2,0),VLOOKUP(O327,PARAM!M:N,2,0),VLOOKUP(P327,PARAM!P:Q,2,0)),"")</f>
        <v>263231623</v>
      </c>
      <c r="T327" s="18">
        <f t="shared" si="4"/>
        <v>9</v>
      </c>
      <c r="U327" s="18" t="str">
        <f t="shared" si="5"/>
        <v>BUSOS UNISEX ALGODON SIN ESTAMPADO VARIOS TALLA L</v>
      </c>
    </row>
    <row r="328">
      <c r="A328" s="64">
        <v>2.0</v>
      </c>
      <c r="B328" s="76" t="s">
        <v>1855</v>
      </c>
      <c r="C328" s="1"/>
      <c r="D328" s="4" t="s">
        <v>1859</v>
      </c>
      <c r="E328" s="3">
        <v>22000.0</v>
      </c>
      <c r="F328" s="2">
        <f t="shared" si="2"/>
        <v>44000</v>
      </c>
      <c r="G328" s="65">
        <f t="shared" si="7"/>
        <v>44000</v>
      </c>
      <c r="H328" s="1"/>
      <c r="I328" s="1"/>
      <c r="J328" s="1"/>
      <c r="K328" s="66" t="s">
        <v>1187</v>
      </c>
      <c r="L328" s="66" t="s">
        <v>1194</v>
      </c>
      <c r="M328" s="66" t="s">
        <v>1101</v>
      </c>
      <c r="N328" s="66" t="s">
        <v>1307</v>
      </c>
      <c r="O328" s="66" t="s">
        <v>1069</v>
      </c>
      <c r="P328" s="67" t="s">
        <v>1077</v>
      </c>
      <c r="Q328" s="18" t="s">
        <v>476</v>
      </c>
      <c r="R328" s="68" t="str">
        <f>IFERROR(CONCATENATE("*",VLOOKUP(L328,PARAM!D:E,2,0),VLOOKUP(M328,PARAM!J:K,2,0),VLOOKUP(N328,PARAM!G:H,2,0),VLOOKUP(P328,PARAM!P:Q,2,0),"*"),"")</f>
        <v>*2632332*</v>
      </c>
      <c r="S328" s="18" t="str">
        <f>IFERROR(CONCATENATE(VLOOKUP(L328,PARAM!D:E,2,0),VLOOKUP(M328,PARAM!J:K,2,0),VLOOKUP(N328,PARAM!G:H,2,0),VLOOKUP(O328,PARAM!M:N,2,0),VLOOKUP(P328,PARAM!P:Q,2,0)),"")</f>
        <v>263231632</v>
      </c>
      <c r="T328" s="18">
        <f t="shared" si="4"/>
        <v>9</v>
      </c>
      <c r="U328" s="18" t="str">
        <f t="shared" si="5"/>
        <v>BUSOS UNISEX ALGODON SIN ESTAMPADO VARIOS TALLA XL</v>
      </c>
    </row>
    <row r="329">
      <c r="A329" s="64">
        <v>4.0</v>
      </c>
      <c r="B329" s="4" t="s">
        <v>1658</v>
      </c>
      <c r="C329" s="1"/>
      <c r="D329" s="4" t="s">
        <v>1860</v>
      </c>
      <c r="E329" s="3">
        <v>35000.0</v>
      </c>
      <c r="F329" s="2">
        <f t="shared" si="2"/>
        <v>140000</v>
      </c>
      <c r="G329" s="65">
        <f t="shared" si="7"/>
        <v>70000</v>
      </c>
      <c r="H329" s="1"/>
      <c r="I329" s="1"/>
      <c r="J329" s="1"/>
      <c r="K329" s="66" t="s">
        <v>1191</v>
      </c>
      <c r="L329" s="66" t="s">
        <v>1171</v>
      </c>
      <c r="M329" s="66" t="s">
        <v>1101</v>
      </c>
      <c r="N329" s="18" t="s">
        <v>1308</v>
      </c>
      <c r="O329" s="66" t="s">
        <v>1069</v>
      </c>
      <c r="P329" s="67" t="s">
        <v>1168</v>
      </c>
      <c r="Q329" s="18" t="s">
        <v>476</v>
      </c>
      <c r="R329" s="68" t="str">
        <f>IFERROR(CONCATENATE("*",VLOOKUP(L329,PARAM!D:E,2,0),VLOOKUP(M329,PARAM!J:K,2,0),VLOOKUP(N329,PARAM!G:H,2,0),VLOOKUP(P329,PARAM!P:Q,2,0),"*"),"")</f>
        <v>*11324927*</v>
      </c>
      <c r="S329" s="18" t="str">
        <f>IFERROR(CONCATENATE(VLOOKUP(L329,PARAM!D:E,2,0),VLOOKUP(M329,PARAM!J:K,2,0),VLOOKUP(N329,PARAM!G:H,2,0),VLOOKUP(O329,PARAM!M:N,2,0),VLOOKUP(P329,PARAM!P:Q,2,0)),"")</f>
        <v>1132491627</v>
      </c>
      <c r="T329" s="18">
        <f t="shared" si="4"/>
        <v>10</v>
      </c>
      <c r="U329" s="18" t="str">
        <f t="shared" si="5"/>
        <v>CAMISETAS UNISEX SEDA FRÍA VARIOS TALLA S</v>
      </c>
    </row>
    <row r="330">
      <c r="A330" s="64">
        <v>5.0</v>
      </c>
      <c r="B330" s="4" t="s">
        <v>1658</v>
      </c>
      <c r="C330" s="1"/>
      <c r="D330" s="4" t="s">
        <v>1860</v>
      </c>
      <c r="E330" s="3">
        <v>35000.0</v>
      </c>
      <c r="F330" s="2">
        <f t="shared" si="2"/>
        <v>175000</v>
      </c>
      <c r="G330" s="65">
        <f t="shared" si="7"/>
        <v>70000</v>
      </c>
      <c r="H330" s="1"/>
      <c r="I330" s="1"/>
      <c r="J330" s="1"/>
      <c r="K330" s="66" t="s">
        <v>1191</v>
      </c>
      <c r="L330" s="66" t="s">
        <v>1171</v>
      </c>
      <c r="M330" s="66" t="s">
        <v>1101</v>
      </c>
      <c r="N330" s="18" t="s">
        <v>1308</v>
      </c>
      <c r="O330" s="66" t="s">
        <v>1069</v>
      </c>
      <c r="P330" s="67" t="s">
        <v>1164</v>
      </c>
      <c r="Q330" s="18" t="s">
        <v>476</v>
      </c>
      <c r="R330" s="68" t="str">
        <f>IFERROR(CONCATENATE("*",VLOOKUP(L330,PARAM!D:E,2,0),VLOOKUP(M330,PARAM!J:K,2,0),VLOOKUP(N330,PARAM!G:H,2,0),VLOOKUP(P330,PARAM!P:Q,2,0),"*"),"")</f>
        <v>*11324925*</v>
      </c>
      <c r="S330" s="18" t="str">
        <f>IFERROR(CONCATENATE(VLOOKUP(L330,PARAM!D:E,2,0),VLOOKUP(M330,PARAM!J:K,2,0),VLOOKUP(N330,PARAM!G:H,2,0),VLOOKUP(O330,PARAM!M:N,2,0),VLOOKUP(P330,PARAM!P:Q,2,0)),"")</f>
        <v>1132491625</v>
      </c>
      <c r="T330" s="18">
        <f t="shared" si="4"/>
        <v>10</v>
      </c>
      <c r="U330" s="18" t="str">
        <f t="shared" si="5"/>
        <v>CAMISETAS UNISEX SEDA FRÍA VARIOS TALLA M</v>
      </c>
    </row>
    <row r="331">
      <c r="A331" s="64">
        <v>4.0</v>
      </c>
      <c r="B331" s="4" t="s">
        <v>1658</v>
      </c>
      <c r="C331" s="1"/>
      <c r="D331" s="4" t="s">
        <v>1860</v>
      </c>
      <c r="E331" s="3">
        <v>35000.0</v>
      </c>
      <c r="F331" s="2">
        <f t="shared" si="2"/>
        <v>140000</v>
      </c>
      <c r="G331" s="65">
        <f t="shared" si="7"/>
        <v>70000</v>
      </c>
      <c r="H331" s="1"/>
      <c r="I331" s="1"/>
      <c r="J331" s="1"/>
      <c r="K331" s="66" t="s">
        <v>1191</v>
      </c>
      <c r="L331" s="66" t="s">
        <v>1171</v>
      </c>
      <c r="M331" s="66" t="s">
        <v>1101</v>
      </c>
      <c r="N331" s="18" t="s">
        <v>1308</v>
      </c>
      <c r="O331" s="66" t="s">
        <v>1069</v>
      </c>
      <c r="P331" s="67" t="s">
        <v>1165</v>
      </c>
      <c r="Q331" s="18" t="s">
        <v>476</v>
      </c>
      <c r="R331" s="68" t="str">
        <f>IFERROR(CONCATENATE("*",VLOOKUP(L331,PARAM!D:E,2,0),VLOOKUP(M331,PARAM!J:K,2,0),VLOOKUP(N331,PARAM!G:H,2,0),VLOOKUP(P331,PARAM!P:Q,2,0),"*"),"")</f>
        <v>*11324923*</v>
      </c>
      <c r="S331" s="18" t="str">
        <f>IFERROR(CONCATENATE(VLOOKUP(L331,PARAM!D:E,2,0),VLOOKUP(M331,PARAM!J:K,2,0),VLOOKUP(N331,PARAM!G:H,2,0),VLOOKUP(O331,PARAM!M:N,2,0),VLOOKUP(P331,PARAM!P:Q,2,0)),"")</f>
        <v>1132491623</v>
      </c>
      <c r="T331" s="18">
        <f t="shared" si="4"/>
        <v>10</v>
      </c>
      <c r="U331" s="18" t="str">
        <f t="shared" si="5"/>
        <v>CAMISETAS UNISEX SEDA FRÍA VARIOS TALLA L</v>
      </c>
    </row>
    <row r="332">
      <c r="A332" s="64">
        <v>2.0</v>
      </c>
      <c r="B332" s="4" t="s">
        <v>1658</v>
      </c>
      <c r="C332" s="1"/>
      <c r="D332" s="4" t="s">
        <v>1860</v>
      </c>
      <c r="E332" s="3">
        <v>35000.0</v>
      </c>
      <c r="F332" s="2">
        <f t="shared" si="2"/>
        <v>70000</v>
      </c>
      <c r="G332" s="65">
        <f t="shared" si="7"/>
        <v>70000</v>
      </c>
      <c r="H332" s="1"/>
      <c r="I332" s="1"/>
      <c r="J332" s="1"/>
      <c r="K332" s="66" t="s">
        <v>1191</v>
      </c>
      <c r="L332" s="66" t="s">
        <v>1171</v>
      </c>
      <c r="M332" s="66" t="s">
        <v>1101</v>
      </c>
      <c r="N332" s="18" t="s">
        <v>1308</v>
      </c>
      <c r="O332" s="66" t="s">
        <v>1069</v>
      </c>
      <c r="P332" s="67" t="s">
        <v>1077</v>
      </c>
      <c r="Q332" s="18" t="s">
        <v>476</v>
      </c>
      <c r="R332" s="68" t="str">
        <f>IFERROR(CONCATENATE("*",VLOOKUP(L332,PARAM!D:E,2,0),VLOOKUP(M332,PARAM!J:K,2,0),VLOOKUP(N332,PARAM!G:H,2,0),VLOOKUP(P332,PARAM!P:Q,2,0),"*"),"")</f>
        <v>*11324932*</v>
      </c>
      <c r="S332" s="18" t="str">
        <f>IFERROR(CONCATENATE(VLOOKUP(L332,PARAM!D:E,2,0),VLOOKUP(M332,PARAM!J:K,2,0),VLOOKUP(N332,PARAM!G:H,2,0),VLOOKUP(O332,PARAM!M:N,2,0),VLOOKUP(P332,PARAM!P:Q,2,0)),"")</f>
        <v>1132491632</v>
      </c>
      <c r="T332" s="18">
        <f t="shared" si="4"/>
        <v>10</v>
      </c>
      <c r="U332" s="18" t="str">
        <f t="shared" si="5"/>
        <v>CAMISETAS UNISEX SEDA FRÍA VARIOS TALLA XL</v>
      </c>
    </row>
    <row r="333">
      <c r="A333" s="64">
        <v>1.0</v>
      </c>
      <c r="B333" s="4" t="s">
        <v>1471</v>
      </c>
      <c r="C333" s="1"/>
      <c r="D333" s="4" t="s">
        <v>1861</v>
      </c>
      <c r="E333" s="3">
        <v>32000.0</v>
      </c>
      <c r="F333" s="2">
        <f t="shared" si="2"/>
        <v>32000</v>
      </c>
      <c r="G333" s="65">
        <f t="shared" si="7"/>
        <v>64000</v>
      </c>
      <c r="H333" s="1"/>
      <c r="I333" s="1"/>
      <c r="J333" s="1"/>
      <c r="K333" s="66" t="s">
        <v>1058</v>
      </c>
      <c r="L333" s="66" t="s">
        <v>1059</v>
      </c>
      <c r="M333" s="66" t="s">
        <v>1060</v>
      </c>
      <c r="N333" s="18" t="s">
        <v>1064</v>
      </c>
      <c r="O333" s="66" t="s">
        <v>1067</v>
      </c>
      <c r="P333" s="67">
        <v>16.0</v>
      </c>
      <c r="Q333" s="18" t="s">
        <v>441</v>
      </c>
      <c r="R333" s="68" t="str">
        <f>IFERROR(CONCATENATE("*",VLOOKUP(L333,PARAM!D:E,2,0),VLOOKUP(M333,PARAM!J:K,2,0),VLOOKUP(N333,PARAM!G:H,2,0),VLOOKUP(P333,PARAM!P:Q,2,0),"*"),"")</f>
        <v>*1116*</v>
      </c>
      <c r="S333" s="18" t="str">
        <f>IFERROR(CONCATENATE(VLOOKUP(L333,PARAM!D:E,2,0),VLOOKUP(M333,PARAM!J:K,2,0),VLOOKUP(N333,PARAM!G:H,2,0),VLOOKUP(O333,PARAM!M:N,2,0),VLOOKUP(P333,PARAM!P:Q,2,0)),"")</f>
        <v>11126</v>
      </c>
      <c r="T333" s="18">
        <f t="shared" si="4"/>
        <v>6</v>
      </c>
      <c r="U333" s="18" t="str">
        <f t="shared" si="5"/>
        <v>JEANS DAMA 1 BOTON AZUL TALLA 16</v>
      </c>
    </row>
    <row r="334">
      <c r="A334" s="64">
        <v>2.0</v>
      </c>
      <c r="B334" s="4" t="s">
        <v>1471</v>
      </c>
      <c r="C334" s="1"/>
      <c r="D334" s="4" t="s">
        <v>1861</v>
      </c>
      <c r="E334" s="3">
        <v>32000.0</v>
      </c>
      <c r="F334" s="2">
        <f t="shared" si="2"/>
        <v>64000</v>
      </c>
      <c r="G334" s="65">
        <f t="shared" si="7"/>
        <v>64000</v>
      </c>
      <c r="H334" s="1"/>
      <c r="I334" s="1"/>
      <c r="J334" s="1"/>
      <c r="K334" s="66" t="s">
        <v>1058</v>
      </c>
      <c r="L334" s="66" t="s">
        <v>1059</v>
      </c>
      <c r="M334" s="66" t="s">
        <v>1060</v>
      </c>
      <c r="N334" s="18" t="s">
        <v>1064</v>
      </c>
      <c r="O334" s="66" t="s">
        <v>1067</v>
      </c>
      <c r="P334" s="67">
        <v>8.0</v>
      </c>
      <c r="Q334" s="18" t="s">
        <v>441</v>
      </c>
      <c r="R334" s="68" t="str">
        <f>IFERROR(CONCATENATE("*",VLOOKUP(L334,PARAM!D:E,2,0),VLOOKUP(M334,PARAM!J:K,2,0),VLOOKUP(N334,PARAM!G:H,2,0),VLOOKUP(P334,PARAM!P:Q,2,0),"*"),"")</f>
        <v>*1112*</v>
      </c>
      <c r="S334" s="18" t="str">
        <f>IFERROR(CONCATENATE(VLOOKUP(L334,PARAM!D:E,2,0),VLOOKUP(M334,PARAM!J:K,2,0),VLOOKUP(N334,PARAM!G:H,2,0),VLOOKUP(O334,PARAM!M:N,2,0),VLOOKUP(P334,PARAM!P:Q,2,0)),"")</f>
        <v>11122</v>
      </c>
      <c r="T334" s="18">
        <f t="shared" si="4"/>
        <v>6</v>
      </c>
      <c r="U334" s="18" t="str">
        <f t="shared" si="5"/>
        <v>JEANS DAMA 1 BOTON AZUL TALLA 8</v>
      </c>
    </row>
    <row r="335">
      <c r="A335" s="64">
        <v>1.0</v>
      </c>
      <c r="B335" s="4" t="s">
        <v>1862</v>
      </c>
      <c r="C335" s="1"/>
      <c r="D335" s="4" t="s">
        <v>1863</v>
      </c>
      <c r="E335" s="3">
        <v>32000.0</v>
      </c>
      <c r="F335" s="2">
        <f t="shared" si="2"/>
        <v>32000</v>
      </c>
      <c r="G335" s="65">
        <f t="shared" si="7"/>
        <v>64000</v>
      </c>
      <c r="H335" s="1"/>
      <c r="I335" s="1"/>
      <c r="J335" s="1"/>
      <c r="K335" s="66" t="s">
        <v>1058</v>
      </c>
      <c r="L335" s="66" t="s">
        <v>1059</v>
      </c>
      <c r="M335" s="66" t="s">
        <v>1060</v>
      </c>
      <c r="N335" s="18" t="s">
        <v>1061</v>
      </c>
      <c r="O335" s="66" t="s">
        <v>1067</v>
      </c>
      <c r="P335" s="67">
        <v>10.0</v>
      </c>
      <c r="Q335" s="18" t="s">
        <v>441</v>
      </c>
      <c r="R335" s="68" t="str">
        <f>IFERROR(CONCATENATE("*",VLOOKUP(L335,PARAM!D:E,2,0),VLOOKUP(M335,PARAM!J:K,2,0),VLOOKUP(N335,PARAM!G:H,2,0),VLOOKUP(P335,PARAM!P:Q,2,0),"*"),"")</f>
        <v>*1143*</v>
      </c>
      <c r="S335" s="18" t="str">
        <f>IFERROR(CONCATENATE(VLOOKUP(L335,PARAM!D:E,2,0),VLOOKUP(M335,PARAM!J:K,2,0),VLOOKUP(N335,PARAM!G:H,2,0),VLOOKUP(O335,PARAM!M:N,2,0),VLOOKUP(P335,PARAM!P:Q,2,0)),"")</f>
        <v>11423</v>
      </c>
      <c r="T335" s="18">
        <f t="shared" si="4"/>
        <v>6</v>
      </c>
      <c r="U335" s="18" t="str">
        <f t="shared" si="5"/>
        <v>JEANS DAMA 4 BOTONES AZUL TALLA 10</v>
      </c>
    </row>
    <row r="336">
      <c r="A336" s="64">
        <v>1.0</v>
      </c>
      <c r="B336" s="4" t="s">
        <v>1864</v>
      </c>
      <c r="C336" s="1"/>
      <c r="D336" s="4" t="s">
        <v>1865</v>
      </c>
      <c r="E336" s="3">
        <v>32000.0</v>
      </c>
      <c r="F336" s="2">
        <f t="shared" si="2"/>
        <v>32000</v>
      </c>
      <c r="G336" s="65">
        <f t="shared" si="7"/>
        <v>64000</v>
      </c>
      <c r="H336" s="1"/>
      <c r="I336" s="1"/>
      <c r="J336" s="1"/>
      <c r="K336" s="66" t="s">
        <v>1058</v>
      </c>
      <c r="L336" s="66" t="s">
        <v>1079</v>
      </c>
      <c r="M336" s="66" t="s">
        <v>1060</v>
      </c>
      <c r="N336" s="66" t="s">
        <v>1309</v>
      </c>
      <c r="O336" s="66" t="s">
        <v>1067</v>
      </c>
      <c r="P336" s="67">
        <v>14.0</v>
      </c>
      <c r="Q336" s="18" t="s">
        <v>441</v>
      </c>
      <c r="R336" s="68" t="str">
        <f>IFERROR(CONCATENATE("*",VLOOKUP(L336,PARAM!D:E,2,0),VLOOKUP(M336,PARAM!J:K,2,0),VLOOKUP(N336,PARAM!G:H,2,0),VLOOKUP(P336,PARAM!P:Q,2,0),"*"),"")</f>
        <v>*512395*</v>
      </c>
      <c r="S336" s="18" t="str">
        <f>IFERROR(CONCATENATE(VLOOKUP(L336,PARAM!D:E,2,0),VLOOKUP(M336,PARAM!J:K,2,0),VLOOKUP(N336,PARAM!G:H,2,0),VLOOKUP(O336,PARAM!M:N,2,0),VLOOKUP(P336,PARAM!P:Q,2,0)),"")</f>
        <v>5123925</v>
      </c>
      <c r="T336" s="18">
        <f t="shared" si="4"/>
        <v>8</v>
      </c>
      <c r="U336" s="18" t="str">
        <f t="shared" si="5"/>
        <v>BERMUDAS DAMA RODILLA AZUL TALLA 14</v>
      </c>
    </row>
    <row r="337">
      <c r="A337" s="64">
        <v>1.0</v>
      </c>
      <c r="B337" s="4" t="s">
        <v>1864</v>
      </c>
      <c r="C337" s="1"/>
      <c r="D337" s="4" t="s">
        <v>1865</v>
      </c>
      <c r="E337" s="3">
        <v>32000.0</v>
      </c>
      <c r="F337" s="2">
        <f t="shared" si="2"/>
        <v>32000</v>
      </c>
      <c r="G337" s="65">
        <f t="shared" si="7"/>
        <v>64000</v>
      </c>
      <c r="H337" s="1"/>
      <c r="I337" s="1"/>
      <c r="J337" s="1"/>
      <c r="K337" s="66" t="s">
        <v>1058</v>
      </c>
      <c r="L337" s="66" t="s">
        <v>1079</v>
      </c>
      <c r="M337" s="66" t="s">
        <v>1060</v>
      </c>
      <c r="N337" s="66" t="s">
        <v>1309</v>
      </c>
      <c r="O337" s="66" t="s">
        <v>1067</v>
      </c>
      <c r="P337" s="67">
        <v>16.0</v>
      </c>
      <c r="Q337" s="18" t="s">
        <v>441</v>
      </c>
      <c r="R337" s="68" t="str">
        <f>IFERROR(CONCATENATE("*",VLOOKUP(L337,PARAM!D:E,2,0),VLOOKUP(M337,PARAM!J:K,2,0),VLOOKUP(N337,PARAM!G:H,2,0),VLOOKUP(P337,PARAM!P:Q,2,0),"*"),"")</f>
        <v>*512396*</v>
      </c>
      <c r="S337" s="18" t="str">
        <f>IFERROR(CONCATENATE(VLOOKUP(L337,PARAM!D:E,2,0),VLOOKUP(M337,PARAM!J:K,2,0),VLOOKUP(N337,PARAM!G:H,2,0),VLOOKUP(O337,PARAM!M:N,2,0),VLOOKUP(P337,PARAM!P:Q,2,0)),"")</f>
        <v>5123926</v>
      </c>
      <c r="T337" s="18">
        <f t="shared" si="4"/>
        <v>8</v>
      </c>
      <c r="U337" s="18" t="str">
        <f t="shared" si="5"/>
        <v>BERMUDAS DAMA RODILLA AZUL TALLA 16</v>
      </c>
    </row>
    <row r="338">
      <c r="A338" s="64">
        <v>1.0</v>
      </c>
      <c r="B338" s="4" t="s">
        <v>1864</v>
      </c>
      <c r="C338" s="1"/>
      <c r="D338" s="4" t="s">
        <v>1865</v>
      </c>
      <c r="E338" s="3">
        <v>32000.0</v>
      </c>
      <c r="F338" s="2">
        <f t="shared" si="2"/>
        <v>32000</v>
      </c>
      <c r="G338" s="65">
        <f t="shared" si="7"/>
        <v>64000</v>
      </c>
      <c r="H338" s="1"/>
      <c r="I338" s="1"/>
      <c r="J338" s="1"/>
      <c r="K338" s="66" t="s">
        <v>1058</v>
      </c>
      <c r="L338" s="66" t="s">
        <v>1079</v>
      </c>
      <c r="M338" s="66" t="s">
        <v>1060</v>
      </c>
      <c r="N338" s="66" t="s">
        <v>1309</v>
      </c>
      <c r="O338" s="66" t="s">
        <v>1067</v>
      </c>
      <c r="P338" s="67">
        <v>12.0</v>
      </c>
      <c r="Q338" s="18" t="s">
        <v>441</v>
      </c>
      <c r="R338" s="68" t="str">
        <f>IFERROR(CONCATENATE("*",VLOOKUP(L338,PARAM!D:E,2,0),VLOOKUP(M338,PARAM!J:K,2,0),VLOOKUP(N338,PARAM!G:H,2,0),VLOOKUP(P338,PARAM!P:Q,2,0),"*"),"")</f>
        <v>*512394*</v>
      </c>
      <c r="S338" s="18" t="str">
        <f>IFERROR(CONCATENATE(VLOOKUP(L338,PARAM!D:E,2,0),VLOOKUP(M338,PARAM!J:K,2,0),VLOOKUP(N338,PARAM!G:H,2,0),VLOOKUP(O338,PARAM!M:N,2,0),VLOOKUP(P338,PARAM!P:Q,2,0)),"")</f>
        <v>5123924</v>
      </c>
      <c r="T338" s="18">
        <f t="shared" si="4"/>
        <v>8</v>
      </c>
      <c r="U338" s="18" t="str">
        <f t="shared" si="5"/>
        <v>BERMUDAS DAMA RODILLA AZUL TALLA 12</v>
      </c>
    </row>
    <row r="339">
      <c r="A339" s="64">
        <v>1.0</v>
      </c>
      <c r="B339" s="4" t="s">
        <v>1864</v>
      </c>
      <c r="C339" s="1"/>
      <c r="D339" s="4" t="s">
        <v>1865</v>
      </c>
      <c r="E339" s="3">
        <v>32000.0</v>
      </c>
      <c r="F339" s="2">
        <f t="shared" si="2"/>
        <v>32000</v>
      </c>
      <c r="G339" s="65">
        <f t="shared" si="7"/>
        <v>64000</v>
      </c>
      <c r="H339" s="1"/>
      <c r="I339" s="1"/>
      <c r="J339" s="1"/>
      <c r="K339" s="66" t="s">
        <v>1058</v>
      </c>
      <c r="L339" s="66" t="s">
        <v>1079</v>
      </c>
      <c r="M339" s="66" t="s">
        <v>1060</v>
      </c>
      <c r="N339" s="66" t="s">
        <v>1309</v>
      </c>
      <c r="O339" s="66" t="s">
        <v>1067</v>
      </c>
      <c r="P339" s="67">
        <v>10.0</v>
      </c>
      <c r="Q339" s="18" t="s">
        <v>441</v>
      </c>
      <c r="R339" s="68" t="str">
        <f>IFERROR(CONCATENATE("*",VLOOKUP(L339,PARAM!D:E,2,0),VLOOKUP(M339,PARAM!J:K,2,0),VLOOKUP(N339,PARAM!G:H,2,0),VLOOKUP(P339,PARAM!P:Q,2,0),"*"),"")</f>
        <v>*512393*</v>
      </c>
      <c r="S339" s="18" t="str">
        <f>IFERROR(CONCATENATE(VLOOKUP(L339,PARAM!D:E,2,0),VLOOKUP(M339,PARAM!J:K,2,0),VLOOKUP(N339,PARAM!G:H,2,0),VLOOKUP(O339,PARAM!M:N,2,0),VLOOKUP(P339,PARAM!P:Q,2,0)),"")</f>
        <v>5123923</v>
      </c>
      <c r="T339" s="18">
        <f t="shared" si="4"/>
        <v>8</v>
      </c>
      <c r="U339" s="18" t="str">
        <f t="shared" si="5"/>
        <v>BERMUDAS DAMA RODILLA AZUL TALLA 10</v>
      </c>
    </row>
    <row r="340">
      <c r="A340" s="4">
        <v>4.0</v>
      </c>
      <c r="B340" s="4" t="s">
        <v>1866</v>
      </c>
      <c r="C340" s="1"/>
      <c r="D340" s="4" t="s">
        <v>1867</v>
      </c>
      <c r="E340" s="3">
        <v>27000.0</v>
      </c>
      <c r="F340" s="2">
        <f t="shared" si="2"/>
        <v>108000</v>
      </c>
      <c r="G340" s="65">
        <f t="shared" si="7"/>
        <v>54000</v>
      </c>
      <c r="H340" s="1"/>
      <c r="I340" s="1"/>
      <c r="J340" s="1"/>
      <c r="K340" s="66" t="s">
        <v>1187</v>
      </c>
      <c r="L340" s="66" t="s">
        <v>1171</v>
      </c>
      <c r="M340" s="66" t="s">
        <v>1080</v>
      </c>
      <c r="N340" s="66" t="s">
        <v>1310</v>
      </c>
      <c r="O340" s="66" t="s">
        <v>1311</v>
      </c>
      <c r="P340" s="67" t="s">
        <v>1168</v>
      </c>
      <c r="Q340" s="18" t="s">
        <v>806</v>
      </c>
      <c r="R340" s="68" t="str">
        <f>IFERROR(CONCATENATE("*",VLOOKUP(L340,PARAM!D:E,2,0),VLOOKUP(M340,PARAM!J:K,2,0),VLOOKUP(N340,PARAM!G:H,2,0),VLOOKUP(P340,PARAM!P:Q,2,0),"*"),"")</f>
        <v>*1128727*</v>
      </c>
      <c r="S340" s="18" t="str">
        <f>IFERROR(CONCATENATE(VLOOKUP(L340,PARAM!D:E,2,0),VLOOKUP(M340,PARAM!J:K,2,0),VLOOKUP(N340,PARAM!G:H,2,0),VLOOKUP(O340,PARAM!M:N,2,0),VLOOKUP(P340,PARAM!P:Q,2,0)),"")</f>
        <v>11287127</v>
      </c>
      <c r="T340" s="18">
        <f t="shared" si="4"/>
        <v>9</v>
      </c>
      <c r="U340" s="18" t="str">
        <f t="shared" si="5"/>
        <v>CAMISETAS CABALLERO COLOMBIA 1.1 LOCAL AMARILLO TALLA S</v>
      </c>
    </row>
    <row r="341">
      <c r="A341" s="4">
        <v>5.0</v>
      </c>
      <c r="B341" s="4" t="s">
        <v>1866</v>
      </c>
      <c r="C341" s="1"/>
      <c r="D341" s="4" t="s">
        <v>1867</v>
      </c>
      <c r="E341" s="3">
        <v>27000.0</v>
      </c>
      <c r="F341" s="2">
        <f t="shared" si="2"/>
        <v>135000</v>
      </c>
      <c r="G341" s="65">
        <f t="shared" si="7"/>
        <v>54000</v>
      </c>
      <c r="H341" s="1"/>
      <c r="I341" s="1"/>
      <c r="J341" s="1"/>
      <c r="K341" s="66" t="s">
        <v>1187</v>
      </c>
      <c r="L341" s="66" t="s">
        <v>1171</v>
      </c>
      <c r="M341" s="66" t="s">
        <v>1080</v>
      </c>
      <c r="N341" s="66" t="s">
        <v>1310</v>
      </c>
      <c r="O341" s="66" t="s">
        <v>1311</v>
      </c>
      <c r="P341" s="67" t="s">
        <v>1164</v>
      </c>
      <c r="Q341" s="18" t="s">
        <v>806</v>
      </c>
      <c r="R341" s="68" t="str">
        <f>IFERROR(CONCATENATE("*",VLOOKUP(L341,PARAM!D:E,2,0),VLOOKUP(M341,PARAM!J:K,2,0),VLOOKUP(N341,PARAM!G:H,2,0),VLOOKUP(P341,PARAM!P:Q,2,0),"*"),"")</f>
        <v>*1128725*</v>
      </c>
      <c r="S341" s="18" t="str">
        <f>IFERROR(CONCATENATE(VLOOKUP(L341,PARAM!D:E,2,0),VLOOKUP(M341,PARAM!J:K,2,0),VLOOKUP(N341,PARAM!G:H,2,0),VLOOKUP(O341,PARAM!M:N,2,0),VLOOKUP(P341,PARAM!P:Q,2,0)),"")</f>
        <v>11287125</v>
      </c>
      <c r="T341" s="18">
        <f t="shared" si="4"/>
        <v>9</v>
      </c>
      <c r="U341" s="18" t="str">
        <f t="shared" si="5"/>
        <v>CAMISETAS CABALLERO COLOMBIA 1.1 LOCAL AMARILLO TALLA M</v>
      </c>
    </row>
    <row r="342">
      <c r="A342" s="4">
        <v>6.0</v>
      </c>
      <c r="B342" s="4" t="s">
        <v>1866</v>
      </c>
      <c r="C342" s="1"/>
      <c r="D342" s="4" t="s">
        <v>1867</v>
      </c>
      <c r="E342" s="3">
        <v>27000.0</v>
      </c>
      <c r="F342" s="2">
        <f t="shared" si="2"/>
        <v>162000</v>
      </c>
      <c r="G342" s="65">
        <f t="shared" si="7"/>
        <v>54000</v>
      </c>
      <c r="H342" s="1"/>
      <c r="I342" s="1"/>
      <c r="J342" s="1"/>
      <c r="K342" s="66" t="s">
        <v>1187</v>
      </c>
      <c r="L342" s="66" t="s">
        <v>1171</v>
      </c>
      <c r="M342" s="66" t="s">
        <v>1080</v>
      </c>
      <c r="N342" s="66" t="s">
        <v>1310</v>
      </c>
      <c r="O342" s="66" t="s">
        <v>1311</v>
      </c>
      <c r="P342" s="67" t="s">
        <v>1165</v>
      </c>
      <c r="Q342" s="18" t="s">
        <v>806</v>
      </c>
      <c r="R342" s="68" t="str">
        <f>IFERROR(CONCATENATE("*",VLOOKUP(L342,PARAM!D:E,2,0),VLOOKUP(M342,PARAM!J:K,2,0),VLOOKUP(N342,PARAM!G:H,2,0),VLOOKUP(P342,PARAM!P:Q,2,0),"*"),"")</f>
        <v>*1128723*</v>
      </c>
      <c r="S342" s="18" t="str">
        <f>IFERROR(CONCATENATE(VLOOKUP(L342,PARAM!D:E,2,0),VLOOKUP(M342,PARAM!J:K,2,0),VLOOKUP(N342,PARAM!G:H,2,0),VLOOKUP(O342,PARAM!M:N,2,0),VLOOKUP(P342,PARAM!P:Q,2,0)),"")</f>
        <v>11287123</v>
      </c>
      <c r="T342" s="18">
        <f t="shared" si="4"/>
        <v>9</v>
      </c>
      <c r="U342" s="18" t="str">
        <f t="shared" si="5"/>
        <v>CAMISETAS CABALLERO COLOMBIA 1.1 LOCAL AMARILLO TALLA L</v>
      </c>
    </row>
    <row r="343">
      <c r="A343" s="4">
        <v>4.0</v>
      </c>
      <c r="B343" s="4" t="s">
        <v>1866</v>
      </c>
      <c r="C343" s="1"/>
      <c r="D343" s="4" t="s">
        <v>1867</v>
      </c>
      <c r="E343" s="3">
        <v>27000.0</v>
      </c>
      <c r="F343" s="2">
        <f t="shared" si="2"/>
        <v>108000</v>
      </c>
      <c r="G343" s="65">
        <f t="shared" si="7"/>
        <v>54000</v>
      </c>
      <c r="H343" s="1"/>
      <c r="I343" s="1"/>
      <c r="J343" s="1"/>
      <c r="K343" s="66" t="s">
        <v>1187</v>
      </c>
      <c r="L343" s="66" t="s">
        <v>1171</v>
      </c>
      <c r="M343" s="66" t="s">
        <v>1080</v>
      </c>
      <c r="N343" s="66" t="s">
        <v>1310</v>
      </c>
      <c r="O343" s="66" t="s">
        <v>1311</v>
      </c>
      <c r="P343" s="67" t="s">
        <v>1077</v>
      </c>
      <c r="Q343" s="18" t="s">
        <v>806</v>
      </c>
      <c r="R343" s="68" t="str">
        <f>IFERROR(CONCATENATE("*",VLOOKUP(L343,PARAM!D:E,2,0),VLOOKUP(M343,PARAM!J:K,2,0),VLOOKUP(N343,PARAM!G:H,2,0),VLOOKUP(P343,PARAM!P:Q,2,0),"*"),"")</f>
        <v>*1128732*</v>
      </c>
      <c r="S343" s="18" t="str">
        <f>IFERROR(CONCATENATE(VLOOKUP(L343,PARAM!D:E,2,0),VLOOKUP(M343,PARAM!J:K,2,0),VLOOKUP(N343,PARAM!G:H,2,0),VLOOKUP(O343,PARAM!M:N,2,0),VLOOKUP(P343,PARAM!P:Q,2,0)),"")</f>
        <v>11287132</v>
      </c>
      <c r="T343" s="18">
        <f t="shared" si="4"/>
        <v>9</v>
      </c>
      <c r="U343" s="18" t="str">
        <f t="shared" si="5"/>
        <v>CAMISETAS CABALLERO COLOMBIA 1.1 LOCAL AMARILLO TALLA XL</v>
      </c>
    </row>
    <row r="344">
      <c r="A344" s="4">
        <v>4.0</v>
      </c>
      <c r="B344" s="4" t="s">
        <v>1866</v>
      </c>
      <c r="C344" s="1"/>
      <c r="D344" s="4" t="s">
        <v>1868</v>
      </c>
      <c r="E344" s="3">
        <v>27000.0</v>
      </c>
      <c r="F344" s="2">
        <f t="shared" si="2"/>
        <v>108000</v>
      </c>
      <c r="G344" s="65">
        <f t="shared" si="7"/>
        <v>54000</v>
      </c>
      <c r="H344" s="1"/>
      <c r="I344" s="1"/>
      <c r="J344" s="1"/>
      <c r="K344" s="66" t="s">
        <v>1187</v>
      </c>
      <c r="L344" s="66" t="s">
        <v>1171</v>
      </c>
      <c r="M344" s="66" t="s">
        <v>1080</v>
      </c>
      <c r="N344" s="66" t="s">
        <v>1310</v>
      </c>
      <c r="O344" s="66" t="s">
        <v>1311</v>
      </c>
      <c r="P344" s="67" t="s">
        <v>1189</v>
      </c>
      <c r="Q344" s="18" t="s">
        <v>806</v>
      </c>
      <c r="R344" s="68" t="str">
        <f>IFERROR(CONCATENATE("*",VLOOKUP(L344,PARAM!D:E,2,0),VLOOKUP(M344,PARAM!J:K,2,0),VLOOKUP(N344,PARAM!G:H,2,0),VLOOKUP(P344,PARAM!P:Q,2,0),"*"),"")</f>
        <v>*1128734*</v>
      </c>
      <c r="S344" s="18" t="str">
        <f>IFERROR(CONCATENATE(VLOOKUP(L344,PARAM!D:E,2,0),VLOOKUP(M344,PARAM!J:K,2,0),VLOOKUP(N344,PARAM!G:H,2,0),VLOOKUP(O344,PARAM!M:N,2,0),VLOOKUP(P344,PARAM!P:Q,2,0)),"")</f>
        <v>11287134</v>
      </c>
      <c r="T344" s="18">
        <f t="shared" si="4"/>
        <v>9</v>
      </c>
      <c r="U344" s="18" t="str">
        <f t="shared" si="5"/>
        <v>CAMISETAS CABALLERO COLOMBIA 1.1 LOCAL AMARILLO TALLA XXL</v>
      </c>
    </row>
    <row r="345">
      <c r="A345" s="4">
        <v>1.0</v>
      </c>
      <c r="B345" s="4" t="s">
        <v>1869</v>
      </c>
      <c r="C345" s="1"/>
      <c r="D345" s="4" t="s">
        <v>1870</v>
      </c>
      <c r="E345" s="2"/>
      <c r="F345" s="2">
        <f t="shared" si="2"/>
        <v>0</v>
      </c>
      <c r="G345" s="65">
        <f t="shared" si="7"/>
        <v>0</v>
      </c>
      <c r="H345" s="1"/>
      <c r="I345" s="1"/>
      <c r="J345" s="1"/>
      <c r="K345" s="66" t="s">
        <v>1187</v>
      </c>
      <c r="L345" s="66" t="s">
        <v>1171</v>
      </c>
      <c r="M345" s="66" t="s">
        <v>1240</v>
      </c>
      <c r="N345" s="66" t="s">
        <v>1312</v>
      </c>
      <c r="O345" s="66" t="s">
        <v>1311</v>
      </c>
      <c r="P345" s="67">
        <v>18.0</v>
      </c>
      <c r="Q345" s="18" t="s">
        <v>806</v>
      </c>
      <c r="R345" s="68" t="str">
        <f>IFERROR(CONCATENATE("*",VLOOKUP(L345,PARAM!D:E,2,0),VLOOKUP(M345,PARAM!J:K,2,0),VLOOKUP(N345,PARAM!G:H,2,0),VLOOKUP(P345,PARAM!P:Q,2,0),"*"),"")</f>
        <v>*114887*</v>
      </c>
      <c r="S345" s="18" t="str">
        <f>IFERROR(CONCATENATE(VLOOKUP(L345,PARAM!D:E,2,0),VLOOKUP(M345,PARAM!J:K,2,0),VLOOKUP(N345,PARAM!G:H,2,0),VLOOKUP(O345,PARAM!M:N,2,0),VLOOKUP(P345,PARAM!P:Q,2,0)),"")</f>
        <v>1148817</v>
      </c>
      <c r="T345" s="18">
        <f t="shared" si="4"/>
        <v>8</v>
      </c>
      <c r="U345" s="18" t="str">
        <f t="shared" si="5"/>
        <v>CAMISETAS NIÑO COLOMBIA AAA AMARILLO TALLA 18</v>
      </c>
    </row>
    <row r="346">
      <c r="A346" s="4">
        <v>1.0</v>
      </c>
      <c r="B346" s="4" t="s">
        <v>1869</v>
      </c>
      <c r="C346" s="1"/>
      <c r="D346" s="4" t="s">
        <v>1870</v>
      </c>
      <c r="E346" s="2"/>
      <c r="F346" s="2">
        <f t="shared" si="2"/>
        <v>0</v>
      </c>
      <c r="G346" s="65">
        <f t="shared" si="7"/>
        <v>0</v>
      </c>
      <c r="H346" s="1"/>
      <c r="I346" s="1"/>
      <c r="J346" s="1"/>
      <c r="K346" s="66" t="s">
        <v>1187</v>
      </c>
      <c r="L346" s="66" t="s">
        <v>1171</v>
      </c>
      <c r="M346" s="66" t="s">
        <v>1240</v>
      </c>
      <c r="N346" s="66" t="s">
        <v>1312</v>
      </c>
      <c r="O346" s="66" t="s">
        <v>1311</v>
      </c>
      <c r="P346" s="67">
        <v>20.0</v>
      </c>
      <c r="Q346" s="18" t="s">
        <v>806</v>
      </c>
      <c r="R346" s="68" t="str">
        <f>IFERROR(CONCATENATE("*",VLOOKUP(L346,PARAM!D:E,2,0),VLOOKUP(M346,PARAM!J:K,2,0),VLOOKUP(N346,PARAM!G:H,2,0),VLOOKUP(P346,PARAM!P:Q,2,0),"*"),"")</f>
        <v>*114888*</v>
      </c>
      <c r="S346" s="18" t="str">
        <f>IFERROR(CONCATENATE(VLOOKUP(L346,PARAM!D:E,2,0),VLOOKUP(M346,PARAM!J:K,2,0),VLOOKUP(N346,PARAM!G:H,2,0),VLOOKUP(O346,PARAM!M:N,2,0),VLOOKUP(P346,PARAM!P:Q,2,0)),"")</f>
        <v>1148818</v>
      </c>
      <c r="T346" s="18">
        <f t="shared" si="4"/>
        <v>8</v>
      </c>
      <c r="U346" s="18" t="str">
        <f t="shared" si="5"/>
        <v>CAMISETAS NIÑO COLOMBIA AAA AMARILLO TALLA 20</v>
      </c>
    </row>
    <row r="347">
      <c r="A347" s="4">
        <v>2.0</v>
      </c>
      <c r="B347" s="4" t="s">
        <v>1869</v>
      </c>
      <c r="C347" s="1"/>
      <c r="D347" s="4" t="s">
        <v>1870</v>
      </c>
      <c r="E347" s="2"/>
      <c r="F347" s="2">
        <f t="shared" si="2"/>
        <v>0</v>
      </c>
      <c r="G347" s="65">
        <f t="shared" si="7"/>
        <v>0</v>
      </c>
      <c r="H347" s="1"/>
      <c r="I347" s="1"/>
      <c r="J347" s="1"/>
      <c r="K347" s="66" t="s">
        <v>1187</v>
      </c>
      <c r="L347" s="66" t="s">
        <v>1171</v>
      </c>
      <c r="M347" s="66" t="s">
        <v>1240</v>
      </c>
      <c r="N347" s="66" t="s">
        <v>1312</v>
      </c>
      <c r="O347" s="66" t="s">
        <v>1311</v>
      </c>
      <c r="P347" s="67">
        <v>22.0</v>
      </c>
      <c r="Q347" s="18" t="s">
        <v>806</v>
      </c>
      <c r="R347" s="68" t="str">
        <f>IFERROR(CONCATENATE("*",VLOOKUP(L347,PARAM!D:E,2,0),VLOOKUP(M347,PARAM!J:K,2,0),VLOOKUP(N347,PARAM!G:H,2,0),VLOOKUP(P347,PARAM!P:Q,2,0),"*"),"")</f>
        <v>*114889*</v>
      </c>
      <c r="S347" s="18" t="str">
        <f>IFERROR(CONCATENATE(VLOOKUP(L347,PARAM!D:E,2,0),VLOOKUP(M347,PARAM!J:K,2,0),VLOOKUP(N347,PARAM!G:H,2,0),VLOOKUP(O347,PARAM!M:N,2,0),VLOOKUP(P347,PARAM!P:Q,2,0)),"")</f>
        <v>1148819</v>
      </c>
      <c r="T347" s="18">
        <f t="shared" si="4"/>
        <v>8</v>
      </c>
      <c r="U347" s="18" t="str">
        <f t="shared" si="5"/>
        <v>CAMISETAS NIÑO COLOMBIA AAA AMARILLO TALLA 22</v>
      </c>
    </row>
    <row r="348">
      <c r="A348" s="4">
        <v>2.0</v>
      </c>
      <c r="B348" s="4" t="s">
        <v>1869</v>
      </c>
      <c r="C348" s="1"/>
      <c r="D348" s="4" t="s">
        <v>1870</v>
      </c>
      <c r="E348" s="2"/>
      <c r="F348" s="2">
        <f t="shared" si="2"/>
        <v>0</v>
      </c>
      <c r="G348" s="65">
        <f t="shared" si="7"/>
        <v>0</v>
      </c>
      <c r="H348" s="1"/>
      <c r="I348" s="1"/>
      <c r="J348" s="1"/>
      <c r="K348" s="66" t="s">
        <v>1187</v>
      </c>
      <c r="L348" s="66" t="s">
        <v>1171</v>
      </c>
      <c r="M348" s="66" t="s">
        <v>1240</v>
      </c>
      <c r="N348" s="66" t="s">
        <v>1312</v>
      </c>
      <c r="O348" s="66" t="s">
        <v>1311</v>
      </c>
      <c r="P348" s="67">
        <v>24.0</v>
      </c>
      <c r="Q348" s="18" t="s">
        <v>806</v>
      </c>
      <c r="R348" s="68" t="str">
        <f>IFERROR(CONCATENATE("*",VLOOKUP(L348,PARAM!D:E,2,0),VLOOKUP(M348,PARAM!J:K,2,0),VLOOKUP(N348,PARAM!G:H,2,0),VLOOKUP(P348,PARAM!P:Q,2,0),"*"),"")</f>
        <v>*1148810*</v>
      </c>
      <c r="S348" s="18" t="str">
        <f>IFERROR(CONCATENATE(VLOOKUP(L348,PARAM!D:E,2,0),VLOOKUP(M348,PARAM!J:K,2,0),VLOOKUP(N348,PARAM!G:H,2,0),VLOOKUP(O348,PARAM!M:N,2,0),VLOOKUP(P348,PARAM!P:Q,2,0)),"")</f>
        <v>11488110</v>
      </c>
      <c r="T348" s="18">
        <f t="shared" si="4"/>
        <v>9</v>
      </c>
      <c r="U348" s="18" t="str">
        <f t="shared" si="5"/>
        <v>CAMISETAS NIÑO COLOMBIA AAA AMARILLO TALLA 24</v>
      </c>
    </row>
    <row r="349">
      <c r="A349" s="4">
        <v>2.0</v>
      </c>
      <c r="B349" s="4" t="s">
        <v>1869</v>
      </c>
      <c r="C349" s="1"/>
      <c r="D349" s="4" t="s">
        <v>1870</v>
      </c>
      <c r="E349" s="2"/>
      <c r="F349" s="2">
        <f t="shared" si="2"/>
        <v>0</v>
      </c>
      <c r="G349" s="65">
        <f t="shared" si="7"/>
        <v>0</v>
      </c>
      <c r="H349" s="1"/>
      <c r="I349" s="1"/>
      <c r="J349" s="1"/>
      <c r="K349" s="66" t="s">
        <v>1187</v>
      </c>
      <c r="L349" s="66" t="s">
        <v>1171</v>
      </c>
      <c r="M349" s="66" t="s">
        <v>1240</v>
      </c>
      <c r="N349" s="66" t="s">
        <v>1312</v>
      </c>
      <c r="O349" s="66" t="s">
        <v>1311</v>
      </c>
      <c r="P349" s="67">
        <v>26.0</v>
      </c>
      <c r="Q349" s="18" t="s">
        <v>806</v>
      </c>
      <c r="R349" s="68" t="str">
        <f>IFERROR(CONCATENATE("*",VLOOKUP(L349,PARAM!D:E,2,0),VLOOKUP(M349,PARAM!J:K,2,0),VLOOKUP(N349,PARAM!G:H,2,0),VLOOKUP(P349,PARAM!P:Q,2,0),"*"),"")</f>
        <v>*1148811*</v>
      </c>
      <c r="S349" s="18" t="str">
        <f>IFERROR(CONCATENATE(VLOOKUP(L349,PARAM!D:E,2,0),VLOOKUP(M349,PARAM!J:K,2,0),VLOOKUP(N349,PARAM!G:H,2,0),VLOOKUP(O349,PARAM!M:N,2,0),VLOOKUP(P349,PARAM!P:Q,2,0)),"")</f>
        <v>11488111</v>
      </c>
      <c r="T349" s="18">
        <f t="shared" si="4"/>
        <v>9</v>
      </c>
      <c r="U349" s="18" t="str">
        <f t="shared" si="5"/>
        <v>CAMISETAS NIÑO COLOMBIA AAA AMARILLO TALLA 26</v>
      </c>
    </row>
    <row r="350">
      <c r="A350" s="4">
        <v>2.0</v>
      </c>
      <c r="B350" s="4" t="s">
        <v>1869</v>
      </c>
      <c r="C350" s="1"/>
      <c r="D350" s="4" t="s">
        <v>1870</v>
      </c>
      <c r="E350" s="2"/>
      <c r="F350" s="2">
        <f t="shared" si="2"/>
        <v>0</v>
      </c>
      <c r="G350" s="65">
        <f t="shared" si="7"/>
        <v>0</v>
      </c>
      <c r="H350" s="1"/>
      <c r="I350" s="1"/>
      <c r="J350" s="1"/>
      <c r="K350" s="66" t="s">
        <v>1187</v>
      </c>
      <c r="L350" s="66" t="s">
        <v>1171</v>
      </c>
      <c r="M350" s="66" t="s">
        <v>1240</v>
      </c>
      <c r="N350" s="66" t="s">
        <v>1312</v>
      </c>
      <c r="O350" s="66" t="s">
        <v>1311</v>
      </c>
      <c r="P350" s="67">
        <v>28.0</v>
      </c>
      <c r="Q350" s="18" t="s">
        <v>806</v>
      </c>
      <c r="R350" s="68" t="str">
        <f>IFERROR(CONCATENATE("*",VLOOKUP(L350,PARAM!D:E,2,0),VLOOKUP(M350,PARAM!J:K,2,0),VLOOKUP(N350,PARAM!G:H,2,0),VLOOKUP(P350,PARAM!P:Q,2,0),"*"),"")</f>
        <v>*1148812*</v>
      </c>
      <c r="S350" s="18" t="str">
        <f>IFERROR(CONCATENATE(VLOOKUP(L350,PARAM!D:E,2,0),VLOOKUP(M350,PARAM!J:K,2,0),VLOOKUP(N350,PARAM!G:H,2,0),VLOOKUP(O350,PARAM!M:N,2,0),VLOOKUP(P350,PARAM!P:Q,2,0)),"")</f>
        <v>11488112</v>
      </c>
      <c r="T350" s="18">
        <f t="shared" si="4"/>
        <v>9</v>
      </c>
      <c r="U350" s="18" t="str">
        <f t="shared" si="5"/>
        <v>CAMISETAS NIÑO COLOMBIA AAA AMARILLO TALLA 28</v>
      </c>
    </row>
    <row r="351">
      <c r="A351" s="4">
        <v>2.0</v>
      </c>
      <c r="B351" s="4" t="s">
        <v>1871</v>
      </c>
      <c r="C351" s="1"/>
      <c r="D351" s="4" t="s">
        <v>1872</v>
      </c>
      <c r="E351" s="2"/>
      <c r="F351" s="2">
        <f t="shared" si="2"/>
        <v>0</v>
      </c>
      <c r="G351" s="65">
        <f t="shared" si="7"/>
        <v>0</v>
      </c>
      <c r="H351" s="1"/>
      <c r="I351" s="1"/>
      <c r="J351" s="1"/>
      <c r="K351" s="66" t="s">
        <v>1187</v>
      </c>
      <c r="L351" s="66" t="s">
        <v>1171</v>
      </c>
      <c r="M351" s="66" t="s">
        <v>1240</v>
      </c>
      <c r="N351" s="66" t="s">
        <v>1312</v>
      </c>
      <c r="O351" s="66" t="s">
        <v>1311</v>
      </c>
      <c r="P351" s="67" t="s">
        <v>1168</v>
      </c>
      <c r="Q351" s="18" t="s">
        <v>806</v>
      </c>
      <c r="R351" s="68" t="str">
        <f>IFERROR(CONCATENATE("*",VLOOKUP(L351,PARAM!D:E,2,0),VLOOKUP(M351,PARAM!J:K,2,0),VLOOKUP(N351,PARAM!G:H,2,0),VLOOKUP(P351,PARAM!P:Q,2,0),"*"),"")</f>
        <v>*1148827*</v>
      </c>
      <c r="S351" s="18" t="str">
        <f>IFERROR(CONCATENATE(VLOOKUP(L351,PARAM!D:E,2,0),VLOOKUP(M351,PARAM!J:K,2,0),VLOOKUP(N351,PARAM!G:H,2,0),VLOOKUP(O351,PARAM!M:N,2,0),VLOOKUP(P351,PARAM!P:Q,2,0)),"")</f>
        <v>11488127</v>
      </c>
      <c r="T351" s="18">
        <f t="shared" si="4"/>
        <v>9</v>
      </c>
      <c r="U351" s="18" t="str">
        <f t="shared" si="5"/>
        <v>CAMISETAS NIÑO COLOMBIA AAA AMARILLO TALLA S</v>
      </c>
    </row>
    <row r="352">
      <c r="A352" s="4">
        <v>4.0</v>
      </c>
      <c r="B352" s="4" t="s">
        <v>1871</v>
      </c>
      <c r="C352" s="1"/>
      <c r="D352" s="4" t="s">
        <v>1872</v>
      </c>
      <c r="E352" s="2"/>
      <c r="F352" s="2">
        <f t="shared" si="2"/>
        <v>0</v>
      </c>
      <c r="G352" s="65">
        <f t="shared" si="7"/>
        <v>0</v>
      </c>
      <c r="H352" s="1"/>
      <c r="I352" s="1"/>
      <c r="J352" s="1"/>
      <c r="K352" s="66" t="s">
        <v>1187</v>
      </c>
      <c r="L352" s="66" t="s">
        <v>1171</v>
      </c>
      <c r="M352" s="66" t="s">
        <v>1240</v>
      </c>
      <c r="N352" s="66" t="s">
        <v>1312</v>
      </c>
      <c r="O352" s="66" t="s">
        <v>1311</v>
      </c>
      <c r="P352" s="67" t="s">
        <v>1164</v>
      </c>
      <c r="Q352" s="18" t="s">
        <v>806</v>
      </c>
      <c r="R352" s="68" t="str">
        <f>IFERROR(CONCATENATE("*",VLOOKUP(L352,PARAM!D:E,2,0),VLOOKUP(M352,PARAM!J:K,2,0),VLOOKUP(N352,PARAM!G:H,2,0),VLOOKUP(P352,PARAM!P:Q,2,0),"*"),"")</f>
        <v>*1148825*</v>
      </c>
      <c r="S352" s="18" t="str">
        <f>IFERROR(CONCATENATE(VLOOKUP(L352,PARAM!D:E,2,0),VLOOKUP(M352,PARAM!J:K,2,0),VLOOKUP(N352,PARAM!G:H,2,0),VLOOKUP(O352,PARAM!M:N,2,0),VLOOKUP(P352,PARAM!P:Q,2,0)),"")</f>
        <v>11488125</v>
      </c>
      <c r="T352" s="18">
        <f t="shared" si="4"/>
        <v>9</v>
      </c>
      <c r="U352" s="18" t="str">
        <f t="shared" si="5"/>
        <v>CAMISETAS NIÑO COLOMBIA AAA AMARILLO TALLA M</v>
      </c>
    </row>
    <row r="353">
      <c r="A353" s="4">
        <v>3.0</v>
      </c>
      <c r="B353" s="4" t="s">
        <v>1871</v>
      </c>
      <c r="C353" s="1"/>
      <c r="D353" s="4" t="s">
        <v>1872</v>
      </c>
      <c r="E353" s="2"/>
      <c r="F353" s="2">
        <f t="shared" si="2"/>
        <v>0</v>
      </c>
      <c r="G353" s="65">
        <f t="shared" si="7"/>
        <v>0</v>
      </c>
      <c r="H353" s="1"/>
      <c r="I353" s="1"/>
      <c r="J353" s="1"/>
      <c r="K353" s="66" t="s">
        <v>1187</v>
      </c>
      <c r="L353" s="66" t="s">
        <v>1171</v>
      </c>
      <c r="M353" s="66" t="s">
        <v>1240</v>
      </c>
      <c r="N353" s="66" t="s">
        <v>1312</v>
      </c>
      <c r="O353" s="66" t="s">
        <v>1311</v>
      </c>
      <c r="P353" s="67" t="s">
        <v>1165</v>
      </c>
      <c r="Q353" s="18" t="s">
        <v>806</v>
      </c>
      <c r="R353" s="68" t="str">
        <f>IFERROR(CONCATENATE("*",VLOOKUP(L353,PARAM!D:E,2,0),VLOOKUP(M353,PARAM!J:K,2,0),VLOOKUP(N353,PARAM!G:H,2,0),VLOOKUP(P353,PARAM!P:Q,2,0),"*"),"")</f>
        <v>*1148823*</v>
      </c>
      <c r="S353" s="18" t="str">
        <f>IFERROR(CONCATENATE(VLOOKUP(L353,PARAM!D:E,2,0),VLOOKUP(M353,PARAM!J:K,2,0),VLOOKUP(N353,PARAM!G:H,2,0),VLOOKUP(O353,PARAM!M:N,2,0),VLOOKUP(P353,PARAM!P:Q,2,0)),"")</f>
        <v>11488123</v>
      </c>
      <c r="T353" s="18">
        <f t="shared" si="4"/>
        <v>9</v>
      </c>
      <c r="U353" s="18" t="str">
        <f t="shared" si="5"/>
        <v>CAMISETAS NIÑO COLOMBIA AAA AMARILLO TALLA L</v>
      </c>
    </row>
    <row r="354">
      <c r="A354" s="4">
        <v>2.0</v>
      </c>
      <c r="B354" s="4" t="s">
        <v>1871</v>
      </c>
      <c r="C354" s="1"/>
      <c r="D354" s="4" t="s">
        <v>1872</v>
      </c>
      <c r="E354" s="2"/>
      <c r="F354" s="2">
        <f t="shared" si="2"/>
        <v>0</v>
      </c>
      <c r="G354" s="65">
        <f t="shared" si="7"/>
        <v>0</v>
      </c>
      <c r="H354" s="1"/>
      <c r="I354" s="1"/>
      <c r="J354" s="1"/>
      <c r="K354" s="66" t="s">
        <v>1187</v>
      </c>
      <c r="L354" s="66" t="s">
        <v>1171</v>
      </c>
      <c r="M354" s="66" t="s">
        <v>1240</v>
      </c>
      <c r="N354" s="66" t="s">
        <v>1312</v>
      </c>
      <c r="O354" s="66" t="s">
        <v>1311</v>
      </c>
      <c r="P354" s="67" t="s">
        <v>1077</v>
      </c>
      <c r="Q354" s="18" t="s">
        <v>806</v>
      </c>
      <c r="R354" s="68" t="str">
        <f>IFERROR(CONCATENATE("*",VLOOKUP(L354,PARAM!D:E,2,0),VLOOKUP(M354,PARAM!J:K,2,0),VLOOKUP(N354,PARAM!G:H,2,0),VLOOKUP(P354,PARAM!P:Q,2,0),"*"),"")</f>
        <v>*1148832*</v>
      </c>
      <c r="S354" s="18" t="str">
        <f>IFERROR(CONCATENATE(VLOOKUP(L354,PARAM!D:E,2,0),VLOOKUP(M354,PARAM!J:K,2,0),VLOOKUP(N354,PARAM!G:H,2,0),VLOOKUP(O354,PARAM!M:N,2,0),VLOOKUP(P354,PARAM!P:Q,2,0)),"")</f>
        <v>11488132</v>
      </c>
      <c r="T354" s="18">
        <f t="shared" si="4"/>
        <v>9</v>
      </c>
      <c r="U354" s="18" t="str">
        <f t="shared" si="5"/>
        <v>CAMISETAS NIÑO COLOMBIA AAA AMARILLO TALLA XL</v>
      </c>
    </row>
    <row r="355">
      <c r="A355" s="4">
        <v>1.0</v>
      </c>
      <c r="B355" s="4" t="s">
        <v>1871</v>
      </c>
      <c r="C355" s="1"/>
      <c r="D355" s="4" t="s">
        <v>1872</v>
      </c>
      <c r="E355" s="2"/>
      <c r="F355" s="2">
        <f t="shared" si="2"/>
        <v>0</v>
      </c>
      <c r="G355" s="65">
        <f t="shared" si="7"/>
        <v>0</v>
      </c>
      <c r="H355" s="1"/>
      <c r="I355" s="1"/>
      <c r="J355" s="1"/>
      <c r="K355" s="66" t="s">
        <v>1187</v>
      </c>
      <c r="L355" s="66" t="s">
        <v>1171</v>
      </c>
      <c r="M355" s="66" t="s">
        <v>1240</v>
      </c>
      <c r="N355" s="66" t="s">
        <v>1312</v>
      </c>
      <c r="O355" s="66" t="s">
        <v>1311</v>
      </c>
      <c r="P355" s="67" t="s">
        <v>1189</v>
      </c>
      <c r="Q355" s="18" t="s">
        <v>806</v>
      </c>
      <c r="R355" s="68" t="str">
        <f>IFERROR(CONCATENATE("*",VLOOKUP(L355,PARAM!D:E,2,0),VLOOKUP(M355,PARAM!J:K,2,0),VLOOKUP(N355,PARAM!G:H,2,0),VLOOKUP(P355,PARAM!P:Q,2,0),"*"),"")</f>
        <v>*1148834*</v>
      </c>
      <c r="S355" s="18" t="str">
        <f>IFERROR(CONCATENATE(VLOOKUP(L355,PARAM!D:E,2,0),VLOOKUP(M355,PARAM!J:K,2,0),VLOOKUP(N355,PARAM!G:H,2,0),VLOOKUP(O355,PARAM!M:N,2,0),VLOOKUP(P355,PARAM!P:Q,2,0)),"")</f>
        <v>11488134</v>
      </c>
      <c r="T355" s="18">
        <f t="shared" si="4"/>
        <v>9</v>
      </c>
      <c r="U355" s="18" t="str">
        <f t="shared" si="5"/>
        <v>CAMISETAS NIÑO COLOMBIA AAA AMARILLO TALLA XXL</v>
      </c>
    </row>
    <row r="356">
      <c r="A356" s="4">
        <v>3.0</v>
      </c>
      <c r="B356" s="4" t="s">
        <v>1873</v>
      </c>
      <c r="C356" s="1"/>
      <c r="D356" s="4" t="s">
        <v>1874</v>
      </c>
      <c r="E356" s="3">
        <v>30000.0</v>
      </c>
      <c r="F356" s="2">
        <f t="shared" si="2"/>
        <v>90000</v>
      </c>
      <c r="G356" s="65">
        <f t="shared" si="7"/>
        <v>60000</v>
      </c>
      <c r="H356" s="1"/>
      <c r="I356" s="1"/>
      <c r="J356" s="1"/>
      <c r="K356" s="66" t="s">
        <v>1187</v>
      </c>
      <c r="L356" s="66" t="s">
        <v>1171</v>
      </c>
      <c r="M356" s="66" t="s">
        <v>1060</v>
      </c>
      <c r="N356" s="66" t="s">
        <v>1310</v>
      </c>
      <c r="O356" s="66" t="s">
        <v>1311</v>
      </c>
      <c r="P356" s="67" t="s">
        <v>1168</v>
      </c>
      <c r="Q356" s="18" t="s">
        <v>806</v>
      </c>
      <c r="R356" s="68" t="str">
        <f>IFERROR(CONCATENATE("*",VLOOKUP(L356,PARAM!D:E,2,0),VLOOKUP(M356,PARAM!J:K,2,0),VLOOKUP(N356,PARAM!G:H,2,0),VLOOKUP(P356,PARAM!P:Q,2,0),"*"),"")</f>
        <v>*1118727*</v>
      </c>
      <c r="S356" s="18" t="str">
        <f>IFERROR(CONCATENATE(VLOOKUP(L356,PARAM!D:E,2,0),VLOOKUP(M356,PARAM!J:K,2,0),VLOOKUP(N356,PARAM!G:H,2,0),VLOOKUP(O356,PARAM!M:N,2,0),VLOOKUP(P356,PARAM!P:Q,2,0)),"")</f>
        <v>11187127</v>
      </c>
      <c r="T356" s="18">
        <f t="shared" si="4"/>
        <v>9</v>
      </c>
      <c r="U356" s="18" t="str">
        <f t="shared" si="5"/>
        <v>CAMISETAS DAMA COLOMBIA 1.1 LOCAL AMARILLO TALLA S</v>
      </c>
    </row>
    <row r="357">
      <c r="A357" s="4">
        <v>2.0</v>
      </c>
      <c r="B357" s="4" t="s">
        <v>1873</v>
      </c>
      <c r="C357" s="1"/>
      <c r="D357" s="4" t="s">
        <v>1874</v>
      </c>
      <c r="E357" s="3">
        <v>30000.0</v>
      </c>
      <c r="F357" s="2">
        <f t="shared" si="2"/>
        <v>60000</v>
      </c>
      <c r="G357" s="65">
        <f t="shared" si="7"/>
        <v>60000</v>
      </c>
      <c r="H357" s="1"/>
      <c r="I357" s="1"/>
      <c r="J357" s="1"/>
      <c r="K357" s="66" t="s">
        <v>1187</v>
      </c>
      <c r="L357" s="66" t="s">
        <v>1171</v>
      </c>
      <c r="M357" s="66" t="s">
        <v>1060</v>
      </c>
      <c r="N357" s="66" t="s">
        <v>1310</v>
      </c>
      <c r="O357" s="66" t="s">
        <v>1311</v>
      </c>
      <c r="P357" s="67" t="s">
        <v>1164</v>
      </c>
      <c r="Q357" s="18" t="s">
        <v>806</v>
      </c>
      <c r="R357" s="68" t="str">
        <f>IFERROR(CONCATENATE("*",VLOOKUP(L357,PARAM!D:E,2,0),VLOOKUP(M357,PARAM!J:K,2,0),VLOOKUP(N357,PARAM!G:H,2,0),VLOOKUP(P357,PARAM!P:Q,2,0),"*"),"")</f>
        <v>*1118725*</v>
      </c>
      <c r="S357" s="18" t="str">
        <f>IFERROR(CONCATENATE(VLOOKUP(L357,PARAM!D:E,2,0),VLOOKUP(M357,PARAM!J:K,2,0),VLOOKUP(N357,PARAM!G:H,2,0),VLOOKUP(O357,PARAM!M:N,2,0),VLOOKUP(P357,PARAM!P:Q,2,0)),"")</f>
        <v>11187125</v>
      </c>
      <c r="T357" s="18">
        <f t="shared" si="4"/>
        <v>9</v>
      </c>
      <c r="U357" s="18" t="str">
        <f t="shared" si="5"/>
        <v>CAMISETAS DAMA COLOMBIA 1.1 LOCAL AMARILLO TALLA M</v>
      </c>
    </row>
    <row r="358">
      <c r="A358" s="4">
        <v>4.0</v>
      </c>
      <c r="B358" s="4" t="s">
        <v>1873</v>
      </c>
      <c r="C358" s="1"/>
      <c r="D358" s="4" t="s">
        <v>1874</v>
      </c>
      <c r="E358" s="3">
        <v>30000.0</v>
      </c>
      <c r="F358" s="2">
        <f t="shared" si="2"/>
        <v>120000</v>
      </c>
      <c r="G358" s="65">
        <f t="shared" si="7"/>
        <v>60000</v>
      </c>
      <c r="H358" s="1"/>
      <c r="I358" s="1"/>
      <c r="J358" s="1"/>
      <c r="K358" s="66" t="s">
        <v>1187</v>
      </c>
      <c r="L358" s="66" t="s">
        <v>1171</v>
      </c>
      <c r="M358" s="66" t="s">
        <v>1060</v>
      </c>
      <c r="N358" s="66" t="s">
        <v>1310</v>
      </c>
      <c r="O358" s="66" t="s">
        <v>1311</v>
      </c>
      <c r="P358" s="67" t="s">
        <v>1165</v>
      </c>
      <c r="Q358" s="18" t="s">
        <v>806</v>
      </c>
      <c r="R358" s="68" t="str">
        <f>IFERROR(CONCATENATE("*",VLOOKUP(L358,PARAM!D:E,2,0),VLOOKUP(M358,PARAM!J:K,2,0),VLOOKUP(N358,PARAM!G:H,2,0),VLOOKUP(P358,PARAM!P:Q,2,0),"*"),"")</f>
        <v>*1118723*</v>
      </c>
      <c r="S358" s="18" t="str">
        <f>IFERROR(CONCATENATE(VLOOKUP(L358,PARAM!D:E,2,0),VLOOKUP(M358,PARAM!J:K,2,0),VLOOKUP(N358,PARAM!G:H,2,0),VLOOKUP(O358,PARAM!M:N,2,0),VLOOKUP(P358,PARAM!P:Q,2,0)),"")</f>
        <v>11187123</v>
      </c>
      <c r="T358" s="18">
        <f t="shared" si="4"/>
        <v>9</v>
      </c>
      <c r="U358" s="18" t="str">
        <f t="shared" si="5"/>
        <v>CAMISETAS DAMA COLOMBIA 1.1 LOCAL AMARILLO TALLA L</v>
      </c>
    </row>
    <row r="359">
      <c r="A359" s="4">
        <v>3.0</v>
      </c>
      <c r="B359" s="4" t="s">
        <v>1873</v>
      </c>
      <c r="C359" s="1"/>
      <c r="D359" s="4" t="s">
        <v>1874</v>
      </c>
      <c r="E359" s="3">
        <v>30000.0</v>
      </c>
      <c r="F359" s="2">
        <f t="shared" si="2"/>
        <v>90000</v>
      </c>
      <c r="G359" s="65">
        <f t="shared" si="7"/>
        <v>60000</v>
      </c>
      <c r="H359" s="1"/>
      <c r="I359" s="1"/>
      <c r="J359" s="1"/>
      <c r="K359" s="66" t="s">
        <v>1187</v>
      </c>
      <c r="L359" s="66" t="s">
        <v>1171</v>
      </c>
      <c r="M359" s="66" t="s">
        <v>1060</v>
      </c>
      <c r="N359" s="66" t="s">
        <v>1310</v>
      </c>
      <c r="O359" s="66" t="s">
        <v>1311</v>
      </c>
      <c r="P359" s="67" t="s">
        <v>1077</v>
      </c>
      <c r="Q359" s="18" t="s">
        <v>806</v>
      </c>
      <c r="R359" s="68" t="str">
        <f>IFERROR(CONCATENATE("*",VLOOKUP(L359,PARAM!D:E,2,0),VLOOKUP(M359,PARAM!J:K,2,0),VLOOKUP(N359,PARAM!G:H,2,0),VLOOKUP(P359,PARAM!P:Q,2,0),"*"),"")</f>
        <v>*1118732*</v>
      </c>
      <c r="S359" s="18" t="str">
        <f>IFERROR(CONCATENATE(VLOOKUP(L359,PARAM!D:E,2,0),VLOOKUP(M359,PARAM!J:K,2,0),VLOOKUP(N359,PARAM!G:H,2,0),VLOOKUP(O359,PARAM!M:N,2,0),VLOOKUP(P359,PARAM!P:Q,2,0)),"")</f>
        <v>11187132</v>
      </c>
      <c r="T359" s="18">
        <f t="shared" si="4"/>
        <v>9</v>
      </c>
      <c r="U359" s="18" t="str">
        <f t="shared" si="5"/>
        <v>CAMISETAS DAMA COLOMBIA 1.1 LOCAL AMARILLO TALLA XL</v>
      </c>
    </row>
    <row r="360">
      <c r="A360" s="4">
        <v>1.0</v>
      </c>
      <c r="B360" s="4" t="s">
        <v>1875</v>
      </c>
      <c r="C360" s="1"/>
      <c r="D360" s="4" t="s">
        <v>1876</v>
      </c>
      <c r="E360" s="2"/>
      <c r="F360" s="2">
        <f t="shared" si="2"/>
        <v>0</v>
      </c>
      <c r="G360" s="65">
        <f t="shared" si="7"/>
        <v>0</v>
      </c>
      <c r="H360" s="1"/>
      <c r="I360" s="1"/>
      <c r="J360" s="1"/>
      <c r="K360" s="66" t="s">
        <v>1187</v>
      </c>
      <c r="L360" s="66" t="s">
        <v>1171</v>
      </c>
      <c r="M360" s="66" t="s">
        <v>1080</v>
      </c>
      <c r="N360" s="66" t="s">
        <v>1313</v>
      </c>
      <c r="O360" s="66" t="s">
        <v>1311</v>
      </c>
      <c r="P360" s="67" t="s">
        <v>1168</v>
      </c>
      <c r="Q360" s="18" t="s">
        <v>806</v>
      </c>
      <c r="R360" s="68" t="str">
        <f>IFERROR(CONCATENATE("*",VLOOKUP(L360,PARAM!D:E,2,0),VLOOKUP(M360,PARAM!J:K,2,0),VLOOKUP(N360,PARAM!G:H,2,0),VLOOKUP(P360,PARAM!P:Q,2,0),"*"),"")</f>
        <v>*11215027*</v>
      </c>
      <c r="S360" s="18" t="str">
        <f>IFERROR(CONCATENATE(VLOOKUP(L360,PARAM!D:E,2,0),VLOOKUP(M360,PARAM!J:K,2,0),VLOOKUP(N360,PARAM!G:H,2,0),VLOOKUP(O360,PARAM!M:N,2,0),VLOOKUP(P360,PARAM!P:Q,2,0)),"")</f>
        <v>112150127</v>
      </c>
      <c r="T360" s="18">
        <f t="shared" si="4"/>
        <v>10</v>
      </c>
      <c r="U360" s="18" t="str">
        <f t="shared" si="5"/>
        <v>CAMISETAS CABALLERO ITALIA 90 AMARILLO TALLA S</v>
      </c>
    </row>
    <row r="361">
      <c r="A361" s="4">
        <v>2.0</v>
      </c>
      <c r="B361" s="4" t="s">
        <v>1875</v>
      </c>
      <c r="C361" s="1"/>
      <c r="D361" s="4" t="s">
        <v>1877</v>
      </c>
      <c r="E361" s="2"/>
      <c r="F361" s="2">
        <f t="shared" si="2"/>
        <v>0</v>
      </c>
      <c r="G361" s="65">
        <f t="shared" si="7"/>
        <v>0</v>
      </c>
      <c r="H361" s="1"/>
      <c r="I361" s="1"/>
      <c r="J361" s="1"/>
      <c r="K361" s="66" t="s">
        <v>1187</v>
      </c>
      <c r="L361" s="66" t="s">
        <v>1171</v>
      </c>
      <c r="M361" s="66" t="s">
        <v>1080</v>
      </c>
      <c r="N361" s="66" t="s">
        <v>1313</v>
      </c>
      <c r="O361" s="66" t="s">
        <v>1311</v>
      </c>
      <c r="P361" s="67" t="s">
        <v>1164</v>
      </c>
      <c r="Q361" s="18" t="s">
        <v>806</v>
      </c>
      <c r="R361" s="68" t="str">
        <f>IFERROR(CONCATENATE("*",VLOOKUP(L361,PARAM!D:E,2,0),VLOOKUP(M361,PARAM!J:K,2,0),VLOOKUP(N361,PARAM!G:H,2,0),VLOOKUP(P361,PARAM!P:Q,2,0),"*"),"")</f>
        <v>*11215025*</v>
      </c>
      <c r="S361" s="18" t="str">
        <f>IFERROR(CONCATENATE(VLOOKUP(L361,PARAM!D:E,2,0),VLOOKUP(M361,PARAM!J:K,2,0),VLOOKUP(N361,PARAM!G:H,2,0),VLOOKUP(O361,PARAM!M:N,2,0),VLOOKUP(P361,PARAM!P:Q,2,0)),"")</f>
        <v>112150125</v>
      </c>
      <c r="T361" s="18">
        <f t="shared" si="4"/>
        <v>10</v>
      </c>
      <c r="U361" s="18" t="str">
        <f t="shared" si="5"/>
        <v>CAMISETAS CABALLERO ITALIA 90 AMARILLO TALLA M</v>
      </c>
    </row>
    <row r="362">
      <c r="A362" s="4">
        <v>2.0</v>
      </c>
      <c r="B362" s="4" t="s">
        <v>1875</v>
      </c>
      <c r="C362" s="1"/>
      <c r="D362" s="4" t="s">
        <v>1878</v>
      </c>
      <c r="E362" s="2"/>
      <c r="F362" s="2">
        <f t="shared" si="2"/>
        <v>0</v>
      </c>
      <c r="G362" s="65">
        <f t="shared" si="7"/>
        <v>0</v>
      </c>
      <c r="H362" s="1"/>
      <c r="I362" s="1"/>
      <c r="J362" s="1"/>
      <c r="K362" s="66" t="s">
        <v>1187</v>
      </c>
      <c r="L362" s="66" t="s">
        <v>1171</v>
      </c>
      <c r="M362" s="66" t="s">
        <v>1080</v>
      </c>
      <c r="N362" s="66" t="s">
        <v>1313</v>
      </c>
      <c r="O362" s="66" t="s">
        <v>1311</v>
      </c>
      <c r="P362" s="67" t="s">
        <v>1165</v>
      </c>
      <c r="Q362" s="18" t="s">
        <v>806</v>
      </c>
      <c r="R362" s="68" t="str">
        <f>IFERROR(CONCATENATE("*",VLOOKUP(L362,PARAM!D:E,2,0),VLOOKUP(M362,PARAM!J:K,2,0),VLOOKUP(N362,PARAM!G:H,2,0),VLOOKUP(P362,PARAM!P:Q,2,0),"*"),"")</f>
        <v>*11215023*</v>
      </c>
      <c r="S362" s="18" t="str">
        <f>IFERROR(CONCATENATE(VLOOKUP(L362,PARAM!D:E,2,0),VLOOKUP(M362,PARAM!J:K,2,0),VLOOKUP(N362,PARAM!G:H,2,0),VLOOKUP(O362,PARAM!M:N,2,0),VLOOKUP(P362,PARAM!P:Q,2,0)),"")</f>
        <v>112150123</v>
      </c>
      <c r="T362" s="18">
        <f t="shared" si="4"/>
        <v>10</v>
      </c>
      <c r="U362" s="18" t="str">
        <f t="shared" si="5"/>
        <v>CAMISETAS CABALLERO ITALIA 90 AMARILLO TALLA L</v>
      </c>
    </row>
    <row r="363">
      <c r="A363" s="4">
        <v>1.0</v>
      </c>
      <c r="B363" s="4" t="s">
        <v>1875</v>
      </c>
      <c r="C363" s="1"/>
      <c r="D363" s="4" t="s">
        <v>1879</v>
      </c>
      <c r="E363" s="2"/>
      <c r="F363" s="2">
        <f t="shared" si="2"/>
        <v>0</v>
      </c>
      <c r="G363" s="65">
        <f t="shared" si="7"/>
        <v>0</v>
      </c>
      <c r="H363" s="1"/>
      <c r="I363" s="1"/>
      <c r="J363" s="1"/>
      <c r="K363" s="66" t="s">
        <v>1187</v>
      </c>
      <c r="L363" s="66" t="s">
        <v>1171</v>
      </c>
      <c r="M363" s="66" t="s">
        <v>1080</v>
      </c>
      <c r="N363" s="66" t="s">
        <v>1313</v>
      </c>
      <c r="O363" s="66" t="s">
        <v>1311</v>
      </c>
      <c r="P363" s="67" t="s">
        <v>1077</v>
      </c>
      <c r="Q363" s="18" t="s">
        <v>806</v>
      </c>
      <c r="R363" s="68" t="str">
        <f>IFERROR(CONCATENATE("*",VLOOKUP(L363,PARAM!D:E,2,0),VLOOKUP(M363,PARAM!J:K,2,0),VLOOKUP(N363,PARAM!G:H,2,0),VLOOKUP(P363,PARAM!P:Q,2,0),"*"),"")</f>
        <v>*11215032*</v>
      </c>
      <c r="S363" s="18" t="str">
        <f>IFERROR(CONCATENATE(VLOOKUP(L363,PARAM!D:E,2,0),VLOOKUP(M363,PARAM!J:K,2,0),VLOOKUP(N363,PARAM!G:H,2,0),VLOOKUP(O363,PARAM!M:N,2,0),VLOOKUP(P363,PARAM!P:Q,2,0)),"")</f>
        <v>112150132</v>
      </c>
      <c r="T363" s="18">
        <f t="shared" si="4"/>
        <v>10</v>
      </c>
      <c r="U363" s="18" t="str">
        <f t="shared" si="5"/>
        <v>CAMISETAS CABALLERO ITALIA 90 AMARILLO TALLA XL</v>
      </c>
    </row>
    <row r="364">
      <c r="A364" s="4">
        <v>1.0</v>
      </c>
      <c r="B364" s="4" t="s">
        <v>1880</v>
      </c>
      <c r="C364" s="1"/>
      <c r="D364" s="4" t="s">
        <v>1881</v>
      </c>
      <c r="E364" s="3">
        <v>28000.0</v>
      </c>
      <c r="F364" s="2">
        <f t="shared" si="2"/>
        <v>28000</v>
      </c>
      <c r="G364" s="65">
        <f t="shared" si="7"/>
        <v>56000</v>
      </c>
      <c r="H364" s="1"/>
      <c r="I364" s="1"/>
      <c r="J364" s="1"/>
      <c r="K364" s="66" t="s">
        <v>1187</v>
      </c>
      <c r="L364" s="66" t="s">
        <v>1171</v>
      </c>
      <c r="M364" s="66" t="s">
        <v>1080</v>
      </c>
      <c r="N364" s="66" t="s">
        <v>1312</v>
      </c>
      <c r="O364" s="66" t="s">
        <v>1067</v>
      </c>
      <c r="P364" s="67" t="s">
        <v>1164</v>
      </c>
      <c r="Q364" s="18" t="s">
        <v>806</v>
      </c>
      <c r="R364" s="68" t="str">
        <f>IFERROR(CONCATENATE("*",VLOOKUP(L364,PARAM!D:E,2,0),VLOOKUP(M364,PARAM!J:K,2,0),VLOOKUP(N364,PARAM!G:H,2,0),VLOOKUP(P364,PARAM!P:Q,2,0),"*"),"")</f>
        <v>*1128825*</v>
      </c>
      <c r="S364" s="18" t="str">
        <f>IFERROR(CONCATENATE(VLOOKUP(L364,PARAM!D:E,2,0),VLOOKUP(M364,PARAM!J:K,2,0),VLOOKUP(N364,PARAM!G:H,2,0),VLOOKUP(O364,PARAM!M:N,2,0),VLOOKUP(P364,PARAM!P:Q,2,0)),"")</f>
        <v>11288225</v>
      </c>
      <c r="T364" s="18">
        <f t="shared" si="4"/>
        <v>9</v>
      </c>
      <c r="U364" s="18" t="str">
        <f t="shared" si="5"/>
        <v>CAMISETAS CABALLERO COLOMBIA AAA AZUL TALLA M</v>
      </c>
    </row>
    <row r="365">
      <c r="A365" s="4">
        <v>1.0</v>
      </c>
      <c r="B365" s="4" t="s">
        <v>1880</v>
      </c>
      <c r="C365" s="1"/>
      <c r="D365" s="4" t="s">
        <v>1881</v>
      </c>
      <c r="E365" s="3">
        <v>28000.0</v>
      </c>
      <c r="F365" s="2">
        <f t="shared" si="2"/>
        <v>28000</v>
      </c>
      <c r="G365" s="65">
        <f t="shared" si="7"/>
        <v>56000</v>
      </c>
      <c r="H365" s="1"/>
      <c r="I365" s="1"/>
      <c r="J365" s="1"/>
      <c r="K365" s="66" t="s">
        <v>1187</v>
      </c>
      <c r="L365" s="66" t="s">
        <v>1171</v>
      </c>
      <c r="M365" s="66" t="s">
        <v>1080</v>
      </c>
      <c r="N365" s="66" t="s">
        <v>1312</v>
      </c>
      <c r="O365" s="66" t="s">
        <v>1067</v>
      </c>
      <c r="P365" s="67" t="s">
        <v>1165</v>
      </c>
      <c r="Q365" s="18" t="s">
        <v>806</v>
      </c>
      <c r="R365" s="68" t="str">
        <f>IFERROR(CONCATENATE("*",VLOOKUP(L365,PARAM!D:E,2,0),VLOOKUP(M365,PARAM!J:K,2,0),VLOOKUP(N365,PARAM!G:H,2,0),VLOOKUP(P365,PARAM!P:Q,2,0),"*"),"")</f>
        <v>*1128823*</v>
      </c>
      <c r="S365" s="18" t="str">
        <f>IFERROR(CONCATENATE(VLOOKUP(L365,PARAM!D:E,2,0),VLOOKUP(M365,PARAM!J:K,2,0),VLOOKUP(N365,PARAM!G:H,2,0),VLOOKUP(O365,PARAM!M:N,2,0),VLOOKUP(P365,PARAM!P:Q,2,0)),"")</f>
        <v>11288223</v>
      </c>
      <c r="T365" s="18">
        <f t="shared" si="4"/>
        <v>9</v>
      </c>
      <c r="U365" s="18" t="str">
        <f t="shared" si="5"/>
        <v>CAMISETAS CABALLERO COLOMBIA AAA AZUL TALLA L</v>
      </c>
    </row>
    <row r="366">
      <c r="A366" s="4">
        <v>1.0</v>
      </c>
      <c r="B366" s="4" t="s">
        <v>1880</v>
      </c>
      <c r="C366" s="1"/>
      <c r="D366" s="4" t="s">
        <v>1881</v>
      </c>
      <c r="E366" s="3">
        <v>28000.0</v>
      </c>
      <c r="F366" s="2">
        <f t="shared" si="2"/>
        <v>28000</v>
      </c>
      <c r="G366" s="65">
        <f t="shared" si="7"/>
        <v>56000</v>
      </c>
      <c r="H366" s="1"/>
      <c r="I366" s="1"/>
      <c r="J366" s="1"/>
      <c r="K366" s="66" t="s">
        <v>1187</v>
      </c>
      <c r="L366" s="66" t="s">
        <v>1171</v>
      </c>
      <c r="M366" s="66" t="s">
        <v>1080</v>
      </c>
      <c r="N366" s="66" t="s">
        <v>1312</v>
      </c>
      <c r="O366" s="66" t="s">
        <v>1067</v>
      </c>
      <c r="P366" s="67" t="s">
        <v>1077</v>
      </c>
      <c r="Q366" s="18" t="s">
        <v>806</v>
      </c>
      <c r="R366" s="68" t="str">
        <f>IFERROR(CONCATENATE("*",VLOOKUP(L366,PARAM!D:E,2,0),VLOOKUP(M366,PARAM!J:K,2,0),VLOOKUP(N366,PARAM!G:H,2,0),VLOOKUP(P366,PARAM!P:Q,2,0),"*"),"")</f>
        <v>*1128832*</v>
      </c>
      <c r="S366" s="18" t="str">
        <f>IFERROR(CONCATENATE(VLOOKUP(L366,PARAM!D:E,2,0),VLOOKUP(M366,PARAM!J:K,2,0),VLOOKUP(N366,PARAM!G:H,2,0),VLOOKUP(O366,PARAM!M:N,2,0),VLOOKUP(P366,PARAM!P:Q,2,0)),"")</f>
        <v>11288232</v>
      </c>
      <c r="T366" s="18">
        <f t="shared" si="4"/>
        <v>9</v>
      </c>
      <c r="U366" s="18" t="str">
        <f t="shared" si="5"/>
        <v>CAMISETAS CABALLERO COLOMBIA AAA AZUL TALLA XL</v>
      </c>
    </row>
    <row r="367">
      <c r="A367" s="4">
        <v>1.0</v>
      </c>
      <c r="B367" s="4" t="s">
        <v>1882</v>
      </c>
      <c r="C367" s="1"/>
      <c r="D367" s="4" t="s">
        <v>1883</v>
      </c>
      <c r="E367" s="2"/>
      <c r="F367" s="2">
        <f t="shared" si="2"/>
        <v>0</v>
      </c>
      <c r="G367" s="65">
        <f t="shared" si="7"/>
        <v>0</v>
      </c>
      <c r="H367" s="1"/>
      <c r="I367" s="1"/>
      <c r="J367" s="1"/>
      <c r="K367" s="66" t="s">
        <v>1187</v>
      </c>
      <c r="L367" s="66" t="s">
        <v>1171</v>
      </c>
      <c r="M367" s="66" t="s">
        <v>1240</v>
      </c>
      <c r="N367" s="66" t="s">
        <v>1312</v>
      </c>
      <c r="O367" s="66" t="s">
        <v>1066</v>
      </c>
      <c r="P367" s="67">
        <v>18.0</v>
      </c>
      <c r="Q367" s="18" t="s">
        <v>806</v>
      </c>
      <c r="R367" s="68" t="str">
        <f>IFERROR(CONCATENATE("*",VLOOKUP(L367,PARAM!D:E,2,0),VLOOKUP(M367,PARAM!J:K,2,0),VLOOKUP(N367,PARAM!G:H,2,0),VLOOKUP(P367,PARAM!P:Q,2,0),"*"),"")</f>
        <v>*114887*</v>
      </c>
      <c r="S367" s="18" t="str">
        <f>IFERROR(CONCATENATE(VLOOKUP(L367,PARAM!D:E,2,0),VLOOKUP(M367,PARAM!J:K,2,0),VLOOKUP(N367,PARAM!G:H,2,0),VLOOKUP(O367,PARAM!M:N,2,0),VLOOKUP(P367,PARAM!P:Q,2,0)),"")</f>
        <v>11488127</v>
      </c>
      <c r="T367" s="18">
        <f t="shared" si="4"/>
        <v>8</v>
      </c>
      <c r="U367" s="18" t="str">
        <f t="shared" si="5"/>
        <v>CAMISETAS NIÑO COLOMBIA AAA NEGRO TALLA 18</v>
      </c>
    </row>
    <row r="368">
      <c r="A368" s="4">
        <v>2.0</v>
      </c>
      <c r="B368" s="4" t="s">
        <v>1882</v>
      </c>
      <c r="C368" s="1"/>
      <c r="D368" s="4" t="s">
        <v>1883</v>
      </c>
      <c r="E368" s="2"/>
      <c r="F368" s="2">
        <f t="shared" si="2"/>
        <v>0</v>
      </c>
      <c r="G368" s="65">
        <f t="shared" si="7"/>
        <v>0</v>
      </c>
      <c r="H368" s="1"/>
      <c r="I368" s="1"/>
      <c r="J368" s="1"/>
      <c r="K368" s="66" t="s">
        <v>1187</v>
      </c>
      <c r="L368" s="66" t="s">
        <v>1171</v>
      </c>
      <c r="M368" s="66" t="s">
        <v>1240</v>
      </c>
      <c r="N368" s="66" t="s">
        <v>1312</v>
      </c>
      <c r="O368" s="66" t="s">
        <v>1066</v>
      </c>
      <c r="P368" s="67">
        <v>22.0</v>
      </c>
      <c r="Q368" s="18" t="s">
        <v>806</v>
      </c>
      <c r="R368" s="68" t="str">
        <f>IFERROR(CONCATENATE("*",VLOOKUP(L368,PARAM!D:E,2,0),VLOOKUP(M368,PARAM!J:K,2,0),VLOOKUP(N368,PARAM!G:H,2,0),VLOOKUP(P368,PARAM!P:Q,2,0),"*"),"")</f>
        <v>*114889*</v>
      </c>
      <c r="S368" s="18" t="str">
        <f>IFERROR(CONCATENATE(VLOOKUP(L368,PARAM!D:E,2,0),VLOOKUP(M368,PARAM!J:K,2,0),VLOOKUP(N368,PARAM!G:H,2,0),VLOOKUP(O368,PARAM!M:N,2,0),VLOOKUP(P368,PARAM!P:Q,2,0)),"")</f>
        <v>11488129</v>
      </c>
      <c r="T368" s="18">
        <f t="shared" si="4"/>
        <v>8</v>
      </c>
      <c r="U368" s="18" t="str">
        <f t="shared" si="5"/>
        <v>CAMISETAS NIÑO COLOMBIA AAA NEGRO TALLA 22</v>
      </c>
    </row>
    <row r="369">
      <c r="A369" s="4">
        <v>2.0</v>
      </c>
      <c r="B369" s="4" t="s">
        <v>1882</v>
      </c>
      <c r="C369" s="1"/>
      <c r="D369" s="4" t="s">
        <v>1883</v>
      </c>
      <c r="E369" s="2"/>
      <c r="F369" s="2">
        <f t="shared" si="2"/>
        <v>0</v>
      </c>
      <c r="G369" s="65">
        <f t="shared" si="7"/>
        <v>0</v>
      </c>
      <c r="H369" s="1"/>
      <c r="I369" s="1"/>
      <c r="J369" s="1"/>
      <c r="K369" s="66" t="s">
        <v>1187</v>
      </c>
      <c r="L369" s="66" t="s">
        <v>1171</v>
      </c>
      <c r="M369" s="66" t="s">
        <v>1240</v>
      </c>
      <c r="N369" s="66" t="s">
        <v>1312</v>
      </c>
      <c r="O369" s="66" t="s">
        <v>1066</v>
      </c>
      <c r="P369" s="67">
        <v>24.0</v>
      </c>
      <c r="Q369" s="18" t="s">
        <v>806</v>
      </c>
      <c r="R369" s="68" t="str">
        <f>IFERROR(CONCATENATE("*",VLOOKUP(L369,PARAM!D:E,2,0),VLOOKUP(M369,PARAM!J:K,2,0),VLOOKUP(N369,PARAM!G:H,2,0),VLOOKUP(P369,PARAM!P:Q,2,0),"*"),"")</f>
        <v>*1148810*</v>
      </c>
      <c r="S369" s="18" t="str">
        <f>IFERROR(CONCATENATE(VLOOKUP(L369,PARAM!D:E,2,0),VLOOKUP(M369,PARAM!J:K,2,0),VLOOKUP(N369,PARAM!G:H,2,0),VLOOKUP(O369,PARAM!M:N,2,0),VLOOKUP(P369,PARAM!P:Q,2,0)),"")</f>
        <v>114881210</v>
      </c>
      <c r="T369" s="18">
        <f t="shared" si="4"/>
        <v>9</v>
      </c>
      <c r="U369" s="18" t="str">
        <f t="shared" si="5"/>
        <v>CAMISETAS NIÑO COLOMBIA AAA NEGRO TALLA 24</v>
      </c>
    </row>
    <row r="370">
      <c r="A370" s="4">
        <v>3.0</v>
      </c>
      <c r="B370" s="4" t="s">
        <v>1882</v>
      </c>
      <c r="C370" s="1"/>
      <c r="D370" s="4" t="s">
        <v>1883</v>
      </c>
      <c r="E370" s="2"/>
      <c r="F370" s="2">
        <f t="shared" si="2"/>
        <v>0</v>
      </c>
      <c r="G370" s="65">
        <f t="shared" si="7"/>
        <v>0</v>
      </c>
      <c r="H370" s="1"/>
      <c r="I370" s="1"/>
      <c r="J370" s="1"/>
      <c r="K370" s="66" t="s">
        <v>1187</v>
      </c>
      <c r="L370" s="66" t="s">
        <v>1171</v>
      </c>
      <c r="M370" s="66" t="s">
        <v>1240</v>
      </c>
      <c r="N370" s="66" t="s">
        <v>1312</v>
      </c>
      <c r="O370" s="66" t="s">
        <v>1066</v>
      </c>
      <c r="P370" s="67">
        <v>26.0</v>
      </c>
      <c r="Q370" s="18" t="s">
        <v>806</v>
      </c>
      <c r="R370" s="68" t="str">
        <f>IFERROR(CONCATENATE("*",VLOOKUP(L370,PARAM!D:E,2,0),VLOOKUP(M370,PARAM!J:K,2,0),VLOOKUP(N370,PARAM!G:H,2,0),VLOOKUP(P370,PARAM!P:Q,2,0),"*"),"")</f>
        <v>*1148811*</v>
      </c>
      <c r="S370" s="18" t="str">
        <f>IFERROR(CONCATENATE(VLOOKUP(L370,PARAM!D:E,2,0),VLOOKUP(M370,PARAM!J:K,2,0),VLOOKUP(N370,PARAM!G:H,2,0),VLOOKUP(O370,PARAM!M:N,2,0),VLOOKUP(P370,PARAM!P:Q,2,0)),"")</f>
        <v>114881211</v>
      </c>
      <c r="T370" s="18">
        <f t="shared" si="4"/>
        <v>9</v>
      </c>
      <c r="U370" s="18" t="str">
        <f t="shared" si="5"/>
        <v>CAMISETAS NIÑO COLOMBIA AAA NEGRO TALLA 26</v>
      </c>
    </row>
    <row r="371">
      <c r="A371" s="4">
        <v>4.0</v>
      </c>
      <c r="B371" s="4" t="s">
        <v>1882</v>
      </c>
      <c r="C371" s="1"/>
      <c r="D371" s="4" t="s">
        <v>1883</v>
      </c>
      <c r="E371" s="2"/>
      <c r="F371" s="2">
        <f t="shared" si="2"/>
        <v>0</v>
      </c>
      <c r="G371" s="65">
        <f t="shared" si="7"/>
        <v>0</v>
      </c>
      <c r="H371" s="1"/>
      <c r="I371" s="1"/>
      <c r="J371" s="1"/>
      <c r="K371" s="66" t="s">
        <v>1187</v>
      </c>
      <c r="L371" s="66" t="s">
        <v>1171</v>
      </c>
      <c r="M371" s="66" t="s">
        <v>1240</v>
      </c>
      <c r="N371" s="66" t="s">
        <v>1312</v>
      </c>
      <c r="O371" s="66" t="s">
        <v>1066</v>
      </c>
      <c r="P371" s="67">
        <v>28.0</v>
      </c>
      <c r="Q371" s="18" t="s">
        <v>806</v>
      </c>
      <c r="R371" s="68" t="str">
        <f>IFERROR(CONCATENATE("*",VLOOKUP(L371,PARAM!D:E,2,0),VLOOKUP(M371,PARAM!J:K,2,0),VLOOKUP(N371,PARAM!G:H,2,0),VLOOKUP(P371,PARAM!P:Q,2,0),"*"),"")</f>
        <v>*1148812*</v>
      </c>
      <c r="S371" s="18" t="str">
        <f>IFERROR(CONCATENATE(VLOOKUP(L371,PARAM!D:E,2,0),VLOOKUP(M371,PARAM!J:K,2,0),VLOOKUP(N371,PARAM!G:H,2,0),VLOOKUP(O371,PARAM!M:N,2,0),VLOOKUP(P371,PARAM!P:Q,2,0)),"")</f>
        <v>114881212</v>
      </c>
      <c r="T371" s="18">
        <f t="shared" si="4"/>
        <v>9</v>
      </c>
      <c r="U371" s="18" t="str">
        <f t="shared" si="5"/>
        <v>CAMISETAS NIÑO COLOMBIA AAA NEGRO TALLA 28</v>
      </c>
    </row>
    <row r="372">
      <c r="A372" s="4">
        <v>1.0</v>
      </c>
      <c r="B372" s="4" t="s">
        <v>1884</v>
      </c>
      <c r="C372" s="1"/>
      <c r="D372" s="4" t="s">
        <v>1885</v>
      </c>
      <c r="E372" s="3">
        <v>35000.0</v>
      </c>
      <c r="F372" s="2">
        <f t="shared" si="2"/>
        <v>35000</v>
      </c>
      <c r="G372" s="65">
        <f t="shared" si="7"/>
        <v>70000</v>
      </c>
      <c r="H372" s="1"/>
      <c r="I372" s="1"/>
      <c r="J372" s="1"/>
      <c r="K372" s="66" t="s">
        <v>1187</v>
      </c>
      <c r="L372" s="66" t="s">
        <v>1314</v>
      </c>
      <c r="M372" s="66" t="s">
        <v>1080</v>
      </c>
      <c r="N372" s="66" t="s">
        <v>1315</v>
      </c>
      <c r="O372" s="66" t="s">
        <v>1084</v>
      </c>
      <c r="P372" s="67" t="s">
        <v>1168</v>
      </c>
      <c r="Q372" s="18" t="s">
        <v>831</v>
      </c>
      <c r="R372" s="68" t="str">
        <f>IFERROR(CONCATENATE("*",VLOOKUP(L372,PARAM!D:E,2,0),VLOOKUP(M372,PARAM!J:K,2,0),VLOOKUP(N372,PARAM!G:H,2,0),VLOOKUP(P372,PARAM!P:Q,2,0),"*"),"")</f>
        <v>*4025127*</v>
      </c>
      <c r="S372" s="18" t="str">
        <f>IFERROR(CONCATENATE(VLOOKUP(L372,PARAM!D:E,2,0),VLOOKUP(M372,PARAM!J:K,2,0),VLOOKUP(N372,PARAM!G:H,2,0),VLOOKUP(O372,PARAM!M:N,2,0),VLOOKUP(P372,PARAM!P:Q,2,0)),"")</f>
        <v>40251427</v>
      </c>
      <c r="T372" s="18">
        <f t="shared" si="4"/>
        <v>9</v>
      </c>
      <c r="U372" s="18" t="str">
        <f t="shared" si="5"/>
        <v>CONJUNTO CABALLERO BRASIL AAA AZUL NOCHE TALLA S</v>
      </c>
    </row>
    <row r="373">
      <c r="A373" s="4">
        <v>1.0</v>
      </c>
      <c r="B373" s="4" t="s">
        <v>1884</v>
      </c>
      <c r="C373" s="1"/>
      <c r="D373" s="4" t="s">
        <v>1885</v>
      </c>
      <c r="E373" s="3">
        <v>35000.0</v>
      </c>
      <c r="F373" s="2">
        <f t="shared" si="2"/>
        <v>35000</v>
      </c>
      <c r="G373" s="65">
        <f t="shared" si="7"/>
        <v>70000</v>
      </c>
      <c r="H373" s="1"/>
      <c r="I373" s="1"/>
      <c r="J373" s="1"/>
      <c r="K373" s="66" t="s">
        <v>1187</v>
      </c>
      <c r="L373" s="66" t="s">
        <v>1314</v>
      </c>
      <c r="M373" s="66" t="s">
        <v>1080</v>
      </c>
      <c r="N373" s="66" t="s">
        <v>1315</v>
      </c>
      <c r="O373" s="66" t="s">
        <v>1084</v>
      </c>
      <c r="P373" s="67" t="s">
        <v>1164</v>
      </c>
      <c r="Q373" s="18" t="s">
        <v>831</v>
      </c>
      <c r="R373" s="68" t="str">
        <f>IFERROR(CONCATENATE("*",VLOOKUP(L373,PARAM!D:E,2,0),VLOOKUP(M373,PARAM!J:K,2,0),VLOOKUP(N373,PARAM!G:H,2,0),VLOOKUP(P373,PARAM!P:Q,2,0),"*"),"")</f>
        <v>*4025125*</v>
      </c>
      <c r="S373" s="18" t="str">
        <f>IFERROR(CONCATENATE(VLOOKUP(L373,PARAM!D:E,2,0),VLOOKUP(M373,PARAM!J:K,2,0),VLOOKUP(N373,PARAM!G:H,2,0),VLOOKUP(O373,PARAM!M:N,2,0),VLOOKUP(P373,PARAM!P:Q,2,0)),"")</f>
        <v>40251425</v>
      </c>
      <c r="T373" s="18">
        <f t="shared" si="4"/>
        <v>9</v>
      </c>
      <c r="U373" s="18" t="str">
        <f t="shared" si="5"/>
        <v>CONJUNTO CABALLERO BRASIL AAA AZUL NOCHE TALLA M</v>
      </c>
    </row>
    <row r="374">
      <c r="A374" s="4">
        <v>1.0</v>
      </c>
      <c r="B374" s="4" t="s">
        <v>1884</v>
      </c>
      <c r="C374" s="1"/>
      <c r="D374" s="4" t="s">
        <v>1885</v>
      </c>
      <c r="E374" s="3">
        <v>35000.0</v>
      </c>
      <c r="F374" s="2">
        <f t="shared" si="2"/>
        <v>35000</v>
      </c>
      <c r="G374" s="65">
        <f t="shared" si="7"/>
        <v>70000</v>
      </c>
      <c r="H374" s="1"/>
      <c r="I374" s="1"/>
      <c r="J374" s="1"/>
      <c r="K374" s="66" t="s">
        <v>1187</v>
      </c>
      <c r="L374" s="66" t="s">
        <v>1314</v>
      </c>
      <c r="M374" s="66" t="s">
        <v>1080</v>
      </c>
      <c r="N374" s="66" t="s">
        <v>1315</v>
      </c>
      <c r="O374" s="66" t="s">
        <v>1084</v>
      </c>
      <c r="P374" s="67" t="s">
        <v>1165</v>
      </c>
      <c r="Q374" s="18" t="s">
        <v>831</v>
      </c>
      <c r="R374" s="68" t="str">
        <f>IFERROR(CONCATENATE("*",VLOOKUP(L374,PARAM!D:E,2,0),VLOOKUP(M374,PARAM!J:K,2,0),VLOOKUP(N374,PARAM!G:H,2,0),VLOOKUP(P374,PARAM!P:Q,2,0),"*"),"")</f>
        <v>*4025123*</v>
      </c>
      <c r="S374" s="18" t="str">
        <f>IFERROR(CONCATENATE(VLOOKUP(L374,PARAM!D:E,2,0),VLOOKUP(M374,PARAM!J:K,2,0),VLOOKUP(N374,PARAM!G:H,2,0),VLOOKUP(O374,PARAM!M:N,2,0),VLOOKUP(P374,PARAM!P:Q,2,0)),"")</f>
        <v>40251423</v>
      </c>
      <c r="T374" s="18">
        <f t="shared" si="4"/>
        <v>9</v>
      </c>
      <c r="U374" s="18" t="str">
        <f t="shared" si="5"/>
        <v>CONJUNTO CABALLERO BRASIL AAA AZUL NOCHE TALLA L</v>
      </c>
    </row>
    <row r="375">
      <c r="A375" s="4">
        <v>1.0</v>
      </c>
      <c r="B375" s="4" t="s">
        <v>1884</v>
      </c>
      <c r="C375" s="1"/>
      <c r="D375" s="4" t="s">
        <v>1885</v>
      </c>
      <c r="E375" s="3">
        <v>35000.0</v>
      </c>
      <c r="F375" s="2">
        <f t="shared" si="2"/>
        <v>35000</v>
      </c>
      <c r="G375" s="65">
        <f t="shared" si="7"/>
        <v>70000</v>
      </c>
      <c r="H375" s="1"/>
      <c r="I375" s="1"/>
      <c r="J375" s="1"/>
      <c r="K375" s="66" t="s">
        <v>1187</v>
      </c>
      <c r="L375" s="66" t="s">
        <v>1314</v>
      </c>
      <c r="M375" s="66" t="s">
        <v>1080</v>
      </c>
      <c r="N375" s="66" t="s">
        <v>1315</v>
      </c>
      <c r="O375" s="66" t="s">
        <v>1084</v>
      </c>
      <c r="P375" s="67" t="s">
        <v>1077</v>
      </c>
      <c r="Q375" s="18" t="s">
        <v>831</v>
      </c>
      <c r="R375" s="68" t="str">
        <f>IFERROR(CONCATENATE("*",VLOOKUP(L375,PARAM!D:E,2,0),VLOOKUP(M375,PARAM!J:K,2,0),VLOOKUP(N375,PARAM!G:H,2,0),VLOOKUP(P375,PARAM!P:Q,2,0),"*"),"")</f>
        <v>*4025132*</v>
      </c>
      <c r="S375" s="18" t="str">
        <f>IFERROR(CONCATENATE(VLOOKUP(L375,PARAM!D:E,2,0),VLOOKUP(M375,PARAM!J:K,2,0),VLOOKUP(N375,PARAM!G:H,2,0),VLOOKUP(O375,PARAM!M:N,2,0),VLOOKUP(P375,PARAM!P:Q,2,0)),"")</f>
        <v>40251432</v>
      </c>
      <c r="T375" s="18">
        <f t="shared" si="4"/>
        <v>9</v>
      </c>
      <c r="U375" s="18" t="str">
        <f t="shared" si="5"/>
        <v>CONJUNTO CABALLERO BRASIL AAA AZUL NOCHE TALLA XL</v>
      </c>
    </row>
    <row r="376">
      <c r="A376" s="4">
        <v>1.0</v>
      </c>
      <c r="B376" s="4" t="s">
        <v>1884</v>
      </c>
      <c r="C376" s="1"/>
      <c r="D376" s="4" t="s">
        <v>1885</v>
      </c>
      <c r="E376" s="3">
        <v>35000.0</v>
      </c>
      <c r="F376" s="2">
        <f t="shared" si="2"/>
        <v>35000</v>
      </c>
      <c r="G376" s="65">
        <f t="shared" si="7"/>
        <v>70000</v>
      </c>
      <c r="H376" s="1"/>
      <c r="I376" s="1"/>
      <c r="J376" s="1"/>
      <c r="K376" s="66" t="s">
        <v>1187</v>
      </c>
      <c r="L376" s="66" t="s">
        <v>1314</v>
      </c>
      <c r="M376" s="66" t="s">
        <v>1080</v>
      </c>
      <c r="N376" s="66" t="s">
        <v>1315</v>
      </c>
      <c r="O376" s="66" t="s">
        <v>1084</v>
      </c>
      <c r="P376" s="67" t="s">
        <v>1189</v>
      </c>
      <c r="Q376" s="18" t="s">
        <v>831</v>
      </c>
      <c r="R376" s="68" t="str">
        <f>IFERROR(CONCATENATE("*",VLOOKUP(L376,PARAM!D:E,2,0),VLOOKUP(M376,PARAM!J:K,2,0),VLOOKUP(N376,PARAM!G:H,2,0),VLOOKUP(P376,PARAM!P:Q,2,0),"*"),"")</f>
        <v>*4025134*</v>
      </c>
      <c r="S376" s="18" t="str">
        <f>IFERROR(CONCATENATE(VLOOKUP(L376,PARAM!D:E,2,0),VLOOKUP(M376,PARAM!J:K,2,0),VLOOKUP(N376,PARAM!G:H,2,0),VLOOKUP(O376,PARAM!M:N,2,0),VLOOKUP(P376,PARAM!P:Q,2,0)),"")</f>
        <v>40251434</v>
      </c>
      <c r="T376" s="18">
        <f t="shared" si="4"/>
        <v>9</v>
      </c>
      <c r="U376" s="18" t="str">
        <f t="shared" si="5"/>
        <v>CONJUNTO CABALLERO BRASIL AAA AZUL NOCHE TALLA XXL</v>
      </c>
    </row>
    <row r="377">
      <c r="A377" s="4">
        <v>1.0</v>
      </c>
      <c r="B377" s="4" t="s">
        <v>1886</v>
      </c>
      <c r="C377" s="1"/>
      <c r="D377" s="4" t="s">
        <v>1887</v>
      </c>
      <c r="E377" s="2"/>
      <c r="F377" s="2">
        <f t="shared" si="2"/>
        <v>0</v>
      </c>
      <c r="G377" s="65">
        <f t="shared" si="7"/>
        <v>0</v>
      </c>
      <c r="H377" s="1"/>
      <c r="I377" s="1"/>
      <c r="J377" s="1"/>
      <c r="K377" s="66" t="s">
        <v>1187</v>
      </c>
      <c r="L377" s="66" t="s">
        <v>1314</v>
      </c>
      <c r="M377" s="66" t="s">
        <v>1080</v>
      </c>
      <c r="N377" s="66" t="s">
        <v>1316</v>
      </c>
      <c r="O377" s="66" t="s">
        <v>1122</v>
      </c>
      <c r="P377" s="67" t="s">
        <v>1168</v>
      </c>
      <c r="Q377" s="18" t="s">
        <v>837</v>
      </c>
      <c r="R377" s="68" t="str">
        <f>IFERROR(CONCATENATE("*",VLOOKUP(L377,PARAM!D:E,2,0),VLOOKUP(M377,PARAM!J:K,2,0),VLOOKUP(N377,PARAM!G:H,2,0),VLOOKUP(P377,PARAM!P:Q,2,0),"*"),"")</f>
        <v>*40222327*</v>
      </c>
      <c r="S377" s="18" t="str">
        <f>IFERROR(CONCATENATE(VLOOKUP(L377,PARAM!D:E,2,0),VLOOKUP(M377,PARAM!J:K,2,0),VLOOKUP(N377,PARAM!G:H,2,0),VLOOKUP(O377,PARAM!M:N,2,0),VLOOKUP(P377,PARAM!P:Q,2,0)),"")</f>
        <v>4022231427</v>
      </c>
      <c r="T377" s="18">
        <f t="shared" si="4"/>
        <v>10</v>
      </c>
      <c r="U377" s="18" t="str">
        <f t="shared" si="5"/>
        <v>CONJUNTO CABALLERO PORTUGAL AAA ROJO TALLA S</v>
      </c>
    </row>
    <row r="378">
      <c r="A378" s="4">
        <v>2.0</v>
      </c>
      <c r="B378" s="4" t="s">
        <v>1886</v>
      </c>
      <c r="C378" s="1"/>
      <c r="D378" s="4" t="s">
        <v>1887</v>
      </c>
      <c r="E378" s="2"/>
      <c r="F378" s="2">
        <f t="shared" si="2"/>
        <v>0</v>
      </c>
      <c r="G378" s="65">
        <f t="shared" si="7"/>
        <v>0</v>
      </c>
      <c r="H378" s="1"/>
      <c r="I378" s="1"/>
      <c r="J378" s="1"/>
      <c r="K378" s="66" t="s">
        <v>1187</v>
      </c>
      <c r="L378" s="66" t="s">
        <v>1314</v>
      </c>
      <c r="M378" s="66" t="s">
        <v>1080</v>
      </c>
      <c r="N378" s="66" t="s">
        <v>1316</v>
      </c>
      <c r="O378" s="66" t="s">
        <v>1122</v>
      </c>
      <c r="P378" s="67" t="s">
        <v>1164</v>
      </c>
      <c r="Q378" s="18" t="s">
        <v>837</v>
      </c>
      <c r="R378" s="68" t="str">
        <f>IFERROR(CONCATENATE("*",VLOOKUP(L378,PARAM!D:E,2,0),VLOOKUP(M378,PARAM!J:K,2,0),VLOOKUP(N378,PARAM!G:H,2,0),VLOOKUP(P378,PARAM!P:Q,2,0),"*"),"")</f>
        <v>*40222325*</v>
      </c>
      <c r="S378" s="18" t="str">
        <f>IFERROR(CONCATENATE(VLOOKUP(L378,PARAM!D:E,2,0),VLOOKUP(M378,PARAM!J:K,2,0),VLOOKUP(N378,PARAM!G:H,2,0),VLOOKUP(O378,PARAM!M:N,2,0),VLOOKUP(P378,PARAM!P:Q,2,0)),"")</f>
        <v>4022231425</v>
      </c>
      <c r="T378" s="18">
        <f t="shared" si="4"/>
        <v>10</v>
      </c>
      <c r="U378" s="18" t="str">
        <f t="shared" si="5"/>
        <v>CONJUNTO CABALLERO PORTUGAL AAA ROJO TALLA M</v>
      </c>
    </row>
    <row r="379">
      <c r="A379" s="4">
        <v>2.0</v>
      </c>
      <c r="B379" s="4" t="s">
        <v>1886</v>
      </c>
      <c r="C379" s="1"/>
      <c r="D379" s="4" t="s">
        <v>1887</v>
      </c>
      <c r="E379" s="2"/>
      <c r="F379" s="2">
        <f t="shared" si="2"/>
        <v>0</v>
      </c>
      <c r="G379" s="65">
        <f t="shared" si="7"/>
        <v>0</v>
      </c>
      <c r="H379" s="1"/>
      <c r="I379" s="1"/>
      <c r="J379" s="1"/>
      <c r="K379" s="66" t="s">
        <v>1187</v>
      </c>
      <c r="L379" s="66" t="s">
        <v>1314</v>
      </c>
      <c r="M379" s="66" t="s">
        <v>1080</v>
      </c>
      <c r="N379" s="66" t="s">
        <v>1316</v>
      </c>
      <c r="O379" s="66" t="s">
        <v>1122</v>
      </c>
      <c r="P379" s="67" t="s">
        <v>1165</v>
      </c>
      <c r="Q379" s="18" t="s">
        <v>837</v>
      </c>
      <c r="R379" s="68" t="str">
        <f>IFERROR(CONCATENATE("*",VLOOKUP(L379,PARAM!D:E,2,0),VLOOKUP(M379,PARAM!J:K,2,0),VLOOKUP(N379,PARAM!G:H,2,0),VLOOKUP(P379,PARAM!P:Q,2,0),"*"),"")</f>
        <v>*40222323*</v>
      </c>
      <c r="S379" s="18" t="str">
        <f>IFERROR(CONCATENATE(VLOOKUP(L379,PARAM!D:E,2,0),VLOOKUP(M379,PARAM!J:K,2,0),VLOOKUP(N379,PARAM!G:H,2,0),VLOOKUP(O379,PARAM!M:N,2,0),VLOOKUP(P379,PARAM!P:Q,2,0)),"")</f>
        <v>4022231423</v>
      </c>
      <c r="T379" s="18">
        <f t="shared" si="4"/>
        <v>10</v>
      </c>
      <c r="U379" s="18" t="str">
        <f t="shared" si="5"/>
        <v>CONJUNTO CABALLERO PORTUGAL AAA ROJO TALLA L</v>
      </c>
    </row>
    <row r="380">
      <c r="A380" s="4">
        <v>1.0</v>
      </c>
      <c r="B380" s="4" t="s">
        <v>1886</v>
      </c>
      <c r="C380" s="1"/>
      <c r="D380" s="4" t="s">
        <v>1887</v>
      </c>
      <c r="E380" s="2"/>
      <c r="F380" s="2">
        <f t="shared" si="2"/>
        <v>0</v>
      </c>
      <c r="G380" s="65">
        <f t="shared" si="7"/>
        <v>0</v>
      </c>
      <c r="H380" s="1"/>
      <c r="I380" s="1"/>
      <c r="J380" s="1"/>
      <c r="K380" s="66" t="s">
        <v>1187</v>
      </c>
      <c r="L380" s="66" t="s">
        <v>1314</v>
      </c>
      <c r="M380" s="66" t="s">
        <v>1080</v>
      </c>
      <c r="N380" s="66" t="s">
        <v>1316</v>
      </c>
      <c r="O380" s="66" t="s">
        <v>1122</v>
      </c>
      <c r="P380" s="67" t="s">
        <v>1077</v>
      </c>
      <c r="Q380" s="18" t="s">
        <v>837</v>
      </c>
      <c r="R380" s="68" t="str">
        <f>IFERROR(CONCATENATE("*",VLOOKUP(L380,PARAM!D:E,2,0),VLOOKUP(M380,PARAM!J:K,2,0),VLOOKUP(N380,PARAM!G:H,2,0),VLOOKUP(P380,PARAM!P:Q,2,0),"*"),"")</f>
        <v>*40222332*</v>
      </c>
      <c r="S380" s="18" t="str">
        <f>IFERROR(CONCATENATE(VLOOKUP(L380,PARAM!D:E,2,0),VLOOKUP(M380,PARAM!J:K,2,0),VLOOKUP(N380,PARAM!G:H,2,0),VLOOKUP(O380,PARAM!M:N,2,0),VLOOKUP(P380,PARAM!P:Q,2,0)),"")</f>
        <v>4022231432</v>
      </c>
      <c r="T380" s="18">
        <f t="shared" si="4"/>
        <v>10</v>
      </c>
      <c r="U380" s="18" t="str">
        <f t="shared" si="5"/>
        <v>CONJUNTO CABALLERO PORTUGAL AAA ROJO TALLA XL</v>
      </c>
    </row>
    <row r="381">
      <c r="A381" s="4">
        <v>1.0</v>
      </c>
      <c r="B381" s="4" t="s">
        <v>1888</v>
      </c>
      <c r="C381" s="1"/>
      <c r="D381" s="4" t="s">
        <v>1889</v>
      </c>
      <c r="E381" s="2"/>
      <c r="F381" s="2">
        <f t="shared" si="2"/>
        <v>0</v>
      </c>
      <c r="G381" s="65">
        <f t="shared" si="7"/>
        <v>0</v>
      </c>
      <c r="H381" s="1"/>
      <c r="I381" s="1"/>
      <c r="J381" s="1"/>
      <c r="K381" s="66" t="s">
        <v>1187</v>
      </c>
      <c r="L381" s="66" t="s">
        <v>1171</v>
      </c>
      <c r="M381" s="66" t="s">
        <v>1080</v>
      </c>
      <c r="N381" s="66" t="s">
        <v>1317</v>
      </c>
      <c r="O381" s="66" t="s">
        <v>1085</v>
      </c>
      <c r="P381" s="67" t="s">
        <v>1168</v>
      </c>
      <c r="Q381" s="18" t="s">
        <v>842</v>
      </c>
      <c r="R381" s="68" t="str">
        <f>IFERROR(CONCATENATE("*",VLOOKUP(L381,PARAM!D:E,2,0),VLOOKUP(M381,PARAM!J:K,2,0),VLOOKUP(N381,PARAM!G:H,2,0),VLOOKUP(P381,PARAM!P:Q,2,0),"*"),"")</f>
        <v>*1123827*</v>
      </c>
      <c r="S381" s="18" t="str">
        <f>IFERROR(CONCATENATE(VLOOKUP(L381,PARAM!D:E,2,0),VLOOKUP(M381,PARAM!J:K,2,0),VLOOKUP(N381,PARAM!G:H,2,0),VLOOKUP(O381,PARAM!M:N,2,0),VLOOKUP(P381,PARAM!P:Q,2,0)),"")</f>
        <v>112381827</v>
      </c>
      <c r="T381" s="18">
        <f t="shared" si="4"/>
        <v>9</v>
      </c>
      <c r="U381" s="18" t="str">
        <f t="shared" si="5"/>
        <v>CAMISETAS CABALLERO ATLETICO NACIONAL AAA 2026 VERDE TALLA S</v>
      </c>
    </row>
    <row r="382">
      <c r="A382" s="4">
        <v>2.0</v>
      </c>
      <c r="B382" s="4" t="s">
        <v>1888</v>
      </c>
      <c r="C382" s="1"/>
      <c r="D382" s="4" t="s">
        <v>1889</v>
      </c>
      <c r="E382" s="2"/>
      <c r="F382" s="2">
        <f t="shared" si="2"/>
        <v>0</v>
      </c>
      <c r="G382" s="65">
        <f t="shared" si="7"/>
        <v>0</v>
      </c>
      <c r="H382" s="1"/>
      <c r="I382" s="1"/>
      <c r="J382" s="1"/>
      <c r="K382" s="66" t="s">
        <v>1187</v>
      </c>
      <c r="L382" s="66" t="s">
        <v>1171</v>
      </c>
      <c r="M382" s="66" t="s">
        <v>1080</v>
      </c>
      <c r="N382" s="66" t="s">
        <v>1317</v>
      </c>
      <c r="O382" s="66" t="s">
        <v>1085</v>
      </c>
      <c r="P382" s="67" t="s">
        <v>1164</v>
      </c>
      <c r="Q382" s="18" t="s">
        <v>842</v>
      </c>
      <c r="R382" s="68" t="str">
        <f>IFERROR(CONCATENATE("*",VLOOKUP(L382,PARAM!D:E,2,0),VLOOKUP(M382,PARAM!J:K,2,0),VLOOKUP(N382,PARAM!G:H,2,0),VLOOKUP(P382,PARAM!P:Q,2,0),"*"),"")</f>
        <v>*1123825*</v>
      </c>
      <c r="S382" s="18" t="str">
        <f>IFERROR(CONCATENATE(VLOOKUP(L382,PARAM!D:E,2,0),VLOOKUP(M382,PARAM!J:K,2,0),VLOOKUP(N382,PARAM!G:H,2,0),VLOOKUP(O382,PARAM!M:N,2,0),VLOOKUP(P382,PARAM!P:Q,2,0)),"")</f>
        <v>112381825</v>
      </c>
      <c r="T382" s="18">
        <f t="shared" si="4"/>
        <v>9</v>
      </c>
      <c r="U382" s="18" t="str">
        <f t="shared" si="5"/>
        <v>CAMISETAS CABALLERO ATLETICO NACIONAL AAA 2026 VERDE TALLA M</v>
      </c>
    </row>
    <row r="383">
      <c r="A383" s="4">
        <v>2.0</v>
      </c>
      <c r="B383" s="4" t="s">
        <v>1888</v>
      </c>
      <c r="C383" s="1"/>
      <c r="D383" s="4" t="s">
        <v>1889</v>
      </c>
      <c r="E383" s="2"/>
      <c r="F383" s="2">
        <f t="shared" si="2"/>
        <v>0</v>
      </c>
      <c r="G383" s="65">
        <f t="shared" si="7"/>
        <v>0</v>
      </c>
      <c r="H383" s="1"/>
      <c r="I383" s="1"/>
      <c r="J383" s="1"/>
      <c r="K383" s="66" t="s">
        <v>1187</v>
      </c>
      <c r="L383" s="66" t="s">
        <v>1171</v>
      </c>
      <c r="M383" s="66" t="s">
        <v>1080</v>
      </c>
      <c r="N383" s="66" t="s">
        <v>1317</v>
      </c>
      <c r="O383" s="66" t="s">
        <v>1085</v>
      </c>
      <c r="P383" s="67" t="s">
        <v>1165</v>
      </c>
      <c r="Q383" s="18" t="s">
        <v>842</v>
      </c>
      <c r="R383" s="68" t="str">
        <f>IFERROR(CONCATENATE("*",VLOOKUP(L383,PARAM!D:E,2,0),VLOOKUP(M383,PARAM!J:K,2,0),VLOOKUP(N383,PARAM!G:H,2,0),VLOOKUP(P383,PARAM!P:Q,2,0),"*"),"")</f>
        <v>*1123823*</v>
      </c>
      <c r="S383" s="18" t="str">
        <f>IFERROR(CONCATENATE(VLOOKUP(L383,PARAM!D:E,2,0),VLOOKUP(M383,PARAM!J:K,2,0),VLOOKUP(N383,PARAM!G:H,2,0),VLOOKUP(O383,PARAM!M:N,2,0),VLOOKUP(P383,PARAM!P:Q,2,0)),"")</f>
        <v>112381823</v>
      </c>
      <c r="T383" s="18">
        <f t="shared" si="4"/>
        <v>9</v>
      </c>
      <c r="U383" s="18" t="str">
        <f t="shared" si="5"/>
        <v>CAMISETAS CABALLERO ATLETICO NACIONAL AAA 2026 VERDE TALLA L</v>
      </c>
    </row>
    <row r="384">
      <c r="A384" s="4">
        <v>1.0</v>
      </c>
      <c r="B384" s="4" t="s">
        <v>1888</v>
      </c>
      <c r="C384" s="1"/>
      <c r="D384" s="4" t="s">
        <v>1889</v>
      </c>
      <c r="E384" s="2"/>
      <c r="F384" s="2">
        <f t="shared" si="2"/>
        <v>0</v>
      </c>
      <c r="G384" s="65">
        <f t="shared" si="7"/>
        <v>0</v>
      </c>
      <c r="H384" s="1"/>
      <c r="I384" s="1"/>
      <c r="J384" s="1"/>
      <c r="K384" s="66" t="s">
        <v>1187</v>
      </c>
      <c r="L384" s="66" t="s">
        <v>1171</v>
      </c>
      <c r="M384" s="66" t="s">
        <v>1080</v>
      </c>
      <c r="N384" s="66" t="s">
        <v>1317</v>
      </c>
      <c r="O384" s="66" t="s">
        <v>1085</v>
      </c>
      <c r="P384" s="67" t="s">
        <v>1077</v>
      </c>
      <c r="Q384" s="18" t="s">
        <v>842</v>
      </c>
      <c r="R384" s="68" t="str">
        <f>IFERROR(CONCATENATE("*",VLOOKUP(L384,PARAM!D:E,2,0),VLOOKUP(M384,PARAM!J:K,2,0),VLOOKUP(N384,PARAM!G:H,2,0),VLOOKUP(P384,PARAM!P:Q,2,0),"*"),"")</f>
        <v>*1123832*</v>
      </c>
      <c r="S384" s="18" t="str">
        <f>IFERROR(CONCATENATE(VLOOKUP(L384,PARAM!D:E,2,0),VLOOKUP(M384,PARAM!J:K,2,0),VLOOKUP(N384,PARAM!G:H,2,0),VLOOKUP(O384,PARAM!M:N,2,0),VLOOKUP(P384,PARAM!P:Q,2,0)),"")</f>
        <v>112381832</v>
      </c>
      <c r="T384" s="18">
        <f t="shared" si="4"/>
        <v>9</v>
      </c>
      <c r="U384" s="18" t="str">
        <f t="shared" si="5"/>
        <v>CAMISETAS CABALLERO ATLETICO NACIONAL AAA 2026 VERDE TALLA XL</v>
      </c>
    </row>
    <row r="385">
      <c r="A385" s="4">
        <v>4.0</v>
      </c>
      <c r="B385" s="4" t="s">
        <v>1890</v>
      </c>
      <c r="C385" s="1"/>
      <c r="D385" s="4" t="s">
        <v>1891</v>
      </c>
      <c r="E385" s="3">
        <v>15000.0</v>
      </c>
      <c r="F385" s="2">
        <f t="shared" si="2"/>
        <v>60000</v>
      </c>
      <c r="G385" s="65">
        <f t="shared" si="7"/>
        <v>30000</v>
      </c>
      <c r="H385" s="1"/>
      <c r="I385" s="1"/>
      <c r="J385" s="1"/>
      <c r="K385" s="66" t="s">
        <v>1187</v>
      </c>
      <c r="L385" s="66" t="s">
        <v>1171</v>
      </c>
      <c r="M385" s="66" t="s">
        <v>1080</v>
      </c>
      <c r="N385" s="66" t="s">
        <v>1318</v>
      </c>
      <c r="O385" s="66" t="s">
        <v>1085</v>
      </c>
      <c r="P385" s="67" t="s">
        <v>1077</v>
      </c>
      <c r="Q385" s="18" t="s">
        <v>842</v>
      </c>
      <c r="R385" s="68" t="str">
        <f>IFERROR(CONCATENATE("*",VLOOKUP(L385,PARAM!D:E,2,0),VLOOKUP(M385,PARAM!J:K,2,0),VLOOKUP(N385,PARAM!G:H,2,0),VLOOKUP(P385,PARAM!P:Q,2,0),"*"),"")</f>
        <v>*1123732*</v>
      </c>
      <c r="S385" s="18" t="str">
        <f>IFERROR(CONCATENATE(VLOOKUP(L385,PARAM!D:E,2,0),VLOOKUP(M385,PARAM!J:K,2,0),VLOOKUP(N385,PARAM!G:H,2,0),VLOOKUP(O385,PARAM!M:N,2,0),VLOOKUP(P385,PARAM!P:Q,2,0)),"")</f>
        <v>112371832</v>
      </c>
      <c r="T385" s="18">
        <f t="shared" si="4"/>
        <v>9</v>
      </c>
      <c r="U385" s="18" t="str">
        <f t="shared" si="5"/>
        <v>CAMISETAS CABALLERO ATLETICO NACIONAL AAA 2025 VERDE TALLA XL</v>
      </c>
    </row>
    <row r="386">
      <c r="A386" s="4">
        <v>3.0</v>
      </c>
      <c r="B386" s="4" t="s">
        <v>1888</v>
      </c>
      <c r="C386" s="1"/>
      <c r="D386" s="4" t="s">
        <v>1892</v>
      </c>
      <c r="E386" s="3">
        <v>15000.0</v>
      </c>
      <c r="F386" s="2">
        <f t="shared" si="2"/>
        <v>45000</v>
      </c>
      <c r="G386" s="65">
        <f t="shared" si="7"/>
        <v>30000</v>
      </c>
      <c r="H386" s="1"/>
      <c r="I386" s="1"/>
      <c r="J386" s="1"/>
      <c r="K386" s="66" t="s">
        <v>1187</v>
      </c>
      <c r="L386" s="66" t="s">
        <v>1171</v>
      </c>
      <c r="M386" s="66" t="s">
        <v>1080</v>
      </c>
      <c r="N386" s="66" t="s">
        <v>1318</v>
      </c>
      <c r="O386" s="66" t="s">
        <v>1066</v>
      </c>
      <c r="P386" s="67" t="s">
        <v>1165</v>
      </c>
      <c r="Q386" s="18" t="s">
        <v>842</v>
      </c>
      <c r="R386" s="68" t="str">
        <f>IFERROR(CONCATENATE("*",VLOOKUP(L386,PARAM!D:E,2,0),VLOOKUP(M386,PARAM!J:K,2,0),VLOOKUP(N386,PARAM!G:H,2,0),VLOOKUP(P386,PARAM!P:Q,2,0),"*"),"")</f>
        <v>*1123723*</v>
      </c>
      <c r="S386" s="18" t="str">
        <f>IFERROR(CONCATENATE(VLOOKUP(L386,PARAM!D:E,2,0),VLOOKUP(M386,PARAM!J:K,2,0),VLOOKUP(N386,PARAM!G:H,2,0),VLOOKUP(O386,PARAM!M:N,2,0),VLOOKUP(P386,PARAM!P:Q,2,0)),"")</f>
        <v>112371223</v>
      </c>
      <c r="T386" s="18">
        <f t="shared" si="4"/>
        <v>9</v>
      </c>
      <c r="U386" s="18" t="str">
        <f t="shared" si="5"/>
        <v>CAMISETAS CABALLERO ATLETICO NACIONAL AAA 2025 NEGRO TALLA L</v>
      </c>
    </row>
    <row r="387">
      <c r="A387" s="4">
        <v>1.0</v>
      </c>
      <c r="B387" s="4" t="s">
        <v>1893</v>
      </c>
      <c r="C387" s="1"/>
      <c r="D387" s="4" t="s">
        <v>1894</v>
      </c>
      <c r="E387" s="2"/>
      <c r="F387" s="2">
        <f t="shared" si="2"/>
        <v>0</v>
      </c>
      <c r="G387" s="65">
        <f t="shared" si="7"/>
        <v>0</v>
      </c>
      <c r="H387" s="1"/>
      <c r="I387" s="1"/>
      <c r="J387" s="1"/>
      <c r="K387" s="66" t="s">
        <v>1187</v>
      </c>
      <c r="L387" s="66" t="s">
        <v>1171</v>
      </c>
      <c r="M387" s="66" t="s">
        <v>1080</v>
      </c>
      <c r="N387" s="66" t="s">
        <v>1319</v>
      </c>
      <c r="O387" s="66" t="s">
        <v>1320</v>
      </c>
      <c r="P387" s="67" t="s">
        <v>1168</v>
      </c>
      <c r="Q387" s="18" t="s">
        <v>837</v>
      </c>
      <c r="R387" s="68" t="str">
        <f>IFERROR(CONCATENATE("*",VLOOKUP(L387,PARAM!D:E,2,0),VLOOKUP(M387,PARAM!J:K,2,0),VLOOKUP(N387,PARAM!G:H,2,0),VLOOKUP(P387,PARAM!P:Q,2,0),"*"),"")</f>
        <v>*11222227*</v>
      </c>
      <c r="S387" s="18" t="str">
        <f>IFERROR(CONCATENATE(VLOOKUP(L387,PARAM!D:E,2,0),VLOOKUP(M387,PARAM!J:K,2,0),VLOOKUP(N387,PARAM!G:H,2,0),VLOOKUP(O387,PARAM!M:N,2,0),VLOOKUP(P387,PARAM!P:Q,2,0)),"")</f>
        <v>112222627</v>
      </c>
      <c r="T387" s="18">
        <f t="shared" si="4"/>
        <v>10</v>
      </c>
      <c r="U387" s="18" t="str">
        <f t="shared" si="5"/>
        <v>CAMISETAS CABALLERO PORTUGAL 1.1 VISITANTE BLANCO TALLA S</v>
      </c>
    </row>
    <row r="388">
      <c r="A388" s="4">
        <v>1.0</v>
      </c>
      <c r="B388" s="4" t="s">
        <v>1893</v>
      </c>
      <c r="C388" s="1"/>
      <c r="D388" s="4" t="s">
        <v>1894</v>
      </c>
      <c r="E388" s="2"/>
      <c r="F388" s="2">
        <f t="shared" si="2"/>
        <v>0</v>
      </c>
      <c r="G388" s="65">
        <f t="shared" si="7"/>
        <v>0</v>
      </c>
      <c r="H388" s="1"/>
      <c r="I388" s="1"/>
      <c r="J388" s="1"/>
      <c r="K388" s="66" t="s">
        <v>1187</v>
      </c>
      <c r="L388" s="66" t="s">
        <v>1171</v>
      </c>
      <c r="M388" s="66" t="s">
        <v>1080</v>
      </c>
      <c r="N388" s="66" t="s">
        <v>1319</v>
      </c>
      <c r="O388" s="66" t="s">
        <v>1320</v>
      </c>
      <c r="P388" s="67" t="s">
        <v>1164</v>
      </c>
      <c r="Q388" s="18" t="s">
        <v>837</v>
      </c>
      <c r="R388" s="68" t="str">
        <f>IFERROR(CONCATENATE("*",VLOOKUP(L388,PARAM!D:E,2,0),VLOOKUP(M388,PARAM!J:K,2,0),VLOOKUP(N388,PARAM!G:H,2,0),VLOOKUP(P388,PARAM!P:Q,2,0),"*"),"")</f>
        <v>*11222225*</v>
      </c>
      <c r="S388" s="18" t="str">
        <f>IFERROR(CONCATENATE(VLOOKUP(L388,PARAM!D:E,2,0),VLOOKUP(M388,PARAM!J:K,2,0),VLOOKUP(N388,PARAM!G:H,2,0),VLOOKUP(O388,PARAM!M:N,2,0),VLOOKUP(P388,PARAM!P:Q,2,0)),"")</f>
        <v>112222625</v>
      </c>
      <c r="T388" s="18">
        <f t="shared" si="4"/>
        <v>10</v>
      </c>
      <c r="U388" s="18" t="str">
        <f t="shared" si="5"/>
        <v>CAMISETAS CABALLERO PORTUGAL 1.1 VISITANTE BLANCO TALLA M</v>
      </c>
    </row>
    <row r="389">
      <c r="A389" s="4">
        <v>1.0</v>
      </c>
      <c r="B389" s="4" t="s">
        <v>1893</v>
      </c>
      <c r="C389" s="1"/>
      <c r="D389" s="4" t="s">
        <v>1894</v>
      </c>
      <c r="E389" s="2"/>
      <c r="F389" s="2">
        <f t="shared" si="2"/>
        <v>0</v>
      </c>
      <c r="G389" s="65">
        <f t="shared" si="7"/>
        <v>0</v>
      </c>
      <c r="H389" s="1"/>
      <c r="I389" s="1"/>
      <c r="J389" s="1"/>
      <c r="K389" s="66" t="s">
        <v>1187</v>
      </c>
      <c r="L389" s="66" t="s">
        <v>1171</v>
      </c>
      <c r="M389" s="66" t="s">
        <v>1080</v>
      </c>
      <c r="N389" s="66" t="s">
        <v>1319</v>
      </c>
      <c r="O389" s="66" t="s">
        <v>1320</v>
      </c>
      <c r="P389" s="67" t="s">
        <v>1165</v>
      </c>
      <c r="Q389" s="18" t="s">
        <v>837</v>
      </c>
      <c r="R389" s="68" t="str">
        <f>IFERROR(CONCATENATE("*",VLOOKUP(L389,PARAM!D:E,2,0),VLOOKUP(M389,PARAM!J:K,2,0),VLOOKUP(N389,PARAM!G:H,2,0),VLOOKUP(P389,PARAM!P:Q,2,0),"*"),"")</f>
        <v>*11222223*</v>
      </c>
      <c r="S389" s="18" t="str">
        <f>IFERROR(CONCATENATE(VLOOKUP(L389,PARAM!D:E,2,0),VLOOKUP(M389,PARAM!J:K,2,0),VLOOKUP(N389,PARAM!G:H,2,0),VLOOKUP(O389,PARAM!M:N,2,0),VLOOKUP(P389,PARAM!P:Q,2,0)),"")</f>
        <v>112222623</v>
      </c>
      <c r="T389" s="18">
        <f t="shared" si="4"/>
        <v>10</v>
      </c>
      <c r="U389" s="18" t="str">
        <f t="shared" si="5"/>
        <v>CAMISETAS CABALLERO PORTUGAL 1.1 VISITANTE BLANCO TALLA L</v>
      </c>
    </row>
    <row r="390">
      <c r="A390" s="4">
        <v>1.0</v>
      </c>
      <c r="B390" s="4" t="s">
        <v>1893</v>
      </c>
      <c r="C390" s="1"/>
      <c r="D390" s="4" t="s">
        <v>1894</v>
      </c>
      <c r="E390" s="2"/>
      <c r="F390" s="2">
        <f t="shared" si="2"/>
        <v>0</v>
      </c>
      <c r="G390" s="65">
        <f t="shared" si="7"/>
        <v>0</v>
      </c>
      <c r="H390" s="1"/>
      <c r="I390" s="1"/>
      <c r="J390" s="1"/>
      <c r="K390" s="66" t="s">
        <v>1187</v>
      </c>
      <c r="L390" s="66" t="s">
        <v>1171</v>
      </c>
      <c r="M390" s="66" t="s">
        <v>1080</v>
      </c>
      <c r="N390" s="66" t="s">
        <v>1319</v>
      </c>
      <c r="O390" s="66" t="s">
        <v>1320</v>
      </c>
      <c r="P390" s="67" t="s">
        <v>1077</v>
      </c>
      <c r="Q390" s="18" t="s">
        <v>837</v>
      </c>
      <c r="R390" s="68" t="str">
        <f>IFERROR(CONCATENATE("*",VLOOKUP(L390,PARAM!D:E,2,0),VLOOKUP(M390,PARAM!J:K,2,0),VLOOKUP(N390,PARAM!G:H,2,0),VLOOKUP(P390,PARAM!P:Q,2,0),"*"),"")</f>
        <v>*11222232*</v>
      </c>
      <c r="S390" s="18" t="str">
        <f>IFERROR(CONCATENATE(VLOOKUP(L390,PARAM!D:E,2,0),VLOOKUP(M390,PARAM!J:K,2,0),VLOOKUP(N390,PARAM!G:H,2,0),VLOOKUP(O390,PARAM!M:N,2,0),VLOOKUP(P390,PARAM!P:Q,2,0)),"")</f>
        <v>112222632</v>
      </c>
      <c r="T390" s="18">
        <f t="shared" si="4"/>
        <v>10</v>
      </c>
      <c r="U390" s="18" t="str">
        <f t="shared" si="5"/>
        <v>CAMISETAS CABALLERO PORTUGAL 1.1 VISITANTE BLANCO TALLA XL</v>
      </c>
    </row>
    <row r="391">
      <c r="A391" s="4">
        <v>1.0</v>
      </c>
      <c r="B391" s="4" t="s">
        <v>1893</v>
      </c>
      <c r="C391" s="1"/>
      <c r="D391" s="4" t="s">
        <v>1894</v>
      </c>
      <c r="E391" s="2"/>
      <c r="F391" s="2">
        <f t="shared" si="2"/>
        <v>0</v>
      </c>
      <c r="G391" s="65">
        <f t="shared" si="7"/>
        <v>0</v>
      </c>
      <c r="H391" s="1"/>
      <c r="I391" s="1"/>
      <c r="J391" s="1"/>
      <c r="K391" s="66" t="s">
        <v>1187</v>
      </c>
      <c r="L391" s="66" t="s">
        <v>1171</v>
      </c>
      <c r="M391" s="66" t="s">
        <v>1080</v>
      </c>
      <c r="N391" s="66" t="s">
        <v>1319</v>
      </c>
      <c r="O391" s="66" t="s">
        <v>1320</v>
      </c>
      <c r="P391" s="67" t="s">
        <v>1189</v>
      </c>
      <c r="Q391" s="18" t="s">
        <v>837</v>
      </c>
      <c r="R391" s="68" t="str">
        <f>IFERROR(CONCATENATE("*",VLOOKUP(L391,PARAM!D:E,2,0),VLOOKUP(M391,PARAM!J:K,2,0),VLOOKUP(N391,PARAM!G:H,2,0),VLOOKUP(P391,PARAM!P:Q,2,0),"*"),"")</f>
        <v>*11222234*</v>
      </c>
      <c r="S391" s="18" t="str">
        <f>IFERROR(CONCATENATE(VLOOKUP(L391,PARAM!D:E,2,0),VLOOKUP(M391,PARAM!J:K,2,0),VLOOKUP(N391,PARAM!G:H,2,0),VLOOKUP(O391,PARAM!M:N,2,0),VLOOKUP(P391,PARAM!P:Q,2,0)),"")</f>
        <v>112222634</v>
      </c>
      <c r="T391" s="18">
        <f t="shared" si="4"/>
        <v>10</v>
      </c>
      <c r="U391" s="18" t="str">
        <f t="shared" si="5"/>
        <v>CAMISETAS CABALLERO PORTUGAL 1.1 VISITANTE BLANCO TALLA XXL</v>
      </c>
    </row>
    <row r="392">
      <c r="A392" s="4">
        <v>1.0</v>
      </c>
      <c r="B392" s="4" t="s">
        <v>1895</v>
      </c>
      <c r="C392" s="1"/>
      <c r="D392" s="4" t="s">
        <v>1896</v>
      </c>
      <c r="E392" s="2"/>
      <c r="F392" s="2">
        <f t="shared" si="2"/>
        <v>0</v>
      </c>
      <c r="G392" s="65">
        <f t="shared" si="7"/>
        <v>0</v>
      </c>
      <c r="H392" s="1"/>
      <c r="I392" s="1"/>
      <c r="J392" s="1"/>
      <c r="K392" s="66" t="s">
        <v>1187</v>
      </c>
      <c r="L392" s="66" t="s">
        <v>1314</v>
      </c>
      <c r="M392" s="66" t="s">
        <v>1080</v>
      </c>
      <c r="N392" s="66" t="s">
        <v>1321</v>
      </c>
      <c r="O392" s="66" t="s">
        <v>1084</v>
      </c>
      <c r="P392" s="67" t="s">
        <v>1168</v>
      </c>
      <c r="Q392" s="18" t="s">
        <v>806</v>
      </c>
      <c r="R392" s="68" t="str">
        <f>IFERROR(CONCATENATE("*",VLOOKUP(L392,PARAM!D:E,2,0),VLOOKUP(M392,PARAM!J:K,2,0),VLOOKUP(N392,PARAM!G:H,2,0),VLOOKUP(P392,PARAM!P:Q,2,0),"*"),"")</f>
        <v>*40215127*</v>
      </c>
      <c r="S392" s="18" t="str">
        <f>IFERROR(CONCATENATE(VLOOKUP(L392,PARAM!D:E,2,0),VLOOKUP(M392,PARAM!J:K,2,0),VLOOKUP(N392,PARAM!G:H,2,0),VLOOKUP(O392,PARAM!M:N,2,0),VLOOKUP(P392,PARAM!P:Q,2,0)),"")</f>
        <v>402151427</v>
      </c>
      <c r="T392" s="18">
        <f t="shared" si="4"/>
        <v>10</v>
      </c>
      <c r="U392" s="18" t="str">
        <f t="shared" si="5"/>
        <v>CONJUNTO CABALLERO JAPON AAA LOCAL AZUL NOCHE TALLA S</v>
      </c>
    </row>
    <row r="393">
      <c r="A393" s="4">
        <v>1.0</v>
      </c>
      <c r="B393" s="4" t="s">
        <v>1895</v>
      </c>
      <c r="C393" s="1"/>
      <c r="D393" s="4" t="s">
        <v>1896</v>
      </c>
      <c r="E393" s="2"/>
      <c r="F393" s="2">
        <f t="shared" si="2"/>
        <v>0</v>
      </c>
      <c r="G393" s="65">
        <f t="shared" si="7"/>
        <v>0</v>
      </c>
      <c r="H393" s="1"/>
      <c r="I393" s="1"/>
      <c r="J393" s="1"/>
      <c r="K393" s="66" t="s">
        <v>1187</v>
      </c>
      <c r="L393" s="66" t="s">
        <v>1314</v>
      </c>
      <c r="M393" s="66" t="s">
        <v>1080</v>
      </c>
      <c r="N393" s="66" t="s">
        <v>1321</v>
      </c>
      <c r="O393" s="66" t="s">
        <v>1084</v>
      </c>
      <c r="P393" s="67" t="s">
        <v>1164</v>
      </c>
      <c r="Q393" s="18" t="s">
        <v>806</v>
      </c>
      <c r="R393" s="68" t="str">
        <f>IFERROR(CONCATENATE("*",VLOOKUP(L393,PARAM!D:E,2,0),VLOOKUP(M393,PARAM!J:K,2,0),VLOOKUP(N393,PARAM!G:H,2,0),VLOOKUP(P393,PARAM!P:Q,2,0),"*"),"")</f>
        <v>*40215125*</v>
      </c>
      <c r="S393" s="18" t="str">
        <f>IFERROR(CONCATENATE(VLOOKUP(L393,PARAM!D:E,2,0),VLOOKUP(M393,PARAM!J:K,2,0),VLOOKUP(N393,PARAM!G:H,2,0),VLOOKUP(O393,PARAM!M:N,2,0),VLOOKUP(P393,PARAM!P:Q,2,0)),"")</f>
        <v>402151425</v>
      </c>
      <c r="T393" s="18">
        <f t="shared" si="4"/>
        <v>10</v>
      </c>
      <c r="U393" s="18" t="str">
        <f t="shared" si="5"/>
        <v>CONJUNTO CABALLERO JAPON AAA LOCAL AZUL NOCHE TALLA M</v>
      </c>
    </row>
    <row r="394">
      <c r="A394" s="4">
        <v>1.0</v>
      </c>
      <c r="B394" s="4" t="s">
        <v>1895</v>
      </c>
      <c r="C394" s="1"/>
      <c r="D394" s="4" t="s">
        <v>1896</v>
      </c>
      <c r="E394" s="2"/>
      <c r="F394" s="2">
        <f t="shared" si="2"/>
        <v>0</v>
      </c>
      <c r="G394" s="65">
        <f t="shared" si="7"/>
        <v>0</v>
      </c>
      <c r="H394" s="1"/>
      <c r="I394" s="1"/>
      <c r="J394" s="1"/>
      <c r="K394" s="66" t="s">
        <v>1187</v>
      </c>
      <c r="L394" s="66" t="s">
        <v>1314</v>
      </c>
      <c r="M394" s="66" t="s">
        <v>1080</v>
      </c>
      <c r="N394" s="66" t="s">
        <v>1321</v>
      </c>
      <c r="O394" s="66" t="s">
        <v>1084</v>
      </c>
      <c r="P394" s="67" t="s">
        <v>1165</v>
      </c>
      <c r="Q394" s="18" t="s">
        <v>806</v>
      </c>
      <c r="R394" s="68" t="str">
        <f>IFERROR(CONCATENATE("*",VLOOKUP(L394,PARAM!D:E,2,0),VLOOKUP(M394,PARAM!J:K,2,0),VLOOKUP(N394,PARAM!G:H,2,0),VLOOKUP(P394,PARAM!P:Q,2,0),"*"),"")</f>
        <v>*40215123*</v>
      </c>
      <c r="S394" s="18" t="str">
        <f>IFERROR(CONCATENATE(VLOOKUP(L394,PARAM!D:E,2,0),VLOOKUP(M394,PARAM!J:K,2,0),VLOOKUP(N394,PARAM!G:H,2,0),VLOOKUP(O394,PARAM!M:N,2,0),VLOOKUP(P394,PARAM!P:Q,2,0)),"")</f>
        <v>402151423</v>
      </c>
      <c r="T394" s="18">
        <f t="shared" si="4"/>
        <v>10</v>
      </c>
      <c r="U394" s="18" t="str">
        <f t="shared" si="5"/>
        <v>CONJUNTO CABALLERO JAPON AAA LOCAL AZUL NOCHE TALLA L</v>
      </c>
    </row>
    <row r="395">
      <c r="A395" s="4">
        <v>1.0</v>
      </c>
      <c r="B395" s="4" t="s">
        <v>1895</v>
      </c>
      <c r="C395" s="1"/>
      <c r="D395" s="4" t="s">
        <v>1896</v>
      </c>
      <c r="E395" s="2"/>
      <c r="F395" s="2">
        <f t="shared" si="2"/>
        <v>0</v>
      </c>
      <c r="G395" s="65">
        <f t="shared" si="7"/>
        <v>0</v>
      </c>
      <c r="H395" s="1"/>
      <c r="I395" s="1"/>
      <c r="J395" s="1"/>
      <c r="K395" s="66" t="s">
        <v>1187</v>
      </c>
      <c r="L395" s="66" t="s">
        <v>1314</v>
      </c>
      <c r="M395" s="66" t="s">
        <v>1080</v>
      </c>
      <c r="N395" s="66" t="s">
        <v>1321</v>
      </c>
      <c r="O395" s="66" t="s">
        <v>1084</v>
      </c>
      <c r="P395" s="67" t="s">
        <v>1077</v>
      </c>
      <c r="Q395" s="18" t="s">
        <v>806</v>
      </c>
      <c r="R395" s="68" t="str">
        <f>IFERROR(CONCATENATE("*",VLOOKUP(L395,PARAM!D:E,2,0),VLOOKUP(M395,PARAM!J:K,2,0),VLOOKUP(N395,PARAM!G:H,2,0),VLOOKUP(P395,PARAM!P:Q,2,0),"*"),"")</f>
        <v>*40215132*</v>
      </c>
      <c r="S395" s="18" t="str">
        <f>IFERROR(CONCATENATE(VLOOKUP(L395,PARAM!D:E,2,0),VLOOKUP(M395,PARAM!J:K,2,0),VLOOKUP(N395,PARAM!G:H,2,0),VLOOKUP(O395,PARAM!M:N,2,0),VLOOKUP(P395,PARAM!P:Q,2,0)),"")</f>
        <v>402151432</v>
      </c>
      <c r="T395" s="18">
        <f t="shared" si="4"/>
        <v>10</v>
      </c>
      <c r="U395" s="18" t="str">
        <f t="shared" si="5"/>
        <v>CONJUNTO CABALLERO JAPON AAA LOCAL AZUL NOCHE TALLA XL</v>
      </c>
    </row>
    <row r="396">
      <c r="A396" s="4">
        <v>2.0</v>
      </c>
      <c r="B396" s="4" t="s">
        <v>1897</v>
      </c>
      <c r="C396" s="1"/>
      <c r="D396" s="4" t="s">
        <v>1898</v>
      </c>
      <c r="E396" s="2"/>
      <c r="F396" s="2">
        <f t="shared" si="2"/>
        <v>0</v>
      </c>
      <c r="G396" s="65">
        <f t="shared" si="7"/>
        <v>0</v>
      </c>
      <c r="H396" s="1"/>
      <c r="I396" s="1"/>
      <c r="J396" s="1"/>
      <c r="K396" s="66" t="s">
        <v>1187</v>
      </c>
      <c r="L396" s="66" t="s">
        <v>1314</v>
      </c>
      <c r="M396" s="66" t="s">
        <v>1080</v>
      </c>
      <c r="N396" s="66" t="s">
        <v>1322</v>
      </c>
      <c r="O396" s="66" t="s">
        <v>1084</v>
      </c>
      <c r="P396" s="67" t="s">
        <v>1164</v>
      </c>
      <c r="Q396" s="18" t="s">
        <v>806</v>
      </c>
      <c r="R396" s="68" t="str">
        <f>IFERROR(CONCATENATE("*",VLOOKUP(L396,PARAM!D:E,2,0),VLOOKUP(M396,PARAM!J:K,2,0),VLOOKUP(N396,PARAM!G:H,2,0),VLOOKUP(P396,PARAM!P:Q,2,0),"*"),"")</f>
        <v>*4021525*</v>
      </c>
      <c r="S396" s="18" t="str">
        <f>IFERROR(CONCATENATE(VLOOKUP(L396,PARAM!D:E,2,0),VLOOKUP(M396,PARAM!J:K,2,0),VLOOKUP(N396,PARAM!G:H,2,0),VLOOKUP(O396,PARAM!M:N,2,0),VLOOKUP(P396,PARAM!P:Q,2,0)),"")</f>
        <v>40215425</v>
      </c>
      <c r="T396" s="18">
        <f t="shared" si="4"/>
        <v>9</v>
      </c>
      <c r="U396" s="18" t="str">
        <f t="shared" si="5"/>
        <v>CONJUNTO CABALLERO ALEMANIA AAA LOCAL AZUL NOCHE TALLA M</v>
      </c>
    </row>
    <row r="397">
      <c r="A397" s="4">
        <v>2.0</v>
      </c>
      <c r="B397" s="4" t="s">
        <v>1897</v>
      </c>
      <c r="C397" s="1"/>
      <c r="D397" s="4" t="s">
        <v>1898</v>
      </c>
      <c r="E397" s="2"/>
      <c r="F397" s="2">
        <f t="shared" si="2"/>
        <v>0</v>
      </c>
      <c r="G397" s="65">
        <f t="shared" si="7"/>
        <v>0</v>
      </c>
      <c r="H397" s="1"/>
      <c r="I397" s="1"/>
      <c r="J397" s="1"/>
      <c r="K397" s="66" t="s">
        <v>1187</v>
      </c>
      <c r="L397" s="66" t="s">
        <v>1314</v>
      </c>
      <c r="M397" s="66" t="s">
        <v>1080</v>
      </c>
      <c r="N397" s="66" t="s">
        <v>1322</v>
      </c>
      <c r="O397" s="66" t="s">
        <v>1084</v>
      </c>
      <c r="P397" s="67" t="s">
        <v>1165</v>
      </c>
      <c r="Q397" s="18" t="s">
        <v>806</v>
      </c>
      <c r="R397" s="68" t="str">
        <f>IFERROR(CONCATENATE("*",VLOOKUP(L397,PARAM!D:E,2,0),VLOOKUP(M397,PARAM!J:K,2,0),VLOOKUP(N397,PARAM!G:H,2,0),VLOOKUP(P397,PARAM!P:Q,2,0),"*"),"")</f>
        <v>*4021523*</v>
      </c>
      <c r="S397" s="18" t="str">
        <f>IFERROR(CONCATENATE(VLOOKUP(L397,PARAM!D:E,2,0),VLOOKUP(M397,PARAM!J:K,2,0),VLOOKUP(N397,PARAM!G:H,2,0),VLOOKUP(O397,PARAM!M:N,2,0),VLOOKUP(P397,PARAM!P:Q,2,0)),"")</f>
        <v>40215423</v>
      </c>
      <c r="T397" s="18">
        <f t="shared" si="4"/>
        <v>9</v>
      </c>
      <c r="U397" s="18" t="str">
        <f t="shared" si="5"/>
        <v>CONJUNTO CABALLERO ALEMANIA AAA LOCAL AZUL NOCHE TALLA L</v>
      </c>
    </row>
    <row r="398">
      <c r="A398" s="4">
        <v>1.0</v>
      </c>
      <c r="B398" s="4" t="s">
        <v>1897</v>
      </c>
      <c r="C398" s="1"/>
      <c r="D398" s="4" t="s">
        <v>1898</v>
      </c>
      <c r="E398" s="2"/>
      <c r="F398" s="2">
        <f t="shared" si="2"/>
        <v>0</v>
      </c>
      <c r="G398" s="65">
        <f t="shared" si="7"/>
        <v>0</v>
      </c>
      <c r="H398" s="1"/>
      <c r="I398" s="1"/>
      <c r="J398" s="1"/>
      <c r="K398" s="66" t="s">
        <v>1187</v>
      </c>
      <c r="L398" s="66" t="s">
        <v>1314</v>
      </c>
      <c r="M398" s="66" t="s">
        <v>1080</v>
      </c>
      <c r="N398" s="66" t="s">
        <v>1322</v>
      </c>
      <c r="O398" s="66" t="s">
        <v>1084</v>
      </c>
      <c r="P398" s="67" t="s">
        <v>1168</v>
      </c>
      <c r="Q398" s="18" t="s">
        <v>806</v>
      </c>
      <c r="R398" s="68" t="str">
        <f>IFERROR(CONCATENATE("*",VLOOKUP(L398,PARAM!D:E,2,0),VLOOKUP(M398,PARAM!J:K,2,0),VLOOKUP(N398,PARAM!G:H,2,0),VLOOKUP(P398,PARAM!P:Q,2,0),"*"),"")</f>
        <v>*4021527*</v>
      </c>
      <c r="S398" s="18" t="str">
        <f>IFERROR(CONCATENATE(VLOOKUP(L398,PARAM!D:E,2,0),VLOOKUP(M398,PARAM!J:K,2,0),VLOOKUP(N398,PARAM!G:H,2,0),VLOOKUP(O398,PARAM!M:N,2,0),VLOOKUP(P398,PARAM!P:Q,2,0)),"")</f>
        <v>40215427</v>
      </c>
      <c r="T398" s="18">
        <f t="shared" si="4"/>
        <v>9</v>
      </c>
      <c r="U398" s="18" t="str">
        <f t="shared" si="5"/>
        <v>CONJUNTO CABALLERO ALEMANIA AAA LOCAL AZUL NOCHE TALLA S</v>
      </c>
    </row>
    <row r="399">
      <c r="A399" s="4">
        <v>1.0</v>
      </c>
      <c r="B399" s="4" t="s">
        <v>1897</v>
      </c>
      <c r="C399" s="1"/>
      <c r="D399" s="4" t="s">
        <v>1898</v>
      </c>
      <c r="E399" s="2"/>
      <c r="F399" s="2">
        <f t="shared" si="2"/>
        <v>0</v>
      </c>
      <c r="G399" s="65">
        <f t="shared" si="7"/>
        <v>0</v>
      </c>
      <c r="H399" s="1"/>
      <c r="I399" s="1"/>
      <c r="J399" s="1"/>
      <c r="K399" s="66" t="s">
        <v>1187</v>
      </c>
      <c r="L399" s="66" t="s">
        <v>1314</v>
      </c>
      <c r="M399" s="66" t="s">
        <v>1080</v>
      </c>
      <c r="N399" s="66" t="s">
        <v>1322</v>
      </c>
      <c r="O399" s="66" t="s">
        <v>1084</v>
      </c>
      <c r="P399" s="67" t="s">
        <v>1077</v>
      </c>
      <c r="Q399" s="18" t="s">
        <v>806</v>
      </c>
      <c r="R399" s="68" t="str">
        <f>IFERROR(CONCATENATE("*",VLOOKUP(L399,PARAM!D:E,2,0),VLOOKUP(M399,PARAM!J:K,2,0),VLOOKUP(N399,PARAM!G:H,2,0),VLOOKUP(P399,PARAM!P:Q,2,0),"*"),"")</f>
        <v>*4021532*</v>
      </c>
      <c r="S399" s="18" t="str">
        <f>IFERROR(CONCATENATE(VLOOKUP(L399,PARAM!D:E,2,0),VLOOKUP(M399,PARAM!J:K,2,0),VLOOKUP(N399,PARAM!G:H,2,0),VLOOKUP(O399,PARAM!M:N,2,0),VLOOKUP(P399,PARAM!P:Q,2,0)),"")</f>
        <v>40215432</v>
      </c>
      <c r="T399" s="18">
        <f t="shared" si="4"/>
        <v>9</v>
      </c>
      <c r="U399" s="18" t="str">
        <f t="shared" si="5"/>
        <v>CONJUNTO CABALLERO ALEMANIA AAA LOCAL AZUL NOCHE TALLA XL</v>
      </c>
    </row>
    <row r="400">
      <c r="A400" s="4">
        <v>2.0</v>
      </c>
      <c r="B400" s="4" t="s">
        <v>1899</v>
      </c>
      <c r="C400" s="1"/>
      <c r="D400" s="4" t="s">
        <v>1900</v>
      </c>
      <c r="E400" s="2"/>
      <c r="F400" s="2">
        <f t="shared" si="2"/>
        <v>0</v>
      </c>
      <c r="G400" s="65">
        <f t="shared" si="7"/>
        <v>0</v>
      </c>
      <c r="H400" s="1"/>
      <c r="I400" s="1"/>
      <c r="J400" s="1"/>
      <c r="K400" s="66" t="s">
        <v>1187</v>
      </c>
      <c r="L400" s="66" t="s">
        <v>1314</v>
      </c>
      <c r="M400" s="66" t="s">
        <v>1080</v>
      </c>
      <c r="N400" s="66" t="s">
        <v>1323</v>
      </c>
      <c r="O400" s="66" t="s">
        <v>1088</v>
      </c>
      <c r="P400" s="67" t="s">
        <v>1077</v>
      </c>
      <c r="Q400" s="18" t="s">
        <v>806</v>
      </c>
      <c r="R400" s="68" t="str">
        <f>IFERROR(CONCATENATE("*",VLOOKUP(L400,PARAM!D:E,2,0),VLOOKUP(M400,PARAM!J:K,2,0),VLOOKUP(N400,PARAM!G:H,2,0),VLOOKUP(P400,PARAM!P:Q,2,0),"*"),"")</f>
        <v>*40218732*</v>
      </c>
      <c r="S400" s="18" t="str">
        <f>IFERROR(CONCATENATE(VLOOKUP(L400,PARAM!D:E,2,0),VLOOKUP(M400,PARAM!J:K,2,0),VLOOKUP(N400,PARAM!G:H,2,0),VLOOKUP(O400,PARAM!M:N,2,0),VLOOKUP(P400,PARAM!P:Q,2,0)),"")</f>
        <v>4021871932</v>
      </c>
      <c r="T400" s="18">
        <f t="shared" si="4"/>
        <v>10</v>
      </c>
      <c r="U400" s="18" t="str">
        <f t="shared" si="5"/>
        <v>CONJUNTO CABALLERO MEXICO AAA LOCAL VERDE OSCURO TALLA XL</v>
      </c>
    </row>
    <row r="401">
      <c r="A401" s="4">
        <v>2.0</v>
      </c>
      <c r="B401" s="4" t="s">
        <v>1899</v>
      </c>
      <c r="C401" s="1"/>
      <c r="D401" s="4" t="s">
        <v>1900</v>
      </c>
      <c r="E401" s="2"/>
      <c r="F401" s="2">
        <f t="shared" si="2"/>
        <v>0</v>
      </c>
      <c r="G401" s="65">
        <f t="shared" si="7"/>
        <v>0</v>
      </c>
      <c r="H401" s="1"/>
      <c r="I401" s="1"/>
      <c r="J401" s="1"/>
      <c r="K401" s="66" t="s">
        <v>1187</v>
      </c>
      <c r="L401" s="66" t="s">
        <v>1314</v>
      </c>
      <c r="M401" s="66" t="s">
        <v>1080</v>
      </c>
      <c r="N401" s="66" t="s">
        <v>1323</v>
      </c>
      <c r="O401" s="66" t="s">
        <v>1088</v>
      </c>
      <c r="P401" s="67" t="s">
        <v>1164</v>
      </c>
      <c r="Q401" s="18" t="s">
        <v>806</v>
      </c>
      <c r="R401" s="68" t="str">
        <f>IFERROR(CONCATENATE("*",VLOOKUP(L401,PARAM!D:E,2,0),VLOOKUP(M401,PARAM!J:K,2,0),VLOOKUP(N401,PARAM!G:H,2,0),VLOOKUP(P401,PARAM!P:Q,2,0),"*"),"")</f>
        <v>*40218725*</v>
      </c>
      <c r="S401" s="18" t="str">
        <f>IFERROR(CONCATENATE(VLOOKUP(L401,PARAM!D:E,2,0),VLOOKUP(M401,PARAM!J:K,2,0),VLOOKUP(N401,PARAM!G:H,2,0),VLOOKUP(O401,PARAM!M:N,2,0),VLOOKUP(P401,PARAM!P:Q,2,0)),"")</f>
        <v>4021871925</v>
      </c>
      <c r="T401" s="18">
        <f t="shared" si="4"/>
        <v>10</v>
      </c>
      <c r="U401" s="18" t="str">
        <f t="shared" si="5"/>
        <v>CONJUNTO CABALLERO MEXICO AAA LOCAL VERDE OSCURO TALLA M</v>
      </c>
    </row>
    <row r="402">
      <c r="A402" s="4">
        <v>1.0</v>
      </c>
      <c r="B402" s="4" t="s">
        <v>1899</v>
      </c>
      <c r="C402" s="1"/>
      <c r="D402" s="4" t="s">
        <v>1900</v>
      </c>
      <c r="E402" s="2"/>
      <c r="F402" s="2">
        <f t="shared" si="2"/>
        <v>0</v>
      </c>
      <c r="G402" s="65">
        <f t="shared" si="7"/>
        <v>0</v>
      </c>
      <c r="H402" s="1"/>
      <c r="I402" s="1"/>
      <c r="J402" s="1"/>
      <c r="K402" s="66" t="s">
        <v>1187</v>
      </c>
      <c r="L402" s="66" t="s">
        <v>1314</v>
      </c>
      <c r="M402" s="66" t="s">
        <v>1080</v>
      </c>
      <c r="N402" s="66" t="s">
        <v>1323</v>
      </c>
      <c r="O402" s="66" t="s">
        <v>1088</v>
      </c>
      <c r="P402" s="67" t="s">
        <v>1168</v>
      </c>
      <c r="Q402" s="18" t="s">
        <v>806</v>
      </c>
      <c r="R402" s="68" t="str">
        <f>IFERROR(CONCATENATE("*",VLOOKUP(L402,PARAM!D:E,2,0),VLOOKUP(M402,PARAM!J:K,2,0),VLOOKUP(N402,PARAM!G:H,2,0),VLOOKUP(P402,PARAM!P:Q,2,0),"*"),"")</f>
        <v>*40218727*</v>
      </c>
      <c r="S402" s="18" t="str">
        <f>IFERROR(CONCATENATE(VLOOKUP(L402,PARAM!D:E,2,0),VLOOKUP(M402,PARAM!J:K,2,0),VLOOKUP(N402,PARAM!G:H,2,0),VLOOKUP(O402,PARAM!M:N,2,0),VLOOKUP(P402,PARAM!P:Q,2,0)),"")</f>
        <v>4021871927</v>
      </c>
      <c r="T402" s="18">
        <f t="shared" si="4"/>
        <v>10</v>
      </c>
      <c r="U402" s="18" t="str">
        <f t="shared" si="5"/>
        <v>CONJUNTO CABALLERO MEXICO AAA LOCAL VERDE OSCURO TALLA S</v>
      </c>
    </row>
    <row r="403">
      <c r="A403" s="64">
        <v>2.0</v>
      </c>
      <c r="B403" s="4" t="s">
        <v>1901</v>
      </c>
      <c r="C403" s="1"/>
      <c r="D403" s="4" t="s">
        <v>1902</v>
      </c>
      <c r="E403" s="3">
        <v>33000.0</v>
      </c>
      <c r="F403" s="2">
        <f t="shared" si="2"/>
        <v>66000</v>
      </c>
      <c r="G403" s="65">
        <f t="shared" si="7"/>
        <v>66000</v>
      </c>
      <c r="H403" s="1"/>
      <c r="I403" s="1"/>
      <c r="J403" s="1"/>
      <c r="K403" s="66" t="s">
        <v>1078</v>
      </c>
      <c r="L403" s="66" t="s">
        <v>1171</v>
      </c>
      <c r="M403" s="66" t="s">
        <v>1080</v>
      </c>
      <c r="N403" s="66" t="s">
        <v>1324</v>
      </c>
      <c r="O403" s="66" t="s">
        <v>1069</v>
      </c>
      <c r="P403" s="67" t="s">
        <v>1165</v>
      </c>
      <c r="Q403" s="18" t="s">
        <v>865</v>
      </c>
      <c r="R403" s="68" t="str">
        <f>IFERROR(CONCATENATE("*",VLOOKUP(L403,PARAM!D:E,2,0),VLOOKUP(M403,PARAM!J:K,2,0),VLOOKUP(N403,PARAM!G:H,2,0),VLOOKUP(P403,PARAM!P:Q,2,0),"*"),"")</f>
        <v>*11221723*</v>
      </c>
      <c r="S403" s="18" t="str">
        <f>IFERROR(CONCATENATE(VLOOKUP(L403,PARAM!D:E,2,0),VLOOKUP(M403,PARAM!J:K,2,0),VLOOKUP(N403,PARAM!G:H,2,0),VLOOKUP(O403,PARAM!M:N,2,0),VLOOKUP(P403,PARAM!P:Q,2,0)),"")</f>
        <v>1122171623</v>
      </c>
      <c r="T403" s="18">
        <f t="shared" si="4"/>
        <v>10</v>
      </c>
      <c r="U403" s="18" t="str">
        <f t="shared" si="5"/>
        <v>CAMISETAS CABALLERO POLO ROMBOS ALGODON VARIOS TALLA L</v>
      </c>
    </row>
    <row r="404">
      <c r="A404" s="64">
        <v>2.0</v>
      </c>
      <c r="B404" s="4" t="s">
        <v>1901</v>
      </c>
      <c r="C404" s="1"/>
      <c r="D404" s="61" t="s">
        <v>1902</v>
      </c>
      <c r="E404" s="3">
        <v>33000.0</v>
      </c>
      <c r="F404" s="2">
        <f t="shared" si="2"/>
        <v>66000</v>
      </c>
      <c r="G404" s="65">
        <f t="shared" si="7"/>
        <v>66000</v>
      </c>
      <c r="H404" s="1"/>
      <c r="I404" s="1"/>
      <c r="J404" s="1"/>
      <c r="K404" s="77" t="s">
        <v>1078</v>
      </c>
      <c r="L404" s="66" t="s">
        <v>1171</v>
      </c>
      <c r="M404" s="77" t="s">
        <v>1080</v>
      </c>
      <c r="N404" s="66" t="s">
        <v>1324</v>
      </c>
      <c r="O404" s="66" t="s">
        <v>1069</v>
      </c>
      <c r="P404" s="67" t="s">
        <v>1164</v>
      </c>
      <c r="Q404" s="18" t="s">
        <v>865</v>
      </c>
      <c r="R404" s="68" t="str">
        <f>IFERROR(CONCATENATE("*",VLOOKUP(L404,PARAM!D:E,2,0),VLOOKUP(M404,PARAM!J:K,2,0),VLOOKUP(N404,PARAM!G:H,2,0),VLOOKUP(P404,PARAM!P:Q,2,0),"*"),"")</f>
        <v>*11221725*</v>
      </c>
      <c r="S404" s="18" t="str">
        <f>IFERROR(CONCATENATE(VLOOKUP(L404,PARAM!D:E,2,0),VLOOKUP(M404,PARAM!J:K,2,0),VLOOKUP(N404,PARAM!G:H,2,0),VLOOKUP(O404,PARAM!M:N,2,0),VLOOKUP(P404,PARAM!P:Q,2,0)),"")</f>
        <v>1122171625</v>
      </c>
      <c r="T404" s="18">
        <f t="shared" si="4"/>
        <v>10</v>
      </c>
      <c r="U404" s="18" t="str">
        <f t="shared" si="5"/>
        <v>CAMISETAS CABALLERO POLO ROMBOS ALGODON VARIOS TALLA M</v>
      </c>
    </row>
    <row r="405">
      <c r="A405" s="64">
        <v>2.0</v>
      </c>
      <c r="B405" s="4" t="s">
        <v>1901</v>
      </c>
      <c r="C405" s="1"/>
      <c r="D405" s="61" t="s">
        <v>1902</v>
      </c>
      <c r="E405" s="3">
        <v>33000.0</v>
      </c>
      <c r="F405" s="2">
        <f t="shared" si="2"/>
        <v>66000</v>
      </c>
      <c r="G405" s="65">
        <f t="shared" si="7"/>
        <v>66000</v>
      </c>
      <c r="H405" s="1"/>
      <c r="I405" s="1"/>
      <c r="J405" s="1"/>
      <c r="K405" s="77" t="s">
        <v>1078</v>
      </c>
      <c r="L405" s="66" t="s">
        <v>1171</v>
      </c>
      <c r="M405" s="77" t="s">
        <v>1080</v>
      </c>
      <c r="N405" s="66" t="s">
        <v>1324</v>
      </c>
      <c r="O405" s="66" t="s">
        <v>1069</v>
      </c>
      <c r="P405" s="67" t="s">
        <v>1168</v>
      </c>
      <c r="Q405" s="18" t="s">
        <v>865</v>
      </c>
      <c r="R405" s="68" t="str">
        <f>IFERROR(CONCATENATE("*",VLOOKUP(L405,PARAM!D:E,2,0),VLOOKUP(M405,PARAM!J:K,2,0),VLOOKUP(N405,PARAM!G:H,2,0),VLOOKUP(P405,PARAM!P:Q,2,0),"*"),"")</f>
        <v>*11221727*</v>
      </c>
      <c r="S405" s="18" t="str">
        <f>IFERROR(CONCATENATE(VLOOKUP(L405,PARAM!D:E,2,0),VLOOKUP(M405,PARAM!J:K,2,0),VLOOKUP(N405,PARAM!G:H,2,0),VLOOKUP(O405,PARAM!M:N,2,0),VLOOKUP(P405,PARAM!P:Q,2,0)),"")</f>
        <v>1122171627</v>
      </c>
      <c r="T405" s="18">
        <f t="shared" si="4"/>
        <v>10</v>
      </c>
      <c r="U405" s="18" t="str">
        <f t="shared" si="5"/>
        <v>CAMISETAS CABALLERO POLO ROMBOS ALGODON VARIOS TALLA S</v>
      </c>
    </row>
    <row r="406">
      <c r="A406" s="64">
        <v>2.0</v>
      </c>
      <c r="B406" s="4" t="s">
        <v>1901</v>
      </c>
      <c r="C406" s="1"/>
      <c r="D406" s="61" t="s">
        <v>1902</v>
      </c>
      <c r="E406" s="3">
        <v>33000.0</v>
      </c>
      <c r="F406" s="2">
        <f t="shared" si="2"/>
        <v>66000</v>
      </c>
      <c r="G406" s="65">
        <f t="shared" si="7"/>
        <v>66000</v>
      </c>
      <c r="H406" s="1"/>
      <c r="I406" s="1"/>
      <c r="J406" s="1"/>
      <c r="K406" s="77" t="s">
        <v>1078</v>
      </c>
      <c r="L406" s="66" t="s">
        <v>1171</v>
      </c>
      <c r="M406" s="77" t="s">
        <v>1080</v>
      </c>
      <c r="N406" s="66" t="s">
        <v>1324</v>
      </c>
      <c r="O406" s="66" t="s">
        <v>1069</v>
      </c>
      <c r="P406" s="67" t="s">
        <v>1077</v>
      </c>
      <c r="Q406" s="18" t="s">
        <v>865</v>
      </c>
      <c r="R406" s="68" t="str">
        <f>IFERROR(CONCATENATE("*",VLOOKUP(L406,PARAM!D:E,2,0),VLOOKUP(M406,PARAM!J:K,2,0),VLOOKUP(N406,PARAM!G:H,2,0),VLOOKUP(P406,PARAM!P:Q,2,0),"*"),"")</f>
        <v>*11221732*</v>
      </c>
      <c r="S406" s="18" t="str">
        <f>IFERROR(CONCATENATE(VLOOKUP(L406,PARAM!D:E,2,0),VLOOKUP(M406,PARAM!J:K,2,0),VLOOKUP(N406,PARAM!G:H,2,0),VLOOKUP(O406,PARAM!M:N,2,0),VLOOKUP(P406,PARAM!P:Q,2,0)),"")</f>
        <v>1122171632</v>
      </c>
      <c r="T406" s="18">
        <f t="shared" si="4"/>
        <v>10</v>
      </c>
      <c r="U406" s="18" t="str">
        <f t="shared" si="5"/>
        <v>CAMISETAS CABALLERO POLO ROMBOS ALGODON VARIOS TALLA XL</v>
      </c>
    </row>
    <row r="407">
      <c r="A407" s="64">
        <v>2.0</v>
      </c>
      <c r="B407" s="4" t="s">
        <v>1903</v>
      </c>
      <c r="C407" s="1"/>
      <c r="D407" s="4" t="s">
        <v>1327</v>
      </c>
      <c r="E407" s="3">
        <v>32000.0</v>
      </c>
      <c r="F407" s="2">
        <f t="shared" si="2"/>
        <v>64000</v>
      </c>
      <c r="G407" s="65">
        <f t="shared" si="7"/>
        <v>64000</v>
      </c>
      <c r="H407" s="1"/>
      <c r="I407" s="1"/>
      <c r="J407" s="1"/>
      <c r="K407" s="77" t="s">
        <v>1078</v>
      </c>
      <c r="L407" s="66" t="s">
        <v>1171</v>
      </c>
      <c r="M407" s="77" t="s">
        <v>1080</v>
      </c>
      <c r="N407" s="66" t="s">
        <v>1182</v>
      </c>
      <c r="O407" s="66" t="s">
        <v>1069</v>
      </c>
      <c r="P407" s="67" t="s">
        <v>1168</v>
      </c>
      <c r="Q407" s="18" t="s">
        <v>865</v>
      </c>
      <c r="R407" s="68" t="str">
        <f>IFERROR(CONCATENATE("*",VLOOKUP(L407,PARAM!D:E,2,0),VLOOKUP(M407,PARAM!J:K,2,0),VLOOKUP(N407,PARAM!G:H,2,0),VLOOKUP(P407,PARAM!P:Q,2,0),"*"),"")</f>
        <v>*11222027*</v>
      </c>
      <c r="S407" s="18" t="str">
        <f>IFERROR(CONCATENATE(VLOOKUP(L407,PARAM!D:E,2,0),VLOOKUP(M407,PARAM!J:K,2,0),VLOOKUP(N407,PARAM!G:H,2,0),VLOOKUP(O407,PARAM!M:N,2,0),VLOOKUP(P407,PARAM!P:Q,2,0)),"")</f>
        <v>1122201627</v>
      </c>
      <c r="T407" s="18">
        <f t="shared" si="4"/>
        <v>10</v>
      </c>
      <c r="U407" s="18" t="str">
        <f t="shared" si="5"/>
        <v>CAMISETAS CABALLERO POLO TIPO GALLETA VARIOS TALLA S</v>
      </c>
    </row>
    <row r="408">
      <c r="A408" s="64">
        <v>3.0</v>
      </c>
      <c r="B408" s="4" t="s">
        <v>1903</v>
      </c>
      <c r="C408" s="1"/>
      <c r="D408" s="4" t="s">
        <v>1327</v>
      </c>
      <c r="E408" s="3">
        <v>32000.0</v>
      </c>
      <c r="F408" s="2">
        <f t="shared" si="2"/>
        <v>96000</v>
      </c>
      <c r="G408" s="65">
        <f t="shared" si="7"/>
        <v>64000</v>
      </c>
      <c r="H408" s="1"/>
      <c r="I408" s="1"/>
      <c r="J408" s="1"/>
      <c r="K408" s="77" t="s">
        <v>1078</v>
      </c>
      <c r="L408" s="66" t="s">
        <v>1171</v>
      </c>
      <c r="M408" s="77" t="s">
        <v>1080</v>
      </c>
      <c r="N408" s="66" t="s">
        <v>1182</v>
      </c>
      <c r="O408" s="66" t="s">
        <v>1069</v>
      </c>
      <c r="P408" s="67" t="s">
        <v>1164</v>
      </c>
      <c r="Q408" s="18" t="s">
        <v>865</v>
      </c>
      <c r="R408" s="68" t="str">
        <f>IFERROR(CONCATENATE("*",VLOOKUP(L408,PARAM!D:E,2,0),VLOOKUP(M408,PARAM!J:K,2,0),VLOOKUP(N408,PARAM!G:H,2,0),VLOOKUP(P408,PARAM!P:Q,2,0),"*"),"")</f>
        <v>*11222025*</v>
      </c>
      <c r="S408" s="18" t="str">
        <f>IFERROR(CONCATENATE(VLOOKUP(L408,PARAM!D:E,2,0),VLOOKUP(M408,PARAM!J:K,2,0),VLOOKUP(N408,PARAM!G:H,2,0),VLOOKUP(O408,PARAM!M:N,2,0),VLOOKUP(P408,PARAM!P:Q,2,0)),"")</f>
        <v>1122201625</v>
      </c>
      <c r="T408" s="18">
        <f t="shared" si="4"/>
        <v>10</v>
      </c>
      <c r="U408" s="18" t="str">
        <f t="shared" si="5"/>
        <v>CAMISETAS CABALLERO POLO TIPO GALLETA VARIOS TALLA M</v>
      </c>
    </row>
    <row r="409">
      <c r="A409" s="64">
        <v>2.0</v>
      </c>
      <c r="B409" s="4" t="s">
        <v>1903</v>
      </c>
      <c r="C409" s="1"/>
      <c r="D409" s="4" t="s">
        <v>1327</v>
      </c>
      <c r="E409" s="3">
        <v>32000.0</v>
      </c>
      <c r="F409" s="2">
        <f t="shared" si="2"/>
        <v>64000</v>
      </c>
      <c r="G409" s="65">
        <f t="shared" si="7"/>
        <v>64000</v>
      </c>
      <c r="H409" s="1"/>
      <c r="I409" s="1"/>
      <c r="J409" s="1"/>
      <c r="K409" s="77" t="s">
        <v>1078</v>
      </c>
      <c r="L409" s="66" t="s">
        <v>1171</v>
      </c>
      <c r="M409" s="77" t="s">
        <v>1080</v>
      </c>
      <c r="N409" s="66" t="s">
        <v>1182</v>
      </c>
      <c r="O409" s="66" t="s">
        <v>1069</v>
      </c>
      <c r="P409" s="67" t="s">
        <v>1165</v>
      </c>
      <c r="Q409" s="18" t="s">
        <v>865</v>
      </c>
      <c r="R409" s="68" t="str">
        <f>IFERROR(CONCATENATE("*",VLOOKUP(L409,PARAM!D:E,2,0),VLOOKUP(M409,PARAM!J:K,2,0),VLOOKUP(N409,PARAM!G:H,2,0),VLOOKUP(P409,PARAM!P:Q,2,0),"*"),"")</f>
        <v>*11222023*</v>
      </c>
      <c r="S409" s="18" t="str">
        <f>IFERROR(CONCATENATE(VLOOKUP(L409,PARAM!D:E,2,0),VLOOKUP(M409,PARAM!J:K,2,0),VLOOKUP(N409,PARAM!G:H,2,0),VLOOKUP(O409,PARAM!M:N,2,0),VLOOKUP(P409,PARAM!P:Q,2,0)),"")</f>
        <v>1122201623</v>
      </c>
      <c r="T409" s="18">
        <f t="shared" si="4"/>
        <v>10</v>
      </c>
      <c r="U409" s="18" t="str">
        <f t="shared" si="5"/>
        <v>CAMISETAS CABALLERO POLO TIPO GALLETA VARIOS TALLA L</v>
      </c>
    </row>
    <row r="410">
      <c r="A410" s="64">
        <v>2.0</v>
      </c>
      <c r="B410" s="4" t="s">
        <v>1903</v>
      </c>
      <c r="C410" s="1"/>
      <c r="D410" s="4" t="s">
        <v>1327</v>
      </c>
      <c r="E410" s="3">
        <v>32000.0</v>
      </c>
      <c r="F410" s="2">
        <f t="shared" si="2"/>
        <v>64000</v>
      </c>
      <c r="G410" s="65">
        <f t="shared" si="7"/>
        <v>64000</v>
      </c>
      <c r="H410" s="1"/>
      <c r="I410" s="1"/>
      <c r="J410" s="1"/>
      <c r="K410" s="77" t="s">
        <v>1078</v>
      </c>
      <c r="L410" s="66" t="s">
        <v>1171</v>
      </c>
      <c r="M410" s="77" t="s">
        <v>1080</v>
      </c>
      <c r="N410" s="66" t="s">
        <v>1182</v>
      </c>
      <c r="O410" s="66" t="s">
        <v>1069</v>
      </c>
      <c r="P410" s="67" t="s">
        <v>1077</v>
      </c>
      <c r="Q410" s="18" t="s">
        <v>865</v>
      </c>
      <c r="R410" s="68" t="str">
        <f>IFERROR(CONCATENATE("*",VLOOKUP(L410,PARAM!D:E,2,0),VLOOKUP(M410,PARAM!J:K,2,0),VLOOKUP(N410,PARAM!G:H,2,0),VLOOKUP(P410,PARAM!P:Q,2,0),"*"),"")</f>
        <v>*11222032*</v>
      </c>
      <c r="S410" s="18" t="str">
        <f>IFERROR(CONCATENATE(VLOOKUP(L410,PARAM!D:E,2,0),VLOOKUP(M410,PARAM!J:K,2,0),VLOOKUP(N410,PARAM!G:H,2,0),VLOOKUP(O410,PARAM!M:N,2,0),VLOOKUP(P410,PARAM!P:Q,2,0)),"")</f>
        <v>1122201632</v>
      </c>
      <c r="T410" s="18">
        <f t="shared" si="4"/>
        <v>10</v>
      </c>
      <c r="U410" s="18" t="str">
        <f t="shared" si="5"/>
        <v>CAMISETAS CABALLERO POLO TIPO GALLETA VARIOS TALLA XL</v>
      </c>
    </row>
    <row r="411">
      <c r="A411" s="4">
        <v>5.0</v>
      </c>
      <c r="B411" s="4" t="s">
        <v>1904</v>
      </c>
      <c r="C411" s="1"/>
      <c r="D411" s="4" t="s">
        <v>1229</v>
      </c>
      <c r="E411" s="3">
        <v>10000.0</v>
      </c>
      <c r="F411" s="2">
        <f t="shared" si="2"/>
        <v>50000</v>
      </c>
      <c r="G411" s="65">
        <f t="shared" si="7"/>
        <v>20000</v>
      </c>
      <c r="H411" s="1"/>
      <c r="I411" s="1"/>
      <c r="J411" s="1"/>
      <c r="K411" s="66" t="s">
        <v>1058</v>
      </c>
      <c r="L411" s="66" t="s">
        <v>1171</v>
      </c>
      <c r="M411" s="66" t="s">
        <v>1060</v>
      </c>
      <c r="N411" s="66" t="s">
        <v>1325</v>
      </c>
      <c r="O411" s="66" t="s">
        <v>1069</v>
      </c>
      <c r="P411" s="67" t="s">
        <v>1103</v>
      </c>
      <c r="Q411" s="18" t="s">
        <v>476</v>
      </c>
      <c r="R411" s="68" t="str">
        <f>IFERROR(CONCATENATE("*",VLOOKUP(L411,PARAM!D:E,2,0),VLOOKUP(M411,PARAM!J:K,2,0),VLOOKUP(N411,PARAM!G:H,2,0),VLOOKUP(P411,PARAM!P:Q,2,0),"*"),"")</f>
        <v>*11117030*</v>
      </c>
      <c r="S411" s="18" t="str">
        <f>IFERROR(CONCATENATE(VLOOKUP(L411,PARAM!D:E,2,0),VLOOKUP(M411,PARAM!J:K,2,0),VLOOKUP(N411,PARAM!G:H,2,0),VLOOKUP(O411,PARAM!M:N,2,0),VLOOKUP(P411,PARAM!P:Q,2,0)),"")</f>
        <v>1111701630</v>
      </c>
      <c r="T411" s="18">
        <f t="shared" si="4"/>
        <v>10</v>
      </c>
      <c r="U411" s="18" t="str">
        <f t="shared" si="5"/>
        <v>CAMISETAS DAMA LICRADA MANGA CORTA VARIOS TALLA UN</v>
      </c>
    </row>
    <row r="412">
      <c r="A412" s="4">
        <v>8.0</v>
      </c>
      <c r="B412" s="4" t="s">
        <v>1905</v>
      </c>
      <c r="C412" s="1"/>
      <c r="D412" s="4" t="s">
        <v>1137</v>
      </c>
      <c r="E412" s="3">
        <v>10000.0</v>
      </c>
      <c r="F412" s="2">
        <f t="shared" si="2"/>
        <v>80000</v>
      </c>
      <c r="G412" s="65">
        <f t="shared" si="7"/>
        <v>20000</v>
      </c>
      <c r="H412" s="1"/>
      <c r="I412" s="1"/>
      <c r="J412" s="1"/>
      <c r="K412" s="66" t="s">
        <v>1058</v>
      </c>
      <c r="L412" s="66" t="s">
        <v>1194</v>
      </c>
      <c r="M412" s="66" t="s">
        <v>1060</v>
      </c>
      <c r="N412" s="66" t="s">
        <v>1326</v>
      </c>
      <c r="O412" s="66" t="s">
        <v>1069</v>
      </c>
      <c r="P412" s="67" t="s">
        <v>1103</v>
      </c>
      <c r="Q412" s="18" t="s">
        <v>476</v>
      </c>
      <c r="R412" s="68" t="str">
        <f>IFERROR(CONCATENATE("*",VLOOKUP(L412,PARAM!D:E,2,0),VLOOKUP(M412,PARAM!J:K,2,0),VLOOKUP(N412,PARAM!G:H,2,0),VLOOKUP(P412,PARAM!P:Q,2,0),"*"),"")</f>
        <v>*26117130*</v>
      </c>
      <c r="S412" s="18" t="str">
        <f>IFERROR(CONCATENATE(VLOOKUP(L412,PARAM!D:E,2,0),VLOOKUP(M412,PARAM!J:K,2,0),VLOOKUP(N412,PARAM!G:H,2,0),VLOOKUP(O412,PARAM!M:N,2,0),VLOOKUP(P412,PARAM!P:Q,2,0)),"")</f>
        <v>2611711630</v>
      </c>
      <c r="T412" s="18">
        <f t="shared" si="4"/>
        <v>10</v>
      </c>
      <c r="U412" s="18" t="str">
        <f t="shared" si="5"/>
        <v>BUSOS DAMA LICRADA MANGA LARGA VARIOS TALLA UN</v>
      </c>
    </row>
    <row r="413">
      <c r="A413" s="4">
        <v>3.0</v>
      </c>
      <c r="B413" s="4" t="s">
        <v>1906</v>
      </c>
      <c r="C413" s="1"/>
      <c r="D413" s="4" t="s">
        <v>1327</v>
      </c>
      <c r="E413" s="3">
        <v>10000.0</v>
      </c>
      <c r="F413" s="2">
        <f t="shared" si="2"/>
        <v>30000</v>
      </c>
      <c r="G413" s="65">
        <f t="shared" si="7"/>
        <v>20000</v>
      </c>
      <c r="H413" s="1"/>
      <c r="I413" s="1"/>
      <c r="J413" s="1"/>
      <c r="K413" s="66" t="s">
        <v>1058</v>
      </c>
      <c r="L413" s="66" t="s">
        <v>1171</v>
      </c>
      <c r="M413" s="66" t="s">
        <v>1060</v>
      </c>
      <c r="N413" s="18" t="s">
        <v>1327</v>
      </c>
      <c r="O413" s="66" t="s">
        <v>1069</v>
      </c>
      <c r="P413" s="67" t="s">
        <v>1103</v>
      </c>
      <c r="Q413" s="18" t="s">
        <v>476</v>
      </c>
      <c r="R413" s="68" t="str">
        <f>IFERROR(CONCATENATE("*",VLOOKUP(L413,PARAM!D:E,2,0),VLOOKUP(M413,PARAM!J:K,2,0),VLOOKUP(N413,PARAM!G:H,2,0),VLOOKUP(P413,PARAM!P:Q,2,0),"*"),"")</f>
        <v>*11126230*</v>
      </c>
      <c r="S413" s="18" t="str">
        <f>IFERROR(CONCATENATE(VLOOKUP(L413,PARAM!D:E,2,0),VLOOKUP(M413,PARAM!J:K,2,0),VLOOKUP(N413,PARAM!G:H,2,0),VLOOKUP(O413,PARAM!M:N,2,0),VLOOKUP(P413,PARAM!P:Q,2,0)),"")</f>
        <v>1112621630</v>
      </c>
      <c r="T413" s="18">
        <f t="shared" si="4"/>
        <v>10</v>
      </c>
      <c r="U413" s="18" t="str">
        <f t="shared" si="5"/>
        <v>CAMISETAS DAMA TIPO GALLETA VARIOS TALLA UN</v>
      </c>
    </row>
    <row r="414">
      <c r="A414" s="4">
        <v>3.0</v>
      </c>
      <c r="B414" s="4" t="s">
        <v>1907</v>
      </c>
      <c r="C414" s="1"/>
      <c r="D414" s="4" t="s">
        <v>1908</v>
      </c>
      <c r="E414" s="3">
        <v>10000.0</v>
      </c>
      <c r="F414" s="2">
        <f t="shared" si="2"/>
        <v>30000</v>
      </c>
      <c r="G414" s="65">
        <f t="shared" si="7"/>
        <v>20000</v>
      </c>
      <c r="H414" s="1"/>
      <c r="I414" s="1"/>
      <c r="J414" s="1"/>
      <c r="K414" s="66" t="s">
        <v>1058</v>
      </c>
      <c r="L414" s="66" t="s">
        <v>1171</v>
      </c>
      <c r="M414" s="66" t="s">
        <v>1060</v>
      </c>
      <c r="N414" s="66" t="s">
        <v>1328</v>
      </c>
      <c r="O414" s="66" t="s">
        <v>1069</v>
      </c>
      <c r="P414" s="67" t="s">
        <v>1103</v>
      </c>
      <c r="Q414" s="18" t="s">
        <v>476</v>
      </c>
      <c r="R414" s="68" t="str">
        <f>IFERROR(CONCATENATE("*",VLOOKUP(L414,PARAM!D:E,2,0),VLOOKUP(M414,PARAM!J:K,2,0),VLOOKUP(N414,PARAM!G:H,2,0),VLOOKUP(P414,PARAM!P:Q,2,0),"*"),"")</f>
        <v>*1116430*</v>
      </c>
      <c r="S414" s="18" t="str">
        <f>IFERROR(CONCATENATE(VLOOKUP(L414,PARAM!D:E,2,0),VLOOKUP(M414,PARAM!J:K,2,0),VLOOKUP(N414,PARAM!G:H,2,0),VLOOKUP(O414,PARAM!M:N,2,0),VLOOKUP(P414,PARAM!P:Q,2,0)),"")</f>
        <v>111641630</v>
      </c>
      <c r="T414" s="18">
        <f t="shared" si="4"/>
        <v>9</v>
      </c>
      <c r="U414" s="18" t="str">
        <f t="shared" si="5"/>
        <v>CAMISETAS DAMA CAMISETA ESTAMPADO ALGODON LARGA VARIOS TALLA UN</v>
      </c>
    </row>
    <row r="415">
      <c r="A415" s="4">
        <v>4.0</v>
      </c>
      <c r="B415" s="4" t="s">
        <v>1909</v>
      </c>
      <c r="C415" s="1"/>
      <c r="D415" s="4" t="s">
        <v>1910</v>
      </c>
      <c r="E415" s="3">
        <v>10000.0</v>
      </c>
      <c r="F415" s="2">
        <f t="shared" si="2"/>
        <v>40000</v>
      </c>
      <c r="G415" s="65">
        <f t="shared" si="7"/>
        <v>20000</v>
      </c>
      <c r="H415" s="1"/>
      <c r="I415" s="1"/>
      <c r="J415" s="1"/>
      <c r="K415" s="66" t="s">
        <v>1058</v>
      </c>
      <c r="L415" s="66" t="s">
        <v>1171</v>
      </c>
      <c r="M415" s="66" t="s">
        <v>1060</v>
      </c>
      <c r="N415" s="66" t="s">
        <v>1329</v>
      </c>
      <c r="O415" s="66" t="s">
        <v>1069</v>
      </c>
      <c r="P415" s="67" t="s">
        <v>1103</v>
      </c>
      <c r="Q415" s="18" t="s">
        <v>476</v>
      </c>
      <c r="R415" s="68" t="str">
        <f>IFERROR(CONCATENATE("*",VLOOKUP(L415,PARAM!D:E,2,0),VLOOKUP(M415,PARAM!J:K,2,0),VLOOKUP(N415,PARAM!G:H,2,0),VLOOKUP(P415,PARAM!P:Q,2,0),"*"),"")</f>
        <v>*1112030*</v>
      </c>
      <c r="S415" s="18" t="str">
        <f>IFERROR(CONCATENATE(VLOOKUP(L415,PARAM!D:E,2,0),VLOOKUP(M415,PARAM!J:K,2,0),VLOOKUP(N415,PARAM!G:H,2,0),VLOOKUP(O415,PARAM!M:N,2,0),VLOOKUP(P415,PARAM!P:Q,2,0)),"")</f>
        <v>111201630</v>
      </c>
      <c r="T415" s="18">
        <f t="shared" si="4"/>
        <v>9</v>
      </c>
      <c r="U415" s="18" t="str">
        <f t="shared" si="5"/>
        <v>CAMISETAS DAMA ALGODON CORTA E U VARIOS TALLA UN</v>
      </c>
    </row>
    <row r="416">
      <c r="A416" s="4">
        <v>1.0</v>
      </c>
      <c r="B416" s="4" t="s">
        <v>1911</v>
      </c>
      <c r="C416" s="1"/>
      <c r="D416" s="4" t="s">
        <v>1911</v>
      </c>
      <c r="E416" s="3">
        <v>10000.0</v>
      </c>
      <c r="F416" s="2">
        <f t="shared" si="2"/>
        <v>10000</v>
      </c>
      <c r="G416" s="65">
        <f t="shared" si="7"/>
        <v>20000</v>
      </c>
      <c r="H416" s="1"/>
      <c r="I416" s="1"/>
      <c r="J416" s="1"/>
      <c r="K416" s="66" t="s">
        <v>1058</v>
      </c>
      <c r="L416" s="66" t="s">
        <v>1175</v>
      </c>
      <c r="M416" s="66" t="s">
        <v>1060</v>
      </c>
      <c r="N416" s="66" t="s">
        <v>1330</v>
      </c>
      <c r="O416" s="66" t="s">
        <v>1062</v>
      </c>
      <c r="P416" s="67" t="s">
        <v>1103</v>
      </c>
      <c r="Q416" s="18" t="s">
        <v>476</v>
      </c>
      <c r="R416" s="68" t="str">
        <f>IFERROR(CONCATENATE("*",VLOOKUP(L416,PARAM!D:E,2,0),VLOOKUP(M416,PARAM!J:K,2,0),VLOOKUP(N416,PARAM!G:H,2,0),VLOOKUP(P416,PARAM!P:Q,2,0),"*"),"")</f>
        <v>*38117230*</v>
      </c>
      <c r="S416" s="18" t="str">
        <f>IFERROR(CONCATENATE(VLOOKUP(L416,PARAM!D:E,2,0),VLOOKUP(M416,PARAM!J:K,2,0),VLOOKUP(N416,PARAM!G:H,2,0),VLOOKUP(O416,PARAM!M:N,2,0),VLOOKUP(P416,PARAM!P:Q,2,0)),"")</f>
        <v>3811721030</v>
      </c>
      <c r="T416" s="18">
        <f t="shared" si="4"/>
        <v>10</v>
      </c>
      <c r="U416" s="18" t="str">
        <f t="shared" si="5"/>
        <v>BODY DAMA LICRADO GRIS TALLA UN</v>
      </c>
    </row>
    <row r="417">
      <c r="A417" s="4">
        <v>8.0</v>
      </c>
      <c r="B417" s="4" t="s">
        <v>1912</v>
      </c>
      <c r="C417" s="1"/>
      <c r="D417" s="4" t="s">
        <v>1331</v>
      </c>
      <c r="E417" s="3">
        <v>10000.0</v>
      </c>
      <c r="F417" s="2">
        <f t="shared" si="2"/>
        <v>80000</v>
      </c>
      <c r="G417" s="65">
        <f t="shared" si="7"/>
        <v>20000</v>
      </c>
      <c r="H417" s="1"/>
      <c r="I417" s="1"/>
      <c r="J417" s="1"/>
      <c r="K417" s="66" t="s">
        <v>1058</v>
      </c>
      <c r="L417" s="66" t="s">
        <v>1234</v>
      </c>
      <c r="M417" s="66" t="s">
        <v>1060</v>
      </c>
      <c r="N417" s="18" t="s">
        <v>1331</v>
      </c>
      <c r="O417" s="66" t="s">
        <v>1069</v>
      </c>
      <c r="P417" s="67" t="s">
        <v>1103</v>
      </c>
      <c r="Q417" s="18" t="s">
        <v>476</v>
      </c>
      <c r="R417" s="68" t="str">
        <f>IFERROR(CONCATENATE("*",VLOOKUP(L417,PARAM!D:E,2,0),VLOOKUP(M417,PARAM!J:K,2,0),VLOOKUP(N417,PARAM!G:H,2,0),VLOOKUP(P417,PARAM!P:Q,2,0),"*"),"")</f>
        <v>*37117430*</v>
      </c>
      <c r="S417" s="18" t="str">
        <f>IFERROR(CONCATENATE(VLOOKUP(L417,PARAM!D:E,2,0),VLOOKUP(M417,PARAM!J:K,2,0),VLOOKUP(N417,PARAM!G:H,2,0),VLOOKUP(O417,PARAM!M:N,2,0),VLOOKUP(P417,PARAM!P:Q,2,0)),"")</f>
        <v>3711741630</v>
      </c>
      <c r="T417" s="18">
        <f t="shared" si="4"/>
        <v>10</v>
      </c>
      <c r="U417" s="18" t="str">
        <f t="shared" si="5"/>
        <v>ESQUELETO DAMA LICRADO LARGO VARIOS TALLA UN</v>
      </c>
    </row>
    <row r="418">
      <c r="A418" s="4">
        <v>10.0</v>
      </c>
      <c r="B418" s="4" t="s">
        <v>1913</v>
      </c>
      <c r="C418" s="1"/>
      <c r="D418" s="4" t="s">
        <v>1332</v>
      </c>
      <c r="E418" s="3">
        <v>10000.0</v>
      </c>
      <c r="F418" s="2">
        <f t="shared" si="2"/>
        <v>100000</v>
      </c>
      <c r="G418" s="65">
        <f t="shared" si="7"/>
        <v>20000</v>
      </c>
      <c r="H418" s="1"/>
      <c r="I418" s="1"/>
      <c r="J418" s="1"/>
      <c r="K418" s="66" t="s">
        <v>1058</v>
      </c>
      <c r="L418" s="66" t="s">
        <v>1234</v>
      </c>
      <c r="M418" s="66" t="s">
        <v>1060</v>
      </c>
      <c r="N418" s="18" t="s">
        <v>1332</v>
      </c>
      <c r="O418" s="66" t="s">
        <v>1069</v>
      </c>
      <c r="P418" s="67" t="s">
        <v>1103</v>
      </c>
      <c r="Q418" s="18" t="s">
        <v>476</v>
      </c>
      <c r="R418" s="68" t="str">
        <f>IFERROR(CONCATENATE("*",VLOOKUP(L418,PARAM!D:E,2,0),VLOOKUP(M418,PARAM!J:K,2,0),VLOOKUP(N418,PARAM!G:H,2,0),VLOOKUP(P418,PARAM!P:Q,2,0),"*"),"")</f>
        <v>*37117330*</v>
      </c>
      <c r="S418" s="18" t="str">
        <f>IFERROR(CONCATENATE(VLOOKUP(L418,PARAM!D:E,2,0),VLOOKUP(M418,PARAM!J:K,2,0),VLOOKUP(N418,PARAM!G:H,2,0),VLOOKUP(O418,PARAM!M:N,2,0),VLOOKUP(P418,PARAM!P:Q,2,0)),"")</f>
        <v>3711731630</v>
      </c>
      <c r="T418" s="18">
        <f t="shared" si="4"/>
        <v>10</v>
      </c>
      <c r="U418" s="18" t="str">
        <f t="shared" si="5"/>
        <v>ESQUELETO DAMA LICRADO CORTOS VARIOS TALLA UN</v>
      </c>
    </row>
    <row r="419">
      <c r="A419" s="4">
        <v>3.0</v>
      </c>
      <c r="B419" s="4" t="s">
        <v>1914</v>
      </c>
      <c r="C419" s="1"/>
      <c r="D419" s="4" t="s">
        <v>1333</v>
      </c>
      <c r="E419" s="3">
        <v>10000.0</v>
      </c>
      <c r="F419" s="2">
        <f t="shared" si="2"/>
        <v>30000</v>
      </c>
      <c r="G419" s="65">
        <f t="shared" si="7"/>
        <v>20000</v>
      </c>
      <c r="H419" s="1"/>
      <c r="I419" s="1"/>
      <c r="J419" s="1"/>
      <c r="K419" s="66" t="s">
        <v>1058</v>
      </c>
      <c r="L419" s="66" t="s">
        <v>1234</v>
      </c>
      <c r="M419" s="66" t="s">
        <v>1060</v>
      </c>
      <c r="N419" s="18" t="s">
        <v>1333</v>
      </c>
      <c r="O419" s="66" t="s">
        <v>1069</v>
      </c>
      <c r="P419" s="67" t="s">
        <v>1103</v>
      </c>
      <c r="Q419" s="18" t="s">
        <v>476</v>
      </c>
      <c r="R419" s="68" t="str">
        <f>IFERROR(CONCATENATE("*",VLOOKUP(L419,PARAM!D:E,2,0),VLOOKUP(M419,PARAM!J:K,2,0),VLOOKUP(N419,PARAM!G:H,2,0),VLOOKUP(P419,PARAM!P:Q,2,0),"*"),"")</f>
        <v>*37127330*</v>
      </c>
      <c r="S419" s="18" t="str">
        <f>IFERROR(CONCATENATE(VLOOKUP(L419,PARAM!D:E,2,0),VLOOKUP(M419,PARAM!J:K,2,0),VLOOKUP(N419,PARAM!G:H,2,0),VLOOKUP(O419,PARAM!M:N,2,0),VLOOKUP(P419,PARAM!P:Q,2,0)),"")</f>
        <v>3712731630</v>
      </c>
      <c r="T419" s="18">
        <f t="shared" si="4"/>
        <v>10</v>
      </c>
      <c r="U419" s="18" t="str">
        <f t="shared" si="5"/>
        <v>ESQUELETO DAMA UN SOLO HOMBRO VARIOS TALLA UN</v>
      </c>
    </row>
    <row r="420">
      <c r="A420" s="64">
        <v>1.0</v>
      </c>
      <c r="B420" s="4" t="s">
        <v>1915</v>
      </c>
      <c r="C420" s="1"/>
      <c r="D420" s="4" t="s">
        <v>1334</v>
      </c>
      <c r="E420" s="3">
        <v>35000.0</v>
      </c>
      <c r="F420" s="2">
        <f t="shared" si="2"/>
        <v>35000</v>
      </c>
      <c r="G420" s="65">
        <f t="shared" si="7"/>
        <v>70000</v>
      </c>
      <c r="H420" s="1"/>
      <c r="I420" s="1"/>
      <c r="J420" s="1"/>
      <c r="K420" s="66" t="s">
        <v>1187</v>
      </c>
      <c r="L420" s="66" t="s">
        <v>1194</v>
      </c>
      <c r="M420" s="66" t="s">
        <v>1101</v>
      </c>
      <c r="N420" s="18" t="s">
        <v>1334</v>
      </c>
      <c r="O420" s="66" t="s">
        <v>1082</v>
      </c>
      <c r="P420" s="67" t="s">
        <v>1168</v>
      </c>
      <c r="Q420" s="18" t="s">
        <v>879</v>
      </c>
      <c r="R420" s="68" t="str">
        <f>IFERROR(CONCATENATE("*",VLOOKUP(L420,PARAM!D:E,2,0),VLOOKUP(M420,PARAM!J:K,2,0),VLOOKUP(N420,PARAM!G:H,2,0),VLOOKUP(P420,PARAM!P:Q,2,0),"*"),"")</f>
        <v>*26319427*</v>
      </c>
      <c r="S420" s="18" t="str">
        <f>IFERROR(CONCATENATE(VLOOKUP(L420,PARAM!D:E,2,0),VLOOKUP(M420,PARAM!J:K,2,0),VLOOKUP(N420,PARAM!G:H,2,0),VLOOKUP(O420,PARAM!M:N,2,0),VLOOKUP(P420,PARAM!P:Q,2,0)),"")</f>
        <v>263194527</v>
      </c>
      <c r="T420" s="18">
        <f t="shared" si="4"/>
        <v>10</v>
      </c>
      <c r="U420" s="18" t="str">
        <f t="shared" si="5"/>
        <v>BUSOS UNISEX MUNDIAL 2026 BEIGE TALLA S</v>
      </c>
    </row>
    <row r="421">
      <c r="A421" s="64">
        <v>2.0</v>
      </c>
      <c r="B421" s="4" t="s">
        <v>1915</v>
      </c>
      <c r="C421" s="1"/>
      <c r="D421" s="4" t="s">
        <v>1334</v>
      </c>
      <c r="E421" s="3">
        <v>35000.0</v>
      </c>
      <c r="F421" s="2">
        <f t="shared" si="2"/>
        <v>70000</v>
      </c>
      <c r="G421" s="65">
        <f t="shared" si="7"/>
        <v>70000</v>
      </c>
      <c r="H421" s="1"/>
      <c r="I421" s="1"/>
      <c r="J421" s="1"/>
      <c r="K421" s="66" t="s">
        <v>1187</v>
      </c>
      <c r="L421" s="66" t="s">
        <v>1194</v>
      </c>
      <c r="M421" s="66" t="s">
        <v>1101</v>
      </c>
      <c r="N421" s="18" t="s">
        <v>1334</v>
      </c>
      <c r="O421" s="66" t="s">
        <v>1082</v>
      </c>
      <c r="P421" s="67" t="s">
        <v>1164</v>
      </c>
      <c r="Q421" s="18" t="s">
        <v>879</v>
      </c>
      <c r="R421" s="68" t="str">
        <f>IFERROR(CONCATENATE("*",VLOOKUP(L421,PARAM!D:E,2,0),VLOOKUP(M421,PARAM!J:K,2,0),VLOOKUP(N421,PARAM!G:H,2,0),VLOOKUP(P421,PARAM!P:Q,2,0),"*"),"")</f>
        <v>*26319425*</v>
      </c>
      <c r="S421" s="18" t="str">
        <f>IFERROR(CONCATENATE(VLOOKUP(L421,PARAM!D:E,2,0),VLOOKUP(M421,PARAM!J:K,2,0),VLOOKUP(N421,PARAM!G:H,2,0),VLOOKUP(O421,PARAM!M:N,2,0),VLOOKUP(P421,PARAM!P:Q,2,0)),"")</f>
        <v>263194525</v>
      </c>
      <c r="T421" s="18">
        <f t="shared" si="4"/>
        <v>10</v>
      </c>
      <c r="U421" s="18" t="str">
        <f t="shared" si="5"/>
        <v>BUSOS UNISEX MUNDIAL 2026 BEIGE TALLA M</v>
      </c>
    </row>
    <row r="422">
      <c r="A422" s="64">
        <v>2.0</v>
      </c>
      <c r="B422" s="4" t="s">
        <v>1915</v>
      </c>
      <c r="C422" s="1"/>
      <c r="D422" s="4" t="s">
        <v>1334</v>
      </c>
      <c r="E422" s="3">
        <v>35000.0</v>
      </c>
      <c r="F422" s="2">
        <f t="shared" si="2"/>
        <v>70000</v>
      </c>
      <c r="G422" s="65">
        <f t="shared" si="7"/>
        <v>70000</v>
      </c>
      <c r="H422" s="1"/>
      <c r="I422" s="1"/>
      <c r="J422" s="1"/>
      <c r="K422" s="66" t="s">
        <v>1187</v>
      </c>
      <c r="L422" s="66" t="s">
        <v>1194</v>
      </c>
      <c r="M422" s="66" t="s">
        <v>1101</v>
      </c>
      <c r="N422" s="18" t="s">
        <v>1334</v>
      </c>
      <c r="O422" s="66" t="s">
        <v>1082</v>
      </c>
      <c r="P422" s="67" t="s">
        <v>1165</v>
      </c>
      <c r="Q422" s="18" t="s">
        <v>879</v>
      </c>
      <c r="R422" s="68" t="str">
        <f>IFERROR(CONCATENATE("*",VLOOKUP(L422,PARAM!D:E,2,0),VLOOKUP(M422,PARAM!J:K,2,0),VLOOKUP(N422,PARAM!G:H,2,0),VLOOKUP(P422,PARAM!P:Q,2,0),"*"),"")</f>
        <v>*26319423*</v>
      </c>
      <c r="S422" s="18" t="str">
        <f>IFERROR(CONCATENATE(VLOOKUP(L422,PARAM!D:E,2,0),VLOOKUP(M422,PARAM!J:K,2,0),VLOOKUP(N422,PARAM!G:H,2,0),VLOOKUP(O422,PARAM!M:N,2,0),VLOOKUP(P422,PARAM!P:Q,2,0)),"")</f>
        <v>263194523</v>
      </c>
      <c r="T422" s="18">
        <f t="shared" si="4"/>
        <v>10</v>
      </c>
      <c r="U422" s="18" t="str">
        <f t="shared" si="5"/>
        <v>BUSOS UNISEX MUNDIAL 2026 BEIGE TALLA L</v>
      </c>
    </row>
    <row r="423">
      <c r="A423" s="64">
        <v>1.0</v>
      </c>
      <c r="B423" s="4" t="s">
        <v>1915</v>
      </c>
      <c r="C423" s="1"/>
      <c r="D423" s="4" t="s">
        <v>1334</v>
      </c>
      <c r="E423" s="3">
        <v>35000.0</v>
      </c>
      <c r="F423" s="2">
        <f t="shared" si="2"/>
        <v>35000</v>
      </c>
      <c r="G423" s="65">
        <f t="shared" si="7"/>
        <v>70000</v>
      </c>
      <c r="H423" s="1"/>
      <c r="I423" s="1"/>
      <c r="J423" s="1"/>
      <c r="K423" s="66" t="s">
        <v>1187</v>
      </c>
      <c r="L423" s="66" t="s">
        <v>1194</v>
      </c>
      <c r="M423" s="66" t="s">
        <v>1101</v>
      </c>
      <c r="N423" s="18" t="s">
        <v>1334</v>
      </c>
      <c r="O423" s="66" t="s">
        <v>1082</v>
      </c>
      <c r="P423" s="67" t="s">
        <v>1077</v>
      </c>
      <c r="Q423" s="18" t="s">
        <v>879</v>
      </c>
      <c r="R423" s="68" t="str">
        <f>IFERROR(CONCATENATE("*",VLOOKUP(L423,PARAM!D:E,2,0),VLOOKUP(M423,PARAM!J:K,2,0),VLOOKUP(N423,PARAM!G:H,2,0),VLOOKUP(P423,PARAM!P:Q,2,0),"*"),"")</f>
        <v>*26319432*</v>
      </c>
      <c r="S423" s="18" t="str">
        <f>IFERROR(CONCATENATE(VLOOKUP(L423,PARAM!D:E,2,0),VLOOKUP(M423,PARAM!J:K,2,0),VLOOKUP(N423,PARAM!G:H,2,0),VLOOKUP(O423,PARAM!M:N,2,0),VLOOKUP(P423,PARAM!P:Q,2,0)),"")</f>
        <v>263194532</v>
      </c>
      <c r="T423" s="18">
        <f t="shared" si="4"/>
        <v>10</v>
      </c>
      <c r="U423" s="18" t="str">
        <f t="shared" si="5"/>
        <v>BUSOS UNISEX MUNDIAL 2026 BEIGE TALLA XL</v>
      </c>
    </row>
    <row r="424">
      <c r="A424" s="64">
        <v>2.0</v>
      </c>
      <c r="B424" s="4" t="s">
        <v>1335</v>
      </c>
      <c r="C424" s="1"/>
      <c r="D424" s="4" t="s">
        <v>1916</v>
      </c>
      <c r="E424" s="3">
        <v>33000.0</v>
      </c>
      <c r="F424" s="2">
        <f t="shared" si="2"/>
        <v>66000</v>
      </c>
      <c r="G424" s="65">
        <f t="shared" si="7"/>
        <v>66000</v>
      </c>
      <c r="H424" s="1"/>
      <c r="I424" s="1"/>
      <c r="J424" s="1"/>
      <c r="K424" s="66" t="s">
        <v>1058</v>
      </c>
      <c r="L424" s="66" t="s">
        <v>1227</v>
      </c>
      <c r="M424" s="66" t="s">
        <v>1060</v>
      </c>
      <c r="N424" s="18" t="s">
        <v>1335</v>
      </c>
      <c r="O424" s="66" t="s">
        <v>1069</v>
      </c>
      <c r="P424" s="67" t="s">
        <v>1103</v>
      </c>
      <c r="Q424" s="18" t="s">
        <v>884</v>
      </c>
      <c r="R424" s="68" t="str">
        <f>IFERROR(CONCATENATE("*",VLOOKUP(L424,PARAM!D:E,2,0),VLOOKUP(M424,PARAM!J:K,2,0),VLOOKUP(N424,PARAM!G:H,2,0),VLOOKUP(P424,PARAM!P:Q,2,0),"*"),"")</f>
        <v>*39124730*</v>
      </c>
      <c r="S424" s="18" t="str">
        <f>IFERROR(CONCATENATE(VLOOKUP(L424,PARAM!D:E,2,0),VLOOKUP(M424,PARAM!J:K,2,0),VLOOKUP(N424,PARAM!G:H,2,0),VLOOKUP(O424,PARAM!M:N,2,0),VLOOKUP(P424,PARAM!P:Q,2,0)),"")</f>
        <v>3912471630</v>
      </c>
      <c r="T424" s="18">
        <f t="shared" si="4"/>
        <v>10</v>
      </c>
      <c r="U424" s="18" t="str">
        <f t="shared" si="5"/>
        <v>SACO DAMA SACO ABIERTO VARIOS TALLA UN</v>
      </c>
    </row>
    <row r="425">
      <c r="A425" s="64">
        <v>3.0</v>
      </c>
      <c r="B425" s="4" t="s">
        <v>1917</v>
      </c>
      <c r="C425" s="1"/>
      <c r="D425" s="4" t="s">
        <v>1336</v>
      </c>
      <c r="E425" s="3">
        <v>25000.0</v>
      </c>
      <c r="F425" s="2">
        <f t="shared" si="2"/>
        <v>75000</v>
      </c>
      <c r="G425" s="65">
        <f t="shared" si="7"/>
        <v>50000</v>
      </c>
      <c r="H425" s="1"/>
      <c r="I425" s="1"/>
      <c r="J425" s="1"/>
      <c r="K425" s="66" t="s">
        <v>1058</v>
      </c>
      <c r="L425" s="66" t="s">
        <v>1194</v>
      </c>
      <c r="M425" s="66" t="s">
        <v>1060</v>
      </c>
      <c r="N425" s="18" t="s">
        <v>1336</v>
      </c>
      <c r="O425" s="66" t="s">
        <v>1069</v>
      </c>
      <c r="P425" s="67" t="s">
        <v>1103</v>
      </c>
      <c r="Q425" s="18" t="s">
        <v>884</v>
      </c>
      <c r="R425" s="68" t="str">
        <f>IFERROR(CONCATENATE("*",VLOOKUP(L425,PARAM!D:E,2,0),VLOOKUP(M425,PARAM!J:K,2,0),VLOOKUP(N425,PARAM!G:H,2,0),VLOOKUP(P425,PARAM!P:Q,2,0),"*"),"")</f>
        <v>*26120730*</v>
      </c>
      <c r="S425" s="18" t="str">
        <f>IFERROR(CONCATENATE(VLOOKUP(L425,PARAM!D:E,2,0),VLOOKUP(M425,PARAM!J:K,2,0),VLOOKUP(N425,PARAM!G:H,2,0),VLOOKUP(O425,PARAM!M:N,2,0),VLOOKUP(P425,PARAM!P:Q,2,0)),"")</f>
        <v>2612071630</v>
      </c>
      <c r="T425" s="18">
        <f t="shared" si="4"/>
        <v>10</v>
      </c>
      <c r="U425" s="18" t="str">
        <f t="shared" si="5"/>
        <v>BUSOS DAMA PEPAS CHINILLO VARIOS TALLA UN</v>
      </c>
    </row>
    <row r="426">
      <c r="A426" s="64">
        <v>5.0</v>
      </c>
      <c r="B426" s="4" t="s">
        <v>1918</v>
      </c>
      <c r="C426" s="1"/>
      <c r="D426" s="4" t="s">
        <v>1919</v>
      </c>
      <c r="E426" s="3">
        <v>27000.0</v>
      </c>
      <c r="F426" s="2">
        <f t="shared" si="2"/>
        <v>135000</v>
      </c>
      <c r="G426" s="65">
        <f t="shared" si="7"/>
        <v>54000</v>
      </c>
      <c r="H426" s="1"/>
      <c r="I426" s="1"/>
      <c r="J426" s="1"/>
      <c r="K426" s="66" t="s">
        <v>1058</v>
      </c>
      <c r="L426" s="66" t="s">
        <v>421</v>
      </c>
      <c r="M426" s="66" t="s">
        <v>1060</v>
      </c>
      <c r="N426" s="66" t="s">
        <v>1337</v>
      </c>
      <c r="O426" s="66" t="s">
        <v>1069</v>
      </c>
      <c r="P426" s="67" t="s">
        <v>1103</v>
      </c>
      <c r="Q426" s="18" t="s">
        <v>884</v>
      </c>
      <c r="R426" s="68" t="str">
        <f>IFERROR(CONCATENATE("*",VLOOKUP(L426,PARAM!D:E,2,0),VLOOKUP(M426,PARAM!J:K,2,0),VLOOKUP(N426,PARAM!G:H,2,0),VLOOKUP(P426,PARAM!P:Q,2,0),"*"),"")</f>
        <v>*6112530*</v>
      </c>
      <c r="S426" s="18" t="str">
        <f>IFERROR(CONCATENATE(VLOOKUP(L426,PARAM!D:E,2,0),VLOOKUP(M426,PARAM!J:K,2,0),VLOOKUP(N426,PARAM!G:H,2,0),VLOOKUP(O426,PARAM!M:N,2,0),VLOOKUP(P426,PARAM!P:Q,2,0)),"")</f>
        <v>611251630</v>
      </c>
      <c r="T426" s="18">
        <f t="shared" si="4"/>
        <v>9</v>
      </c>
      <c r="U426" s="18" t="str">
        <f t="shared" si="5"/>
        <v>BLUSAS DAMA ELEGANTE VARIOS TALLA UN</v>
      </c>
    </row>
    <row r="427">
      <c r="A427" s="64">
        <v>3.0</v>
      </c>
      <c r="B427" s="4" t="s">
        <v>1920</v>
      </c>
      <c r="C427" s="1"/>
      <c r="D427" s="4" t="s">
        <v>1338</v>
      </c>
      <c r="E427" s="3">
        <v>25000.0</v>
      </c>
      <c r="F427" s="2">
        <f t="shared" si="2"/>
        <v>75000</v>
      </c>
      <c r="G427" s="65">
        <f t="shared" si="7"/>
        <v>50000</v>
      </c>
      <c r="H427" s="1"/>
      <c r="I427" s="1"/>
      <c r="J427" s="1"/>
      <c r="K427" s="66" t="s">
        <v>1058</v>
      </c>
      <c r="L427" s="66" t="s">
        <v>421</v>
      </c>
      <c r="M427" s="66" t="s">
        <v>1060</v>
      </c>
      <c r="N427" s="18" t="s">
        <v>1338</v>
      </c>
      <c r="O427" s="66" t="s">
        <v>1069</v>
      </c>
      <c r="P427" s="67" t="s">
        <v>1103</v>
      </c>
      <c r="Q427" s="18" t="s">
        <v>884</v>
      </c>
      <c r="R427" s="68" t="str">
        <f>IFERROR(CONCATENATE("*",VLOOKUP(L427,PARAM!D:E,2,0),VLOOKUP(M427,PARAM!J:K,2,0),VLOOKUP(N427,PARAM!G:H,2,0),VLOOKUP(P427,PARAM!P:Q,2,0),"*"),"")</f>
        <v>*619430*</v>
      </c>
      <c r="S427" s="18" t="str">
        <f>IFERROR(CONCATENATE(VLOOKUP(L427,PARAM!D:E,2,0),VLOOKUP(M427,PARAM!J:K,2,0),VLOOKUP(N427,PARAM!G:H,2,0),VLOOKUP(O427,PARAM!M:N,2,0),VLOOKUP(P427,PARAM!P:Q,2,0)),"")</f>
        <v>61941630</v>
      </c>
      <c r="T427" s="18">
        <f t="shared" si="4"/>
        <v>8</v>
      </c>
      <c r="U427" s="18" t="str">
        <f t="shared" si="5"/>
        <v>BLUSAS DAMA CON PEPAS VARIOS TALLA UN</v>
      </c>
    </row>
    <row r="428">
      <c r="A428" s="64">
        <v>9.0</v>
      </c>
      <c r="B428" s="4" t="s">
        <v>1921</v>
      </c>
      <c r="C428" s="1"/>
      <c r="D428" s="4" t="s">
        <v>1339</v>
      </c>
      <c r="E428" s="3">
        <v>33000.0</v>
      </c>
      <c r="F428" s="2">
        <f t="shared" si="2"/>
        <v>297000</v>
      </c>
      <c r="G428" s="65">
        <f t="shared" si="7"/>
        <v>66000</v>
      </c>
      <c r="H428" s="1"/>
      <c r="I428" s="1"/>
      <c r="J428" s="1"/>
      <c r="K428" s="66" t="s">
        <v>1058</v>
      </c>
      <c r="L428" s="66" t="s">
        <v>1194</v>
      </c>
      <c r="M428" s="66" t="s">
        <v>1060</v>
      </c>
      <c r="N428" s="18" t="s">
        <v>1339</v>
      </c>
      <c r="O428" s="66" t="s">
        <v>1069</v>
      </c>
      <c r="P428" s="67" t="s">
        <v>1103</v>
      </c>
      <c r="Q428" s="18" t="s">
        <v>884</v>
      </c>
      <c r="R428" s="68" t="str">
        <f>IFERROR(CONCATENATE("*",VLOOKUP(L428,PARAM!D:E,2,0),VLOOKUP(M428,PARAM!J:K,2,0),VLOOKUP(N428,PARAM!G:H,2,0),VLOOKUP(P428,PARAM!P:Q,2,0),"*"),"")</f>
        <v>*2619030*</v>
      </c>
      <c r="S428" s="18" t="str">
        <f>IFERROR(CONCATENATE(VLOOKUP(L428,PARAM!D:E,2,0),VLOOKUP(M428,PARAM!J:K,2,0),VLOOKUP(N428,PARAM!G:H,2,0),VLOOKUP(O428,PARAM!M:N,2,0),VLOOKUP(P428,PARAM!P:Q,2,0)),"")</f>
        <v>261901630</v>
      </c>
      <c r="T428" s="18">
        <f t="shared" si="4"/>
        <v>9</v>
      </c>
      <c r="U428" s="18" t="str">
        <f t="shared" si="5"/>
        <v>BUSOS DAMA CON BORDADOS VARIOS TALLA UN</v>
      </c>
    </row>
    <row r="429">
      <c r="A429" s="64">
        <v>4.0</v>
      </c>
      <c r="B429" s="4" t="s">
        <v>1922</v>
      </c>
      <c r="C429" s="1"/>
      <c r="D429" s="4" t="s">
        <v>1340</v>
      </c>
      <c r="E429" s="3">
        <v>33000.0</v>
      </c>
      <c r="F429" s="2">
        <f t="shared" si="2"/>
        <v>132000</v>
      </c>
      <c r="G429" s="65">
        <f t="shared" si="7"/>
        <v>66000</v>
      </c>
      <c r="H429" s="1"/>
      <c r="I429" s="1"/>
      <c r="J429" s="1"/>
      <c r="K429" s="66" t="s">
        <v>1058</v>
      </c>
      <c r="L429" s="66" t="s">
        <v>1194</v>
      </c>
      <c r="M429" s="66" t="s">
        <v>1060</v>
      </c>
      <c r="N429" s="18" t="s">
        <v>1340</v>
      </c>
      <c r="O429" s="66" t="s">
        <v>1069</v>
      </c>
      <c r="P429" s="67" t="s">
        <v>1103</v>
      </c>
      <c r="Q429" s="18" t="s">
        <v>884</v>
      </c>
      <c r="R429" s="68" t="str">
        <f>IFERROR(CONCATENATE("*",VLOOKUP(L429,PARAM!D:E,2,0),VLOOKUP(M429,PARAM!J:K,2,0),VLOOKUP(N429,PARAM!G:H,2,0),VLOOKUP(P429,PARAM!P:Q,2,0),"*"),"")</f>
        <v>*2617030*</v>
      </c>
      <c r="S429" s="18" t="str">
        <f>IFERROR(CONCATENATE(VLOOKUP(L429,PARAM!D:E,2,0),VLOOKUP(M429,PARAM!J:K,2,0),VLOOKUP(N429,PARAM!G:H,2,0),VLOOKUP(O429,PARAM!M:N,2,0),VLOOKUP(P429,PARAM!P:Q,2,0)),"")</f>
        <v>261701630</v>
      </c>
      <c r="T429" s="18">
        <f t="shared" si="4"/>
        <v>9</v>
      </c>
      <c r="U429" s="18" t="str">
        <f t="shared" si="5"/>
        <v>BUSOS DAMA CAPOTA LANA VARIOS TALLA UN</v>
      </c>
    </row>
    <row r="430">
      <c r="A430" s="64">
        <v>8.0</v>
      </c>
      <c r="B430" s="4" t="s">
        <v>1923</v>
      </c>
      <c r="C430" s="1"/>
      <c r="D430" s="4" t="s">
        <v>1924</v>
      </c>
      <c r="E430" s="3">
        <v>17000.0</v>
      </c>
      <c r="F430" s="2">
        <f t="shared" si="2"/>
        <v>136000</v>
      </c>
      <c r="G430" s="65">
        <f t="shared" si="7"/>
        <v>34000</v>
      </c>
      <c r="H430" s="1"/>
      <c r="I430" s="1"/>
      <c r="J430" s="1"/>
      <c r="K430" s="66" t="s">
        <v>1058</v>
      </c>
      <c r="L430" s="66" t="s">
        <v>1171</v>
      </c>
      <c r="M430" s="66" t="s">
        <v>1060</v>
      </c>
      <c r="N430" s="66" t="s">
        <v>1341</v>
      </c>
      <c r="O430" s="66" t="s">
        <v>1069</v>
      </c>
      <c r="P430" s="67" t="s">
        <v>1168</v>
      </c>
      <c r="Q430" s="18" t="s">
        <v>891</v>
      </c>
      <c r="R430" s="68" t="str">
        <f>IFERROR(CONCATENATE("*",VLOOKUP(L430,PARAM!D:E,2,0),VLOOKUP(M430,PARAM!J:K,2,0),VLOOKUP(N430,PARAM!G:H,2,0),VLOOKUP(P430,PARAM!P:Q,2,0),"*"),"")</f>
        <v>*1112227*</v>
      </c>
      <c r="S430" s="18" t="str">
        <f>IFERROR(CONCATENATE(VLOOKUP(L430,PARAM!D:E,2,0),VLOOKUP(M430,PARAM!J:K,2,0),VLOOKUP(N430,PARAM!G:H,2,0),VLOOKUP(O430,PARAM!M:N,2,0),VLOOKUP(P430,PARAM!P:Q,2,0)),"")</f>
        <v>111221627</v>
      </c>
      <c r="T430" s="18">
        <f t="shared" si="4"/>
        <v>9</v>
      </c>
      <c r="U430" s="18" t="str">
        <f t="shared" si="5"/>
        <v>CAMISETAS DAMA ALGODON OLGADA VARIOS TALLA S</v>
      </c>
    </row>
    <row r="431">
      <c r="A431" s="64">
        <v>7.0</v>
      </c>
      <c r="B431" s="4" t="s">
        <v>1923</v>
      </c>
      <c r="C431" s="1"/>
      <c r="D431" s="4" t="s">
        <v>1924</v>
      </c>
      <c r="E431" s="3">
        <v>17000.0</v>
      </c>
      <c r="F431" s="2">
        <f t="shared" si="2"/>
        <v>119000</v>
      </c>
      <c r="G431" s="65">
        <f t="shared" si="7"/>
        <v>34000</v>
      </c>
      <c r="H431" s="1"/>
      <c r="I431" s="1"/>
      <c r="J431" s="1"/>
      <c r="K431" s="66" t="s">
        <v>1058</v>
      </c>
      <c r="L431" s="66" t="s">
        <v>1171</v>
      </c>
      <c r="M431" s="66" t="s">
        <v>1060</v>
      </c>
      <c r="N431" s="66" t="s">
        <v>1341</v>
      </c>
      <c r="O431" s="66" t="s">
        <v>1069</v>
      </c>
      <c r="P431" s="67" t="s">
        <v>1164</v>
      </c>
      <c r="Q431" s="18" t="s">
        <v>891</v>
      </c>
      <c r="R431" s="68" t="str">
        <f>IFERROR(CONCATENATE("*",VLOOKUP(L431,PARAM!D:E,2,0),VLOOKUP(M431,PARAM!J:K,2,0),VLOOKUP(N431,PARAM!G:H,2,0),VLOOKUP(P431,PARAM!P:Q,2,0),"*"),"")</f>
        <v>*1112225*</v>
      </c>
      <c r="S431" s="18" t="str">
        <f>IFERROR(CONCATENATE(VLOOKUP(L431,PARAM!D:E,2,0),VLOOKUP(M431,PARAM!J:K,2,0),VLOOKUP(N431,PARAM!G:H,2,0),VLOOKUP(O431,PARAM!M:N,2,0),VLOOKUP(P431,PARAM!P:Q,2,0)),"")</f>
        <v>111221625</v>
      </c>
      <c r="T431" s="18">
        <f t="shared" si="4"/>
        <v>9</v>
      </c>
      <c r="U431" s="18" t="str">
        <f t="shared" si="5"/>
        <v>CAMISETAS DAMA ALGODON OLGADA VARIOS TALLA M</v>
      </c>
    </row>
    <row r="432">
      <c r="A432" s="64">
        <v>5.0</v>
      </c>
      <c r="B432" s="4" t="s">
        <v>1923</v>
      </c>
      <c r="C432" s="1"/>
      <c r="D432" s="4" t="s">
        <v>1924</v>
      </c>
      <c r="E432" s="3">
        <v>17000.0</v>
      </c>
      <c r="F432" s="2">
        <f t="shared" si="2"/>
        <v>85000</v>
      </c>
      <c r="G432" s="65">
        <f t="shared" si="7"/>
        <v>34000</v>
      </c>
      <c r="H432" s="1"/>
      <c r="I432" s="1"/>
      <c r="J432" s="1"/>
      <c r="K432" s="66" t="s">
        <v>1058</v>
      </c>
      <c r="L432" s="66" t="s">
        <v>1171</v>
      </c>
      <c r="M432" s="66" t="s">
        <v>1060</v>
      </c>
      <c r="N432" s="66" t="s">
        <v>1341</v>
      </c>
      <c r="O432" s="66" t="s">
        <v>1069</v>
      </c>
      <c r="P432" s="67" t="s">
        <v>1165</v>
      </c>
      <c r="Q432" s="18" t="s">
        <v>891</v>
      </c>
      <c r="R432" s="68" t="str">
        <f>IFERROR(CONCATENATE("*",VLOOKUP(L432,PARAM!D:E,2,0),VLOOKUP(M432,PARAM!J:K,2,0),VLOOKUP(N432,PARAM!G:H,2,0),VLOOKUP(P432,PARAM!P:Q,2,0),"*"),"")</f>
        <v>*1112223*</v>
      </c>
      <c r="S432" s="18" t="str">
        <f>IFERROR(CONCATENATE(VLOOKUP(L432,PARAM!D:E,2,0),VLOOKUP(M432,PARAM!J:K,2,0),VLOOKUP(N432,PARAM!G:H,2,0),VLOOKUP(O432,PARAM!M:N,2,0),VLOOKUP(P432,PARAM!P:Q,2,0)),"")</f>
        <v>111221623</v>
      </c>
      <c r="T432" s="18">
        <f t="shared" si="4"/>
        <v>9</v>
      </c>
      <c r="U432" s="18" t="str">
        <f t="shared" si="5"/>
        <v>CAMISETAS DAMA ALGODON OLGADA VARIOS TALLA L</v>
      </c>
    </row>
    <row r="433">
      <c r="A433" s="64">
        <v>7.0</v>
      </c>
      <c r="B433" s="4" t="s">
        <v>1923</v>
      </c>
      <c r="C433" s="1"/>
      <c r="D433" s="4" t="s">
        <v>1924</v>
      </c>
      <c r="E433" s="3">
        <v>17000.0</v>
      </c>
      <c r="F433" s="2">
        <f t="shared" si="2"/>
        <v>119000</v>
      </c>
      <c r="G433" s="65">
        <f t="shared" si="7"/>
        <v>34000</v>
      </c>
      <c r="H433" s="1"/>
      <c r="I433" s="1"/>
      <c r="J433" s="1"/>
      <c r="K433" s="66" t="s">
        <v>1058</v>
      </c>
      <c r="L433" s="66" t="s">
        <v>1171</v>
      </c>
      <c r="M433" s="66" t="s">
        <v>1060</v>
      </c>
      <c r="N433" s="66" t="s">
        <v>1341</v>
      </c>
      <c r="O433" s="66" t="s">
        <v>1069</v>
      </c>
      <c r="P433" s="67" t="s">
        <v>1077</v>
      </c>
      <c r="Q433" s="18" t="s">
        <v>891</v>
      </c>
      <c r="R433" s="68" t="str">
        <f>IFERROR(CONCATENATE("*",VLOOKUP(L433,PARAM!D:E,2,0),VLOOKUP(M433,PARAM!J:K,2,0),VLOOKUP(N433,PARAM!G:H,2,0),VLOOKUP(P433,PARAM!P:Q,2,0),"*"),"")</f>
        <v>*1112232*</v>
      </c>
      <c r="S433" s="18" t="str">
        <f>IFERROR(CONCATENATE(VLOOKUP(L433,PARAM!D:E,2,0),VLOOKUP(M433,PARAM!J:K,2,0),VLOOKUP(N433,PARAM!G:H,2,0),VLOOKUP(O433,PARAM!M:N,2,0),VLOOKUP(P433,PARAM!P:Q,2,0)),"")</f>
        <v>111221632</v>
      </c>
      <c r="T433" s="18">
        <f t="shared" si="4"/>
        <v>9</v>
      </c>
      <c r="U433" s="18" t="str">
        <f t="shared" si="5"/>
        <v>CAMISETAS DAMA ALGODON OLGADA VARIOS TALLA XL</v>
      </c>
    </row>
    <row r="434">
      <c r="A434" s="78">
        <v>4.0</v>
      </c>
      <c r="B434" s="4" t="s">
        <v>1925</v>
      </c>
      <c r="C434" s="1"/>
      <c r="D434" s="4" t="s">
        <v>1926</v>
      </c>
      <c r="E434" s="3">
        <v>15000.0</v>
      </c>
      <c r="F434" s="2">
        <f t="shared" si="2"/>
        <v>60000</v>
      </c>
      <c r="G434" s="65">
        <f t="shared" si="7"/>
        <v>30000</v>
      </c>
      <c r="H434" s="1"/>
      <c r="I434" s="1"/>
      <c r="J434" s="1"/>
      <c r="K434" s="66" t="s">
        <v>1058</v>
      </c>
      <c r="L434" s="66" t="s">
        <v>1171</v>
      </c>
      <c r="M434" s="66" t="s">
        <v>1060</v>
      </c>
      <c r="N434" s="66" t="s">
        <v>1342</v>
      </c>
      <c r="O434" s="66" t="s">
        <v>1069</v>
      </c>
      <c r="P434" s="67" t="s">
        <v>1168</v>
      </c>
      <c r="Q434" s="18" t="s">
        <v>891</v>
      </c>
      <c r="R434" s="68" t="str">
        <f>IFERROR(CONCATENATE("*",VLOOKUP(L434,PARAM!D:E,2,0),VLOOKUP(M434,PARAM!J:K,2,0),VLOOKUP(N434,PARAM!G:H,2,0),VLOOKUP(P434,PARAM!P:Q,2,0),"*"),"")</f>
        <v>*1111727*</v>
      </c>
      <c r="S434" s="18" t="str">
        <f>IFERROR(CONCATENATE(VLOOKUP(L434,PARAM!D:E,2,0),VLOOKUP(M434,PARAM!J:K,2,0),VLOOKUP(N434,PARAM!G:H,2,0),VLOOKUP(O434,PARAM!M:N,2,0),VLOOKUP(P434,PARAM!P:Q,2,0)),"")</f>
        <v>111171627</v>
      </c>
      <c r="T434" s="18">
        <f t="shared" si="4"/>
        <v>9</v>
      </c>
      <c r="U434" s="18" t="str">
        <f t="shared" si="5"/>
        <v>CAMISETAS DAMA ALGODON AJUSTADA VARIOS TALLA S</v>
      </c>
    </row>
    <row r="435">
      <c r="A435" s="78">
        <v>4.0</v>
      </c>
      <c r="B435" s="4" t="s">
        <v>1925</v>
      </c>
      <c r="C435" s="1"/>
      <c r="D435" s="4" t="s">
        <v>1926</v>
      </c>
      <c r="E435" s="3">
        <v>15000.0</v>
      </c>
      <c r="F435" s="2">
        <f t="shared" si="2"/>
        <v>60000</v>
      </c>
      <c r="G435" s="65">
        <f t="shared" si="7"/>
        <v>30000</v>
      </c>
      <c r="H435" s="1"/>
      <c r="I435" s="1"/>
      <c r="J435" s="1"/>
      <c r="K435" s="66" t="s">
        <v>1058</v>
      </c>
      <c r="L435" s="66" t="s">
        <v>1171</v>
      </c>
      <c r="M435" s="66" t="s">
        <v>1060</v>
      </c>
      <c r="N435" s="66" t="s">
        <v>1342</v>
      </c>
      <c r="O435" s="66" t="s">
        <v>1069</v>
      </c>
      <c r="P435" s="67" t="s">
        <v>1164</v>
      </c>
      <c r="Q435" s="18" t="s">
        <v>891</v>
      </c>
      <c r="R435" s="68" t="str">
        <f>IFERROR(CONCATENATE("*",VLOOKUP(L435,PARAM!D:E,2,0),VLOOKUP(M435,PARAM!J:K,2,0),VLOOKUP(N435,PARAM!G:H,2,0),VLOOKUP(P435,PARAM!P:Q,2,0),"*"),"")</f>
        <v>*1111725*</v>
      </c>
      <c r="S435" s="18" t="str">
        <f>IFERROR(CONCATENATE(VLOOKUP(L435,PARAM!D:E,2,0),VLOOKUP(M435,PARAM!J:K,2,0),VLOOKUP(N435,PARAM!G:H,2,0),VLOOKUP(O435,PARAM!M:N,2,0),VLOOKUP(P435,PARAM!P:Q,2,0)),"")</f>
        <v>111171625</v>
      </c>
      <c r="T435" s="18">
        <f t="shared" si="4"/>
        <v>9</v>
      </c>
      <c r="U435" s="18" t="str">
        <f t="shared" si="5"/>
        <v>CAMISETAS DAMA ALGODON AJUSTADA VARIOS TALLA M</v>
      </c>
    </row>
    <row r="436">
      <c r="A436" s="78">
        <v>5.0</v>
      </c>
      <c r="B436" s="4" t="s">
        <v>1925</v>
      </c>
      <c r="C436" s="1"/>
      <c r="D436" s="4" t="s">
        <v>1926</v>
      </c>
      <c r="E436" s="3">
        <v>15000.0</v>
      </c>
      <c r="F436" s="2">
        <f t="shared" si="2"/>
        <v>75000</v>
      </c>
      <c r="G436" s="65">
        <f t="shared" si="7"/>
        <v>30000</v>
      </c>
      <c r="H436" s="1"/>
      <c r="I436" s="1"/>
      <c r="J436" s="1"/>
      <c r="K436" s="66" t="s">
        <v>1058</v>
      </c>
      <c r="L436" s="66" t="s">
        <v>1171</v>
      </c>
      <c r="M436" s="66" t="s">
        <v>1060</v>
      </c>
      <c r="N436" s="66" t="s">
        <v>1342</v>
      </c>
      <c r="O436" s="66" t="s">
        <v>1069</v>
      </c>
      <c r="P436" s="67" t="s">
        <v>1165</v>
      </c>
      <c r="Q436" s="18" t="s">
        <v>891</v>
      </c>
      <c r="R436" s="68" t="str">
        <f>IFERROR(CONCATENATE("*",VLOOKUP(L436,PARAM!D:E,2,0),VLOOKUP(M436,PARAM!J:K,2,0),VLOOKUP(N436,PARAM!G:H,2,0),VLOOKUP(P436,PARAM!P:Q,2,0),"*"),"")</f>
        <v>*1111723*</v>
      </c>
      <c r="S436" s="18" t="str">
        <f>IFERROR(CONCATENATE(VLOOKUP(L436,PARAM!D:E,2,0),VLOOKUP(M436,PARAM!J:K,2,0),VLOOKUP(N436,PARAM!G:H,2,0),VLOOKUP(O436,PARAM!M:N,2,0),VLOOKUP(P436,PARAM!P:Q,2,0)),"")</f>
        <v>111171623</v>
      </c>
      <c r="T436" s="18">
        <f t="shared" si="4"/>
        <v>9</v>
      </c>
      <c r="U436" s="18" t="str">
        <f t="shared" si="5"/>
        <v>CAMISETAS DAMA ALGODON AJUSTADA VARIOS TALLA L</v>
      </c>
    </row>
    <row r="437">
      <c r="A437" s="78">
        <v>5.0</v>
      </c>
      <c r="B437" s="4" t="s">
        <v>1925</v>
      </c>
      <c r="C437" s="1"/>
      <c r="D437" s="4" t="s">
        <v>1926</v>
      </c>
      <c r="E437" s="3">
        <v>15000.0</v>
      </c>
      <c r="F437" s="2">
        <f t="shared" si="2"/>
        <v>75000</v>
      </c>
      <c r="G437" s="65">
        <f t="shared" si="7"/>
        <v>30000</v>
      </c>
      <c r="H437" s="1"/>
      <c r="I437" s="1"/>
      <c r="J437" s="1"/>
      <c r="K437" s="66" t="s">
        <v>1058</v>
      </c>
      <c r="L437" s="66" t="s">
        <v>1171</v>
      </c>
      <c r="M437" s="66" t="s">
        <v>1060</v>
      </c>
      <c r="N437" s="66" t="s">
        <v>1342</v>
      </c>
      <c r="O437" s="66" t="s">
        <v>1069</v>
      </c>
      <c r="P437" s="67" t="s">
        <v>1077</v>
      </c>
      <c r="Q437" s="18" t="s">
        <v>891</v>
      </c>
      <c r="R437" s="68" t="str">
        <f>IFERROR(CONCATENATE("*",VLOOKUP(L437,PARAM!D:E,2,0),VLOOKUP(M437,PARAM!J:K,2,0),VLOOKUP(N437,PARAM!G:H,2,0),VLOOKUP(P437,PARAM!P:Q,2,0),"*"),"")</f>
        <v>*1111732*</v>
      </c>
      <c r="S437" s="18" t="str">
        <f>IFERROR(CONCATENATE(VLOOKUP(L437,PARAM!D:E,2,0),VLOOKUP(M437,PARAM!J:K,2,0),VLOOKUP(N437,PARAM!G:H,2,0),VLOOKUP(O437,PARAM!M:N,2,0),VLOOKUP(P437,PARAM!P:Q,2,0)),"")</f>
        <v>111171632</v>
      </c>
      <c r="T437" s="18">
        <f t="shared" si="4"/>
        <v>9</v>
      </c>
      <c r="U437" s="18" t="str">
        <f t="shared" si="5"/>
        <v>CAMISETAS DAMA ALGODON AJUSTADA VARIOS TALLA XL</v>
      </c>
    </row>
    <row r="438">
      <c r="A438" s="64">
        <v>7.0</v>
      </c>
      <c r="B438" s="4" t="s">
        <v>1927</v>
      </c>
      <c r="C438" s="1"/>
      <c r="D438" s="4" t="s">
        <v>1237</v>
      </c>
      <c r="E438" s="3">
        <v>22000.0</v>
      </c>
      <c r="F438" s="2">
        <f t="shared" si="2"/>
        <v>154000</v>
      </c>
      <c r="G438" s="65">
        <f t="shared" si="7"/>
        <v>44000</v>
      </c>
      <c r="H438" s="1"/>
      <c r="I438" s="1"/>
      <c r="J438" s="1"/>
      <c r="K438" s="66" t="s">
        <v>1078</v>
      </c>
      <c r="L438" s="66" t="s">
        <v>1171</v>
      </c>
      <c r="M438" s="66" t="s">
        <v>1080</v>
      </c>
      <c r="N438" s="18" t="s">
        <v>1237</v>
      </c>
      <c r="O438" s="66" t="s">
        <v>1069</v>
      </c>
      <c r="P438" s="67" t="s">
        <v>1168</v>
      </c>
      <c r="Q438" s="18" t="s">
        <v>891</v>
      </c>
      <c r="R438" s="68" t="str">
        <f>IFERROR(CONCATENATE("*",VLOOKUP(L438,PARAM!D:E,2,0),VLOOKUP(M438,PARAM!J:K,2,0),VLOOKUP(N438,PARAM!G:H,2,0),VLOOKUP(P438,PARAM!P:Q,2,0),"*"),"")</f>
        <v>*11224827*</v>
      </c>
      <c r="S438" s="18" t="str">
        <f>IFERROR(CONCATENATE(VLOOKUP(L438,PARAM!D:E,2,0),VLOOKUP(M438,PARAM!J:K,2,0),VLOOKUP(N438,PARAM!G:H,2,0),VLOOKUP(O438,PARAM!M:N,2,0),VLOOKUP(P438,PARAM!P:Q,2,0)),"")</f>
        <v>1122481627</v>
      </c>
      <c r="T438" s="18">
        <f t="shared" si="4"/>
        <v>10</v>
      </c>
      <c r="U438" s="18" t="str">
        <f t="shared" si="5"/>
        <v>CAMISETAS CABALLERO SEDA FRIA VARIOS TALLA S</v>
      </c>
    </row>
    <row r="439">
      <c r="A439" s="64">
        <v>9.0</v>
      </c>
      <c r="B439" s="4" t="s">
        <v>1927</v>
      </c>
      <c r="C439" s="1"/>
      <c r="D439" s="4" t="s">
        <v>1237</v>
      </c>
      <c r="E439" s="3">
        <v>22000.0</v>
      </c>
      <c r="F439" s="2">
        <f t="shared" si="2"/>
        <v>198000</v>
      </c>
      <c r="G439" s="65">
        <f t="shared" si="7"/>
        <v>44000</v>
      </c>
      <c r="H439" s="1"/>
      <c r="I439" s="1"/>
      <c r="J439" s="1"/>
      <c r="K439" s="66" t="s">
        <v>1078</v>
      </c>
      <c r="L439" s="66" t="s">
        <v>1171</v>
      </c>
      <c r="M439" s="66" t="s">
        <v>1080</v>
      </c>
      <c r="N439" s="18" t="s">
        <v>1237</v>
      </c>
      <c r="O439" s="66" t="s">
        <v>1069</v>
      </c>
      <c r="P439" s="67" t="s">
        <v>1164</v>
      </c>
      <c r="Q439" s="18" t="s">
        <v>891</v>
      </c>
      <c r="R439" s="68" t="str">
        <f>IFERROR(CONCATENATE("*",VLOOKUP(L439,PARAM!D:E,2,0),VLOOKUP(M439,PARAM!J:K,2,0),VLOOKUP(N439,PARAM!G:H,2,0),VLOOKUP(P439,PARAM!P:Q,2,0),"*"),"")</f>
        <v>*11224825*</v>
      </c>
      <c r="S439" s="18" t="str">
        <f>IFERROR(CONCATENATE(VLOOKUP(L439,PARAM!D:E,2,0),VLOOKUP(M439,PARAM!J:K,2,0),VLOOKUP(N439,PARAM!G:H,2,0),VLOOKUP(O439,PARAM!M:N,2,0),VLOOKUP(P439,PARAM!P:Q,2,0)),"")</f>
        <v>1122481625</v>
      </c>
      <c r="T439" s="18">
        <f t="shared" si="4"/>
        <v>10</v>
      </c>
      <c r="U439" s="18" t="str">
        <f t="shared" si="5"/>
        <v>CAMISETAS CABALLERO SEDA FRIA VARIOS TALLA M</v>
      </c>
    </row>
    <row r="440">
      <c r="A440" s="64">
        <v>7.0</v>
      </c>
      <c r="B440" s="4" t="s">
        <v>1927</v>
      </c>
      <c r="C440" s="1"/>
      <c r="D440" s="4" t="s">
        <v>1237</v>
      </c>
      <c r="E440" s="3">
        <v>22000.0</v>
      </c>
      <c r="F440" s="2">
        <f t="shared" si="2"/>
        <v>154000</v>
      </c>
      <c r="G440" s="65">
        <f t="shared" si="7"/>
        <v>44000</v>
      </c>
      <c r="H440" s="1"/>
      <c r="I440" s="1"/>
      <c r="J440" s="1"/>
      <c r="K440" s="66" t="s">
        <v>1078</v>
      </c>
      <c r="L440" s="66" t="s">
        <v>1171</v>
      </c>
      <c r="M440" s="66" t="s">
        <v>1080</v>
      </c>
      <c r="N440" s="18" t="s">
        <v>1237</v>
      </c>
      <c r="O440" s="66" t="s">
        <v>1069</v>
      </c>
      <c r="P440" s="67" t="s">
        <v>1165</v>
      </c>
      <c r="Q440" s="18" t="s">
        <v>891</v>
      </c>
      <c r="R440" s="68" t="str">
        <f>IFERROR(CONCATENATE("*",VLOOKUP(L440,PARAM!D:E,2,0),VLOOKUP(M440,PARAM!J:K,2,0),VLOOKUP(N440,PARAM!G:H,2,0),VLOOKUP(P440,PARAM!P:Q,2,0),"*"),"")</f>
        <v>*11224823*</v>
      </c>
      <c r="S440" s="18" t="str">
        <f>IFERROR(CONCATENATE(VLOOKUP(L440,PARAM!D:E,2,0),VLOOKUP(M440,PARAM!J:K,2,0),VLOOKUP(N440,PARAM!G:H,2,0),VLOOKUP(O440,PARAM!M:N,2,0),VLOOKUP(P440,PARAM!P:Q,2,0)),"")</f>
        <v>1122481623</v>
      </c>
      <c r="T440" s="18">
        <f t="shared" si="4"/>
        <v>10</v>
      </c>
      <c r="U440" s="18" t="str">
        <f t="shared" si="5"/>
        <v>CAMISETAS CABALLERO SEDA FRIA VARIOS TALLA L</v>
      </c>
    </row>
    <row r="441">
      <c r="A441" s="64">
        <v>5.0</v>
      </c>
      <c r="B441" s="4" t="s">
        <v>1927</v>
      </c>
      <c r="C441" s="1"/>
      <c r="D441" s="4" t="s">
        <v>1237</v>
      </c>
      <c r="E441" s="3">
        <v>22000.0</v>
      </c>
      <c r="F441" s="2">
        <f t="shared" si="2"/>
        <v>110000</v>
      </c>
      <c r="G441" s="65">
        <f t="shared" si="7"/>
        <v>44000</v>
      </c>
      <c r="H441" s="1"/>
      <c r="I441" s="1"/>
      <c r="J441" s="1"/>
      <c r="K441" s="66" t="s">
        <v>1078</v>
      </c>
      <c r="L441" s="66" t="s">
        <v>1171</v>
      </c>
      <c r="M441" s="66" t="s">
        <v>1080</v>
      </c>
      <c r="N441" s="18" t="s">
        <v>1237</v>
      </c>
      <c r="O441" s="66" t="s">
        <v>1069</v>
      </c>
      <c r="P441" s="67" t="s">
        <v>1077</v>
      </c>
      <c r="Q441" s="18" t="s">
        <v>891</v>
      </c>
      <c r="R441" s="68" t="str">
        <f>IFERROR(CONCATENATE("*",VLOOKUP(L441,PARAM!D:E,2,0),VLOOKUP(M441,PARAM!J:K,2,0),VLOOKUP(N441,PARAM!G:H,2,0),VLOOKUP(P441,PARAM!P:Q,2,0),"*"),"")</f>
        <v>*11224832*</v>
      </c>
      <c r="S441" s="18" t="str">
        <f>IFERROR(CONCATENATE(VLOOKUP(L441,PARAM!D:E,2,0),VLOOKUP(M441,PARAM!J:K,2,0),VLOOKUP(N441,PARAM!G:H,2,0),VLOOKUP(O441,PARAM!M:N,2,0),VLOOKUP(P441,PARAM!P:Q,2,0)),"")</f>
        <v>1122481632</v>
      </c>
      <c r="T441" s="18">
        <f t="shared" si="4"/>
        <v>10</v>
      </c>
      <c r="U441" s="18" t="str">
        <f t="shared" si="5"/>
        <v>CAMISETAS CABALLERO SEDA FRIA VARIOS TALLA XL</v>
      </c>
    </row>
    <row r="442">
      <c r="A442" s="78">
        <v>2.0</v>
      </c>
      <c r="B442" s="4" t="s">
        <v>1928</v>
      </c>
      <c r="C442" s="1"/>
      <c r="D442" s="4" t="s">
        <v>1929</v>
      </c>
      <c r="E442" s="3">
        <v>22000.0</v>
      </c>
      <c r="F442" s="2">
        <f t="shared" si="2"/>
        <v>44000</v>
      </c>
      <c r="G442" s="65">
        <f t="shared" si="7"/>
        <v>44000</v>
      </c>
      <c r="H442" s="1"/>
      <c r="I442" s="1"/>
      <c r="J442" s="1"/>
      <c r="K442" s="66" t="s">
        <v>1058</v>
      </c>
      <c r="L442" s="66" t="s">
        <v>1343</v>
      </c>
      <c r="M442" s="66" t="s">
        <v>1060</v>
      </c>
      <c r="N442" s="66" t="s">
        <v>1344</v>
      </c>
      <c r="O442" s="66" t="s">
        <v>1069</v>
      </c>
      <c r="P442" s="67" t="s">
        <v>1168</v>
      </c>
      <c r="Q442" s="18" t="s">
        <v>891</v>
      </c>
      <c r="R442" s="68" t="str">
        <f>IFERROR(CONCATENATE("*",VLOOKUP(L442,PARAM!D:E,2,0),VLOOKUP(M442,PARAM!J:K,2,0),VLOOKUP(N442,PARAM!G:H,2,0),VLOOKUP(P442,PARAM!P:Q,2,0),"*"),"")</f>
        <v>*55120327*</v>
      </c>
      <c r="S442" s="18" t="str">
        <f>IFERROR(CONCATENATE(VLOOKUP(L442,PARAM!D:E,2,0),VLOOKUP(M442,PARAM!J:K,2,0),VLOOKUP(N442,PARAM!G:H,2,0),VLOOKUP(O442,PARAM!M:N,2,0),VLOOKUP(P442,PARAM!P:Q,2,0)),"")</f>
        <v>5512031627</v>
      </c>
      <c r="T442" s="18">
        <f t="shared" si="4"/>
        <v>10</v>
      </c>
      <c r="U442" s="18" t="str">
        <f t="shared" si="5"/>
        <v>CROPTOP DAMA OVERSIZE DOS ESTAMPADOS VARIOS TALLA S</v>
      </c>
    </row>
    <row r="443">
      <c r="A443" s="78">
        <v>3.0</v>
      </c>
      <c r="B443" s="4" t="s">
        <v>1928</v>
      </c>
      <c r="C443" s="1"/>
      <c r="D443" s="4" t="s">
        <v>1929</v>
      </c>
      <c r="E443" s="3">
        <v>22000.0</v>
      </c>
      <c r="F443" s="2">
        <f t="shared" si="2"/>
        <v>66000</v>
      </c>
      <c r="G443" s="65">
        <f t="shared" si="7"/>
        <v>44000</v>
      </c>
      <c r="H443" s="1"/>
      <c r="I443" s="1"/>
      <c r="J443" s="1"/>
      <c r="K443" s="66" t="s">
        <v>1058</v>
      </c>
      <c r="L443" s="66" t="s">
        <v>1343</v>
      </c>
      <c r="M443" s="66" t="s">
        <v>1060</v>
      </c>
      <c r="N443" s="66" t="s">
        <v>1344</v>
      </c>
      <c r="O443" s="66" t="s">
        <v>1069</v>
      </c>
      <c r="P443" s="67" t="s">
        <v>1164</v>
      </c>
      <c r="Q443" s="18" t="s">
        <v>891</v>
      </c>
      <c r="R443" s="68" t="str">
        <f>IFERROR(CONCATENATE("*",VLOOKUP(L443,PARAM!D:E,2,0),VLOOKUP(M443,PARAM!J:K,2,0),VLOOKUP(N443,PARAM!G:H,2,0),VLOOKUP(P443,PARAM!P:Q,2,0),"*"),"")</f>
        <v>*55120325*</v>
      </c>
      <c r="S443" s="18" t="str">
        <f>IFERROR(CONCATENATE(VLOOKUP(L443,PARAM!D:E,2,0),VLOOKUP(M443,PARAM!J:K,2,0),VLOOKUP(N443,PARAM!G:H,2,0),VLOOKUP(O443,PARAM!M:N,2,0),VLOOKUP(P443,PARAM!P:Q,2,0)),"")</f>
        <v>5512031625</v>
      </c>
      <c r="T443" s="18">
        <f t="shared" si="4"/>
        <v>10</v>
      </c>
      <c r="U443" s="18" t="str">
        <f t="shared" si="5"/>
        <v>CROPTOP DAMA OVERSIZE DOS ESTAMPADOS VARIOS TALLA M</v>
      </c>
    </row>
    <row r="444">
      <c r="A444" s="78">
        <v>3.0</v>
      </c>
      <c r="B444" s="4" t="s">
        <v>1928</v>
      </c>
      <c r="C444" s="1"/>
      <c r="D444" s="4" t="s">
        <v>1929</v>
      </c>
      <c r="E444" s="3">
        <v>22000.0</v>
      </c>
      <c r="F444" s="2">
        <f t="shared" si="2"/>
        <v>66000</v>
      </c>
      <c r="G444" s="65">
        <f t="shared" si="7"/>
        <v>44000</v>
      </c>
      <c r="H444" s="1"/>
      <c r="I444" s="1"/>
      <c r="J444" s="1"/>
      <c r="K444" s="66" t="s">
        <v>1058</v>
      </c>
      <c r="L444" s="66" t="s">
        <v>1343</v>
      </c>
      <c r="M444" s="66" t="s">
        <v>1060</v>
      </c>
      <c r="N444" s="66" t="s">
        <v>1344</v>
      </c>
      <c r="O444" s="66" t="s">
        <v>1069</v>
      </c>
      <c r="P444" s="67" t="s">
        <v>1165</v>
      </c>
      <c r="Q444" s="18" t="s">
        <v>891</v>
      </c>
      <c r="R444" s="68" t="str">
        <f>IFERROR(CONCATENATE("*",VLOOKUP(L444,PARAM!D:E,2,0),VLOOKUP(M444,PARAM!J:K,2,0),VLOOKUP(N444,PARAM!G:H,2,0),VLOOKUP(P444,PARAM!P:Q,2,0),"*"),"")</f>
        <v>*55120323*</v>
      </c>
      <c r="S444" s="18" t="str">
        <f>IFERROR(CONCATENATE(VLOOKUP(L444,PARAM!D:E,2,0),VLOOKUP(M444,PARAM!J:K,2,0),VLOOKUP(N444,PARAM!G:H,2,0),VLOOKUP(O444,PARAM!M:N,2,0),VLOOKUP(P444,PARAM!P:Q,2,0)),"")</f>
        <v>5512031623</v>
      </c>
      <c r="T444" s="18">
        <f t="shared" si="4"/>
        <v>10</v>
      </c>
      <c r="U444" s="18" t="str">
        <f t="shared" si="5"/>
        <v>CROPTOP DAMA OVERSIZE DOS ESTAMPADOS VARIOS TALLA L</v>
      </c>
    </row>
    <row r="445">
      <c r="A445" s="78">
        <v>7.0</v>
      </c>
      <c r="B445" s="4" t="s">
        <v>1343</v>
      </c>
      <c r="C445" s="1"/>
      <c r="D445" s="4" t="s">
        <v>1930</v>
      </c>
      <c r="E445" s="3">
        <v>18000.0</v>
      </c>
      <c r="F445" s="2">
        <f t="shared" si="2"/>
        <v>126000</v>
      </c>
      <c r="G445" s="65">
        <f t="shared" si="7"/>
        <v>36000</v>
      </c>
      <c r="H445" s="1"/>
      <c r="I445" s="1"/>
      <c r="J445" s="1"/>
      <c r="K445" s="66" t="s">
        <v>1058</v>
      </c>
      <c r="L445" s="66" t="s">
        <v>1343</v>
      </c>
      <c r="M445" s="66" t="s">
        <v>1060</v>
      </c>
      <c r="N445" s="66" t="s">
        <v>1345</v>
      </c>
      <c r="O445" s="66" t="s">
        <v>1069</v>
      </c>
      <c r="P445" s="67" t="s">
        <v>1168</v>
      </c>
      <c r="Q445" s="18" t="s">
        <v>891</v>
      </c>
      <c r="R445" s="68" t="str">
        <f>IFERROR(CONCATENATE("*",VLOOKUP(L445,PARAM!D:E,2,0),VLOOKUP(M445,PARAM!J:K,2,0),VLOOKUP(N445,PARAM!G:H,2,0),VLOOKUP(P445,PARAM!P:Q,2,0),"*"),"")</f>
        <v>*55127227*</v>
      </c>
      <c r="S445" s="18" t="str">
        <f>IFERROR(CONCATENATE(VLOOKUP(L445,PARAM!D:E,2,0),VLOOKUP(M445,PARAM!J:K,2,0),VLOOKUP(N445,PARAM!G:H,2,0),VLOOKUP(O445,PARAM!M:N,2,0),VLOOKUP(P445,PARAM!P:Q,2,0)),"")</f>
        <v>5512721627</v>
      </c>
      <c r="T445" s="18">
        <f t="shared" si="4"/>
        <v>10</v>
      </c>
      <c r="U445" s="18" t="str">
        <f t="shared" si="5"/>
        <v>CROPTOP DAMA UN ESTAMPADO VARIOS TALLA S</v>
      </c>
    </row>
    <row r="446">
      <c r="A446" s="78">
        <v>9.0</v>
      </c>
      <c r="B446" s="4" t="s">
        <v>1343</v>
      </c>
      <c r="C446" s="1"/>
      <c r="D446" s="4" t="s">
        <v>1930</v>
      </c>
      <c r="E446" s="3">
        <v>18000.0</v>
      </c>
      <c r="F446" s="2">
        <f t="shared" si="2"/>
        <v>162000</v>
      </c>
      <c r="G446" s="65">
        <f t="shared" si="7"/>
        <v>36000</v>
      </c>
      <c r="H446" s="1"/>
      <c r="I446" s="1"/>
      <c r="J446" s="1"/>
      <c r="K446" s="66" t="s">
        <v>1058</v>
      </c>
      <c r="L446" s="66" t="s">
        <v>1343</v>
      </c>
      <c r="M446" s="66" t="s">
        <v>1060</v>
      </c>
      <c r="N446" s="66" t="s">
        <v>1345</v>
      </c>
      <c r="O446" s="66" t="s">
        <v>1069</v>
      </c>
      <c r="P446" s="67" t="s">
        <v>1164</v>
      </c>
      <c r="Q446" s="18" t="s">
        <v>891</v>
      </c>
      <c r="R446" s="68" t="str">
        <f>IFERROR(CONCATENATE("*",VLOOKUP(L446,PARAM!D:E,2,0),VLOOKUP(M446,PARAM!J:K,2,0),VLOOKUP(N446,PARAM!G:H,2,0),VLOOKUP(P446,PARAM!P:Q,2,0),"*"),"")</f>
        <v>*55127225*</v>
      </c>
      <c r="S446" s="18" t="str">
        <f>IFERROR(CONCATENATE(VLOOKUP(L446,PARAM!D:E,2,0),VLOOKUP(M446,PARAM!J:K,2,0),VLOOKUP(N446,PARAM!G:H,2,0),VLOOKUP(O446,PARAM!M:N,2,0),VLOOKUP(P446,PARAM!P:Q,2,0)),"")</f>
        <v>5512721625</v>
      </c>
      <c r="T446" s="18">
        <f t="shared" si="4"/>
        <v>10</v>
      </c>
      <c r="U446" s="18" t="str">
        <f t="shared" si="5"/>
        <v>CROPTOP DAMA UN ESTAMPADO VARIOS TALLA M</v>
      </c>
    </row>
    <row r="447">
      <c r="A447" s="78">
        <v>12.0</v>
      </c>
      <c r="B447" s="4" t="s">
        <v>1343</v>
      </c>
      <c r="C447" s="1"/>
      <c r="D447" s="4" t="s">
        <v>1930</v>
      </c>
      <c r="E447" s="3">
        <v>18000.0</v>
      </c>
      <c r="F447" s="2">
        <f t="shared" si="2"/>
        <v>216000</v>
      </c>
      <c r="G447" s="65">
        <f t="shared" si="7"/>
        <v>36000</v>
      </c>
      <c r="H447" s="1"/>
      <c r="I447" s="1"/>
      <c r="J447" s="1"/>
      <c r="K447" s="66" t="s">
        <v>1058</v>
      </c>
      <c r="L447" s="66" t="s">
        <v>1343</v>
      </c>
      <c r="M447" s="66" t="s">
        <v>1060</v>
      </c>
      <c r="N447" s="66" t="s">
        <v>1345</v>
      </c>
      <c r="O447" s="66" t="s">
        <v>1069</v>
      </c>
      <c r="P447" s="67" t="s">
        <v>1165</v>
      </c>
      <c r="Q447" s="18" t="s">
        <v>891</v>
      </c>
      <c r="R447" s="68" t="str">
        <f>IFERROR(CONCATENATE("*",VLOOKUP(L447,PARAM!D:E,2,0),VLOOKUP(M447,PARAM!J:K,2,0),VLOOKUP(N447,PARAM!G:H,2,0),VLOOKUP(P447,PARAM!P:Q,2,0),"*"),"")</f>
        <v>*55127223*</v>
      </c>
      <c r="S447" s="18" t="str">
        <f>IFERROR(CONCATENATE(VLOOKUP(L447,PARAM!D:E,2,0),VLOOKUP(M447,PARAM!J:K,2,0),VLOOKUP(N447,PARAM!G:H,2,0),VLOOKUP(O447,PARAM!M:N,2,0),VLOOKUP(P447,PARAM!P:Q,2,0)),"")</f>
        <v>5512721623</v>
      </c>
      <c r="T447" s="18">
        <f t="shared" si="4"/>
        <v>10</v>
      </c>
      <c r="U447" s="18" t="str">
        <f t="shared" si="5"/>
        <v>CROPTOP DAMA UN ESTAMPADO VARIOS TALLA L</v>
      </c>
    </row>
    <row r="448">
      <c r="A448" s="4">
        <v>3.0</v>
      </c>
      <c r="B448" s="4" t="s">
        <v>1880</v>
      </c>
      <c r="C448" s="1"/>
      <c r="D448" s="4" t="s">
        <v>1931</v>
      </c>
      <c r="E448" s="2"/>
      <c r="F448" s="2">
        <f t="shared" si="2"/>
        <v>0</v>
      </c>
      <c r="G448" s="65">
        <f t="shared" si="7"/>
        <v>0</v>
      </c>
      <c r="H448" s="1"/>
      <c r="I448" s="1"/>
      <c r="J448" s="1"/>
      <c r="K448" s="66" t="s">
        <v>1187</v>
      </c>
      <c r="L448" s="66" t="s">
        <v>1171</v>
      </c>
      <c r="M448" s="66" t="s">
        <v>1080</v>
      </c>
      <c r="N448" s="66" t="s">
        <v>1312</v>
      </c>
      <c r="O448" s="66" t="s">
        <v>1311</v>
      </c>
      <c r="P448" s="67" t="s">
        <v>1165</v>
      </c>
      <c r="Q448" s="18" t="s">
        <v>806</v>
      </c>
      <c r="R448" s="68" t="str">
        <f>IFERROR(CONCATENATE("*",VLOOKUP(L448,PARAM!D:E,2,0),VLOOKUP(M448,PARAM!J:K,2,0),VLOOKUP(N448,PARAM!G:H,2,0),VLOOKUP(P448,PARAM!P:Q,2,0),"*"),"")</f>
        <v>*1128823*</v>
      </c>
      <c r="S448" s="18" t="str">
        <f>IFERROR(CONCATENATE(VLOOKUP(L448,PARAM!D:E,2,0),VLOOKUP(M448,PARAM!J:K,2,0),VLOOKUP(N448,PARAM!G:H,2,0),VLOOKUP(O448,PARAM!M:N,2,0),VLOOKUP(P448,PARAM!P:Q,2,0)),"")</f>
        <v>11288123</v>
      </c>
      <c r="T448" s="18">
        <f t="shared" si="4"/>
        <v>9</v>
      </c>
      <c r="U448" s="18" t="str">
        <f t="shared" si="5"/>
        <v>CAMISETAS CABALLERO COLOMBIA AAA AMARILLO TALLA L</v>
      </c>
    </row>
    <row r="449">
      <c r="A449" s="4">
        <v>2.0</v>
      </c>
      <c r="B449" s="4" t="s">
        <v>1880</v>
      </c>
      <c r="C449" s="1"/>
      <c r="D449" s="4" t="s">
        <v>1931</v>
      </c>
      <c r="E449" s="2"/>
      <c r="F449" s="2">
        <f t="shared" si="2"/>
        <v>0</v>
      </c>
      <c r="G449" s="65">
        <f t="shared" si="7"/>
        <v>0</v>
      </c>
      <c r="H449" s="1"/>
      <c r="I449" s="1"/>
      <c r="J449" s="1"/>
      <c r="K449" s="66" t="s">
        <v>1187</v>
      </c>
      <c r="L449" s="66" t="s">
        <v>1171</v>
      </c>
      <c r="M449" s="66" t="s">
        <v>1080</v>
      </c>
      <c r="N449" s="66" t="s">
        <v>1312</v>
      </c>
      <c r="O449" s="66" t="s">
        <v>1311</v>
      </c>
      <c r="P449" s="67" t="s">
        <v>1168</v>
      </c>
      <c r="Q449" s="18" t="s">
        <v>806</v>
      </c>
      <c r="R449" s="68" t="str">
        <f>IFERROR(CONCATENATE("*",VLOOKUP(L449,PARAM!D:E,2,0),VLOOKUP(M449,PARAM!J:K,2,0),VLOOKUP(N449,PARAM!G:H,2,0),VLOOKUP(P449,PARAM!P:Q,2,0),"*"),"")</f>
        <v>*1128827*</v>
      </c>
      <c r="S449" s="18" t="str">
        <f>IFERROR(CONCATENATE(VLOOKUP(L449,PARAM!D:E,2,0),VLOOKUP(M449,PARAM!J:K,2,0),VLOOKUP(N449,PARAM!G:H,2,0),VLOOKUP(O449,PARAM!M:N,2,0),VLOOKUP(P449,PARAM!P:Q,2,0)),"")</f>
        <v>11288127</v>
      </c>
      <c r="T449" s="18">
        <f t="shared" si="4"/>
        <v>9</v>
      </c>
      <c r="U449" s="18" t="str">
        <f t="shared" si="5"/>
        <v>CAMISETAS CABALLERO COLOMBIA AAA AMARILLO TALLA S</v>
      </c>
    </row>
    <row r="450">
      <c r="A450" s="4">
        <v>3.0</v>
      </c>
      <c r="B450" s="4" t="s">
        <v>1880</v>
      </c>
      <c r="C450" s="1"/>
      <c r="D450" s="4" t="s">
        <v>1931</v>
      </c>
      <c r="E450" s="2"/>
      <c r="F450" s="2">
        <f t="shared" si="2"/>
        <v>0</v>
      </c>
      <c r="G450" s="65">
        <f t="shared" si="7"/>
        <v>0</v>
      </c>
      <c r="H450" s="1"/>
      <c r="I450" s="1"/>
      <c r="J450" s="1"/>
      <c r="K450" s="66" t="s">
        <v>1187</v>
      </c>
      <c r="L450" s="66" t="s">
        <v>1171</v>
      </c>
      <c r="M450" s="66" t="s">
        <v>1080</v>
      </c>
      <c r="N450" s="66" t="s">
        <v>1312</v>
      </c>
      <c r="O450" s="66" t="s">
        <v>1311</v>
      </c>
      <c r="P450" s="67" t="s">
        <v>1164</v>
      </c>
      <c r="Q450" s="18" t="s">
        <v>806</v>
      </c>
      <c r="R450" s="68" t="str">
        <f>IFERROR(CONCATENATE("*",VLOOKUP(L450,PARAM!D:E,2,0),VLOOKUP(M450,PARAM!J:K,2,0),VLOOKUP(N450,PARAM!G:H,2,0),VLOOKUP(P450,PARAM!P:Q,2,0),"*"),"")</f>
        <v>*1128825*</v>
      </c>
      <c r="S450" s="18" t="str">
        <f>IFERROR(CONCATENATE(VLOOKUP(L450,PARAM!D:E,2,0),VLOOKUP(M450,PARAM!J:K,2,0),VLOOKUP(N450,PARAM!G:H,2,0),VLOOKUP(O450,PARAM!M:N,2,0),VLOOKUP(P450,PARAM!P:Q,2,0)),"")</f>
        <v>11288125</v>
      </c>
      <c r="T450" s="18">
        <f t="shared" si="4"/>
        <v>9</v>
      </c>
      <c r="U450" s="18" t="str">
        <f t="shared" si="5"/>
        <v>CAMISETAS CABALLERO COLOMBIA AAA AMARILLO TALLA M</v>
      </c>
    </row>
    <row r="451">
      <c r="A451" s="4">
        <v>3.0</v>
      </c>
      <c r="B451" s="4" t="s">
        <v>1880</v>
      </c>
      <c r="C451" s="1"/>
      <c r="D451" s="4" t="s">
        <v>1931</v>
      </c>
      <c r="E451" s="2"/>
      <c r="F451" s="2">
        <f t="shared" si="2"/>
        <v>0</v>
      </c>
      <c r="G451" s="65">
        <f t="shared" si="7"/>
        <v>0</v>
      </c>
      <c r="H451" s="1"/>
      <c r="I451" s="1"/>
      <c r="J451" s="1"/>
      <c r="K451" s="66" t="s">
        <v>1187</v>
      </c>
      <c r="L451" s="66" t="s">
        <v>1171</v>
      </c>
      <c r="M451" s="66" t="s">
        <v>1080</v>
      </c>
      <c r="N451" s="66" t="s">
        <v>1312</v>
      </c>
      <c r="O451" s="66" t="s">
        <v>1311</v>
      </c>
      <c r="P451" s="67" t="s">
        <v>1077</v>
      </c>
      <c r="Q451" s="18" t="s">
        <v>806</v>
      </c>
      <c r="R451" s="68" t="str">
        <f>IFERROR(CONCATENATE("*",VLOOKUP(L451,PARAM!D:E,2,0),VLOOKUP(M451,PARAM!J:K,2,0),VLOOKUP(N451,PARAM!G:H,2,0),VLOOKUP(P451,PARAM!P:Q,2,0),"*"),"")</f>
        <v>*1128832*</v>
      </c>
      <c r="S451" s="18" t="str">
        <f>IFERROR(CONCATENATE(VLOOKUP(L451,PARAM!D:E,2,0),VLOOKUP(M451,PARAM!J:K,2,0),VLOOKUP(N451,PARAM!G:H,2,0),VLOOKUP(O451,PARAM!M:N,2,0),VLOOKUP(P451,PARAM!P:Q,2,0)),"")</f>
        <v>11288132</v>
      </c>
      <c r="T451" s="18">
        <f t="shared" si="4"/>
        <v>9</v>
      </c>
      <c r="U451" s="18" t="str">
        <f t="shared" si="5"/>
        <v>CAMISETAS CABALLERO COLOMBIA AAA AMARILLO TALLA XL</v>
      </c>
    </row>
    <row r="452">
      <c r="A452" s="4">
        <v>1.0</v>
      </c>
      <c r="B452" s="4" t="s">
        <v>1932</v>
      </c>
      <c r="C452" s="1"/>
      <c r="D452" s="4" t="s">
        <v>1933</v>
      </c>
      <c r="E452" s="2"/>
      <c r="F452" s="2">
        <f t="shared" si="2"/>
        <v>0</v>
      </c>
      <c r="G452" s="65">
        <f t="shared" si="7"/>
        <v>0</v>
      </c>
      <c r="H452" s="1"/>
      <c r="I452" s="1"/>
      <c r="J452" s="1"/>
      <c r="K452" s="66" t="s">
        <v>1187</v>
      </c>
      <c r="L452" s="66" t="s">
        <v>1171</v>
      </c>
      <c r="M452" s="66" t="s">
        <v>1080</v>
      </c>
      <c r="N452" s="66" t="s">
        <v>1346</v>
      </c>
      <c r="O452" s="66" t="s">
        <v>1122</v>
      </c>
      <c r="P452" s="67" t="s">
        <v>1168</v>
      </c>
      <c r="Q452" s="18" t="s">
        <v>806</v>
      </c>
      <c r="R452" s="68" t="str">
        <f>IFERROR(CONCATENATE("*",VLOOKUP(L452,PARAM!D:E,2,0),VLOOKUP(M452,PARAM!J:K,2,0),VLOOKUP(N452,PARAM!G:H,2,0),VLOOKUP(P452,PARAM!P:Q,2,0),"*"),"")</f>
        <v>*11212827*</v>
      </c>
      <c r="S452" s="18" t="str">
        <f>IFERROR(CONCATENATE(VLOOKUP(L452,PARAM!D:E,2,0),VLOOKUP(M452,PARAM!J:K,2,0),VLOOKUP(N452,PARAM!G:H,2,0),VLOOKUP(O452,PARAM!M:N,2,0),VLOOKUP(P452,PARAM!P:Q,2,0)),"")</f>
        <v>1121281427</v>
      </c>
      <c r="T452" s="18">
        <f t="shared" si="4"/>
        <v>10</v>
      </c>
      <c r="U452" s="18" t="str">
        <f t="shared" si="5"/>
        <v>CAMISETAS CABALLERO ESPAÑA 1.1 LOCAL ROJO TALLA S</v>
      </c>
    </row>
    <row r="453">
      <c r="A453" s="4">
        <v>1.0</v>
      </c>
      <c r="B453" s="4" t="s">
        <v>1932</v>
      </c>
      <c r="C453" s="1"/>
      <c r="D453" s="4" t="s">
        <v>1933</v>
      </c>
      <c r="E453" s="2"/>
      <c r="F453" s="2">
        <f t="shared" si="2"/>
        <v>0</v>
      </c>
      <c r="G453" s="65">
        <f t="shared" si="7"/>
        <v>0</v>
      </c>
      <c r="H453" s="1"/>
      <c r="I453" s="1"/>
      <c r="J453" s="1"/>
      <c r="K453" s="66" t="s">
        <v>1187</v>
      </c>
      <c r="L453" s="66" t="s">
        <v>1171</v>
      </c>
      <c r="M453" s="66" t="s">
        <v>1080</v>
      </c>
      <c r="N453" s="66" t="s">
        <v>1346</v>
      </c>
      <c r="O453" s="66" t="s">
        <v>1122</v>
      </c>
      <c r="P453" s="67" t="s">
        <v>1165</v>
      </c>
      <c r="Q453" s="18" t="s">
        <v>806</v>
      </c>
      <c r="R453" s="68" t="str">
        <f>IFERROR(CONCATENATE("*",VLOOKUP(L453,PARAM!D:E,2,0),VLOOKUP(M453,PARAM!J:K,2,0),VLOOKUP(N453,PARAM!G:H,2,0),VLOOKUP(P453,PARAM!P:Q,2,0),"*"),"")</f>
        <v>*11212823*</v>
      </c>
      <c r="S453" s="18" t="str">
        <f>IFERROR(CONCATENATE(VLOOKUP(L453,PARAM!D:E,2,0),VLOOKUP(M453,PARAM!J:K,2,0),VLOOKUP(N453,PARAM!G:H,2,0),VLOOKUP(O453,PARAM!M:N,2,0),VLOOKUP(P453,PARAM!P:Q,2,0)),"")</f>
        <v>1121281423</v>
      </c>
      <c r="T453" s="18">
        <f t="shared" si="4"/>
        <v>10</v>
      </c>
      <c r="U453" s="18" t="str">
        <f t="shared" si="5"/>
        <v>CAMISETAS CABALLERO ESPAÑA 1.1 LOCAL ROJO TALLA L</v>
      </c>
    </row>
    <row r="454">
      <c r="A454" s="4">
        <v>1.0</v>
      </c>
      <c r="B454" s="4" t="s">
        <v>1932</v>
      </c>
      <c r="C454" s="1"/>
      <c r="D454" s="4" t="s">
        <v>1933</v>
      </c>
      <c r="E454" s="2"/>
      <c r="F454" s="2">
        <f t="shared" si="2"/>
        <v>0</v>
      </c>
      <c r="G454" s="65">
        <f t="shared" si="7"/>
        <v>0</v>
      </c>
      <c r="H454" s="1"/>
      <c r="I454" s="1"/>
      <c r="J454" s="1"/>
      <c r="K454" s="66" t="s">
        <v>1187</v>
      </c>
      <c r="L454" s="66" t="s">
        <v>1171</v>
      </c>
      <c r="M454" s="66" t="s">
        <v>1080</v>
      </c>
      <c r="N454" s="66" t="s">
        <v>1346</v>
      </c>
      <c r="O454" s="66" t="s">
        <v>1122</v>
      </c>
      <c r="P454" s="67" t="s">
        <v>1164</v>
      </c>
      <c r="Q454" s="18" t="s">
        <v>806</v>
      </c>
      <c r="R454" s="68" t="str">
        <f>IFERROR(CONCATENATE("*",VLOOKUP(L454,PARAM!D:E,2,0),VLOOKUP(M454,PARAM!J:K,2,0),VLOOKUP(N454,PARAM!G:H,2,0),VLOOKUP(P454,PARAM!P:Q,2,0),"*"),"")</f>
        <v>*11212825*</v>
      </c>
      <c r="S454" s="18" t="str">
        <f>IFERROR(CONCATENATE(VLOOKUP(L454,PARAM!D:E,2,0),VLOOKUP(M454,PARAM!J:K,2,0),VLOOKUP(N454,PARAM!G:H,2,0),VLOOKUP(O454,PARAM!M:N,2,0),VLOOKUP(P454,PARAM!P:Q,2,0)),"")</f>
        <v>1121281425</v>
      </c>
      <c r="T454" s="18">
        <f t="shared" si="4"/>
        <v>10</v>
      </c>
      <c r="U454" s="18" t="str">
        <f t="shared" si="5"/>
        <v>CAMISETAS CABALLERO ESPAÑA 1.1 LOCAL ROJO TALLA M</v>
      </c>
    </row>
    <row r="455">
      <c r="A455" s="4">
        <v>1.0</v>
      </c>
      <c r="B455" s="4" t="s">
        <v>1932</v>
      </c>
      <c r="C455" s="1"/>
      <c r="D455" s="4" t="s">
        <v>1933</v>
      </c>
      <c r="E455" s="2"/>
      <c r="F455" s="2">
        <f t="shared" si="2"/>
        <v>0</v>
      </c>
      <c r="G455" s="65">
        <f t="shared" si="7"/>
        <v>0</v>
      </c>
      <c r="H455" s="1"/>
      <c r="I455" s="1"/>
      <c r="J455" s="1"/>
      <c r="K455" s="66" t="s">
        <v>1187</v>
      </c>
      <c r="L455" s="66" t="s">
        <v>1171</v>
      </c>
      <c r="M455" s="66" t="s">
        <v>1080</v>
      </c>
      <c r="N455" s="66" t="s">
        <v>1346</v>
      </c>
      <c r="O455" s="66" t="s">
        <v>1122</v>
      </c>
      <c r="P455" s="67" t="s">
        <v>1077</v>
      </c>
      <c r="Q455" s="18" t="s">
        <v>806</v>
      </c>
      <c r="R455" s="68" t="str">
        <f>IFERROR(CONCATENATE("*",VLOOKUP(L455,PARAM!D:E,2,0),VLOOKUP(M455,PARAM!J:K,2,0),VLOOKUP(N455,PARAM!G:H,2,0),VLOOKUP(P455,PARAM!P:Q,2,0),"*"),"")</f>
        <v>*11212832*</v>
      </c>
      <c r="S455" s="18" t="str">
        <f>IFERROR(CONCATENATE(VLOOKUP(L455,PARAM!D:E,2,0),VLOOKUP(M455,PARAM!J:K,2,0),VLOOKUP(N455,PARAM!G:H,2,0),VLOOKUP(O455,PARAM!M:N,2,0),VLOOKUP(P455,PARAM!P:Q,2,0)),"")</f>
        <v>1121281432</v>
      </c>
      <c r="T455" s="18">
        <f t="shared" si="4"/>
        <v>10</v>
      </c>
      <c r="U455" s="18" t="str">
        <f t="shared" si="5"/>
        <v>CAMISETAS CABALLERO ESPAÑA 1.1 LOCAL ROJO TALLA XL</v>
      </c>
    </row>
    <row r="456">
      <c r="A456" s="4">
        <v>1.0</v>
      </c>
      <c r="B456" s="4" t="s">
        <v>1934</v>
      </c>
      <c r="C456" s="1"/>
      <c r="D456" s="4" t="s">
        <v>1935</v>
      </c>
      <c r="E456" s="2"/>
      <c r="F456" s="2">
        <f t="shared" si="2"/>
        <v>0</v>
      </c>
      <c r="G456" s="65">
        <f t="shared" si="7"/>
        <v>0</v>
      </c>
      <c r="H456" s="1"/>
      <c r="I456" s="1"/>
      <c r="J456" s="1"/>
      <c r="K456" s="66" t="s">
        <v>1187</v>
      </c>
      <c r="L456" s="66" t="s">
        <v>1314</v>
      </c>
      <c r="M456" s="66" t="s">
        <v>1080</v>
      </c>
      <c r="N456" s="66" t="s">
        <v>1347</v>
      </c>
      <c r="O456" s="66" t="s">
        <v>1122</v>
      </c>
      <c r="P456" s="67" t="s">
        <v>1077</v>
      </c>
      <c r="Q456" s="18" t="s">
        <v>806</v>
      </c>
      <c r="R456" s="68" t="str">
        <f>IFERROR(CONCATENATE("*",VLOOKUP(L456,PARAM!D:E,2,0),VLOOKUP(M456,PARAM!J:K,2,0),VLOOKUP(N456,PARAM!G:H,2,0),VLOOKUP(P456,PARAM!P:Q,2,0),"*"),"")</f>
        <v>*40212932*</v>
      </c>
      <c r="S456" s="18" t="str">
        <f>IFERROR(CONCATENATE(VLOOKUP(L456,PARAM!D:E,2,0),VLOOKUP(M456,PARAM!J:K,2,0),VLOOKUP(N456,PARAM!G:H,2,0),VLOOKUP(O456,PARAM!M:N,2,0),VLOOKUP(P456,PARAM!P:Q,2,0)),"")</f>
        <v>4021291432</v>
      </c>
      <c r="T456" s="18">
        <f t="shared" si="4"/>
        <v>10</v>
      </c>
      <c r="U456" s="18" t="str">
        <f t="shared" si="5"/>
        <v>CONJUNTO CABALLERO ESPAÑA AAA LOCAL ROJO TALLA XL</v>
      </c>
    </row>
    <row r="457">
      <c r="A457" s="4">
        <v>2.0</v>
      </c>
      <c r="B457" s="4" t="s">
        <v>1934</v>
      </c>
      <c r="C457" s="1"/>
      <c r="D457" s="4" t="s">
        <v>1935</v>
      </c>
      <c r="E457" s="2"/>
      <c r="F457" s="2">
        <f t="shared" si="2"/>
        <v>0</v>
      </c>
      <c r="G457" s="65">
        <f t="shared" si="7"/>
        <v>0</v>
      </c>
      <c r="H457" s="1"/>
      <c r="I457" s="1"/>
      <c r="J457" s="1"/>
      <c r="K457" s="66" t="s">
        <v>1187</v>
      </c>
      <c r="L457" s="66" t="s">
        <v>1314</v>
      </c>
      <c r="M457" s="66" t="s">
        <v>1080</v>
      </c>
      <c r="N457" s="66" t="s">
        <v>1347</v>
      </c>
      <c r="O457" s="66" t="s">
        <v>1122</v>
      </c>
      <c r="P457" s="67" t="s">
        <v>1165</v>
      </c>
      <c r="Q457" s="18" t="s">
        <v>806</v>
      </c>
      <c r="R457" s="68" t="str">
        <f>IFERROR(CONCATENATE("*",VLOOKUP(L457,PARAM!D:E,2,0),VLOOKUP(M457,PARAM!J:K,2,0),VLOOKUP(N457,PARAM!G:H,2,0),VLOOKUP(P457,PARAM!P:Q,2,0),"*"),"")</f>
        <v>*40212923*</v>
      </c>
      <c r="S457" s="18" t="str">
        <f>IFERROR(CONCATENATE(VLOOKUP(L457,PARAM!D:E,2,0),VLOOKUP(M457,PARAM!J:K,2,0),VLOOKUP(N457,PARAM!G:H,2,0),VLOOKUP(O457,PARAM!M:N,2,0),VLOOKUP(P457,PARAM!P:Q,2,0)),"")</f>
        <v>4021291423</v>
      </c>
      <c r="T457" s="18">
        <f t="shared" si="4"/>
        <v>10</v>
      </c>
      <c r="U457" s="18" t="str">
        <f t="shared" si="5"/>
        <v>CONJUNTO CABALLERO ESPAÑA AAA LOCAL ROJO TALLA L</v>
      </c>
    </row>
    <row r="458">
      <c r="A458" s="4">
        <v>2.0</v>
      </c>
      <c r="B458" s="4" t="s">
        <v>1934</v>
      </c>
      <c r="C458" s="1"/>
      <c r="D458" s="4" t="s">
        <v>1935</v>
      </c>
      <c r="E458" s="2"/>
      <c r="F458" s="2">
        <f t="shared" si="2"/>
        <v>0</v>
      </c>
      <c r="G458" s="65">
        <f t="shared" si="7"/>
        <v>0</v>
      </c>
      <c r="H458" s="1"/>
      <c r="I458" s="1"/>
      <c r="J458" s="1"/>
      <c r="K458" s="66" t="s">
        <v>1187</v>
      </c>
      <c r="L458" s="66" t="s">
        <v>1314</v>
      </c>
      <c r="M458" s="66" t="s">
        <v>1080</v>
      </c>
      <c r="N458" s="66" t="s">
        <v>1347</v>
      </c>
      <c r="O458" s="66" t="s">
        <v>1122</v>
      </c>
      <c r="P458" s="67" t="s">
        <v>1164</v>
      </c>
      <c r="Q458" s="18" t="s">
        <v>806</v>
      </c>
      <c r="R458" s="68" t="str">
        <f>IFERROR(CONCATENATE("*",VLOOKUP(L458,PARAM!D:E,2,0),VLOOKUP(M458,PARAM!J:K,2,0),VLOOKUP(N458,PARAM!G:H,2,0),VLOOKUP(P458,PARAM!P:Q,2,0),"*"),"")</f>
        <v>*40212925*</v>
      </c>
      <c r="S458" s="18" t="str">
        <f>IFERROR(CONCATENATE(VLOOKUP(L458,PARAM!D:E,2,0),VLOOKUP(M458,PARAM!J:K,2,0),VLOOKUP(N458,PARAM!G:H,2,0),VLOOKUP(O458,PARAM!M:N,2,0),VLOOKUP(P458,PARAM!P:Q,2,0)),"")</f>
        <v>4021291425</v>
      </c>
      <c r="T458" s="18">
        <f t="shared" si="4"/>
        <v>10</v>
      </c>
      <c r="U458" s="18" t="str">
        <f t="shared" si="5"/>
        <v>CONJUNTO CABALLERO ESPAÑA AAA LOCAL ROJO TALLA M</v>
      </c>
    </row>
    <row r="459">
      <c r="A459" s="4">
        <v>1.0</v>
      </c>
      <c r="B459" s="4" t="s">
        <v>1934</v>
      </c>
      <c r="C459" s="1"/>
      <c r="D459" s="4" t="s">
        <v>1935</v>
      </c>
      <c r="E459" s="2"/>
      <c r="F459" s="2">
        <f t="shared" si="2"/>
        <v>0</v>
      </c>
      <c r="G459" s="65">
        <f t="shared" si="7"/>
        <v>0</v>
      </c>
      <c r="H459" s="1"/>
      <c r="I459" s="1"/>
      <c r="J459" s="1"/>
      <c r="K459" s="66" t="s">
        <v>1187</v>
      </c>
      <c r="L459" s="66" t="s">
        <v>1314</v>
      </c>
      <c r="M459" s="66" t="s">
        <v>1080</v>
      </c>
      <c r="N459" s="66" t="s">
        <v>1347</v>
      </c>
      <c r="O459" s="66" t="s">
        <v>1122</v>
      </c>
      <c r="P459" s="67" t="s">
        <v>1168</v>
      </c>
      <c r="Q459" s="18" t="s">
        <v>806</v>
      </c>
      <c r="R459" s="68" t="str">
        <f>IFERROR(CONCATENATE("*",VLOOKUP(L459,PARAM!D:E,2,0),VLOOKUP(M459,PARAM!J:K,2,0),VLOOKUP(N459,PARAM!G:H,2,0),VLOOKUP(P459,PARAM!P:Q,2,0),"*"),"")</f>
        <v>*40212927*</v>
      </c>
      <c r="S459" s="18" t="str">
        <f>IFERROR(CONCATENATE(VLOOKUP(L459,PARAM!D:E,2,0),VLOOKUP(M459,PARAM!J:K,2,0),VLOOKUP(N459,PARAM!G:H,2,0),VLOOKUP(O459,PARAM!M:N,2,0),VLOOKUP(P459,PARAM!P:Q,2,0)),"")</f>
        <v>4021291427</v>
      </c>
      <c r="T459" s="18">
        <f t="shared" si="4"/>
        <v>10</v>
      </c>
      <c r="U459" s="18" t="str">
        <f t="shared" si="5"/>
        <v>CONJUNTO CABALLERO ESPAÑA AAA LOCAL ROJO TALLA S</v>
      </c>
    </row>
    <row r="460">
      <c r="A460" s="4">
        <v>1.0</v>
      </c>
      <c r="B460" s="4" t="s">
        <v>1936</v>
      </c>
      <c r="C460" s="1"/>
      <c r="D460" s="4" t="s">
        <v>1937</v>
      </c>
      <c r="E460" s="2"/>
      <c r="F460" s="2">
        <f t="shared" si="2"/>
        <v>0</v>
      </c>
      <c r="G460" s="65">
        <f t="shared" si="7"/>
        <v>0</v>
      </c>
      <c r="H460" s="1"/>
      <c r="I460" s="1"/>
      <c r="J460" s="1"/>
      <c r="K460" s="66" t="s">
        <v>1187</v>
      </c>
      <c r="L460" s="66" t="s">
        <v>1314</v>
      </c>
      <c r="M460" s="66" t="s">
        <v>1080</v>
      </c>
      <c r="N460" s="66" t="s">
        <v>1322</v>
      </c>
      <c r="O460" s="66" t="s">
        <v>1320</v>
      </c>
      <c r="P460" s="67" t="s">
        <v>1077</v>
      </c>
      <c r="Q460" s="18" t="s">
        <v>806</v>
      </c>
      <c r="R460" s="68" t="str">
        <f>IFERROR(CONCATENATE("*",VLOOKUP(L460,PARAM!D:E,2,0),VLOOKUP(M460,PARAM!J:K,2,0),VLOOKUP(N460,PARAM!G:H,2,0),VLOOKUP(P460,PARAM!P:Q,2,0),"*"),"")</f>
        <v>*4021532*</v>
      </c>
      <c r="S460" s="18" t="str">
        <f>IFERROR(CONCATENATE(VLOOKUP(L460,PARAM!D:E,2,0),VLOOKUP(M460,PARAM!J:K,2,0),VLOOKUP(N460,PARAM!G:H,2,0),VLOOKUP(O460,PARAM!M:N,2,0),VLOOKUP(P460,PARAM!P:Q,2,0)),"")</f>
        <v>40215632</v>
      </c>
      <c r="T460" s="18">
        <f t="shared" si="4"/>
        <v>9</v>
      </c>
      <c r="U460" s="18" t="str">
        <f t="shared" si="5"/>
        <v>CONJUNTO CABALLERO ALEMANIA AAA LOCAL BLANCO TALLA XL</v>
      </c>
    </row>
    <row r="461">
      <c r="A461" s="4">
        <v>2.0</v>
      </c>
      <c r="B461" s="4" t="s">
        <v>1936</v>
      </c>
      <c r="C461" s="1"/>
      <c r="D461" s="4" t="s">
        <v>1937</v>
      </c>
      <c r="E461" s="2"/>
      <c r="F461" s="2">
        <f t="shared" si="2"/>
        <v>0</v>
      </c>
      <c r="G461" s="65">
        <f t="shared" si="7"/>
        <v>0</v>
      </c>
      <c r="H461" s="1"/>
      <c r="I461" s="1"/>
      <c r="J461" s="1"/>
      <c r="K461" s="66" t="s">
        <v>1187</v>
      </c>
      <c r="L461" s="66" t="s">
        <v>1314</v>
      </c>
      <c r="M461" s="66" t="s">
        <v>1080</v>
      </c>
      <c r="N461" s="66" t="s">
        <v>1322</v>
      </c>
      <c r="O461" s="66" t="s">
        <v>1320</v>
      </c>
      <c r="P461" s="67" t="s">
        <v>1165</v>
      </c>
      <c r="Q461" s="18" t="s">
        <v>806</v>
      </c>
      <c r="R461" s="68" t="str">
        <f>IFERROR(CONCATENATE("*",VLOOKUP(L461,PARAM!D:E,2,0),VLOOKUP(M461,PARAM!J:K,2,0),VLOOKUP(N461,PARAM!G:H,2,0),VLOOKUP(P461,PARAM!P:Q,2,0),"*"),"")</f>
        <v>*4021523*</v>
      </c>
      <c r="S461" s="18" t="str">
        <f>IFERROR(CONCATENATE(VLOOKUP(L461,PARAM!D:E,2,0),VLOOKUP(M461,PARAM!J:K,2,0),VLOOKUP(N461,PARAM!G:H,2,0),VLOOKUP(O461,PARAM!M:N,2,0),VLOOKUP(P461,PARAM!P:Q,2,0)),"")</f>
        <v>40215623</v>
      </c>
      <c r="T461" s="18">
        <f t="shared" si="4"/>
        <v>9</v>
      </c>
      <c r="U461" s="18" t="str">
        <f t="shared" si="5"/>
        <v>CONJUNTO CABALLERO ALEMANIA AAA LOCAL BLANCO TALLA L</v>
      </c>
    </row>
    <row r="462">
      <c r="A462" s="4">
        <v>2.0</v>
      </c>
      <c r="B462" s="4" t="s">
        <v>1936</v>
      </c>
      <c r="C462" s="1"/>
      <c r="D462" s="4" t="s">
        <v>1937</v>
      </c>
      <c r="E462" s="2"/>
      <c r="F462" s="2">
        <f t="shared" si="2"/>
        <v>0</v>
      </c>
      <c r="G462" s="65">
        <f t="shared" si="7"/>
        <v>0</v>
      </c>
      <c r="H462" s="1"/>
      <c r="I462" s="1"/>
      <c r="J462" s="1"/>
      <c r="K462" s="66" t="s">
        <v>1187</v>
      </c>
      <c r="L462" s="66" t="s">
        <v>1314</v>
      </c>
      <c r="M462" s="66" t="s">
        <v>1080</v>
      </c>
      <c r="N462" s="66" t="s">
        <v>1322</v>
      </c>
      <c r="O462" s="66" t="s">
        <v>1320</v>
      </c>
      <c r="P462" s="67" t="s">
        <v>1164</v>
      </c>
      <c r="Q462" s="18" t="s">
        <v>806</v>
      </c>
      <c r="R462" s="68" t="str">
        <f>IFERROR(CONCATENATE("*",VLOOKUP(L462,PARAM!D:E,2,0),VLOOKUP(M462,PARAM!J:K,2,0),VLOOKUP(N462,PARAM!G:H,2,0),VLOOKUP(P462,PARAM!P:Q,2,0),"*"),"")</f>
        <v>*4021525*</v>
      </c>
      <c r="S462" s="18" t="str">
        <f>IFERROR(CONCATENATE(VLOOKUP(L462,PARAM!D:E,2,0),VLOOKUP(M462,PARAM!J:K,2,0),VLOOKUP(N462,PARAM!G:H,2,0),VLOOKUP(O462,PARAM!M:N,2,0),VLOOKUP(P462,PARAM!P:Q,2,0)),"")</f>
        <v>40215625</v>
      </c>
      <c r="T462" s="18">
        <f t="shared" si="4"/>
        <v>9</v>
      </c>
      <c r="U462" s="18" t="str">
        <f t="shared" si="5"/>
        <v>CONJUNTO CABALLERO ALEMANIA AAA LOCAL BLANCO TALLA M</v>
      </c>
    </row>
    <row r="463">
      <c r="A463" s="4">
        <v>1.0</v>
      </c>
      <c r="B463" s="4" t="s">
        <v>1936</v>
      </c>
      <c r="C463" s="1"/>
      <c r="D463" s="4" t="s">
        <v>1937</v>
      </c>
      <c r="E463" s="2"/>
      <c r="F463" s="2">
        <f t="shared" si="2"/>
        <v>0</v>
      </c>
      <c r="G463" s="65">
        <f t="shared" si="7"/>
        <v>0</v>
      </c>
      <c r="H463" s="1"/>
      <c r="I463" s="1"/>
      <c r="J463" s="1"/>
      <c r="K463" s="66" t="s">
        <v>1187</v>
      </c>
      <c r="L463" s="66" t="s">
        <v>1314</v>
      </c>
      <c r="M463" s="66" t="s">
        <v>1080</v>
      </c>
      <c r="N463" s="66" t="s">
        <v>1322</v>
      </c>
      <c r="O463" s="66" t="s">
        <v>1320</v>
      </c>
      <c r="P463" s="67" t="s">
        <v>1168</v>
      </c>
      <c r="Q463" s="18" t="s">
        <v>806</v>
      </c>
      <c r="R463" s="68" t="str">
        <f>IFERROR(CONCATENATE("*",VLOOKUP(L463,PARAM!D:E,2,0),VLOOKUP(M463,PARAM!J:K,2,0),VLOOKUP(N463,PARAM!G:H,2,0),VLOOKUP(P463,PARAM!P:Q,2,0),"*"),"")</f>
        <v>*4021527*</v>
      </c>
      <c r="S463" s="18" t="str">
        <f>IFERROR(CONCATENATE(VLOOKUP(L463,PARAM!D:E,2,0),VLOOKUP(M463,PARAM!J:K,2,0),VLOOKUP(N463,PARAM!G:H,2,0),VLOOKUP(O463,PARAM!M:N,2,0),VLOOKUP(P463,PARAM!P:Q,2,0)),"")</f>
        <v>40215627</v>
      </c>
      <c r="T463" s="18">
        <f t="shared" si="4"/>
        <v>9</v>
      </c>
      <c r="U463" s="18" t="str">
        <f t="shared" si="5"/>
        <v>CONJUNTO CABALLERO ALEMANIA AAA LOCAL BLANCO TALLA S</v>
      </c>
    </row>
    <row r="464">
      <c r="A464" s="4">
        <v>1.0</v>
      </c>
      <c r="B464" s="4" t="s">
        <v>1938</v>
      </c>
      <c r="C464" s="1"/>
      <c r="D464" s="4" t="s">
        <v>1939</v>
      </c>
      <c r="E464" s="2"/>
      <c r="F464" s="2">
        <f t="shared" si="2"/>
        <v>0</v>
      </c>
      <c r="G464" s="65">
        <f t="shared" si="7"/>
        <v>0</v>
      </c>
      <c r="H464" s="1"/>
      <c r="I464" s="1"/>
      <c r="J464" s="1"/>
      <c r="K464" s="66" t="s">
        <v>1187</v>
      </c>
      <c r="L464" s="66" t="s">
        <v>1314</v>
      </c>
      <c r="M464" s="66" t="s">
        <v>1080</v>
      </c>
      <c r="N464" s="66" t="s">
        <v>1348</v>
      </c>
      <c r="O464" s="66" t="s">
        <v>1320</v>
      </c>
      <c r="P464" s="67" t="s">
        <v>1077</v>
      </c>
      <c r="Q464" s="18" t="s">
        <v>842</v>
      </c>
      <c r="R464" s="68" t="str">
        <f>IFERROR(CONCATENATE("*",VLOOKUP(L464,PARAM!D:E,2,0),VLOOKUP(M464,PARAM!J:K,2,0),VLOOKUP(N464,PARAM!G:H,2,0),VLOOKUP(P464,PARAM!P:Q,2,0),"*"),"")</f>
        <v>*40214732*</v>
      </c>
      <c r="S464" s="18" t="str">
        <f>IFERROR(CONCATENATE(VLOOKUP(L464,PARAM!D:E,2,0),VLOOKUP(M464,PARAM!J:K,2,0),VLOOKUP(N464,PARAM!G:H,2,0),VLOOKUP(O464,PARAM!M:N,2,0),VLOOKUP(P464,PARAM!P:Q,2,0)),"")</f>
        <v>402147632</v>
      </c>
      <c r="T464" s="18">
        <f t="shared" si="4"/>
        <v>10</v>
      </c>
      <c r="U464" s="18" t="str">
        <f t="shared" si="5"/>
        <v>CONJUNTO CABALLERO INGLATERRA AAA LOCAL BLANCO TALLA XL</v>
      </c>
    </row>
    <row r="465">
      <c r="A465" s="4">
        <v>2.0</v>
      </c>
      <c r="B465" s="4" t="s">
        <v>1938</v>
      </c>
      <c r="C465" s="1"/>
      <c r="D465" s="4" t="s">
        <v>1939</v>
      </c>
      <c r="E465" s="2"/>
      <c r="F465" s="2">
        <f t="shared" si="2"/>
        <v>0</v>
      </c>
      <c r="G465" s="65">
        <f t="shared" si="7"/>
        <v>0</v>
      </c>
      <c r="H465" s="1"/>
      <c r="I465" s="1"/>
      <c r="J465" s="1"/>
      <c r="K465" s="66" t="s">
        <v>1187</v>
      </c>
      <c r="L465" s="66" t="s">
        <v>1314</v>
      </c>
      <c r="M465" s="66" t="s">
        <v>1080</v>
      </c>
      <c r="N465" s="66" t="s">
        <v>1348</v>
      </c>
      <c r="O465" s="66" t="s">
        <v>1320</v>
      </c>
      <c r="P465" s="67" t="s">
        <v>1165</v>
      </c>
      <c r="Q465" s="18" t="s">
        <v>842</v>
      </c>
      <c r="R465" s="68" t="str">
        <f>IFERROR(CONCATENATE("*",VLOOKUP(L465,PARAM!D:E,2,0),VLOOKUP(M465,PARAM!J:K,2,0),VLOOKUP(N465,PARAM!G:H,2,0),VLOOKUP(P465,PARAM!P:Q,2,0),"*"),"")</f>
        <v>*40214723*</v>
      </c>
      <c r="S465" s="18" t="str">
        <f>IFERROR(CONCATENATE(VLOOKUP(L465,PARAM!D:E,2,0),VLOOKUP(M465,PARAM!J:K,2,0),VLOOKUP(N465,PARAM!G:H,2,0),VLOOKUP(O465,PARAM!M:N,2,0),VLOOKUP(P465,PARAM!P:Q,2,0)),"")</f>
        <v>402147623</v>
      </c>
      <c r="T465" s="18">
        <f t="shared" si="4"/>
        <v>10</v>
      </c>
      <c r="U465" s="18" t="str">
        <f t="shared" si="5"/>
        <v>CONJUNTO CABALLERO INGLATERRA AAA LOCAL BLANCO TALLA L</v>
      </c>
    </row>
    <row r="466">
      <c r="A466" s="4">
        <v>2.0</v>
      </c>
      <c r="B466" s="4" t="s">
        <v>1938</v>
      </c>
      <c r="C466" s="1"/>
      <c r="D466" s="4" t="s">
        <v>1939</v>
      </c>
      <c r="E466" s="2"/>
      <c r="F466" s="2">
        <f t="shared" si="2"/>
        <v>0</v>
      </c>
      <c r="G466" s="65">
        <f t="shared" si="7"/>
        <v>0</v>
      </c>
      <c r="H466" s="1"/>
      <c r="I466" s="1"/>
      <c r="J466" s="1"/>
      <c r="K466" s="66" t="s">
        <v>1187</v>
      </c>
      <c r="L466" s="66" t="s">
        <v>1314</v>
      </c>
      <c r="M466" s="66" t="s">
        <v>1080</v>
      </c>
      <c r="N466" s="66" t="s">
        <v>1348</v>
      </c>
      <c r="O466" s="66" t="s">
        <v>1320</v>
      </c>
      <c r="P466" s="67" t="s">
        <v>1164</v>
      </c>
      <c r="Q466" s="18" t="s">
        <v>842</v>
      </c>
      <c r="R466" s="68" t="str">
        <f>IFERROR(CONCATENATE("*",VLOOKUP(L466,PARAM!D:E,2,0),VLOOKUP(M466,PARAM!J:K,2,0),VLOOKUP(N466,PARAM!G:H,2,0),VLOOKUP(P466,PARAM!P:Q,2,0),"*"),"")</f>
        <v>*40214725*</v>
      </c>
      <c r="S466" s="18" t="str">
        <f>IFERROR(CONCATENATE(VLOOKUP(L466,PARAM!D:E,2,0),VLOOKUP(M466,PARAM!J:K,2,0),VLOOKUP(N466,PARAM!G:H,2,0),VLOOKUP(O466,PARAM!M:N,2,0),VLOOKUP(P466,PARAM!P:Q,2,0)),"")</f>
        <v>402147625</v>
      </c>
      <c r="T466" s="18">
        <f t="shared" si="4"/>
        <v>10</v>
      </c>
      <c r="U466" s="18" t="str">
        <f t="shared" si="5"/>
        <v>CONJUNTO CABALLERO INGLATERRA AAA LOCAL BLANCO TALLA M</v>
      </c>
    </row>
    <row r="467">
      <c r="A467" s="4">
        <v>1.0</v>
      </c>
      <c r="B467" s="4" t="s">
        <v>1938</v>
      </c>
      <c r="C467" s="1"/>
      <c r="D467" s="4" t="s">
        <v>1939</v>
      </c>
      <c r="E467" s="2"/>
      <c r="F467" s="2">
        <f t="shared" si="2"/>
        <v>0</v>
      </c>
      <c r="G467" s="65">
        <f t="shared" si="7"/>
        <v>0</v>
      </c>
      <c r="H467" s="1"/>
      <c r="I467" s="1"/>
      <c r="J467" s="1"/>
      <c r="K467" s="66" t="s">
        <v>1187</v>
      </c>
      <c r="L467" s="66" t="s">
        <v>1314</v>
      </c>
      <c r="M467" s="66" t="s">
        <v>1080</v>
      </c>
      <c r="N467" s="66" t="s">
        <v>1348</v>
      </c>
      <c r="O467" s="66" t="s">
        <v>1320</v>
      </c>
      <c r="P467" s="67" t="s">
        <v>1168</v>
      </c>
      <c r="Q467" s="18" t="s">
        <v>842</v>
      </c>
      <c r="R467" s="68" t="str">
        <f>IFERROR(CONCATENATE("*",VLOOKUP(L467,PARAM!D:E,2,0),VLOOKUP(M467,PARAM!J:K,2,0),VLOOKUP(N467,PARAM!G:H,2,0),VLOOKUP(P467,PARAM!P:Q,2,0),"*"),"")</f>
        <v>*40214727*</v>
      </c>
      <c r="S467" s="18" t="str">
        <f>IFERROR(CONCATENATE(VLOOKUP(L467,PARAM!D:E,2,0),VLOOKUP(M467,PARAM!J:K,2,0),VLOOKUP(N467,PARAM!G:H,2,0),VLOOKUP(O467,PARAM!M:N,2,0),VLOOKUP(P467,PARAM!P:Q,2,0)),"")</f>
        <v>402147627</v>
      </c>
      <c r="T467" s="18">
        <f t="shared" si="4"/>
        <v>10</v>
      </c>
      <c r="U467" s="18" t="str">
        <f t="shared" si="5"/>
        <v>CONJUNTO CABALLERO INGLATERRA AAA LOCAL BLANCO TALLA S</v>
      </c>
    </row>
    <row r="468">
      <c r="A468" s="4">
        <v>1.0</v>
      </c>
      <c r="B468" s="4" t="s">
        <v>1940</v>
      </c>
      <c r="C468" s="1"/>
      <c r="D468" s="4" t="s">
        <v>1941</v>
      </c>
      <c r="E468" s="2"/>
      <c r="F468" s="2">
        <f t="shared" si="2"/>
        <v>0</v>
      </c>
      <c r="G468" s="65">
        <f t="shared" si="7"/>
        <v>0</v>
      </c>
      <c r="H468" s="1"/>
      <c r="I468" s="1"/>
      <c r="J468" s="1"/>
      <c r="K468" s="66" t="s">
        <v>1187</v>
      </c>
      <c r="L468" s="66" t="s">
        <v>1314</v>
      </c>
      <c r="M468" s="66" t="s">
        <v>1080</v>
      </c>
      <c r="N468" s="66" t="s">
        <v>1349</v>
      </c>
      <c r="O468" s="66" t="s">
        <v>1087</v>
      </c>
      <c r="P468" s="67" t="s">
        <v>1077</v>
      </c>
      <c r="Q468" s="18" t="s">
        <v>806</v>
      </c>
      <c r="R468" s="68" t="str">
        <f>IFERROR(CONCATENATE("*",VLOOKUP(L468,PARAM!D:E,2,0),VLOOKUP(M468,PARAM!J:K,2,0),VLOOKUP(N468,PARAM!G:H,2,0),VLOOKUP(P468,PARAM!P:Q,2,0),"*"),"")</f>
        <v>*4023332*</v>
      </c>
      <c r="S468" s="18" t="str">
        <f>IFERROR(CONCATENATE(VLOOKUP(L468,PARAM!D:E,2,0),VLOOKUP(M468,PARAM!J:K,2,0),VLOOKUP(N468,PARAM!G:H,2,0),VLOOKUP(O468,PARAM!M:N,2,0),VLOOKUP(P468,PARAM!P:Q,2,0)),"")</f>
        <v>40233332</v>
      </c>
      <c r="T468" s="18">
        <f t="shared" si="4"/>
        <v>9</v>
      </c>
      <c r="U468" s="18" t="str">
        <f t="shared" si="5"/>
        <v>CONJUNTO CABALLERO ARGENTINA AAA LOCAL AZUL CLARO TALLA XL</v>
      </c>
    </row>
    <row r="469">
      <c r="A469" s="4">
        <v>2.0</v>
      </c>
      <c r="B469" s="4" t="s">
        <v>1940</v>
      </c>
      <c r="C469" s="1"/>
      <c r="D469" s="4" t="s">
        <v>1941</v>
      </c>
      <c r="E469" s="2"/>
      <c r="F469" s="2">
        <f t="shared" si="2"/>
        <v>0</v>
      </c>
      <c r="G469" s="65">
        <f t="shared" si="7"/>
        <v>0</v>
      </c>
      <c r="H469" s="1"/>
      <c r="I469" s="1"/>
      <c r="J469" s="1"/>
      <c r="K469" s="66" t="s">
        <v>1187</v>
      </c>
      <c r="L469" s="66" t="s">
        <v>1314</v>
      </c>
      <c r="M469" s="66" t="s">
        <v>1080</v>
      </c>
      <c r="N469" s="66" t="s">
        <v>1349</v>
      </c>
      <c r="O469" s="66" t="s">
        <v>1087</v>
      </c>
      <c r="P469" s="67" t="s">
        <v>1165</v>
      </c>
      <c r="Q469" s="18" t="s">
        <v>806</v>
      </c>
      <c r="R469" s="68" t="str">
        <f>IFERROR(CONCATENATE("*",VLOOKUP(L469,PARAM!D:E,2,0),VLOOKUP(M469,PARAM!J:K,2,0),VLOOKUP(N469,PARAM!G:H,2,0),VLOOKUP(P469,PARAM!P:Q,2,0),"*"),"")</f>
        <v>*4023323*</v>
      </c>
      <c r="S469" s="18" t="str">
        <f>IFERROR(CONCATENATE(VLOOKUP(L469,PARAM!D:E,2,0),VLOOKUP(M469,PARAM!J:K,2,0),VLOOKUP(N469,PARAM!G:H,2,0),VLOOKUP(O469,PARAM!M:N,2,0),VLOOKUP(P469,PARAM!P:Q,2,0)),"")</f>
        <v>40233323</v>
      </c>
      <c r="T469" s="18">
        <f t="shared" si="4"/>
        <v>9</v>
      </c>
      <c r="U469" s="18" t="str">
        <f t="shared" si="5"/>
        <v>CONJUNTO CABALLERO ARGENTINA AAA LOCAL AZUL CLARO TALLA L</v>
      </c>
    </row>
    <row r="470">
      <c r="A470" s="4">
        <v>2.0</v>
      </c>
      <c r="B470" s="4" t="s">
        <v>1940</v>
      </c>
      <c r="C470" s="1"/>
      <c r="D470" s="4" t="s">
        <v>1941</v>
      </c>
      <c r="E470" s="2"/>
      <c r="F470" s="2">
        <f t="shared" si="2"/>
        <v>0</v>
      </c>
      <c r="G470" s="65">
        <f t="shared" si="7"/>
        <v>0</v>
      </c>
      <c r="H470" s="1"/>
      <c r="I470" s="1"/>
      <c r="J470" s="1"/>
      <c r="K470" s="66" t="s">
        <v>1187</v>
      </c>
      <c r="L470" s="66" t="s">
        <v>1314</v>
      </c>
      <c r="M470" s="66" t="s">
        <v>1080</v>
      </c>
      <c r="N470" s="66" t="s">
        <v>1349</v>
      </c>
      <c r="O470" s="66" t="s">
        <v>1087</v>
      </c>
      <c r="P470" s="67" t="s">
        <v>1164</v>
      </c>
      <c r="Q470" s="18" t="s">
        <v>806</v>
      </c>
      <c r="R470" s="68" t="str">
        <f>IFERROR(CONCATENATE("*",VLOOKUP(L470,PARAM!D:E,2,0),VLOOKUP(M470,PARAM!J:K,2,0),VLOOKUP(N470,PARAM!G:H,2,0),VLOOKUP(P470,PARAM!P:Q,2,0),"*"),"")</f>
        <v>*4023325*</v>
      </c>
      <c r="S470" s="18" t="str">
        <f>IFERROR(CONCATENATE(VLOOKUP(L470,PARAM!D:E,2,0),VLOOKUP(M470,PARAM!J:K,2,0),VLOOKUP(N470,PARAM!G:H,2,0),VLOOKUP(O470,PARAM!M:N,2,0),VLOOKUP(P470,PARAM!P:Q,2,0)),"")</f>
        <v>40233325</v>
      </c>
      <c r="T470" s="18">
        <f t="shared" si="4"/>
        <v>9</v>
      </c>
      <c r="U470" s="18" t="str">
        <f t="shared" si="5"/>
        <v>CONJUNTO CABALLERO ARGENTINA AAA LOCAL AZUL CLARO TALLA M</v>
      </c>
    </row>
    <row r="471">
      <c r="A471" s="4">
        <v>1.0</v>
      </c>
      <c r="B471" s="4" t="s">
        <v>1940</v>
      </c>
      <c r="C471" s="1"/>
      <c r="D471" s="4" t="s">
        <v>1941</v>
      </c>
      <c r="E471" s="2"/>
      <c r="F471" s="2">
        <f t="shared" si="2"/>
        <v>0</v>
      </c>
      <c r="G471" s="65">
        <f t="shared" si="7"/>
        <v>0</v>
      </c>
      <c r="H471" s="1"/>
      <c r="I471" s="1"/>
      <c r="J471" s="1"/>
      <c r="K471" s="66" t="s">
        <v>1187</v>
      </c>
      <c r="L471" s="66" t="s">
        <v>1314</v>
      </c>
      <c r="M471" s="66" t="s">
        <v>1080</v>
      </c>
      <c r="N471" s="66" t="s">
        <v>1349</v>
      </c>
      <c r="O471" s="66" t="s">
        <v>1087</v>
      </c>
      <c r="P471" s="67" t="s">
        <v>1168</v>
      </c>
      <c r="Q471" s="18" t="s">
        <v>806</v>
      </c>
      <c r="R471" s="68" t="str">
        <f>IFERROR(CONCATENATE("*",VLOOKUP(L471,PARAM!D:E,2,0),VLOOKUP(M471,PARAM!J:K,2,0),VLOOKUP(N471,PARAM!G:H,2,0),VLOOKUP(P471,PARAM!P:Q,2,0),"*"),"")</f>
        <v>*4023327*</v>
      </c>
      <c r="S471" s="18" t="str">
        <f>IFERROR(CONCATENATE(VLOOKUP(L471,PARAM!D:E,2,0),VLOOKUP(M471,PARAM!J:K,2,0),VLOOKUP(N471,PARAM!G:H,2,0),VLOOKUP(O471,PARAM!M:N,2,0),VLOOKUP(P471,PARAM!P:Q,2,0)),"")</f>
        <v>40233327</v>
      </c>
      <c r="T471" s="18">
        <f t="shared" si="4"/>
        <v>9</v>
      </c>
      <c r="U471" s="18" t="str">
        <f t="shared" si="5"/>
        <v>CONJUNTO CABALLERO ARGENTINA AAA LOCAL AZUL CLARO TALLA S</v>
      </c>
    </row>
    <row r="472">
      <c r="A472" s="4">
        <v>1.0</v>
      </c>
      <c r="B472" s="4" t="s">
        <v>1942</v>
      </c>
      <c r="C472" s="1"/>
      <c r="D472" s="4" t="s">
        <v>1943</v>
      </c>
      <c r="E472" s="3">
        <v>40000.0</v>
      </c>
      <c r="F472" s="2">
        <f t="shared" si="2"/>
        <v>40000</v>
      </c>
      <c r="G472" s="65">
        <f t="shared" si="7"/>
        <v>80000</v>
      </c>
      <c r="H472" s="1"/>
      <c r="I472" s="1"/>
      <c r="J472" s="1"/>
      <c r="K472" s="66" t="s">
        <v>1078</v>
      </c>
      <c r="L472" s="66" t="s">
        <v>1162</v>
      </c>
      <c r="M472" s="66" t="s">
        <v>1080</v>
      </c>
      <c r="N472" s="18" t="s">
        <v>1350</v>
      </c>
      <c r="O472" s="66" t="s">
        <v>1085</v>
      </c>
      <c r="P472" s="67" t="s">
        <v>1189</v>
      </c>
      <c r="Q472" s="18" t="s">
        <v>926</v>
      </c>
      <c r="R472" s="68" t="str">
        <f>IFERROR(CONCATENATE("*",VLOOKUP(L472,PARAM!D:E,2,0),VLOOKUP(M472,PARAM!J:K,2,0),VLOOKUP(N472,PARAM!G:H,2,0),VLOOKUP(P472,PARAM!P:Q,2,0),"*"),"")</f>
        <v>*2529234*</v>
      </c>
      <c r="S472" s="18" t="str">
        <f>IFERROR(CONCATENATE(VLOOKUP(L472,PARAM!D:E,2,0),VLOOKUP(M472,PARAM!J:K,2,0),VLOOKUP(N472,PARAM!G:H,2,0),VLOOKUP(O472,PARAM!M:N,2,0),VLOOKUP(P472,PARAM!P:Q,2,0)),"")</f>
        <v>252921834</v>
      </c>
      <c r="T472" s="18">
        <f t="shared" si="4"/>
        <v>9</v>
      </c>
      <c r="U472" s="18" t="str">
        <f t="shared" si="5"/>
        <v>CHAQUETAS CABALLERO CON CAPOTA VERDE TALLA XXL</v>
      </c>
    </row>
    <row r="473">
      <c r="A473" s="4">
        <v>1.0</v>
      </c>
      <c r="B473" s="4" t="s">
        <v>1944</v>
      </c>
      <c r="C473" s="1"/>
      <c r="D473" s="4" t="s">
        <v>1945</v>
      </c>
      <c r="E473" s="3">
        <v>80000.0</v>
      </c>
      <c r="F473" s="2">
        <f t="shared" si="2"/>
        <v>80000</v>
      </c>
      <c r="G473" s="65">
        <f t="shared" si="7"/>
        <v>160000</v>
      </c>
      <c r="H473" s="1"/>
      <c r="I473" s="1"/>
      <c r="J473" s="1"/>
      <c r="K473" s="66" t="s">
        <v>1078</v>
      </c>
      <c r="L473" s="66" t="s">
        <v>1162</v>
      </c>
      <c r="M473" s="66" t="s">
        <v>1080</v>
      </c>
      <c r="N473" s="18" t="s">
        <v>1351</v>
      </c>
      <c r="O473" s="66" t="s">
        <v>1352</v>
      </c>
      <c r="P473" s="67" t="s">
        <v>1353</v>
      </c>
      <c r="Q473" s="18" t="s">
        <v>926</v>
      </c>
      <c r="R473" s="68" t="str">
        <f>IFERROR(CONCATENATE("*",VLOOKUP(L473,PARAM!D:E,2,0),VLOOKUP(M473,PARAM!J:K,2,0),VLOOKUP(N473,PARAM!G:H,2,0),VLOOKUP(P473,PARAM!P:Q,2,0),"*"),"")</f>
        <v>*25214021*</v>
      </c>
      <c r="S473" s="18" t="str">
        <f>IFERROR(CONCATENATE(VLOOKUP(L473,PARAM!D:E,2,0),VLOOKUP(M473,PARAM!J:K,2,0),VLOOKUP(N473,PARAM!G:H,2,0),VLOOKUP(O473,PARAM!M:N,2,0),VLOOKUP(P473,PARAM!P:Q,2,0)),"")</f>
        <v>252140721</v>
      </c>
      <c r="T473" s="18">
        <f t="shared" si="4"/>
        <v>10</v>
      </c>
      <c r="U473" s="18" t="str">
        <f t="shared" si="5"/>
        <v>CHAQUETAS CABALLERO H M LUN SIN CAPOTA CAFE TALLA 4XL</v>
      </c>
    </row>
    <row r="474">
      <c r="A474" s="4">
        <v>1.0</v>
      </c>
      <c r="B474" s="4" t="s">
        <v>1944</v>
      </c>
      <c r="C474" s="1"/>
      <c r="D474" s="4" t="s">
        <v>1945</v>
      </c>
      <c r="E474" s="3">
        <v>80000.0</v>
      </c>
      <c r="F474" s="2">
        <f t="shared" si="2"/>
        <v>80000</v>
      </c>
      <c r="G474" s="65">
        <f t="shared" si="7"/>
        <v>160000</v>
      </c>
      <c r="H474" s="1"/>
      <c r="I474" s="1"/>
      <c r="J474" s="1"/>
      <c r="K474" s="66" t="s">
        <v>1078</v>
      </c>
      <c r="L474" s="66" t="s">
        <v>1162</v>
      </c>
      <c r="M474" s="66" t="s">
        <v>1080</v>
      </c>
      <c r="N474" s="18" t="s">
        <v>1351</v>
      </c>
      <c r="O474" s="66" t="s">
        <v>1352</v>
      </c>
      <c r="P474" s="67" t="s">
        <v>1354</v>
      </c>
      <c r="Q474" s="18" t="s">
        <v>926</v>
      </c>
      <c r="R474" s="68" t="str">
        <f>IFERROR(CONCATENATE("*",VLOOKUP(L474,PARAM!D:E,2,0),VLOOKUP(M474,PARAM!J:K,2,0),VLOOKUP(N474,PARAM!G:H,2,0),VLOOKUP(P474,PARAM!P:Q,2,0),"*"),"")</f>
        <v>*25214022*</v>
      </c>
      <c r="S474" s="18" t="str">
        <f>IFERROR(CONCATENATE(VLOOKUP(L474,PARAM!D:E,2,0),VLOOKUP(M474,PARAM!J:K,2,0),VLOOKUP(N474,PARAM!G:H,2,0),VLOOKUP(O474,PARAM!M:N,2,0),VLOOKUP(P474,PARAM!P:Q,2,0)),"")</f>
        <v>252140722</v>
      </c>
      <c r="T474" s="18">
        <f t="shared" si="4"/>
        <v>10</v>
      </c>
      <c r="U474" s="18" t="str">
        <f t="shared" si="5"/>
        <v>CHAQUETAS CABALLERO H M LUN SIN CAPOTA CAFE TALLA 6XL</v>
      </c>
    </row>
    <row r="475">
      <c r="A475" s="4">
        <v>1.0</v>
      </c>
      <c r="B475" s="4" t="s">
        <v>1946</v>
      </c>
      <c r="C475" s="1"/>
      <c r="D475" s="4" t="s">
        <v>1947</v>
      </c>
      <c r="E475" s="3">
        <v>80000.0</v>
      </c>
      <c r="F475" s="2">
        <f t="shared" si="2"/>
        <v>80000</v>
      </c>
      <c r="G475" s="65">
        <f t="shared" si="7"/>
        <v>160000</v>
      </c>
      <c r="H475" s="1"/>
      <c r="I475" s="1"/>
      <c r="J475" s="1"/>
      <c r="K475" s="66" t="s">
        <v>1078</v>
      </c>
      <c r="L475" s="66" t="s">
        <v>1162</v>
      </c>
      <c r="M475" s="66" t="s">
        <v>1080</v>
      </c>
      <c r="N475" s="18" t="s">
        <v>1355</v>
      </c>
      <c r="O475" s="66" t="s">
        <v>1088</v>
      </c>
      <c r="P475" s="67" t="s">
        <v>1077</v>
      </c>
      <c r="Q475" s="18" t="s">
        <v>926</v>
      </c>
      <c r="R475" s="68" t="str">
        <f>IFERROR(CONCATENATE("*",VLOOKUP(L475,PARAM!D:E,2,0),VLOOKUP(M475,PARAM!J:K,2,0),VLOOKUP(N475,PARAM!G:H,2,0),VLOOKUP(P475,PARAM!P:Q,2,0),"*"),"")</f>
        <v>*25215932*</v>
      </c>
      <c r="S475" s="18" t="str">
        <f>IFERROR(CONCATENATE(VLOOKUP(L475,PARAM!D:E,2,0),VLOOKUP(M475,PARAM!J:K,2,0),VLOOKUP(N475,PARAM!G:H,2,0),VLOOKUP(O475,PARAM!M:N,2,0),VLOOKUP(P475,PARAM!P:Q,2,0)),"")</f>
        <v>2521591932</v>
      </c>
      <c r="T475" s="18">
        <f t="shared" si="4"/>
        <v>10</v>
      </c>
      <c r="U475" s="18" t="str">
        <f t="shared" si="5"/>
        <v>CHAQUETAS CABALLERO KAIZHELUN, CON CAPOTA VERDE OSCURO TALLA XL</v>
      </c>
    </row>
    <row r="476">
      <c r="A476" s="4">
        <v>1.0</v>
      </c>
      <c r="B476" s="4" t="s">
        <v>1948</v>
      </c>
      <c r="C476" s="1"/>
      <c r="D476" s="4" t="s">
        <v>1949</v>
      </c>
      <c r="E476" s="3">
        <v>80000.0</v>
      </c>
      <c r="F476" s="2">
        <f t="shared" si="2"/>
        <v>80000</v>
      </c>
      <c r="G476" s="65">
        <f t="shared" si="7"/>
        <v>160000</v>
      </c>
      <c r="H476" s="1"/>
      <c r="I476" s="1"/>
      <c r="J476" s="1"/>
      <c r="K476" s="66" t="s">
        <v>1078</v>
      </c>
      <c r="L476" s="66" t="s">
        <v>1162</v>
      </c>
      <c r="M476" s="66" t="s">
        <v>1080</v>
      </c>
      <c r="N476" s="18" t="s">
        <v>1356</v>
      </c>
      <c r="O476" s="66" t="s">
        <v>1088</v>
      </c>
      <c r="P476" s="67" t="s">
        <v>1189</v>
      </c>
      <c r="Q476" s="18" t="s">
        <v>926</v>
      </c>
      <c r="R476" s="68" t="str">
        <f>IFERROR(CONCATENATE("*",VLOOKUP(L476,PARAM!D:E,2,0),VLOOKUP(M476,PARAM!J:K,2,0),VLOOKUP(N476,PARAM!G:H,2,0),VLOOKUP(P476,PARAM!P:Q,2,0),"*"),"")</f>
        <v>*25220134*</v>
      </c>
      <c r="S476" s="18" t="str">
        <f>IFERROR(CONCATENATE(VLOOKUP(L476,PARAM!D:E,2,0),VLOOKUP(M476,PARAM!J:K,2,0),VLOOKUP(N476,PARAM!G:H,2,0),VLOOKUP(O476,PARAM!M:N,2,0),VLOOKUP(P476,PARAM!P:Q,2,0)),"")</f>
        <v>2522011934</v>
      </c>
      <c r="T476" s="18">
        <f t="shared" si="4"/>
        <v>10</v>
      </c>
      <c r="U476" s="18" t="str">
        <f t="shared" si="5"/>
        <v>CHAQUETAS CABALLERO OVEJERA HAN CHENG VERDE OSCURO TALLA XXL</v>
      </c>
    </row>
    <row r="477">
      <c r="A477" s="4">
        <v>1.0</v>
      </c>
      <c r="B477" s="4" t="s">
        <v>1950</v>
      </c>
      <c r="C477" s="1"/>
      <c r="D477" s="4" t="s">
        <v>1951</v>
      </c>
      <c r="E477" s="3">
        <v>80000.0</v>
      </c>
      <c r="F477" s="2">
        <f t="shared" si="2"/>
        <v>80000</v>
      </c>
      <c r="G477" s="65">
        <f t="shared" si="7"/>
        <v>160000</v>
      </c>
      <c r="H477" s="1"/>
      <c r="I477" s="1"/>
      <c r="J477" s="1"/>
      <c r="K477" s="66" t="s">
        <v>1078</v>
      </c>
      <c r="L477" s="66" t="s">
        <v>1162</v>
      </c>
      <c r="M477" s="66" t="s">
        <v>1080</v>
      </c>
      <c r="N477" s="66" t="s">
        <v>1357</v>
      </c>
      <c r="O477" s="66" t="s">
        <v>1088</v>
      </c>
      <c r="P477" s="67" t="s">
        <v>1165</v>
      </c>
      <c r="Q477" s="18" t="s">
        <v>932</v>
      </c>
      <c r="R477" s="68" t="str">
        <f>IFERROR(CONCATENATE("*",VLOOKUP(L477,PARAM!D:E,2,0),VLOOKUP(M477,PARAM!J:K,2,0),VLOOKUP(N477,PARAM!G:H,2,0),VLOOKUP(P477,PARAM!P:Q,2,0),"*"),"")</f>
        <v>*25226023*</v>
      </c>
      <c r="S477" s="18" t="str">
        <f>IFERROR(CONCATENATE(VLOOKUP(L477,PARAM!D:E,2,0),VLOOKUP(M477,PARAM!J:K,2,0),VLOOKUP(N477,PARAM!G:H,2,0),VLOOKUP(O477,PARAM!M:N,2,0),VLOOKUP(P477,PARAM!P:Q,2,0)),"")</f>
        <v>2522601923</v>
      </c>
      <c r="T477" s="18">
        <f t="shared" si="4"/>
        <v>10</v>
      </c>
      <c r="U477" s="18" t="str">
        <f t="shared" si="5"/>
        <v>CHAQUETAS CABALLERO THE NORTH FACE CON CAPOTA VERDE OSCURO TALLA L</v>
      </c>
    </row>
    <row r="478">
      <c r="A478" s="4">
        <v>1.0</v>
      </c>
      <c r="B478" s="4" t="s">
        <v>1952</v>
      </c>
      <c r="C478" s="1"/>
      <c r="D478" s="4" t="s">
        <v>1606</v>
      </c>
      <c r="E478" s="3">
        <v>84000.0</v>
      </c>
      <c r="F478" s="2">
        <f t="shared" si="2"/>
        <v>84000</v>
      </c>
      <c r="G478" s="65">
        <f t="shared" si="7"/>
        <v>168000</v>
      </c>
      <c r="H478" s="1"/>
      <c r="I478" s="1"/>
      <c r="J478" s="1"/>
      <c r="K478" s="66" t="s">
        <v>1058</v>
      </c>
      <c r="L478" s="66" t="s">
        <v>1162</v>
      </c>
      <c r="M478" s="66" t="s">
        <v>1060</v>
      </c>
      <c r="N478" s="66" t="s">
        <v>1358</v>
      </c>
      <c r="O478" s="66" t="s">
        <v>1359</v>
      </c>
      <c r="P478" s="67" t="s">
        <v>1189</v>
      </c>
      <c r="Q478" s="18" t="s">
        <v>934</v>
      </c>
      <c r="R478" s="68" t="str">
        <f>IFERROR(CONCATENATE("*",VLOOKUP(L478,PARAM!D:E,2,0),VLOOKUP(M478,PARAM!J:K,2,0),VLOOKUP(N478,PARAM!G:H,2,0),VLOOKUP(P478,PARAM!P:Q,2,0),"*"),"")</f>
        <v>*2511134*</v>
      </c>
      <c r="S478" s="18" t="str">
        <f>IFERROR(CONCATENATE(VLOOKUP(L478,PARAM!D:E,2,0),VLOOKUP(M478,PARAM!J:K,2,0),VLOOKUP(N478,PARAM!G:H,2,0),VLOOKUP(O478,PARAM!M:N,2,0),VLOOKUP(P478,PARAM!P:Q,2,0)),"")</f>
        <v>251111534</v>
      </c>
      <c r="T478" s="18">
        <f t="shared" si="4"/>
        <v>9</v>
      </c>
      <c r="U478" s="18" t="str">
        <f t="shared" si="5"/>
        <v>CHAQUETAS DAMA ACOLCHADA ROSADO TALLA XXL</v>
      </c>
    </row>
    <row r="479">
      <c r="A479" s="4">
        <v>1.0</v>
      </c>
      <c r="B479" s="4" t="s">
        <v>1953</v>
      </c>
      <c r="C479" s="1"/>
      <c r="D479" s="4" t="s">
        <v>1954</v>
      </c>
      <c r="E479" s="3">
        <v>84000.0</v>
      </c>
      <c r="F479" s="2">
        <f t="shared" si="2"/>
        <v>84000</v>
      </c>
      <c r="G479" s="65">
        <f t="shared" si="7"/>
        <v>168000</v>
      </c>
      <c r="H479" s="1"/>
      <c r="I479" s="1"/>
      <c r="J479" s="1"/>
      <c r="K479" s="66" t="s">
        <v>1058</v>
      </c>
      <c r="L479" s="66" t="s">
        <v>1162</v>
      </c>
      <c r="M479" s="66" t="s">
        <v>1060</v>
      </c>
      <c r="N479" s="66" t="s">
        <v>1360</v>
      </c>
      <c r="O479" s="66" t="s">
        <v>1359</v>
      </c>
      <c r="P479" s="67" t="s">
        <v>1361</v>
      </c>
      <c r="Q479" s="18" t="s">
        <v>926</v>
      </c>
      <c r="R479" s="68" t="str">
        <f>IFERROR(CONCATENATE("*",VLOOKUP(L479,PARAM!D:E,2,0),VLOOKUP(M479,PARAM!J:K,2,0),VLOOKUP(N479,PARAM!G:H,2,0),VLOOKUP(P479,PARAM!P:Q,2,0),"*"),"")</f>
        <v>*2511220*</v>
      </c>
      <c r="S479" s="18" t="str">
        <f>IFERROR(CONCATENATE(VLOOKUP(L479,PARAM!D:E,2,0),VLOOKUP(M479,PARAM!J:K,2,0),VLOOKUP(N479,PARAM!G:H,2,0),VLOOKUP(O479,PARAM!M:N,2,0),VLOOKUP(P479,PARAM!P:Q,2,0)),"")</f>
        <v>251121520</v>
      </c>
      <c r="T479" s="18">
        <f t="shared" si="4"/>
        <v>9</v>
      </c>
      <c r="U479" s="18" t="str">
        <f t="shared" si="5"/>
        <v>CHAQUETAS DAMA ACOLCHADA LARGA ROSADO TALLA 3XL</v>
      </c>
    </row>
    <row r="480">
      <c r="A480" s="4">
        <v>1.0</v>
      </c>
      <c r="B480" s="4" t="s">
        <v>1955</v>
      </c>
      <c r="C480" s="1"/>
      <c r="D480" s="4" t="s">
        <v>1956</v>
      </c>
      <c r="E480" s="3">
        <v>30000.0</v>
      </c>
      <c r="F480" s="2">
        <f t="shared" si="2"/>
        <v>30000</v>
      </c>
      <c r="G480" s="65">
        <f t="shared" si="7"/>
        <v>60000</v>
      </c>
      <c r="H480" s="1"/>
      <c r="I480" s="1"/>
      <c r="J480" s="1"/>
      <c r="K480" s="66" t="s">
        <v>1187</v>
      </c>
      <c r="L480" s="66" t="s">
        <v>1314</v>
      </c>
      <c r="M480" s="66" t="s">
        <v>1080</v>
      </c>
      <c r="N480" s="66" t="s">
        <v>1362</v>
      </c>
      <c r="O480" s="66" t="s">
        <v>1087</v>
      </c>
      <c r="P480" s="67" t="s">
        <v>1164</v>
      </c>
      <c r="Q480" s="18" t="s">
        <v>937</v>
      </c>
      <c r="R480" s="68" t="str">
        <f>IFERROR(CONCATENATE("*",VLOOKUP(L480,PARAM!D:E,2,0),VLOOKUP(M480,PARAM!J:K,2,0),VLOOKUP(N480,PARAM!G:H,2,0),VLOOKUP(P480,PARAM!P:Q,2,0),"*"),"")</f>
        <v>*40217925*</v>
      </c>
      <c r="S480" s="18" t="str">
        <f>IFERROR(CONCATENATE(VLOOKUP(L480,PARAM!D:E,2,0),VLOOKUP(M480,PARAM!J:K,2,0),VLOOKUP(N480,PARAM!G:H,2,0),VLOOKUP(O480,PARAM!M:N,2,0),VLOOKUP(P480,PARAM!P:Q,2,0)),"")</f>
        <v>402179325</v>
      </c>
      <c r="T480" s="18">
        <f t="shared" si="4"/>
        <v>10</v>
      </c>
      <c r="U480" s="18" t="str">
        <f t="shared" si="5"/>
        <v>CONJUNTO CABALLERO MANCHESTER CITY AAA LOCAL 2025 AZUL CLARO TALLA M</v>
      </c>
    </row>
    <row r="481">
      <c r="A481" s="4">
        <v>1.0</v>
      </c>
      <c r="B481" s="4" t="s">
        <v>1955</v>
      </c>
      <c r="C481" s="1"/>
      <c r="D481" s="4" t="s">
        <v>1957</v>
      </c>
      <c r="E481" s="3">
        <v>30000.0</v>
      </c>
      <c r="F481" s="2">
        <f t="shared" si="2"/>
        <v>30000</v>
      </c>
      <c r="G481" s="65">
        <f t="shared" si="7"/>
        <v>60000</v>
      </c>
      <c r="H481" s="1"/>
      <c r="I481" s="1"/>
      <c r="J481" s="1"/>
      <c r="K481" s="66" t="s">
        <v>1187</v>
      </c>
      <c r="L481" s="66" t="s">
        <v>1314</v>
      </c>
      <c r="M481" s="66" t="s">
        <v>1080</v>
      </c>
      <c r="N481" s="66" t="s">
        <v>1362</v>
      </c>
      <c r="O481" s="66" t="s">
        <v>1087</v>
      </c>
      <c r="P481" s="67" t="s">
        <v>1164</v>
      </c>
      <c r="Q481" s="18" t="s">
        <v>937</v>
      </c>
      <c r="R481" s="68" t="str">
        <f>IFERROR(CONCATENATE("*",VLOOKUP(L481,PARAM!D:E,2,0),VLOOKUP(M481,PARAM!J:K,2,0),VLOOKUP(N481,PARAM!G:H,2,0),VLOOKUP(P481,PARAM!P:Q,2,0),"*"),"")</f>
        <v>*40217925*</v>
      </c>
      <c r="S481" s="18" t="str">
        <f>IFERROR(CONCATENATE(VLOOKUP(L481,PARAM!D:E,2,0),VLOOKUP(M481,PARAM!J:K,2,0),VLOOKUP(N481,PARAM!G:H,2,0),VLOOKUP(O481,PARAM!M:N,2,0),VLOOKUP(P481,PARAM!P:Q,2,0)),"")</f>
        <v>402179325</v>
      </c>
      <c r="T481" s="18">
        <f t="shared" si="4"/>
        <v>10</v>
      </c>
      <c r="U481" s="18" t="str">
        <f t="shared" si="5"/>
        <v>CONJUNTO CABALLERO MANCHESTER CITY AAA LOCAL 2025 AZUL CLARO TALLA M</v>
      </c>
    </row>
    <row r="482">
      <c r="A482" s="4">
        <v>1.0</v>
      </c>
      <c r="B482" s="4" t="s">
        <v>1955</v>
      </c>
      <c r="C482" s="1"/>
      <c r="D482" s="4" t="s">
        <v>1958</v>
      </c>
      <c r="E482" s="3">
        <v>30000.0</v>
      </c>
      <c r="F482" s="2">
        <f t="shared" si="2"/>
        <v>30000</v>
      </c>
      <c r="G482" s="65">
        <f t="shared" si="7"/>
        <v>60000</v>
      </c>
      <c r="H482" s="1"/>
      <c r="I482" s="1"/>
      <c r="J482" s="1"/>
      <c r="K482" s="66" t="s">
        <v>1187</v>
      </c>
      <c r="L482" s="66" t="s">
        <v>1314</v>
      </c>
      <c r="M482" s="66" t="s">
        <v>1080</v>
      </c>
      <c r="N482" s="66" t="s">
        <v>1362</v>
      </c>
      <c r="O482" s="66" t="s">
        <v>1087</v>
      </c>
      <c r="P482" s="67" t="s">
        <v>1165</v>
      </c>
      <c r="Q482" s="18" t="s">
        <v>937</v>
      </c>
      <c r="R482" s="68" t="str">
        <f>IFERROR(CONCATENATE("*",VLOOKUP(L482,PARAM!D:E,2,0),VLOOKUP(M482,PARAM!J:K,2,0),VLOOKUP(N482,PARAM!G:H,2,0),VLOOKUP(P482,PARAM!P:Q,2,0),"*"),"")</f>
        <v>*40217923*</v>
      </c>
      <c r="S482" s="18" t="str">
        <f>IFERROR(CONCATENATE(VLOOKUP(L482,PARAM!D:E,2,0),VLOOKUP(M482,PARAM!J:K,2,0),VLOOKUP(N482,PARAM!G:H,2,0),VLOOKUP(O482,PARAM!M:N,2,0),VLOOKUP(P482,PARAM!P:Q,2,0)),"")</f>
        <v>402179323</v>
      </c>
      <c r="T482" s="18">
        <f t="shared" si="4"/>
        <v>10</v>
      </c>
      <c r="U482" s="18" t="str">
        <f t="shared" si="5"/>
        <v>CONJUNTO CABALLERO MANCHESTER CITY AAA LOCAL 2025 AZUL CLARO TALLA L</v>
      </c>
    </row>
    <row r="483">
      <c r="A483" s="4">
        <v>1.0</v>
      </c>
      <c r="B483" s="4" t="s">
        <v>1959</v>
      </c>
      <c r="C483" s="1"/>
      <c r="D483" s="4" t="s">
        <v>1960</v>
      </c>
      <c r="E483" s="3">
        <v>30000.0</v>
      </c>
      <c r="F483" s="2">
        <f t="shared" si="2"/>
        <v>30000</v>
      </c>
      <c r="G483" s="65">
        <f t="shared" si="7"/>
        <v>60000</v>
      </c>
      <c r="H483" s="1"/>
      <c r="I483" s="1"/>
      <c r="J483" s="1"/>
      <c r="K483" s="66" t="s">
        <v>1187</v>
      </c>
      <c r="L483" s="66" t="s">
        <v>1314</v>
      </c>
      <c r="M483" s="66" t="s">
        <v>1080</v>
      </c>
      <c r="N483" s="66" t="s">
        <v>1363</v>
      </c>
      <c r="O483" s="66" t="s">
        <v>1364</v>
      </c>
      <c r="P483" s="67" t="s">
        <v>1077</v>
      </c>
      <c r="Q483" s="18" t="s">
        <v>940</v>
      </c>
      <c r="R483" s="68" t="str">
        <f>IFERROR(CONCATENATE("*",VLOOKUP(L483,PARAM!D:E,2,0),VLOOKUP(M483,PARAM!J:K,2,0),VLOOKUP(N483,PARAM!G:H,2,0),VLOOKUP(P483,PARAM!P:Q,2,0),"*"),"")</f>
        <v>*4024432*</v>
      </c>
      <c r="S483" s="18" t="str">
        <f>IFERROR(CONCATENATE(VLOOKUP(L483,PARAM!D:E,2,0),VLOOKUP(M483,PARAM!J:K,2,0),VLOOKUP(N483,PARAM!G:H,2,0),VLOOKUP(O483,PARAM!M:N,2,0),VLOOKUP(P483,PARAM!P:Q,2,0)),"")</f>
        <v>402441132</v>
      </c>
      <c r="T483" s="18">
        <f t="shared" si="4"/>
        <v>9</v>
      </c>
      <c r="U483" s="18" t="str">
        <f t="shared" si="5"/>
        <v>CONJUNTO CABALLERO BARCELONA AAA VISITANTE 2025 NARANJA TALLA XL</v>
      </c>
    </row>
    <row r="484">
      <c r="A484" s="4">
        <v>3.0</v>
      </c>
      <c r="B484" s="4" t="s">
        <v>1959</v>
      </c>
      <c r="C484" s="1"/>
      <c r="D484" s="4" t="s">
        <v>1960</v>
      </c>
      <c r="E484" s="3">
        <v>30000.0</v>
      </c>
      <c r="F484" s="2">
        <f t="shared" si="2"/>
        <v>90000</v>
      </c>
      <c r="G484" s="65">
        <f t="shared" si="7"/>
        <v>60000</v>
      </c>
      <c r="H484" s="1"/>
      <c r="I484" s="1"/>
      <c r="J484" s="1"/>
      <c r="K484" s="66" t="s">
        <v>1187</v>
      </c>
      <c r="L484" s="66" t="s">
        <v>1314</v>
      </c>
      <c r="M484" s="66" t="s">
        <v>1080</v>
      </c>
      <c r="N484" s="66" t="s">
        <v>1363</v>
      </c>
      <c r="O484" s="66" t="s">
        <v>1364</v>
      </c>
      <c r="P484" s="67" t="s">
        <v>1164</v>
      </c>
      <c r="Q484" s="18" t="s">
        <v>940</v>
      </c>
      <c r="R484" s="68" t="str">
        <f>IFERROR(CONCATENATE("*",VLOOKUP(L484,PARAM!D:E,2,0),VLOOKUP(M484,PARAM!J:K,2,0),VLOOKUP(N484,PARAM!G:H,2,0),VLOOKUP(P484,PARAM!P:Q,2,0),"*"),"")</f>
        <v>*4024425*</v>
      </c>
      <c r="S484" s="18" t="str">
        <f>IFERROR(CONCATENATE(VLOOKUP(L484,PARAM!D:E,2,0),VLOOKUP(M484,PARAM!J:K,2,0),VLOOKUP(N484,PARAM!G:H,2,0),VLOOKUP(O484,PARAM!M:N,2,0),VLOOKUP(P484,PARAM!P:Q,2,0)),"")</f>
        <v>402441125</v>
      </c>
      <c r="T484" s="18">
        <f t="shared" si="4"/>
        <v>9</v>
      </c>
      <c r="U484" s="18" t="str">
        <f t="shared" si="5"/>
        <v>CONJUNTO CABALLERO BARCELONA AAA VISITANTE 2025 NARANJA TALLA M</v>
      </c>
    </row>
    <row r="485">
      <c r="A485" s="4">
        <v>2.0</v>
      </c>
      <c r="B485" s="4" t="s">
        <v>1959</v>
      </c>
      <c r="C485" s="1"/>
      <c r="D485" s="4" t="s">
        <v>1960</v>
      </c>
      <c r="E485" s="3">
        <v>30000.0</v>
      </c>
      <c r="F485" s="2">
        <f t="shared" si="2"/>
        <v>60000</v>
      </c>
      <c r="G485" s="65">
        <f t="shared" si="7"/>
        <v>60000</v>
      </c>
      <c r="H485" s="1"/>
      <c r="I485" s="1"/>
      <c r="J485" s="1"/>
      <c r="K485" s="66" t="s">
        <v>1187</v>
      </c>
      <c r="L485" s="66" t="s">
        <v>1314</v>
      </c>
      <c r="M485" s="66" t="s">
        <v>1080</v>
      </c>
      <c r="N485" s="66" t="s">
        <v>1363</v>
      </c>
      <c r="O485" s="66" t="s">
        <v>1364</v>
      </c>
      <c r="P485" s="67" t="s">
        <v>1168</v>
      </c>
      <c r="Q485" s="18" t="s">
        <v>940</v>
      </c>
      <c r="R485" s="68" t="str">
        <f>IFERROR(CONCATENATE("*",VLOOKUP(L485,PARAM!D:E,2,0),VLOOKUP(M485,PARAM!J:K,2,0),VLOOKUP(N485,PARAM!G:H,2,0),VLOOKUP(P485,PARAM!P:Q,2,0),"*"),"")</f>
        <v>*4024427*</v>
      </c>
      <c r="S485" s="18" t="str">
        <f>IFERROR(CONCATENATE(VLOOKUP(L485,PARAM!D:E,2,0),VLOOKUP(M485,PARAM!J:K,2,0),VLOOKUP(N485,PARAM!G:H,2,0),VLOOKUP(O485,PARAM!M:N,2,0),VLOOKUP(P485,PARAM!P:Q,2,0)),"")</f>
        <v>402441127</v>
      </c>
      <c r="T485" s="18">
        <f t="shared" si="4"/>
        <v>9</v>
      </c>
      <c r="U485" s="18" t="str">
        <f t="shared" si="5"/>
        <v>CONJUNTO CABALLERO BARCELONA AAA VISITANTE 2025 NARANJA TALLA S</v>
      </c>
    </row>
    <row r="486">
      <c r="A486" s="4">
        <v>1.0</v>
      </c>
      <c r="B486" s="4" t="s">
        <v>1959</v>
      </c>
      <c r="C486" s="1"/>
      <c r="D486" s="4" t="s">
        <v>1960</v>
      </c>
      <c r="E486" s="3">
        <v>30000.0</v>
      </c>
      <c r="F486" s="2">
        <f t="shared" si="2"/>
        <v>30000</v>
      </c>
      <c r="G486" s="65">
        <f t="shared" si="7"/>
        <v>60000</v>
      </c>
      <c r="H486" s="1"/>
      <c r="I486" s="1"/>
      <c r="J486" s="1"/>
      <c r="K486" s="66" t="s">
        <v>1187</v>
      </c>
      <c r="L486" s="66" t="s">
        <v>1314</v>
      </c>
      <c r="M486" s="66" t="s">
        <v>1080</v>
      </c>
      <c r="N486" s="66" t="s">
        <v>1363</v>
      </c>
      <c r="O486" s="66" t="s">
        <v>1364</v>
      </c>
      <c r="P486" s="67" t="s">
        <v>1189</v>
      </c>
      <c r="Q486" s="18" t="s">
        <v>940</v>
      </c>
      <c r="R486" s="68" t="str">
        <f>IFERROR(CONCATENATE("*",VLOOKUP(L486,PARAM!D:E,2,0),VLOOKUP(M486,PARAM!J:K,2,0),VLOOKUP(N486,PARAM!G:H,2,0),VLOOKUP(P486,PARAM!P:Q,2,0),"*"),"")</f>
        <v>*4024434*</v>
      </c>
      <c r="S486" s="18" t="str">
        <f>IFERROR(CONCATENATE(VLOOKUP(L486,PARAM!D:E,2,0),VLOOKUP(M486,PARAM!J:K,2,0),VLOOKUP(N486,PARAM!G:H,2,0),VLOOKUP(O486,PARAM!M:N,2,0),VLOOKUP(P486,PARAM!P:Q,2,0)),"")</f>
        <v>402441134</v>
      </c>
      <c r="T486" s="18">
        <f t="shared" si="4"/>
        <v>9</v>
      </c>
      <c r="U486" s="18" t="str">
        <f t="shared" si="5"/>
        <v>CONJUNTO CABALLERO BARCELONA AAA VISITANTE 2025 NARANJA TALLA XXL</v>
      </c>
    </row>
    <row r="487">
      <c r="A487" s="4">
        <v>1.0</v>
      </c>
      <c r="B487" s="4" t="s">
        <v>1961</v>
      </c>
      <c r="C487" s="1"/>
      <c r="D487" s="4" t="s">
        <v>1962</v>
      </c>
      <c r="E487" s="3">
        <v>30000.0</v>
      </c>
      <c r="F487" s="2">
        <f t="shared" si="2"/>
        <v>30000</v>
      </c>
      <c r="G487" s="65">
        <f t="shared" si="7"/>
        <v>60000</v>
      </c>
      <c r="H487" s="1"/>
      <c r="I487" s="1"/>
      <c r="J487" s="1"/>
      <c r="K487" s="66" t="s">
        <v>1187</v>
      </c>
      <c r="L487" s="66" t="s">
        <v>1314</v>
      </c>
      <c r="M487" s="66" t="s">
        <v>1080</v>
      </c>
      <c r="N487" s="66" t="s">
        <v>1365</v>
      </c>
      <c r="O487" s="66" t="s">
        <v>1122</v>
      </c>
      <c r="P487" s="67" t="s">
        <v>1077</v>
      </c>
      <c r="Q487" s="18" t="s">
        <v>940</v>
      </c>
      <c r="R487" s="68" t="str">
        <f>IFERROR(CONCATENATE("*",VLOOKUP(L487,PARAM!D:E,2,0),VLOOKUP(M487,PARAM!J:K,2,0),VLOOKUP(N487,PARAM!G:H,2,0),VLOOKUP(P487,PARAM!P:Q,2,0),"*"),"")</f>
        <v>*4023532*</v>
      </c>
      <c r="S487" s="18" t="str">
        <f>IFERROR(CONCATENATE(VLOOKUP(L487,PARAM!D:E,2,0),VLOOKUP(M487,PARAM!J:K,2,0),VLOOKUP(N487,PARAM!G:H,2,0),VLOOKUP(O487,PARAM!M:N,2,0),VLOOKUP(P487,PARAM!P:Q,2,0)),"")</f>
        <v>402351432</v>
      </c>
      <c r="T487" s="18">
        <f t="shared" si="4"/>
        <v>9</v>
      </c>
      <c r="U487" s="18" t="str">
        <f t="shared" si="5"/>
        <v>CONJUNTO CABALLERO ATLETICO MADRID AAA LOCAL 2025 ROJO TALLA XL</v>
      </c>
    </row>
    <row r="488">
      <c r="A488" s="4">
        <v>1.0</v>
      </c>
      <c r="B488" s="4" t="s">
        <v>1961</v>
      </c>
      <c r="C488" s="1"/>
      <c r="D488" s="4" t="s">
        <v>1962</v>
      </c>
      <c r="E488" s="3">
        <v>30000.0</v>
      </c>
      <c r="F488" s="2">
        <f t="shared" si="2"/>
        <v>30000</v>
      </c>
      <c r="G488" s="65">
        <f t="shared" si="7"/>
        <v>60000</v>
      </c>
      <c r="H488" s="1"/>
      <c r="I488" s="1"/>
      <c r="J488" s="1"/>
      <c r="K488" s="66" t="s">
        <v>1187</v>
      </c>
      <c r="L488" s="66" t="s">
        <v>1314</v>
      </c>
      <c r="M488" s="66" t="s">
        <v>1080</v>
      </c>
      <c r="N488" s="66" t="s">
        <v>1365</v>
      </c>
      <c r="O488" s="66" t="s">
        <v>1122</v>
      </c>
      <c r="P488" s="67" t="s">
        <v>1165</v>
      </c>
      <c r="Q488" s="18" t="s">
        <v>940</v>
      </c>
      <c r="R488" s="68" t="str">
        <f>IFERROR(CONCATENATE("*",VLOOKUP(L488,PARAM!D:E,2,0),VLOOKUP(M488,PARAM!J:K,2,0),VLOOKUP(N488,PARAM!G:H,2,0),VLOOKUP(P488,PARAM!P:Q,2,0),"*"),"")</f>
        <v>*4023523*</v>
      </c>
      <c r="S488" s="18" t="str">
        <f>IFERROR(CONCATENATE(VLOOKUP(L488,PARAM!D:E,2,0),VLOOKUP(M488,PARAM!J:K,2,0),VLOOKUP(N488,PARAM!G:H,2,0),VLOOKUP(O488,PARAM!M:N,2,0),VLOOKUP(P488,PARAM!P:Q,2,0)),"")</f>
        <v>402351423</v>
      </c>
      <c r="T488" s="18">
        <f t="shared" si="4"/>
        <v>9</v>
      </c>
      <c r="U488" s="18" t="str">
        <f t="shared" si="5"/>
        <v>CONJUNTO CABALLERO ATLETICO MADRID AAA LOCAL 2025 ROJO TALLA L</v>
      </c>
    </row>
    <row r="489">
      <c r="A489" s="4">
        <v>1.0</v>
      </c>
      <c r="B489" s="4" t="s">
        <v>1961</v>
      </c>
      <c r="C489" s="1"/>
      <c r="D489" s="4" t="s">
        <v>1962</v>
      </c>
      <c r="E489" s="3">
        <v>30000.0</v>
      </c>
      <c r="F489" s="2">
        <f t="shared" si="2"/>
        <v>30000</v>
      </c>
      <c r="G489" s="65">
        <f t="shared" si="7"/>
        <v>60000</v>
      </c>
      <c r="H489" s="1"/>
      <c r="I489" s="1"/>
      <c r="J489" s="1"/>
      <c r="K489" s="66" t="s">
        <v>1187</v>
      </c>
      <c r="L489" s="66" t="s">
        <v>1314</v>
      </c>
      <c r="M489" s="66" t="s">
        <v>1080</v>
      </c>
      <c r="N489" s="66" t="s">
        <v>1365</v>
      </c>
      <c r="O489" s="66" t="s">
        <v>1122</v>
      </c>
      <c r="P489" s="67" t="s">
        <v>1164</v>
      </c>
      <c r="Q489" s="18" t="s">
        <v>940</v>
      </c>
      <c r="R489" s="68" t="str">
        <f>IFERROR(CONCATENATE("*",VLOOKUP(L489,PARAM!D:E,2,0),VLOOKUP(M489,PARAM!J:K,2,0),VLOOKUP(N489,PARAM!G:H,2,0),VLOOKUP(P489,PARAM!P:Q,2,0),"*"),"")</f>
        <v>*4023525*</v>
      </c>
      <c r="S489" s="18" t="str">
        <f>IFERROR(CONCATENATE(VLOOKUP(L489,PARAM!D:E,2,0),VLOOKUP(M489,PARAM!J:K,2,0),VLOOKUP(N489,PARAM!G:H,2,0),VLOOKUP(O489,PARAM!M:N,2,0),VLOOKUP(P489,PARAM!P:Q,2,0)),"")</f>
        <v>402351425</v>
      </c>
      <c r="T489" s="18">
        <f t="shared" si="4"/>
        <v>9</v>
      </c>
      <c r="U489" s="18" t="str">
        <f t="shared" si="5"/>
        <v>CONJUNTO CABALLERO ATLETICO MADRID AAA LOCAL 2025 ROJO TALLA M</v>
      </c>
    </row>
    <row r="490">
      <c r="A490" s="4">
        <v>1.0</v>
      </c>
      <c r="B490" s="4" t="s">
        <v>1961</v>
      </c>
      <c r="C490" s="1"/>
      <c r="D490" s="4" t="s">
        <v>1962</v>
      </c>
      <c r="E490" s="3">
        <v>30000.0</v>
      </c>
      <c r="F490" s="2">
        <f t="shared" si="2"/>
        <v>30000</v>
      </c>
      <c r="G490" s="65">
        <f t="shared" si="7"/>
        <v>60000</v>
      </c>
      <c r="H490" s="1"/>
      <c r="I490" s="1"/>
      <c r="J490" s="1"/>
      <c r="K490" s="66" t="s">
        <v>1187</v>
      </c>
      <c r="L490" s="66" t="s">
        <v>1314</v>
      </c>
      <c r="M490" s="66" t="s">
        <v>1080</v>
      </c>
      <c r="N490" s="66" t="s">
        <v>1365</v>
      </c>
      <c r="O490" s="66" t="s">
        <v>1122</v>
      </c>
      <c r="P490" s="67" t="s">
        <v>1168</v>
      </c>
      <c r="Q490" s="18" t="s">
        <v>940</v>
      </c>
      <c r="R490" s="68" t="str">
        <f>IFERROR(CONCATENATE("*",VLOOKUP(L490,PARAM!D:E,2,0),VLOOKUP(M490,PARAM!J:K,2,0),VLOOKUP(N490,PARAM!G:H,2,0),VLOOKUP(P490,PARAM!P:Q,2,0),"*"),"")</f>
        <v>*4023527*</v>
      </c>
      <c r="S490" s="18" t="str">
        <f>IFERROR(CONCATENATE(VLOOKUP(L490,PARAM!D:E,2,0),VLOOKUP(M490,PARAM!J:K,2,0),VLOOKUP(N490,PARAM!G:H,2,0),VLOOKUP(O490,PARAM!M:N,2,0),VLOOKUP(P490,PARAM!P:Q,2,0)),"")</f>
        <v>402351427</v>
      </c>
      <c r="T490" s="18">
        <f t="shared" si="4"/>
        <v>9</v>
      </c>
      <c r="U490" s="18" t="str">
        <f t="shared" si="5"/>
        <v>CONJUNTO CABALLERO ATLETICO MADRID AAA LOCAL 2025 ROJO TALLA S</v>
      </c>
    </row>
    <row r="491">
      <c r="A491" s="4">
        <v>1.0</v>
      </c>
      <c r="B491" s="4" t="s">
        <v>1963</v>
      </c>
      <c r="C491" s="1"/>
      <c r="D491" s="4" t="s">
        <v>1964</v>
      </c>
      <c r="E491" s="3">
        <v>30000.0</v>
      </c>
      <c r="F491" s="2">
        <f t="shared" si="2"/>
        <v>30000</v>
      </c>
      <c r="G491" s="65">
        <f t="shared" si="7"/>
        <v>60000</v>
      </c>
      <c r="H491" s="1"/>
      <c r="I491" s="1"/>
      <c r="J491" s="1"/>
      <c r="K491" s="66" t="s">
        <v>1187</v>
      </c>
      <c r="L491" s="66" t="s">
        <v>1314</v>
      </c>
      <c r="M491" s="66" t="s">
        <v>1080</v>
      </c>
      <c r="N491" s="66" t="s">
        <v>1366</v>
      </c>
      <c r="O491" s="66" t="s">
        <v>1320</v>
      </c>
      <c r="P491" s="67" t="s">
        <v>1353</v>
      </c>
      <c r="Q491" s="18" t="s">
        <v>949</v>
      </c>
      <c r="R491" s="68" t="str">
        <f>IFERROR(CONCATENATE("*",VLOOKUP(L491,PARAM!D:E,2,0),VLOOKUP(M491,PARAM!J:K,2,0),VLOOKUP(N491,PARAM!G:H,2,0),VLOOKUP(P491,PARAM!P:Q,2,0),"*"),"")</f>
        <v>*40216321*</v>
      </c>
      <c r="S491" s="18" t="str">
        <f>IFERROR(CONCATENATE(VLOOKUP(L491,PARAM!D:E,2,0),VLOOKUP(M491,PARAM!J:K,2,0),VLOOKUP(N491,PARAM!G:H,2,0),VLOOKUP(O491,PARAM!M:N,2,0),VLOOKUP(P491,PARAM!P:Q,2,0)),"")</f>
        <v>402163621</v>
      </c>
      <c r="T491" s="18">
        <f t="shared" si="4"/>
        <v>10</v>
      </c>
      <c r="U491" s="18" t="str">
        <f t="shared" si="5"/>
        <v>CONJUNTO CABALLERO LAKERS BLANCO TALLA 4XL</v>
      </c>
    </row>
    <row r="492">
      <c r="A492" s="4">
        <v>1.0</v>
      </c>
      <c r="B492" s="4" t="s">
        <v>1963</v>
      </c>
      <c r="C492" s="1"/>
      <c r="D492" s="4" t="s">
        <v>1964</v>
      </c>
      <c r="E492" s="3">
        <v>30000.0</v>
      </c>
      <c r="F492" s="2">
        <f t="shared" si="2"/>
        <v>30000</v>
      </c>
      <c r="G492" s="65">
        <f t="shared" si="7"/>
        <v>60000</v>
      </c>
      <c r="H492" s="1"/>
      <c r="I492" s="1"/>
      <c r="J492" s="1"/>
      <c r="K492" s="66" t="s">
        <v>1187</v>
      </c>
      <c r="L492" s="66" t="s">
        <v>1314</v>
      </c>
      <c r="M492" s="66" t="s">
        <v>1080</v>
      </c>
      <c r="N492" s="66" t="s">
        <v>1366</v>
      </c>
      <c r="O492" s="66" t="s">
        <v>1311</v>
      </c>
      <c r="P492" s="67" t="s">
        <v>1361</v>
      </c>
      <c r="Q492" s="18" t="s">
        <v>949</v>
      </c>
      <c r="R492" s="68" t="str">
        <f>IFERROR(CONCATENATE("*",VLOOKUP(L492,PARAM!D:E,2,0),VLOOKUP(M492,PARAM!J:K,2,0),VLOOKUP(N492,PARAM!G:H,2,0),VLOOKUP(P492,PARAM!P:Q,2,0),"*"),"")</f>
        <v>*40216320*</v>
      </c>
      <c r="S492" s="18" t="str">
        <f>IFERROR(CONCATENATE(VLOOKUP(L492,PARAM!D:E,2,0),VLOOKUP(M492,PARAM!J:K,2,0),VLOOKUP(N492,PARAM!G:H,2,0),VLOOKUP(O492,PARAM!M:N,2,0),VLOOKUP(P492,PARAM!P:Q,2,0)),"")</f>
        <v>402163120</v>
      </c>
      <c r="T492" s="18">
        <f t="shared" si="4"/>
        <v>10</v>
      </c>
      <c r="U492" s="18" t="str">
        <f t="shared" si="5"/>
        <v>CONJUNTO CABALLERO LAKERS AMARILLO TALLA 3XL</v>
      </c>
    </row>
    <row r="493">
      <c r="A493" s="4">
        <v>1.0</v>
      </c>
      <c r="B493" s="4" t="s">
        <v>1963</v>
      </c>
      <c r="C493" s="1"/>
      <c r="D493" s="4" t="s">
        <v>1964</v>
      </c>
      <c r="E493" s="3">
        <v>30000.0</v>
      </c>
      <c r="F493" s="2">
        <f t="shared" si="2"/>
        <v>30000</v>
      </c>
      <c r="G493" s="65">
        <f t="shared" si="7"/>
        <v>60000</v>
      </c>
      <c r="H493" s="1"/>
      <c r="I493" s="1"/>
      <c r="J493" s="1"/>
      <c r="K493" s="66" t="s">
        <v>1187</v>
      </c>
      <c r="L493" s="66" t="s">
        <v>1314</v>
      </c>
      <c r="M493" s="66" t="s">
        <v>1080</v>
      </c>
      <c r="N493" s="66" t="s">
        <v>1366</v>
      </c>
      <c r="O493" s="66" t="s">
        <v>1311</v>
      </c>
      <c r="P493" s="67" t="s">
        <v>1353</v>
      </c>
      <c r="Q493" s="18" t="s">
        <v>949</v>
      </c>
      <c r="R493" s="68" t="str">
        <f>IFERROR(CONCATENATE("*",VLOOKUP(L493,PARAM!D:E,2,0),VLOOKUP(M493,PARAM!J:K,2,0),VLOOKUP(N493,PARAM!G:H,2,0),VLOOKUP(P493,PARAM!P:Q,2,0),"*"),"")</f>
        <v>*40216321*</v>
      </c>
      <c r="S493" s="18" t="str">
        <f>IFERROR(CONCATENATE(VLOOKUP(L493,PARAM!D:E,2,0),VLOOKUP(M493,PARAM!J:K,2,0),VLOOKUP(N493,PARAM!G:H,2,0),VLOOKUP(O493,PARAM!M:N,2,0),VLOOKUP(P493,PARAM!P:Q,2,0)),"")</f>
        <v>402163121</v>
      </c>
      <c r="T493" s="18">
        <f t="shared" si="4"/>
        <v>10</v>
      </c>
      <c r="U493" s="18" t="str">
        <f t="shared" si="5"/>
        <v>CONJUNTO CABALLERO LAKERS AMARILLO TALLA 4XL</v>
      </c>
    </row>
    <row r="494">
      <c r="A494" s="4">
        <v>1.0</v>
      </c>
      <c r="B494" s="4" t="s">
        <v>1965</v>
      </c>
      <c r="C494" s="1"/>
      <c r="D494" s="4" t="s">
        <v>1966</v>
      </c>
      <c r="E494" s="3">
        <v>30000.0</v>
      </c>
      <c r="F494" s="2">
        <f t="shared" si="2"/>
        <v>30000</v>
      </c>
      <c r="G494" s="65">
        <f t="shared" si="7"/>
        <v>60000</v>
      </c>
      <c r="H494" s="1"/>
      <c r="I494" s="1"/>
      <c r="J494" s="1"/>
      <c r="K494" s="66" t="s">
        <v>1187</v>
      </c>
      <c r="L494" s="66" t="s">
        <v>1314</v>
      </c>
      <c r="M494" s="66" t="s">
        <v>1080</v>
      </c>
      <c r="N494" s="66" t="s">
        <v>1367</v>
      </c>
      <c r="O494" s="66" t="s">
        <v>1122</v>
      </c>
      <c r="P494" s="67" t="s">
        <v>1368</v>
      </c>
      <c r="Q494" s="18" t="s">
        <v>949</v>
      </c>
      <c r="R494" s="68" t="str">
        <f>IFERROR(CONCATENATE("*",VLOOKUP(L494,PARAM!D:E,2,0),VLOOKUP(M494,PARAM!J:K,2,0),VLOOKUP(N494,PARAM!G:H,2,0),VLOOKUP(P494,PARAM!P:Q,2,0),"*"),"")</f>
        <v>*4025619*</v>
      </c>
      <c r="S494" s="18" t="str">
        <f>IFERROR(CONCATENATE(VLOOKUP(L494,PARAM!D:E,2,0),VLOOKUP(M494,PARAM!J:K,2,0),VLOOKUP(N494,PARAM!G:H,2,0),VLOOKUP(O494,PARAM!M:N,2,0),VLOOKUP(P494,PARAM!P:Q,2,0)),"")</f>
        <v>402561419</v>
      </c>
      <c r="T494" s="18">
        <f t="shared" si="4"/>
        <v>9</v>
      </c>
      <c r="U494" s="18" t="str">
        <f t="shared" si="5"/>
        <v>CONJUNTO CABALLERO BULLS ROJO TALLA 2XL</v>
      </c>
    </row>
    <row r="495">
      <c r="A495" s="4">
        <v>2.0</v>
      </c>
      <c r="B495" s="4" t="s">
        <v>1965</v>
      </c>
      <c r="C495" s="1"/>
      <c r="D495" s="4" t="s">
        <v>1966</v>
      </c>
      <c r="E495" s="3">
        <v>30000.0</v>
      </c>
      <c r="F495" s="2">
        <f t="shared" si="2"/>
        <v>60000</v>
      </c>
      <c r="G495" s="65">
        <f t="shared" si="7"/>
        <v>60000</v>
      </c>
      <c r="H495" s="1"/>
      <c r="I495" s="1"/>
      <c r="J495" s="1"/>
      <c r="K495" s="66" t="s">
        <v>1187</v>
      </c>
      <c r="L495" s="66" t="s">
        <v>1314</v>
      </c>
      <c r="M495" s="66" t="s">
        <v>1080</v>
      </c>
      <c r="N495" s="66" t="s">
        <v>1367</v>
      </c>
      <c r="O495" s="66" t="s">
        <v>1122</v>
      </c>
      <c r="P495" s="67" t="s">
        <v>1353</v>
      </c>
      <c r="Q495" s="18" t="s">
        <v>949</v>
      </c>
      <c r="R495" s="68" t="str">
        <f>IFERROR(CONCATENATE("*",VLOOKUP(L495,PARAM!D:E,2,0),VLOOKUP(M495,PARAM!J:K,2,0),VLOOKUP(N495,PARAM!G:H,2,0),VLOOKUP(P495,PARAM!P:Q,2,0),"*"),"")</f>
        <v>*4025621*</v>
      </c>
      <c r="S495" s="18" t="str">
        <f>IFERROR(CONCATENATE(VLOOKUP(L495,PARAM!D:E,2,0),VLOOKUP(M495,PARAM!J:K,2,0),VLOOKUP(N495,PARAM!G:H,2,0),VLOOKUP(O495,PARAM!M:N,2,0),VLOOKUP(P495,PARAM!P:Q,2,0)),"")</f>
        <v>402561421</v>
      </c>
      <c r="T495" s="18">
        <f t="shared" si="4"/>
        <v>9</v>
      </c>
      <c r="U495" s="18" t="str">
        <f t="shared" si="5"/>
        <v>CONJUNTO CABALLERO BULLS ROJO TALLA 4XL</v>
      </c>
    </row>
    <row r="496">
      <c r="A496" s="4">
        <v>1.0</v>
      </c>
      <c r="B496" s="4" t="s">
        <v>1967</v>
      </c>
      <c r="C496" s="1"/>
      <c r="D496" s="4" t="s">
        <v>1968</v>
      </c>
      <c r="E496" s="3">
        <v>30000.0</v>
      </c>
      <c r="F496" s="2">
        <f t="shared" si="2"/>
        <v>30000</v>
      </c>
      <c r="G496" s="65">
        <f t="shared" si="7"/>
        <v>60000</v>
      </c>
      <c r="H496" s="1"/>
      <c r="I496" s="1"/>
      <c r="J496" s="1"/>
      <c r="K496" s="66" t="s">
        <v>1187</v>
      </c>
      <c r="L496" s="66" t="s">
        <v>1171</v>
      </c>
      <c r="M496" s="66" t="s">
        <v>1060</v>
      </c>
      <c r="N496" s="66" t="s">
        <v>1369</v>
      </c>
      <c r="O496" s="66" t="s">
        <v>1067</v>
      </c>
      <c r="P496" s="67" t="s">
        <v>1168</v>
      </c>
      <c r="Q496" s="18" t="s">
        <v>954</v>
      </c>
      <c r="R496" s="68" t="str">
        <f>IFERROR(CONCATENATE("*",VLOOKUP(L496,PARAM!D:E,2,0),VLOOKUP(M496,PARAM!J:K,2,0),VLOOKUP(N496,PARAM!G:H,2,0),VLOOKUP(P496,PARAM!P:Q,2,0),"*"),"")</f>
        <v>*11115727*</v>
      </c>
      <c r="S496" s="18" t="str">
        <f>IFERROR(CONCATENATE(VLOOKUP(L496,PARAM!D:E,2,0),VLOOKUP(M496,PARAM!J:K,2,0),VLOOKUP(N496,PARAM!G:H,2,0),VLOOKUP(O496,PARAM!M:N,2,0),VLOOKUP(P496,PARAM!P:Q,2,0)),"")</f>
        <v>111157227</v>
      </c>
      <c r="T496" s="18">
        <f t="shared" si="4"/>
        <v>10</v>
      </c>
      <c r="U496" s="18" t="str">
        <f t="shared" si="5"/>
        <v>CAMISETAS DAMA JUNIOR AAA VISITANTE 2024 AZUL TALLA S</v>
      </c>
    </row>
    <row r="497">
      <c r="A497" s="4">
        <v>1.0</v>
      </c>
      <c r="B497" s="4" t="s">
        <v>1967</v>
      </c>
      <c r="C497" s="1"/>
      <c r="D497" s="4" t="s">
        <v>1968</v>
      </c>
      <c r="E497" s="3">
        <v>30000.0</v>
      </c>
      <c r="F497" s="2">
        <f t="shared" si="2"/>
        <v>30000</v>
      </c>
      <c r="G497" s="65">
        <f t="shared" si="7"/>
        <v>60000</v>
      </c>
      <c r="H497" s="1"/>
      <c r="I497" s="1"/>
      <c r="J497" s="1"/>
      <c r="K497" s="66" t="s">
        <v>1187</v>
      </c>
      <c r="L497" s="66" t="s">
        <v>1171</v>
      </c>
      <c r="M497" s="66" t="s">
        <v>1060</v>
      </c>
      <c r="N497" s="66" t="s">
        <v>1369</v>
      </c>
      <c r="O497" s="66" t="s">
        <v>1067</v>
      </c>
      <c r="P497" s="67" t="s">
        <v>1164</v>
      </c>
      <c r="Q497" s="18" t="s">
        <v>954</v>
      </c>
      <c r="R497" s="68" t="str">
        <f>IFERROR(CONCATENATE("*",VLOOKUP(L497,PARAM!D:E,2,0),VLOOKUP(M497,PARAM!J:K,2,0),VLOOKUP(N497,PARAM!G:H,2,0),VLOOKUP(P497,PARAM!P:Q,2,0),"*"),"")</f>
        <v>*11115725*</v>
      </c>
      <c r="S497" s="18" t="str">
        <f>IFERROR(CONCATENATE(VLOOKUP(L497,PARAM!D:E,2,0),VLOOKUP(M497,PARAM!J:K,2,0),VLOOKUP(N497,PARAM!G:H,2,0),VLOOKUP(O497,PARAM!M:N,2,0),VLOOKUP(P497,PARAM!P:Q,2,0)),"")</f>
        <v>111157225</v>
      </c>
      <c r="T497" s="18">
        <f t="shared" si="4"/>
        <v>10</v>
      </c>
      <c r="U497" s="18" t="str">
        <f t="shared" si="5"/>
        <v>CAMISETAS DAMA JUNIOR AAA VISITANTE 2024 AZUL TALLA M</v>
      </c>
    </row>
    <row r="498">
      <c r="A498" s="4">
        <v>1.0</v>
      </c>
      <c r="B498" s="4" t="s">
        <v>1967</v>
      </c>
      <c r="C498" s="1"/>
      <c r="D498" s="4" t="s">
        <v>1968</v>
      </c>
      <c r="E498" s="3">
        <v>30000.0</v>
      </c>
      <c r="F498" s="2">
        <f t="shared" si="2"/>
        <v>30000</v>
      </c>
      <c r="G498" s="65">
        <f t="shared" si="7"/>
        <v>60000</v>
      </c>
      <c r="H498" s="1"/>
      <c r="I498" s="1"/>
      <c r="J498" s="1"/>
      <c r="K498" s="66" t="s">
        <v>1187</v>
      </c>
      <c r="L498" s="66" t="s">
        <v>1171</v>
      </c>
      <c r="M498" s="66" t="s">
        <v>1060</v>
      </c>
      <c r="N498" s="66" t="s">
        <v>1369</v>
      </c>
      <c r="O498" s="66" t="s">
        <v>1067</v>
      </c>
      <c r="P498" s="67" t="s">
        <v>1165</v>
      </c>
      <c r="Q498" s="18" t="s">
        <v>954</v>
      </c>
      <c r="R498" s="68" t="str">
        <f>IFERROR(CONCATENATE("*",VLOOKUP(L498,PARAM!D:E,2,0),VLOOKUP(M498,PARAM!J:K,2,0),VLOOKUP(N498,PARAM!G:H,2,0),VLOOKUP(P498,PARAM!P:Q,2,0),"*"),"")</f>
        <v>*11115723*</v>
      </c>
      <c r="S498" s="18" t="str">
        <f>IFERROR(CONCATENATE(VLOOKUP(L498,PARAM!D:E,2,0),VLOOKUP(M498,PARAM!J:K,2,0),VLOOKUP(N498,PARAM!G:H,2,0),VLOOKUP(O498,PARAM!M:N,2,0),VLOOKUP(P498,PARAM!P:Q,2,0)),"")</f>
        <v>111157223</v>
      </c>
      <c r="T498" s="18">
        <f t="shared" si="4"/>
        <v>10</v>
      </c>
      <c r="U498" s="18" t="str">
        <f t="shared" si="5"/>
        <v>CAMISETAS DAMA JUNIOR AAA VISITANTE 2024 AZUL TALLA L</v>
      </c>
    </row>
    <row r="499">
      <c r="A499" s="4">
        <v>1.0</v>
      </c>
      <c r="B499" s="4" t="s">
        <v>1967</v>
      </c>
      <c r="C499" s="1"/>
      <c r="D499" s="4" t="s">
        <v>1968</v>
      </c>
      <c r="E499" s="3">
        <v>30000.0</v>
      </c>
      <c r="F499" s="2">
        <f t="shared" si="2"/>
        <v>30000</v>
      </c>
      <c r="G499" s="65">
        <f t="shared" si="7"/>
        <v>60000</v>
      </c>
      <c r="H499" s="1"/>
      <c r="I499" s="1"/>
      <c r="J499" s="1"/>
      <c r="K499" s="66" t="s">
        <v>1187</v>
      </c>
      <c r="L499" s="66" t="s">
        <v>1171</v>
      </c>
      <c r="M499" s="66" t="s">
        <v>1060</v>
      </c>
      <c r="N499" s="66" t="s">
        <v>1369</v>
      </c>
      <c r="O499" s="66" t="s">
        <v>1067</v>
      </c>
      <c r="P499" s="67" t="s">
        <v>1077</v>
      </c>
      <c r="Q499" s="18" t="s">
        <v>954</v>
      </c>
      <c r="R499" s="68" t="str">
        <f>IFERROR(CONCATENATE("*",VLOOKUP(L499,PARAM!D:E,2,0),VLOOKUP(M499,PARAM!J:K,2,0),VLOOKUP(N499,PARAM!G:H,2,0),VLOOKUP(P499,PARAM!P:Q,2,0),"*"),"")</f>
        <v>*11115732*</v>
      </c>
      <c r="S499" s="18" t="str">
        <f>IFERROR(CONCATENATE(VLOOKUP(L499,PARAM!D:E,2,0),VLOOKUP(M499,PARAM!J:K,2,0),VLOOKUP(N499,PARAM!G:H,2,0),VLOOKUP(O499,PARAM!M:N,2,0),VLOOKUP(P499,PARAM!P:Q,2,0)),"")</f>
        <v>111157232</v>
      </c>
      <c r="T499" s="18">
        <f t="shared" si="4"/>
        <v>10</v>
      </c>
      <c r="U499" s="18" t="str">
        <f t="shared" si="5"/>
        <v>CAMISETAS DAMA JUNIOR AAA VISITANTE 2024 AZUL TALLA XL</v>
      </c>
    </row>
    <row r="500">
      <c r="A500" s="4">
        <v>2.0</v>
      </c>
      <c r="B500" s="4" t="s">
        <v>1969</v>
      </c>
      <c r="C500" s="1"/>
      <c r="D500" s="4" t="s">
        <v>1970</v>
      </c>
      <c r="E500" s="3">
        <v>30000.0</v>
      </c>
      <c r="F500" s="2">
        <f t="shared" si="2"/>
        <v>60000</v>
      </c>
      <c r="G500" s="65">
        <f t="shared" si="7"/>
        <v>60000</v>
      </c>
      <c r="H500" s="1"/>
      <c r="I500" s="1"/>
      <c r="J500" s="1"/>
      <c r="K500" s="66" t="s">
        <v>1187</v>
      </c>
      <c r="L500" s="66" t="s">
        <v>1171</v>
      </c>
      <c r="M500" s="66" t="s">
        <v>1080</v>
      </c>
      <c r="N500" s="66" t="s">
        <v>1370</v>
      </c>
      <c r="O500" s="66" t="s">
        <v>1087</v>
      </c>
      <c r="P500" s="67" t="s">
        <v>1168</v>
      </c>
      <c r="Q500" s="18" t="s">
        <v>954</v>
      </c>
      <c r="R500" s="68" t="str">
        <f>IFERROR(CONCATENATE("*",VLOOKUP(L500,PARAM!D:E,2,0),VLOOKUP(M500,PARAM!J:K,2,0),VLOOKUP(N500,PARAM!G:H,2,0),VLOOKUP(P500,PARAM!P:Q,2,0),"*"),"")</f>
        <v>*11214927*</v>
      </c>
      <c r="S500" s="18" t="str">
        <f>IFERROR(CONCATENATE(VLOOKUP(L500,PARAM!D:E,2,0),VLOOKUP(M500,PARAM!J:K,2,0),VLOOKUP(N500,PARAM!G:H,2,0),VLOOKUP(O500,PARAM!M:N,2,0),VLOOKUP(P500,PARAM!P:Q,2,0)),"")</f>
        <v>112149327</v>
      </c>
      <c r="T500" s="18">
        <f t="shared" si="4"/>
        <v>10</v>
      </c>
      <c r="U500" s="18" t="str">
        <f t="shared" si="5"/>
        <v>CAMISETAS CABALLERO INTER MIAMI 1.1 VISITANTE MESSI AZUL CLARO TALLA S</v>
      </c>
    </row>
    <row r="501">
      <c r="A501" s="4">
        <v>4.0</v>
      </c>
      <c r="B501" s="4" t="s">
        <v>1969</v>
      </c>
      <c r="C501" s="1"/>
      <c r="D501" s="4" t="s">
        <v>1970</v>
      </c>
      <c r="E501" s="3">
        <v>30000.0</v>
      </c>
      <c r="F501" s="2">
        <f t="shared" si="2"/>
        <v>120000</v>
      </c>
      <c r="G501" s="65">
        <f t="shared" si="7"/>
        <v>60000</v>
      </c>
      <c r="H501" s="1"/>
      <c r="I501" s="1"/>
      <c r="J501" s="1"/>
      <c r="K501" s="66" t="s">
        <v>1187</v>
      </c>
      <c r="L501" s="66" t="s">
        <v>1171</v>
      </c>
      <c r="M501" s="66" t="s">
        <v>1080</v>
      </c>
      <c r="N501" s="66" t="s">
        <v>1370</v>
      </c>
      <c r="O501" s="66" t="s">
        <v>1087</v>
      </c>
      <c r="P501" s="67" t="s">
        <v>1164</v>
      </c>
      <c r="Q501" s="18" t="s">
        <v>954</v>
      </c>
      <c r="R501" s="68" t="str">
        <f>IFERROR(CONCATENATE("*",VLOOKUP(L501,PARAM!D:E,2,0),VLOOKUP(M501,PARAM!J:K,2,0),VLOOKUP(N501,PARAM!G:H,2,0),VLOOKUP(P501,PARAM!P:Q,2,0),"*"),"")</f>
        <v>*11214925*</v>
      </c>
      <c r="S501" s="18" t="str">
        <f>IFERROR(CONCATENATE(VLOOKUP(L501,PARAM!D:E,2,0),VLOOKUP(M501,PARAM!J:K,2,0),VLOOKUP(N501,PARAM!G:H,2,0),VLOOKUP(O501,PARAM!M:N,2,0),VLOOKUP(P501,PARAM!P:Q,2,0)),"")</f>
        <v>112149325</v>
      </c>
      <c r="T501" s="18">
        <f t="shared" si="4"/>
        <v>10</v>
      </c>
      <c r="U501" s="18" t="str">
        <f t="shared" si="5"/>
        <v>CAMISETAS CABALLERO INTER MIAMI 1.1 VISITANTE MESSI AZUL CLARO TALLA M</v>
      </c>
    </row>
    <row r="502">
      <c r="A502" s="4">
        <v>1.0</v>
      </c>
      <c r="B502" s="4" t="s">
        <v>1971</v>
      </c>
      <c r="C502" s="1"/>
      <c r="D502" s="4" t="s">
        <v>1972</v>
      </c>
      <c r="E502" s="3">
        <v>30000.0</v>
      </c>
      <c r="F502" s="2">
        <f t="shared" si="2"/>
        <v>30000</v>
      </c>
      <c r="G502" s="65">
        <f t="shared" si="7"/>
        <v>60000</v>
      </c>
      <c r="H502" s="1"/>
      <c r="I502" s="1"/>
      <c r="J502" s="1"/>
      <c r="K502" s="66" t="s">
        <v>1187</v>
      </c>
      <c r="L502" s="66" t="s">
        <v>1314</v>
      </c>
      <c r="M502" s="66" t="s">
        <v>1080</v>
      </c>
      <c r="N502" s="66" t="s">
        <v>1371</v>
      </c>
      <c r="O502" s="66" t="s">
        <v>1320</v>
      </c>
      <c r="P502" s="67" t="s">
        <v>1077</v>
      </c>
      <c r="Q502" s="18" t="s">
        <v>940</v>
      </c>
      <c r="R502" s="68" t="str">
        <f>IFERROR(CONCATENATE("*",VLOOKUP(L502,PARAM!D:E,2,0),VLOOKUP(M502,PARAM!J:K,2,0),VLOOKUP(N502,PARAM!G:H,2,0),VLOOKUP(P502,PARAM!P:Q,2,0),"*"),"")</f>
        <v>*40227032*</v>
      </c>
      <c r="S502" s="18" t="str">
        <f>IFERROR(CONCATENATE(VLOOKUP(L502,PARAM!D:E,2,0),VLOOKUP(M502,PARAM!J:K,2,0),VLOOKUP(N502,PARAM!G:H,2,0),VLOOKUP(O502,PARAM!M:N,2,0),VLOOKUP(P502,PARAM!P:Q,2,0)),"")</f>
        <v>402270632</v>
      </c>
      <c r="T502" s="18">
        <f t="shared" si="4"/>
        <v>10</v>
      </c>
      <c r="U502" s="18" t="str">
        <f t="shared" si="5"/>
        <v>CONJUNTO CABALLERO TOTTENHAM AAA LOCAL 2025 BLANCO TALLA XL</v>
      </c>
    </row>
    <row r="503">
      <c r="A503" s="4">
        <v>1.0</v>
      </c>
      <c r="B503" s="4" t="s">
        <v>1971</v>
      </c>
      <c r="C503" s="1"/>
      <c r="D503" s="4" t="s">
        <v>1972</v>
      </c>
      <c r="E503" s="3">
        <v>30000.0</v>
      </c>
      <c r="F503" s="2">
        <f t="shared" si="2"/>
        <v>30000</v>
      </c>
      <c r="G503" s="65">
        <f t="shared" si="7"/>
        <v>60000</v>
      </c>
      <c r="H503" s="1"/>
      <c r="I503" s="1"/>
      <c r="J503" s="1"/>
      <c r="K503" s="66" t="s">
        <v>1187</v>
      </c>
      <c r="L503" s="66" t="s">
        <v>1314</v>
      </c>
      <c r="M503" s="66" t="s">
        <v>1080</v>
      </c>
      <c r="N503" s="66" t="s">
        <v>1371</v>
      </c>
      <c r="O503" s="66" t="s">
        <v>1320</v>
      </c>
      <c r="P503" s="67" t="s">
        <v>1168</v>
      </c>
      <c r="Q503" s="18" t="s">
        <v>940</v>
      </c>
      <c r="R503" s="68" t="str">
        <f>IFERROR(CONCATENATE("*",VLOOKUP(L503,PARAM!D:E,2,0),VLOOKUP(M503,PARAM!J:K,2,0),VLOOKUP(N503,PARAM!G:H,2,0),VLOOKUP(P503,PARAM!P:Q,2,0),"*"),"")</f>
        <v>*40227027*</v>
      </c>
      <c r="S503" s="18" t="str">
        <f>IFERROR(CONCATENATE(VLOOKUP(L503,PARAM!D:E,2,0),VLOOKUP(M503,PARAM!J:K,2,0),VLOOKUP(N503,PARAM!G:H,2,0),VLOOKUP(O503,PARAM!M:N,2,0),VLOOKUP(P503,PARAM!P:Q,2,0)),"")</f>
        <v>402270627</v>
      </c>
      <c r="T503" s="18">
        <f t="shared" si="4"/>
        <v>10</v>
      </c>
      <c r="U503" s="18" t="str">
        <f t="shared" si="5"/>
        <v>CONJUNTO CABALLERO TOTTENHAM AAA LOCAL 2025 BLANCO TALLA S</v>
      </c>
    </row>
    <row r="504">
      <c r="A504" s="4">
        <v>1.0</v>
      </c>
      <c r="B504" s="4" t="s">
        <v>1973</v>
      </c>
      <c r="C504" s="1"/>
      <c r="D504" s="4" t="s">
        <v>1974</v>
      </c>
      <c r="E504" s="3">
        <v>30000.0</v>
      </c>
      <c r="F504" s="2">
        <f t="shared" si="2"/>
        <v>30000</v>
      </c>
      <c r="G504" s="65">
        <f t="shared" si="7"/>
        <v>60000</v>
      </c>
      <c r="H504" s="1"/>
      <c r="I504" s="1"/>
      <c r="J504" s="1"/>
      <c r="K504" s="66" t="s">
        <v>1187</v>
      </c>
      <c r="L504" s="66" t="s">
        <v>1314</v>
      </c>
      <c r="M504" s="66" t="s">
        <v>1080</v>
      </c>
      <c r="N504" s="66" t="s">
        <v>1372</v>
      </c>
      <c r="O504" s="66" t="s">
        <v>1122</v>
      </c>
      <c r="P504" s="67" t="s">
        <v>1168</v>
      </c>
      <c r="Q504" s="18" t="s">
        <v>954</v>
      </c>
      <c r="R504" s="68" t="str">
        <f>IFERROR(CONCATENATE("*",VLOOKUP(L504,PARAM!D:E,2,0),VLOOKUP(M504,PARAM!J:K,2,0),VLOOKUP(N504,PARAM!G:H,2,0),VLOOKUP(P504,PARAM!P:Q,2,0),"*"),"")</f>
        <v>*40223827*</v>
      </c>
      <c r="S504" s="18" t="str">
        <f>IFERROR(CONCATENATE(VLOOKUP(L504,PARAM!D:E,2,0),VLOOKUP(M504,PARAM!J:K,2,0),VLOOKUP(N504,PARAM!G:H,2,0),VLOOKUP(O504,PARAM!M:N,2,0),VLOOKUP(P504,PARAM!P:Q,2,0)),"")</f>
        <v>4022381427</v>
      </c>
      <c r="T504" s="18">
        <f t="shared" si="4"/>
        <v>10</v>
      </c>
      <c r="U504" s="18" t="str">
        <f t="shared" si="5"/>
        <v>CONJUNTO CABALLERO RIVER PLATE AAA LOCAL 2025 ROJO TALLA S</v>
      </c>
    </row>
    <row r="505">
      <c r="A505" s="4">
        <v>1.0</v>
      </c>
      <c r="B505" s="4" t="s">
        <v>1975</v>
      </c>
      <c r="C505" s="1"/>
      <c r="D505" s="4" t="s">
        <v>1976</v>
      </c>
      <c r="E505" s="3">
        <v>30000.0</v>
      </c>
      <c r="F505" s="2">
        <f t="shared" si="2"/>
        <v>30000</v>
      </c>
      <c r="G505" s="65">
        <f t="shared" si="7"/>
        <v>60000</v>
      </c>
      <c r="H505" s="1"/>
      <c r="I505" s="1"/>
      <c r="J505" s="1"/>
      <c r="K505" s="66" t="s">
        <v>1187</v>
      </c>
      <c r="L505" s="66" t="s">
        <v>1314</v>
      </c>
      <c r="M505" s="66" t="s">
        <v>1080</v>
      </c>
      <c r="N505" s="66" t="s">
        <v>1373</v>
      </c>
      <c r="O505" s="66" t="s">
        <v>1084</v>
      </c>
      <c r="P505" s="67" t="s">
        <v>1165</v>
      </c>
      <c r="Q505" s="18" t="s">
        <v>940</v>
      </c>
      <c r="R505" s="68" t="str">
        <f>IFERROR(CONCATENATE("*",VLOOKUP(L505,PARAM!D:E,2,0),VLOOKUP(M505,PARAM!J:K,2,0),VLOOKUP(N505,PARAM!G:H,2,0),VLOOKUP(P505,PARAM!P:Q,2,0),"*"),"")</f>
        <v>*40214823*</v>
      </c>
      <c r="S505" s="18" t="str">
        <f>IFERROR(CONCATENATE(VLOOKUP(L505,PARAM!D:E,2,0),VLOOKUP(M505,PARAM!J:K,2,0),VLOOKUP(N505,PARAM!G:H,2,0),VLOOKUP(O505,PARAM!M:N,2,0),VLOOKUP(P505,PARAM!P:Q,2,0)),"")</f>
        <v>402148423</v>
      </c>
      <c r="T505" s="18">
        <f t="shared" si="4"/>
        <v>10</v>
      </c>
      <c r="U505" s="18" t="str">
        <f t="shared" si="5"/>
        <v>CONJUNTO CABALLERO INTER DE MILAN AAA LOCAL 2025 AZUL NOCHE TALLA L</v>
      </c>
    </row>
    <row r="506">
      <c r="A506" s="4">
        <v>1.0</v>
      </c>
      <c r="B506" s="4" t="s">
        <v>1975</v>
      </c>
      <c r="C506" s="1"/>
      <c r="D506" s="4" t="s">
        <v>1976</v>
      </c>
      <c r="E506" s="3">
        <v>30000.0</v>
      </c>
      <c r="F506" s="2">
        <f t="shared" si="2"/>
        <v>30000</v>
      </c>
      <c r="G506" s="65">
        <f t="shared" si="7"/>
        <v>60000</v>
      </c>
      <c r="H506" s="1"/>
      <c r="I506" s="1"/>
      <c r="J506" s="1"/>
      <c r="K506" s="66" t="s">
        <v>1187</v>
      </c>
      <c r="L506" s="66" t="s">
        <v>1314</v>
      </c>
      <c r="M506" s="66" t="s">
        <v>1080</v>
      </c>
      <c r="N506" s="66" t="s">
        <v>1373</v>
      </c>
      <c r="O506" s="66" t="s">
        <v>1084</v>
      </c>
      <c r="P506" s="67" t="s">
        <v>1164</v>
      </c>
      <c r="Q506" s="18" t="s">
        <v>940</v>
      </c>
      <c r="R506" s="68" t="str">
        <f>IFERROR(CONCATENATE("*",VLOOKUP(L506,PARAM!D:E,2,0),VLOOKUP(M506,PARAM!J:K,2,0),VLOOKUP(N506,PARAM!G:H,2,0),VLOOKUP(P506,PARAM!P:Q,2,0),"*"),"")</f>
        <v>*40214825*</v>
      </c>
      <c r="S506" s="18" t="str">
        <f>IFERROR(CONCATENATE(VLOOKUP(L506,PARAM!D:E,2,0),VLOOKUP(M506,PARAM!J:K,2,0),VLOOKUP(N506,PARAM!G:H,2,0),VLOOKUP(O506,PARAM!M:N,2,0),VLOOKUP(P506,PARAM!P:Q,2,0)),"")</f>
        <v>402148425</v>
      </c>
      <c r="T506" s="18">
        <f t="shared" si="4"/>
        <v>10</v>
      </c>
      <c r="U506" s="18" t="str">
        <f t="shared" si="5"/>
        <v>CONJUNTO CABALLERO INTER DE MILAN AAA LOCAL 2025 AZUL NOCHE TALLA M</v>
      </c>
    </row>
    <row r="507">
      <c r="A507" s="4">
        <v>2.0</v>
      </c>
      <c r="B507" s="4" t="s">
        <v>1977</v>
      </c>
      <c r="C507" s="1"/>
      <c r="D507" s="4" t="s">
        <v>1978</v>
      </c>
      <c r="E507" s="3">
        <v>30000.0</v>
      </c>
      <c r="F507" s="2">
        <f t="shared" si="2"/>
        <v>60000</v>
      </c>
      <c r="G507" s="65">
        <f t="shared" si="7"/>
        <v>60000</v>
      </c>
      <c r="H507" s="1"/>
      <c r="I507" s="1"/>
      <c r="J507" s="1"/>
      <c r="K507" s="66" t="s">
        <v>1187</v>
      </c>
      <c r="L507" s="66" t="s">
        <v>1314</v>
      </c>
      <c r="M507" s="66" t="s">
        <v>1080</v>
      </c>
      <c r="N507" s="66" t="s">
        <v>1374</v>
      </c>
      <c r="O507" s="66" t="s">
        <v>1122</v>
      </c>
      <c r="P507" s="67" t="s">
        <v>1168</v>
      </c>
      <c r="Q507" s="18" t="s">
        <v>966</v>
      </c>
      <c r="R507" s="68" t="str">
        <f>IFERROR(CONCATENATE("*",VLOOKUP(L507,PARAM!D:E,2,0),VLOOKUP(M507,PARAM!J:K,2,0),VLOOKUP(N507,PARAM!G:H,2,0),VLOOKUP(P507,PARAM!P:Q,2,0),"*"),"")</f>
        <v>*40217627*</v>
      </c>
      <c r="S507" s="18" t="str">
        <f>IFERROR(CONCATENATE(VLOOKUP(L507,PARAM!D:E,2,0),VLOOKUP(M507,PARAM!J:K,2,0),VLOOKUP(N507,PARAM!G:H,2,0),VLOOKUP(O507,PARAM!M:N,2,0),VLOOKUP(P507,PARAM!P:Q,2,0)),"")</f>
        <v>4021761427</v>
      </c>
      <c r="T507" s="18">
        <f t="shared" si="4"/>
        <v>10</v>
      </c>
      <c r="U507" s="18" t="str">
        <f t="shared" si="5"/>
        <v>CONJUNTO CABALLERO LIVERPOOL AAA LOCAL 2025 ROJO TALLA S</v>
      </c>
    </row>
    <row r="508">
      <c r="A508" s="4">
        <v>1.0</v>
      </c>
      <c r="B508" s="4" t="s">
        <v>1977</v>
      </c>
      <c r="C508" s="1"/>
      <c r="D508" s="4" t="s">
        <v>1978</v>
      </c>
      <c r="E508" s="3">
        <v>30000.0</v>
      </c>
      <c r="F508" s="2">
        <f t="shared" si="2"/>
        <v>30000</v>
      </c>
      <c r="G508" s="65">
        <f t="shared" si="7"/>
        <v>60000</v>
      </c>
      <c r="H508" s="1"/>
      <c r="I508" s="1"/>
      <c r="J508" s="1"/>
      <c r="K508" s="66" t="s">
        <v>1187</v>
      </c>
      <c r="L508" s="66" t="s">
        <v>1314</v>
      </c>
      <c r="M508" s="66" t="s">
        <v>1080</v>
      </c>
      <c r="N508" s="66" t="s">
        <v>1374</v>
      </c>
      <c r="O508" s="66" t="s">
        <v>1122</v>
      </c>
      <c r="P508" s="67" t="s">
        <v>1165</v>
      </c>
      <c r="Q508" s="18" t="s">
        <v>954</v>
      </c>
      <c r="R508" s="68" t="str">
        <f>IFERROR(CONCATENATE("*",VLOOKUP(L508,PARAM!D:E,2,0),VLOOKUP(M508,PARAM!J:K,2,0),VLOOKUP(N508,PARAM!G:H,2,0),VLOOKUP(P508,PARAM!P:Q,2,0),"*"),"")</f>
        <v>*40217623*</v>
      </c>
      <c r="S508" s="18" t="str">
        <f>IFERROR(CONCATENATE(VLOOKUP(L508,PARAM!D:E,2,0),VLOOKUP(M508,PARAM!J:K,2,0),VLOOKUP(N508,PARAM!G:H,2,0),VLOOKUP(O508,PARAM!M:N,2,0),VLOOKUP(P508,PARAM!P:Q,2,0)),"")</f>
        <v>4021761423</v>
      </c>
      <c r="T508" s="18">
        <f t="shared" si="4"/>
        <v>10</v>
      </c>
      <c r="U508" s="18" t="str">
        <f t="shared" si="5"/>
        <v>CONJUNTO CABALLERO LIVERPOOL AAA LOCAL 2025 ROJO TALLA L</v>
      </c>
    </row>
    <row r="509">
      <c r="A509" s="4">
        <v>1.0</v>
      </c>
      <c r="B509" s="4" t="s">
        <v>1977</v>
      </c>
      <c r="C509" s="1"/>
      <c r="D509" s="4" t="s">
        <v>1979</v>
      </c>
      <c r="E509" s="3">
        <v>30000.0</v>
      </c>
      <c r="F509" s="2">
        <f t="shared" si="2"/>
        <v>30000</v>
      </c>
      <c r="G509" s="65">
        <f t="shared" si="7"/>
        <v>60000</v>
      </c>
      <c r="H509" s="1"/>
      <c r="I509" s="1"/>
      <c r="J509" s="1"/>
      <c r="K509" s="66" t="s">
        <v>1187</v>
      </c>
      <c r="L509" s="66" t="s">
        <v>1314</v>
      </c>
      <c r="M509" s="66" t="s">
        <v>1080</v>
      </c>
      <c r="N509" s="66" t="s">
        <v>1375</v>
      </c>
      <c r="O509" s="66" t="s">
        <v>1085</v>
      </c>
      <c r="P509" s="67" t="s">
        <v>1168</v>
      </c>
      <c r="Q509" s="18" t="s">
        <v>954</v>
      </c>
      <c r="R509" s="68" t="str">
        <f>IFERROR(CONCATENATE("*",VLOOKUP(L509,PARAM!D:E,2,0),VLOOKUP(M509,PARAM!J:K,2,0),VLOOKUP(N509,PARAM!G:H,2,0),VLOOKUP(P509,PARAM!P:Q,2,0),"*"),"")</f>
        <v>*40217727*</v>
      </c>
      <c r="S509" s="18" t="str">
        <f>IFERROR(CONCATENATE(VLOOKUP(L509,PARAM!D:E,2,0),VLOOKUP(M509,PARAM!J:K,2,0),VLOOKUP(N509,PARAM!G:H,2,0),VLOOKUP(O509,PARAM!M:N,2,0),VLOOKUP(P509,PARAM!P:Q,2,0)),"")</f>
        <v>4021771827</v>
      </c>
      <c r="T509" s="18">
        <f t="shared" si="4"/>
        <v>10</v>
      </c>
      <c r="U509" s="18" t="str">
        <f t="shared" si="5"/>
        <v>CONJUNTO CABALLERO LIVERPOOL AAA VISITANTE 2025 VERDE TALLA S</v>
      </c>
    </row>
    <row r="510">
      <c r="A510" s="4">
        <v>1.0</v>
      </c>
      <c r="B510" s="4" t="s">
        <v>1977</v>
      </c>
      <c r="C510" s="1"/>
      <c r="D510" s="4" t="s">
        <v>1979</v>
      </c>
      <c r="E510" s="3">
        <v>30000.0</v>
      </c>
      <c r="F510" s="2">
        <f t="shared" si="2"/>
        <v>30000</v>
      </c>
      <c r="G510" s="65">
        <f t="shared" si="7"/>
        <v>60000</v>
      </c>
      <c r="H510" s="1"/>
      <c r="I510" s="1"/>
      <c r="J510" s="1"/>
      <c r="K510" s="66" t="s">
        <v>1187</v>
      </c>
      <c r="L510" s="66" t="s">
        <v>1314</v>
      </c>
      <c r="M510" s="66" t="s">
        <v>1080</v>
      </c>
      <c r="N510" s="66" t="s">
        <v>1375</v>
      </c>
      <c r="O510" s="66" t="s">
        <v>1085</v>
      </c>
      <c r="P510" s="67" t="s">
        <v>1165</v>
      </c>
      <c r="Q510" s="18" t="s">
        <v>954</v>
      </c>
      <c r="R510" s="68" t="str">
        <f>IFERROR(CONCATENATE("*",VLOOKUP(L510,PARAM!D:E,2,0),VLOOKUP(M510,PARAM!J:K,2,0),VLOOKUP(N510,PARAM!G:H,2,0),VLOOKUP(P510,PARAM!P:Q,2,0),"*"),"")</f>
        <v>*40217723*</v>
      </c>
      <c r="S510" s="18" t="str">
        <f>IFERROR(CONCATENATE(VLOOKUP(L510,PARAM!D:E,2,0),VLOOKUP(M510,PARAM!J:K,2,0),VLOOKUP(N510,PARAM!G:H,2,0),VLOOKUP(O510,PARAM!M:N,2,0),VLOOKUP(P510,PARAM!P:Q,2,0)),"")</f>
        <v>4021771823</v>
      </c>
      <c r="T510" s="18">
        <f t="shared" si="4"/>
        <v>10</v>
      </c>
      <c r="U510" s="18" t="str">
        <f t="shared" si="5"/>
        <v>CONJUNTO CABALLERO LIVERPOOL AAA VISITANTE 2025 VERDE TALLA L</v>
      </c>
    </row>
    <row r="511">
      <c r="A511" s="4">
        <v>2.0</v>
      </c>
      <c r="B511" s="4" t="s">
        <v>1890</v>
      </c>
      <c r="C511" s="1"/>
      <c r="D511" s="4" t="s">
        <v>1980</v>
      </c>
      <c r="E511" s="3">
        <v>30000.0</v>
      </c>
      <c r="F511" s="2">
        <f t="shared" si="2"/>
        <v>60000</v>
      </c>
      <c r="G511" s="65">
        <f t="shared" si="7"/>
        <v>60000</v>
      </c>
      <c r="H511" s="1"/>
      <c r="I511" s="1"/>
      <c r="J511" s="1"/>
      <c r="K511" s="66" t="s">
        <v>1187</v>
      </c>
      <c r="L511" s="66" t="s">
        <v>1171</v>
      </c>
      <c r="M511" s="66" t="s">
        <v>1080</v>
      </c>
      <c r="N511" s="66" t="s">
        <v>1376</v>
      </c>
      <c r="O511" s="66" t="s">
        <v>1085</v>
      </c>
      <c r="P511" s="67" t="s">
        <v>1077</v>
      </c>
      <c r="Q511" s="18" t="s">
        <v>940</v>
      </c>
      <c r="R511" s="68" t="str">
        <f>IFERROR(CONCATENATE("*",VLOOKUP(L511,PARAM!D:E,2,0),VLOOKUP(M511,PARAM!J:K,2,0),VLOOKUP(N511,PARAM!G:H,2,0),VLOOKUP(P511,PARAM!P:Q,2,0),"*"),"")</f>
        <v>*1123632*</v>
      </c>
      <c r="S511" s="18" t="str">
        <f>IFERROR(CONCATENATE(VLOOKUP(L511,PARAM!D:E,2,0),VLOOKUP(M511,PARAM!J:K,2,0),VLOOKUP(N511,PARAM!G:H,2,0),VLOOKUP(O511,PARAM!M:N,2,0),VLOOKUP(P511,PARAM!P:Q,2,0)),"")</f>
        <v>112361832</v>
      </c>
      <c r="T511" s="18">
        <f t="shared" si="4"/>
        <v>9</v>
      </c>
      <c r="U511" s="18" t="str">
        <f t="shared" si="5"/>
        <v>CAMISETAS CABALLERO ATLETICO NACIONAL 1.1 LOCAL 2025 VERDE TALLA XL</v>
      </c>
    </row>
    <row r="512">
      <c r="A512" s="4">
        <v>1.0</v>
      </c>
      <c r="B512" s="4" t="s">
        <v>1981</v>
      </c>
      <c r="C512" s="1"/>
      <c r="D512" s="4" t="s">
        <v>1982</v>
      </c>
      <c r="E512" s="3">
        <v>30000.0</v>
      </c>
      <c r="F512" s="2">
        <f t="shared" si="2"/>
        <v>30000</v>
      </c>
      <c r="G512" s="65">
        <f t="shared" si="7"/>
        <v>60000</v>
      </c>
      <c r="H512" s="1"/>
      <c r="I512" s="1"/>
      <c r="J512" s="1"/>
      <c r="K512" s="66" t="s">
        <v>1187</v>
      </c>
      <c r="L512" s="66" t="s">
        <v>1171</v>
      </c>
      <c r="M512" s="66" t="s">
        <v>1080</v>
      </c>
      <c r="N512" s="66" t="s">
        <v>1377</v>
      </c>
      <c r="O512" s="66" t="s">
        <v>1067</v>
      </c>
      <c r="P512" s="67" t="s">
        <v>1077</v>
      </c>
      <c r="Q512" s="18" t="s">
        <v>954</v>
      </c>
      <c r="R512" s="68" t="str">
        <f>IFERROR(CONCATENATE("*",VLOOKUP(L512,PARAM!D:E,2,0),VLOOKUP(M512,PARAM!J:K,2,0),VLOOKUP(N512,PARAM!G:H,2,0),VLOOKUP(P512,PARAM!P:Q,2,0),"*"),"")</f>
        <v>*11218832*</v>
      </c>
      <c r="S512" s="18" t="str">
        <f>IFERROR(CONCATENATE(VLOOKUP(L512,PARAM!D:E,2,0),VLOOKUP(M512,PARAM!J:K,2,0),VLOOKUP(N512,PARAM!G:H,2,0),VLOOKUP(O512,PARAM!M:N,2,0),VLOOKUP(P512,PARAM!P:Q,2,0)),"")</f>
        <v>112188232</v>
      </c>
      <c r="T512" s="18">
        <f t="shared" si="4"/>
        <v>10</v>
      </c>
      <c r="U512" s="18" t="str">
        <f t="shared" si="5"/>
        <v>CAMISETAS CABALLERO MILLONARIOS 1.1 LOCAL 2025 AZUL TALLA XL</v>
      </c>
    </row>
    <row r="513">
      <c r="A513" s="4">
        <v>1.0</v>
      </c>
      <c r="B513" s="4" t="s">
        <v>1981</v>
      </c>
      <c r="C513" s="1"/>
      <c r="D513" s="4" t="s">
        <v>1982</v>
      </c>
      <c r="E513" s="3">
        <v>30000.0</v>
      </c>
      <c r="F513" s="2">
        <f t="shared" si="2"/>
        <v>30000</v>
      </c>
      <c r="G513" s="65">
        <f t="shared" si="7"/>
        <v>60000</v>
      </c>
      <c r="H513" s="1"/>
      <c r="I513" s="1"/>
      <c r="J513" s="1"/>
      <c r="K513" s="66" t="s">
        <v>1187</v>
      </c>
      <c r="L513" s="66" t="s">
        <v>1171</v>
      </c>
      <c r="M513" s="66" t="s">
        <v>1080</v>
      </c>
      <c r="N513" s="66" t="s">
        <v>1377</v>
      </c>
      <c r="O513" s="66" t="s">
        <v>1067</v>
      </c>
      <c r="P513" s="67" t="s">
        <v>1165</v>
      </c>
      <c r="Q513" s="18" t="s">
        <v>954</v>
      </c>
      <c r="R513" s="68" t="str">
        <f>IFERROR(CONCATENATE("*",VLOOKUP(L513,PARAM!D:E,2,0),VLOOKUP(M513,PARAM!J:K,2,0),VLOOKUP(N513,PARAM!G:H,2,0),VLOOKUP(P513,PARAM!P:Q,2,0),"*"),"")</f>
        <v>*11218823*</v>
      </c>
      <c r="S513" s="18" t="str">
        <f>IFERROR(CONCATENATE(VLOOKUP(L513,PARAM!D:E,2,0),VLOOKUP(M513,PARAM!J:K,2,0),VLOOKUP(N513,PARAM!G:H,2,0),VLOOKUP(O513,PARAM!M:N,2,0),VLOOKUP(P513,PARAM!P:Q,2,0)),"")</f>
        <v>112188223</v>
      </c>
      <c r="T513" s="18">
        <f t="shared" si="4"/>
        <v>10</v>
      </c>
      <c r="U513" s="18" t="str">
        <f t="shared" si="5"/>
        <v>CAMISETAS CABALLERO MILLONARIOS 1.1 LOCAL 2025 AZUL TALLA L</v>
      </c>
    </row>
    <row r="514">
      <c r="A514" s="4">
        <v>1.0</v>
      </c>
      <c r="B514" s="4" t="s">
        <v>1983</v>
      </c>
      <c r="C514" s="1"/>
      <c r="D514" s="4" t="s">
        <v>1984</v>
      </c>
      <c r="E514" s="3">
        <v>30000.0</v>
      </c>
      <c r="F514" s="2">
        <f t="shared" si="2"/>
        <v>30000</v>
      </c>
      <c r="G514" s="65">
        <f t="shared" si="7"/>
        <v>60000</v>
      </c>
      <c r="H514" s="1"/>
      <c r="I514" s="1"/>
      <c r="J514" s="1"/>
      <c r="K514" s="66" t="s">
        <v>1187</v>
      </c>
      <c r="L514" s="66" t="s">
        <v>1171</v>
      </c>
      <c r="M514" s="66" t="s">
        <v>1080</v>
      </c>
      <c r="N514" s="66" t="s">
        <v>1378</v>
      </c>
      <c r="O514" s="66" t="s">
        <v>1067</v>
      </c>
      <c r="P514" s="67" t="s">
        <v>1165</v>
      </c>
      <c r="Q514" s="18" t="s">
        <v>954</v>
      </c>
      <c r="R514" s="68" t="str">
        <f>IFERROR(CONCATENATE("*",VLOOKUP(L514,PARAM!D:E,2,0),VLOOKUP(M514,PARAM!J:K,2,0),VLOOKUP(N514,PARAM!G:H,2,0),VLOOKUP(P514,PARAM!P:Q,2,0),"*"),"")</f>
        <v>*11218923*</v>
      </c>
      <c r="S514" s="18" t="str">
        <f>IFERROR(CONCATENATE(VLOOKUP(L514,PARAM!D:E,2,0),VLOOKUP(M514,PARAM!J:K,2,0),VLOOKUP(N514,PARAM!G:H,2,0),VLOOKUP(O514,PARAM!M:N,2,0),VLOOKUP(P514,PARAM!P:Q,2,0)),"")</f>
        <v>112189223</v>
      </c>
      <c r="T514" s="18">
        <f t="shared" si="4"/>
        <v>10</v>
      </c>
      <c r="U514" s="18" t="str">
        <f t="shared" si="5"/>
        <v>CAMISETAS CABALLERO MILLONARIOS AAA LOCAL 2025 AZUL TALLA L</v>
      </c>
    </row>
    <row r="515">
      <c r="A515" s="4">
        <v>1.0</v>
      </c>
      <c r="B515" s="4" t="s">
        <v>1983</v>
      </c>
      <c r="C515" s="1"/>
      <c r="D515" s="4" t="s">
        <v>1984</v>
      </c>
      <c r="E515" s="3">
        <v>30000.0</v>
      </c>
      <c r="F515" s="2">
        <f t="shared" si="2"/>
        <v>30000</v>
      </c>
      <c r="G515" s="65">
        <f t="shared" si="7"/>
        <v>60000</v>
      </c>
      <c r="H515" s="1"/>
      <c r="I515" s="1"/>
      <c r="J515" s="1"/>
      <c r="K515" s="66" t="s">
        <v>1187</v>
      </c>
      <c r="L515" s="66" t="s">
        <v>1171</v>
      </c>
      <c r="M515" s="66" t="s">
        <v>1080</v>
      </c>
      <c r="N515" s="18" t="s">
        <v>1379</v>
      </c>
      <c r="O515" s="66" t="s">
        <v>1067</v>
      </c>
      <c r="P515" s="67" t="s">
        <v>1077</v>
      </c>
      <c r="Q515" s="18" t="s">
        <v>954</v>
      </c>
      <c r="R515" s="68" t="str">
        <f>IFERROR(CONCATENATE("*",VLOOKUP(L515,PARAM!D:E,2,0),VLOOKUP(M515,PARAM!J:K,2,0),VLOOKUP(N515,PARAM!G:H,2,0),VLOOKUP(P515,PARAM!P:Q,2,0),"*"),"")</f>
        <v>*11219032*</v>
      </c>
      <c r="S515" s="18" t="str">
        <f>IFERROR(CONCATENATE(VLOOKUP(L515,PARAM!D:E,2,0),VLOOKUP(M515,PARAM!J:K,2,0),VLOOKUP(N515,PARAM!G:H,2,0),VLOOKUP(O515,PARAM!M:N,2,0),VLOOKUP(P515,PARAM!P:Q,2,0)),"")</f>
        <v>112190232</v>
      </c>
      <c r="T515" s="18">
        <f t="shared" si="4"/>
        <v>10</v>
      </c>
      <c r="U515" s="18" t="str">
        <f t="shared" si="5"/>
        <v>CAMISETAS CABALLERO MILLONARIOS CAMISA AZUL TALLA XL</v>
      </c>
    </row>
    <row r="516">
      <c r="A516" s="4">
        <v>1.0</v>
      </c>
      <c r="B516" s="4" t="s">
        <v>1873</v>
      </c>
      <c r="C516" s="1"/>
      <c r="D516" s="4" t="s">
        <v>1985</v>
      </c>
      <c r="E516" s="3">
        <v>37000.0</v>
      </c>
      <c r="F516" s="2">
        <f t="shared" si="2"/>
        <v>37000</v>
      </c>
      <c r="G516" s="65">
        <f t="shared" si="7"/>
        <v>74000</v>
      </c>
      <c r="H516" s="1"/>
      <c r="I516" s="1"/>
      <c r="J516" s="1"/>
      <c r="K516" s="66" t="s">
        <v>1187</v>
      </c>
      <c r="L516" s="66" t="s">
        <v>1171</v>
      </c>
      <c r="M516" s="66" t="s">
        <v>1060</v>
      </c>
      <c r="N516" s="66" t="s">
        <v>1310</v>
      </c>
      <c r="O516" s="66" t="s">
        <v>1311</v>
      </c>
      <c r="P516" s="67" t="s">
        <v>1168</v>
      </c>
      <c r="Q516" s="18" t="s">
        <v>954</v>
      </c>
      <c r="R516" s="68" t="str">
        <f>IFERROR(CONCATENATE("*",VLOOKUP(L516,PARAM!D:E,2,0),VLOOKUP(M516,PARAM!J:K,2,0),VLOOKUP(N516,PARAM!G:H,2,0),VLOOKUP(P516,PARAM!P:Q,2,0),"*"),"")</f>
        <v>*1118727*</v>
      </c>
      <c r="S516" s="18" t="str">
        <f>IFERROR(CONCATENATE(VLOOKUP(L516,PARAM!D:E,2,0),VLOOKUP(M516,PARAM!J:K,2,0),VLOOKUP(N516,PARAM!G:H,2,0),VLOOKUP(O516,PARAM!M:N,2,0),VLOOKUP(P516,PARAM!P:Q,2,0)),"")</f>
        <v>11187127</v>
      </c>
      <c r="T516" s="18">
        <f t="shared" si="4"/>
        <v>9</v>
      </c>
      <c r="U516" s="18" t="str">
        <f t="shared" si="5"/>
        <v>CAMISETAS DAMA COLOMBIA 1.1 LOCAL AMARILLO TALLA S</v>
      </c>
    </row>
    <row r="517">
      <c r="A517" s="4">
        <v>1.0</v>
      </c>
      <c r="B517" s="4" t="s">
        <v>1873</v>
      </c>
      <c r="C517" s="1"/>
      <c r="D517" s="4" t="s">
        <v>1985</v>
      </c>
      <c r="E517" s="3">
        <v>37000.0</v>
      </c>
      <c r="F517" s="2">
        <f t="shared" si="2"/>
        <v>37000</v>
      </c>
      <c r="G517" s="65">
        <f t="shared" si="7"/>
        <v>74000</v>
      </c>
      <c r="H517" s="1"/>
      <c r="I517" s="1"/>
      <c r="J517" s="1"/>
      <c r="K517" s="66" t="s">
        <v>1187</v>
      </c>
      <c r="L517" s="66" t="s">
        <v>1171</v>
      </c>
      <c r="M517" s="66" t="s">
        <v>1060</v>
      </c>
      <c r="N517" s="66" t="s">
        <v>1310</v>
      </c>
      <c r="O517" s="66" t="s">
        <v>1311</v>
      </c>
      <c r="P517" s="67" t="s">
        <v>1165</v>
      </c>
      <c r="Q517" s="18" t="s">
        <v>954</v>
      </c>
      <c r="R517" s="68" t="str">
        <f>IFERROR(CONCATENATE("*",VLOOKUP(L517,PARAM!D:E,2,0),VLOOKUP(M517,PARAM!J:K,2,0),VLOOKUP(N517,PARAM!G:H,2,0),VLOOKUP(P517,PARAM!P:Q,2,0),"*"),"")</f>
        <v>*1118723*</v>
      </c>
      <c r="S517" s="18" t="str">
        <f>IFERROR(CONCATENATE(VLOOKUP(L517,PARAM!D:E,2,0),VLOOKUP(M517,PARAM!J:K,2,0),VLOOKUP(N517,PARAM!G:H,2,0),VLOOKUP(O517,PARAM!M:N,2,0),VLOOKUP(P517,PARAM!P:Q,2,0)),"")</f>
        <v>11187123</v>
      </c>
      <c r="T517" s="18">
        <f t="shared" si="4"/>
        <v>9</v>
      </c>
      <c r="U517" s="18" t="str">
        <f t="shared" si="5"/>
        <v>CAMISETAS DAMA COLOMBIA 1.1 LOCAL AMARILLO TALLA L</v>
      </c>
    </row>
    <row r="518">
      <c r="A518" s="4">
        <v>1.0</v>
      </c>
      <c r="B518" s="4" t="s">
        <v>1873</v>
      </c>
      <c r="C518" s="1"/>
      <c r="D518" s="4" t="s">
        <v>1985</v>
      </c>
      <c r="E518" s="3">
        <v>37000.0</v>
      </c>
      <c r="F518" s="2">
        <f t="shared" si="2"/>
        <v>37000</v>
      </c>
      <c r="G518" s="65">
        <f t="shared" si="7"/>
        <v>74000</v>
      </c>
      <c r="H518" s="1"/>
      <c r="I518" s="1"/>
      <c r="J518" s="1"/>
      <c r="K518" s="66" t="s">
        <v>1187</v>
      </c>
      <c r="L518" s="66" t="s">
        <v>1171</v>
      </c>
      <c r="M518" s="66" t="s">
        <v>1060</v>
      </c>
      <c r="N518" s="66" t="s">
        <v>1310</v>
      </c>
      <c r="O518" s="66" t="s">
        <v>1311</v>
      </c>
      <c r="P518" s="67" t="s">
        <v>1077</v>
      </c>
      <c r="Q518" s="18" t="s">
        <v>954</v>
      </c>
      <c r="R518" s="68" t="str">
        <f>IFERROR(CONCATENATE("*",VLOOKUP(L518,PARAM!D:E,2,0),VLOOKUP(M518,PARAM!J:K,2,0),VLOOKUP(N518,PARAM!G:H,2,0),VLOOKUP(P518,PARAM!P:Q,2,0),"*"),"")</f>
        <v>*1118732*</v>
      </c>
      <c r="S518" s="18" t="str">
        <f>IFERROR(CONCATENATE(VLOOKUP(L518,PARAM!D:E,2,0),VLOOKUP(M518,PARAM!J:K,2,0),VLOOKUP(N518,PARAM!G:H,2,0),VLOOKUP(O518,PARAM!M:N,2,0),VLOOKUP(P518,PARAM!P:Q,2,0)),"")</f>
        <v>11187132</v>
      </c>
      <c r="T518" s="18">
        <f t="shared" si="4"/>
        <v>9</v>
      </c>
      <c r="U518" s="18" t="str">
        <f t="shared" si="5"/>
        <v>CAMISETAS DAMA COLOMBIA 1.1 LOCAL AMARILLO TALLA XL</v>
      </c>
    </row>
    <row r="519">
      <c r="A519" s="4">
        <v>1.0</v>
      </c>
      <c r="B519" s="4" t="s">
        <v>1866</v>
      </c>
      <c r="C519" s="1"/>
      <c r="D519" s="4" t="s">
        <v>1986</v>
      </c>
      <c r="E519" s="3">
        <v>37000.0</v>
      </c>
      <c r="F519" s="2">
        <f t="shared" si="2"/>
        <v>37000</v>
      </c>
      <c r="G519" s="65">
        <f t="shared" si="7"/>
        <v>74000</v>
      </c>
      <c r="H519" s="1"/>
      <c r="I519" s="1"/>
      <c r="J519" s="1"/>
      <c r="K519" s="66" t="s">
        <v>1187</v>
      </c>
      <c r="L519" s="66" t="s">
        <v>1171</v>
      </c>
      <c r="M519" s="66" t="s">
        <v>1080</v>
      </c>
      <c r="N519" s="66" t="s">
        <v>1310</v>
      </c>
      <c r="O519" s="66" t="s">
        <v>1311</v>
      </c>
      <c r="P519" s="67" t="s">
        <v>1077</v>
      </c>
      <c r="Q519" s="18" t="s">
        <v>954</v>
      </c>
      <c r="R519" s="68" t="str">
        <f>IFERROR(CONCATENATE("*",VLOOKUP(L519,PARAM!D:E,2,0),VLOOKUP(M519,PARAM!J:K,2,0),VLOOKUP(N519,PARAM!G:H,2,0),VLOOKUP(P519,PARAM!P:Q,2,0),"*"),"")</f>
        <v>*1128732*</v>
      </c>
      <c r="S519" s="18" t="str">
        <f>IFERROR(CONCATENATE(VLOOKUP(L519,PARAM!D:E,2,0),VLOOKUP(M519,PARAM!J:K,2,0),VLOOKUP(N519,PARAM!G:H,2,0),VLOOKUP(O519,PARAM!M:N,2,0),VLOOKUP(P519,PARAM!P:Q,2,0)),"")</f>
        <v>11287132</v>
      </c>
      <c r="T519" s="18">
        <f t="shared" si="4"/>
        <v>9</v>
      </c>
      <c r="U519" s="18" t="str">
        <f t="shared" si="5"/>
        <v>CAMISETAS CABALLERO COLOMBIA 1.1 LOCAL AMARILLO TALLA XL</v>
      </c>
    </row>
    <row r="520">
      <c r="A520" s="4">
        <v>1.0</v>
      </c>
      <c r="B520" s="4" t="s">
        <v>1866</v>
      </c>
      <c r="C520" s="1"/>
      <c r="D520" s="4" t="s">
        <v>1986</v>
      </c>
      <c r="E520" s="3">
        <v>37000.0</v>
      </c>
      <c r="F520" s="2">
        <f t="shared" si="2"/>
        <v>37000</v>
      </c>
      <c r="G520" s="65">
        <f t="shared" si="7"/>
        <v>74000</v>
      </c>
      <c r="H520" s="1"/>
      <c r="I520" s="1"/>
      <c r="J520" s="1"/>
      <c r="K520" s="66" t="s">
        <v>1187</v>
      </c>
      <c r="L520" s="66" t="s">
        <v>1171</v>
      </c>
      <c r="M520" s="66" t="s">
        <v>1080</v>
      </c>
      <c r="N520" s="66" t="s">
        <v>1310</v>
      </c>
      <c r="O520" s="66" t="s">
        <v>1311</v>
      </c>
      <c r="P520" s="67" t="s">
        <v>1165</v>
      </c>
      <c r="Q520" s="18" t="s">
        <v>954</v>
      </c>
      <c r="R520" s="68" t="str">
        <f>IFERROR(CONCATENATE("*",VLOOKUP(L520,PARAM!D:E,2,0),VLOOKUP(M520,PARAM!J:K,2,0),VLOOKUP(N520,PARAM!G:H,2,0),VLOOKUP(P520,PARAM!P:Q,2,0),"*"),"")</f>
        <v>*1128723*</v>
      </c>
      <c r="S520" s="18" t="str">
        <f>IFERROR(CONCATENATE(VLOOKUP(L520,PARAM!D:E,2,0),VLOOKUP(M520,PARAM!J:K,2,0),VLOOKUP(N520,PARAM!G:H,2,0),VLOOKUP(O520,PARAM!M:N,2,0),VLOOKUP(P520,PARAM!P:Q,2,0)),"")</f>
        <v>11287123</v>
      </c>
      <c r="T520" s="18">
        <f t="shared" si="4"/>
        <v>9</v>
      </c>
      <c r="U520" s="18" t="str">
        <f t="shared" si="5"/>
        <v>CAMISETAS CABALLERO COLOMBIA 1.1 LOCAL AMARILLO TALLA L</v>
      </c>
    </row>
    <row r="521">
      <c r="A521" s="4">
        <v>1.0</v>
      </c>
      <c r="B521" s="4" t="s">
        <v>1987</v>
      </c>
      <c r="C521" s="1"/>
      <c r="D521" s="4" t="s">
        <v>1988</v>
      </c>
      <c r="E521" s="3">
        <v>90000.0</v>
      </c>
      <c r="F521" s="2">
        <f t="shared" si="2"/>
        <v>90000</v>
      </c>
      <c r="G521" s="65">
        <f t="shared" si="7"/>
        <v>180000</v>
      </c>
      <c r="H521" s="1"/>
      <c r="I521" s="1"/>
      <c r="J521" s="1"/>
      <c r="K521" s="66" t="s">
        <v>1187</v>
      </c>
      <c r="L521" s="66" t="s">
        <v>1192</v>
      </c>
      <c r="M521" s="66" t="s">
        <v>1080</v>
      </c>
      <c r="N521" s="66" t="s">
        <v>1380</v>
      </c>
      <c r="O521" s="66" t="s">
        <v>1122</v>
      </c>
      <c r="P521" s="67" t="s">
        <v>1164</v>
      </c>
      <c r="Q521" s="18" t="s">
        <v>940</v>
      </c>
      <c r="R521" s="68" t="str">
        <f>IFERROR(CONCATENATE("*",VLOOKUP(L521,PARAM!D:E,2,0),VLOOKUP(M521,PARAM!J:K,2,0),VLOOKUP(N521,PARAM!G:H,2,0),VLOOKUP(P521,PARAM!P:Q,2,0),"*"),"")</f>
        <v>*4124325*</v>
      </c>
      <c r="S521" s="18" t="str">
        <f>IFERROR(CONCATENATE(VLOOKUP(L521,PARAM!D:E,2,0),VLOOKUP(M521,PARAM!J:K,2,0),VLOOKUP(N521,PARAM!G:H,2,0),VLOOKUP(O521,PARAM!M:N,2,0),VLOOKUP(P521,PARAM!P:Q,2,0)),"")</f>
        <v>412431425</v>
      </c>
      <c r="T521" s="18">
        <f t="shared" si="4"/>
        <v>9</v>
      </c>
      <c r="U521" s="18" t="str">
        <f t="shared" si="5"/>
        <v>SUDADERA CABALLERO BARCELONA ROJO TALLA M</v>
      </c>
    </row>
    <row r="522">
      <c r="A522" s="4">
        <v>1.0</v>
      </c>
      <c r="B522" s="4" t="s">
        <v>1987</v>
      </c>
      <c r="C522" s="1"/>
      <c r="D522" s="4" t="s">
        <v>1988</v>
      </c>
      <c r="E522" s="3">
        <v>90000.0</v>
      </c>
      <c r="F522" s="2">
        <f t="shared" si="2"/>
        <v>90000</v>
      </c>
      <c r="G522" s="65">
        <f t="shared" si="7"/>
        <v>180000</v>
      </c>
      <c r="H522" s="1"/>
      <c r="I522" s="1"/>
      <c r="J522" s="1"/>
      <c r="K522" s="66" t="s">
        <v>1187</v>
      </c>
      <c r="L522" s="66" t="s">
        <v>1192</v>
      </c>
      <c r="M522" s="66" t="s">
        <v>1080</v>
      </c>
      <c r="N522" s="66" t="s">
        <v>1380</v>
      </c>
      <c r="O522" s="66" t="s">
        <v>1067</v>
      </c>
      <c r="P522" s="67" t="s">
        <v>1077</v>
      </c>
      <c r="Q522" s="18" t="s">
        <v>940</v>
      </c>
      <c r="R522" s="68" t="str">
        <f>IFERROR(CONCATENATE("*",VLOOKUP(L522,PARAM!D:E,2,0),VLOOKUP(M522,PARAM!J:K,2,0),VLOOKUP(N522,PARAM!G:H,2,0),VLOOKUP(P522,PARAM!P:Q,2,0),"*"),"")</f>
        <v>*4124332*</v>
      </c>
      <c r="S522" s="18" t="str">
        <f>IFERROR(CONCATENATE(VLOOKUP(L522,PARAM!D:E,2,0),VLOOKUP(M522,PARAM!J:K,2,0),VLOOKUP(N522,PARAM!G:H,2,0),VLOOKUP(O522,PARAM!M:N,2,0),VLOOKUP(P522,PARAM!P:Q,2,0)),"")</f>
        <v>41243232</v>
      </c>
      <c r="T522" s="18">
        <f t="shared" si="4"/>
        <v>9</v>
      </c>
      <c r="U522" s="18" t="str">
        <f t="shared" si="5"/>
        <v>SUDADERA CABALLERO BARCELONA AZUL TALLA XL</v>
      </c>
    </row>
    <row r="523">
      <c r="A523" s="4">
        <v>1.0</v>
      </c>
      <c r="B523" s="4" t="s">
        <v>1989</v>
      </c>
      <c r="C523" s="1"/>
      <c r="D523" s="4" t="s">
        <v>1990</v>
      </c>
      <c r="E523" s="3">
        <v>90000.0</v>
      </c>
      <c r="F523" s="2">
        <f t="shared" si="2"/>
        <v>90000</v>
      </c>
      <c r="G523" s="65">
        <f t="shared" si="7"/>
        <v>180000</v>
      </c>
      <c r="H523" s="1"/>
      <c r="I523" s="1"/>
      <c r="J523" s="1"/>
      <c r="K523" s="66" t="s">
        <v>1187</v>
      </c>
      <c r="L523" s="66" t="s">
        <v>1192</v>
      </c>
      <c r="M523" s="66" t="s">
        <v>1080</v>
      </c>
      <c r="N523" s="66" t="s">
        <v>1381</v>
      </c>
      <c r="O523" s="66" t="s">
        <v>1084</v>
      </c>
      <c r="P523" s="67" t="s">
        <v>1164</v>
      </c>
      <c r="Q523" s="18" t="s">
        <v>954</v>
      </c>
      <c r="R523" s="68" t="str">
        <f>IFERROR(CONCATENATE("*",VLOOKUP(L523,PARAM!D:E,2,0),VLOOKUP(M523,PARAM!J:K,2,0),VLOOKUP(N523,PARAM!G:H,2,0),VLOOKUP(P523,PARAM!P:Q,2,0),"*"),"")</f>
        <v>*41223225*</v>
      </c>
      <c r="S523" s="18" t="str">
        <f>IFERROR(CONCATENATE(VLOOKUP(L523,PARAM!D:E,2,0),VLOOKUP(M523,PARAM!J:K,2,0),VLOOKUP(N523,PARAM!G:H,2,0),VLOOKUP(O523,PARAM!M:N,2,0),VLOOKUP(P523,PARAM!P:Q,2,0)),"")</f>
        <v>412232425</v>
      </c>
      <c r="T523" s="18">
        <f t="shared" si="4"/>
        <v>10</v>
      </c>
      <c r="U523" s="18" t="str">
        <f t="shared" si="5"/>
        <v>SUDADERA CABALLERO REAL MADRID AZUL NOCHE TALLA M</v>
      </c>
    </row>
    <row r="524">
      <c r="A524" s="4">
        <v>1.0</v>
      </c>
      <c r="B524" s="4" t="s">
        <v>1989</v>
      </c>
      <c r="C524" s="1"/>
      <c r="D524" s="4" t="s">
        <v>1990</v>
      </c>
      <c r="E524" s="3">
        <v>90000.0</v>
      </c>
      <c r="F524" s="2">
        <f t="shared" si="2"/>
        <v>90000</v>
      </c>
      <c r="G524" s="65">
        <f t="shared" si="7"/>
        <v>180000</v>
      </c>
      <c r="H524" s="1"/>
      <c r="I524" s="1"/>
      <c r="J524" s="1"/>
      <c r="K524" s="66" t="s">
        <v>1187</v>
      </c>
      <c r="L524" s="66" t="s">
        <v>1192</v>
      </c>
      <c r="M524" s="66" t="s">
        <v>1080</v>
      </c>
      <c r="N524" s="66" t="s">
        <v>1381</v>
      </c>
      <c r="O524" s="66" t="s">
        <v>1084</v>
      </c>
      <c r="P524" s="67" t="s">
        <v>1165</v>
      </c>
      <c r="Q524" s="18" t="s">
        <v>954</v>
      </c>
      <c r="R524" s="68" t="str">
        <f>IFERROR(CONCATENATE("*",VLOOKUP(L524,PARAM!D:E,2,0),VLOOKUP(M524,PARAM!J:K,2,0),VLOOKUP(N524,PARAM!G:H,2,0),VLOOKUP(P524,PARAM!P:Q,2,0),"*"),"")</f>
        <v>*41223223*</v>
      </c>
      <c r="S524" s="18" t="str">
        <f>IFERROR(CONCATENATE(VLOOKUP(L524,PARAM!D:E,2,0),VLOOKUP(M524,PARAM!J:K,2,0),VLOOKUP(N524,PARAM!G:H,2,0),VLOOKUP(O524,PARAM!M:N,2,0),VLOOKUP(P524,PARAM!P:Q,2,0)),"")</f>
        <v>412232423</v>
      </c>
      <c r="T524" s="18">
        <f t="shared" si="4"/>
        <v>10</v>
      </c>
      <c r="U524" s="18" t="str">
        <f t="shared" si="5"/>
        <v>SUDADERA CABALLERO REAL MADRID AZUL NOCHE TALLA L</v>
      </c>
    </row>
    <row r="525">
      <c r="A525" s="4">
        <v>1.0</v>
      </c>
      <c r="B525" s="4" t="s">
        <v>1991</v>
      </c>
      <c r="C525" s="1"/>
      <c r="D525" s="4" t="s">
        <v>1992</v>
      </c>
      <c r="E525" s="3">
        <v>85000.0</v>
      </c>
      <c r="F525" s="2">
        <f t="shared" si="2"/>
        <v>85000</v>
      </c>
      <c r="G525" s="65">
        <f t="shared" si="7"/>
        <v>170000</v>
      </c>
      <c r="H525" s="1"/>
      <c r="I525" s="1"/>
      <c r="J525" s="1"/>
      <c r="K525" s="66" t="s">
        <v>1187</v>
      </c>
      <c r="L525" s="66" t="s">
        <v>1192</v>
      </c>
      <c r="M525" s="66" t="s">
        <v>1080</v>
      </c>
      <c r="N525" s="66" t="s">
        <v>1382</v>
      </c>
      <c r="O525" s="66" t="s">
        <v>1066</v>
      </c>
      <c r="P525" s="67" t="s">
        <v>1164</v>
      </c>
      <c r="Q525" s="18" t="s">
        <v>954</v>
      </c>
      <c r="R525" s="68" t="str">
        <f>IFERROR(CONCATENATE("*",VLOOKUP(L525,PARAM!D:E,2,0),VLOOKUP(M525,PARAM!J:K,2,0),VLOOKUP(N525,PARAM!G:H,2,0),VLOOKUP(P525,PARAM!P:Q,2,0),"*"),"")</f>
        <v>*4128925*</v>
      </c>
      <c r="S525" s="18" t="str">
        <f>IFERROR(CONCATENATE(VLOOKUP(L525,PARAM!D:E,2,0),VLOOKUP(M525,PARAM!J:K,2,0),VLOOKUP(N525,PARAM!G:H,2,0),VLOOKUP(O525,PARAM!M:N,2,0),VLOOKUP(P525,PARAM!P:Q,2,0)),"")</f>
        <v>412891225</v>
      </c>
      <c r="T525" s="18">
        <f t="shared" si="4"/>
        <v>9</v>
      </c>
      <c r="U525" s="18" t="str">
        <f t="shared" si="5"/>
        <v>SUDADERA CABALLERO COLOMBIA CENTENARIO NEGRO TALLA M</v>
      </c>
    </row>
    <row r="526">
      <c r="A526" s="64">
        <v>1.0</v>
      </c>
      <c r="B526" s="4" t="s">
        <v>1993</v>
      </c>
      <c r="C526" s="1"/>
      <c r="D526" s="4" t="s">
        <v>1994</v>
      </c>
      <c r="E526" s="3">
        <v>35000.0</v>
      </c>
      <c r="F526" s="2">
        <f t="shared" si="2"/>
        <v>35000</v>
      </c>
      <c r="G526" s="65">
        <f t="shared" si="7"/>
        <v>70000</v>
      </c>
      <c r="H526" s="1"/>
      <c r="I526" s="1"/>
      <c r="J526" s="1"/>
      <c r="K526" s="66" t="s">
        <v>1078</v>
      </c>
      <c r="L526" s="66" t="s">
        <v>1059</v>
      </c>
      <c r="M526" s="66" t="s">
        <v>1080</v>
      </c>
      <c r="N526" s="66" t="s">
        <v>1383</v>
      </c>
      <c r="O526" s="66" t="s">
        <v>1067</v>
      </c>
      <c r="P526" s="67">
        <v>28.0</v>
      </c>
      <c r="Q526" s="18" t="s">
        <v>476</v>
      </c>
      <c r="R526" s="68" t="str">
        <f>IFERROR(CONCATENATE("*",VLOOKUP(L526,PARAM!D:E,2,0),VLOOKUP(M526,PARAM!J:K,2,0),VLOOKUP(N526,PARAM!G:H,2,0),VLOOKUP(P526,PARAM!P:Q,2,0),"*"),"")</f>
        <v>*1215612*</v>
      </c>
      <c r="S526" s="18" t="str">
        <f>IFERROR(CONCATENATE(VLOOKUP(L526,PARAM!D:E,2,0),VLOOKUP(M526,PARAM!J:K,2,0),VLOOKUP(N526,PARAM!G:H,2,0),VLOOKUP(O526,PARAM!M:N,2,0),VLOOKUP(P526,PARAM!P:Q,2,0)),"")</f>
        <v>12156212</v>
      </c>
      <c r="T526" s="18">
        <f t="shared" si="4"/>
        <v>9</v>
      </c>
      <c r="U526" s="18" t="str">
        <f t="shared" si="5"/>
        <v>JEANS CABALLERO JOGGER AZUL TALLA 28</v>
      </c>
    </row>
    <row r="527">
      <c r="A527" s="64">
        <v>2.0</v>
      </c>
      <c r="B527" s="4" t="s">
        <v>1993</v>
      </c>
      <c r="C527" s="1"/>
      <c r="D527" s="4" t="s">
        <v>1994</v>
      </c>
      <c r="E527" s="3">
        <v>35000.0</v>
      </c>
      <c r="F527" s="2">
        <f t="shared" si="2"/>
        <v>70000</v>
      </c>
      <c r="G527" s="65">
        <f t="shared" si="7"/>
        <v>70000</v>
      </c>
      <c r="H527" s="1"/>
      <c r="I527" s="1"/>
      <c r="J527" s="1"/>
      <c r="K527" s="66" t="s">
        <v>1078</v>
      </c>
      <c r="L527" s="66" t="s">
        <v>1059</v>
      </c>
      <c r="M527" s="66" t="s">
        <v>1080</v>
      </c>
      <c r="N527" s="66" t="s">
        <v>1383</v>
      </c>
      <c r="O527" s="66" t="s">
        <v>1067</v>
      </c>
      <c r="P527" s="67">
        <v>30.0</v>
      </c>
      <c r="Q527" s="18" t="s">
        <v>476</v>
      </c>
      <c r="R527" s="68" t="str">
        <f>IFERROR(CONCATENATE("*",VLOOKUP(L527,PARAM!D:E,2,0),VLOOKUP(M527,PARAM!J:K,2,0),VLOOKUP(N527,PARAM!G:H,2,0),VLOOKUP(P527,PARAM!P:Q,2,0),"*"),"")</f>
        <v>*1215613*</v>
      </c>
      <c r="S527" s="18" t="str">
        <f>IFERROR(CONCATENATE(VLOOKUP(L527,PARAM!D:E,2,0),VLOOKUP(M527,PARAM!J:K,2,0),VLOOKUP(N527,PARAM!G:H,2,0),VLOOKUP(O527,PARAM!M:N,2,0),VLOOKUP(P527,PARAM!P:Q,2,0)),"")</f>
        <v>12156213</v>
      </c>
      <c r="T527" s="18">
        <f t="shared" si="4"/>
        <v>9</v>
      </c>
      <c r="U527" s="18" t="str">
        <f t="shared" si="5"/>
        <v>JEANS CABALLERO JOGGER AZUL TALLA 30</v>
      </c>
    </row>
    <row r="528">
      <c r="A528" s="64">
        <v>2.0</v>
      </c>
      <c r="B528" s="4" t="s">
        <v>1993</v>
      </c>
      <c r="C528" s="1"/>
      <c r="D528" s="4" t="s">
        <v>1994</v>
      </c>
      <c r="E528" s="3">
        <v>35000.0</v>
      </c>
      <c r="F528" s="2">
        <f t="shared" si="2"/>
        <v>70000</v>
      </c>
      <c r="G528" s="65">
        <f t="shared" si="7"/>
        <v>70000</v>
      </c>
      <c r="H528" s="1"/>
      <c r="I528" s="1"/>
      <c r="J528" s="1"/>
      <c r="K528" s="66" t="s">
        <v>1078</v>
      </c>
      <c r="L528" s="66" t="s">
        <v>1059</v>
      </c>
      <c r="M528" s="66" t="s">
        <v>1080</v>
      </c>
      <c r="N528" s="66" t="s">
        <v>1383</v>
      </c>
      <c r="O528" s="66" t="s">
        <v>1067</v>
      </c>
      <c r="P528" s="67">
        <v>32.0</v>
      </c>
      <c r="Q528" s="18" t="s">
        <v>476</v>
      </c>
      <c r="R528" s="68" t="str">
        <f>IFERROR(CONCATENATE("*",VLOOKUP(L528,PARAM!D:E,2,0),VLOOKUP(M528,PARAM!J:K,2,0),VLOOKUP(N528,PARAM!G:H,2,0),VLOOKUP(P528,PARAM!P:Q,2,0),"*"),"")</f>
        <v>*1215614*</v>
      </c>
      <c r="S528" s="18" t="str">
        <f>IFERROR(CONCATENATE(VLOOKUP(L528,PARAM!D:E,2,0),VLOOKUP(M528,PARAM!J:K,2,0),VLOOKUP(N528,PARAM!G:H,2,0),VLOOKUP(O528,PARAM!M:N,2,0),VLOOKUP(P528,PARAM!P:Q,2,0)),"")</f>
        <v>12156214</v>
      </c>
      <c r="T528" s="18">
        <f t="shared" si="4"/>
        <v>9</v>
      </c>
      <c r="U528" s="18" t="str">
        <f t="shared" si="5"/>
        <v>JEANS CABALLERO JOGGER AZUL TALLA 32</v>
      </c>
    </row>
    <row r="529">
      <c r="A529" s="64">
        <v>2.0</v>
      </c>
      <c r="B529" s="4" t="s">
        <v>1993</v>
      </c>
      <c r="C529" s="1"/>
      <c r="D529" s="4" t="s">
        <v>1994</v>
      </c>
      <c r="E529" s="3">
        <v>35000.0</v>
      </c>
      <c r="F529" s="2">
        <f t="shared" si="2"/>
        <v>70000</v>
      </c>
      <c r="G529" s="65">
        <f t="shared" si="7"/>
        <v>70000</v>
      </c>
      <c r="H529" s="1"/>
      <c r="I529" s="1"/>
      <c r="J529" s="1"/>
      <c r="K529" s="66" t="s">
        <v>1078</v>
      </c>
      <c r="L529" s="66" t="s">
        <v>1059</v>
      </c>
      <c r="M529" s="66" t="s">
        <v>1080</v>
      </c>
      <c r="N529" s="66" t="s">
        <v>1383</v>
      </c>
      <c r="O529" s="66" t="s">
        <v>1067</v>
      </c>
      <c r="P529" s="67">
        <v>34.0</v>
      </c>
      <c r="Q529" s="18" t="s">
        <v>476</v>
      </c>
      <c r="R529" s="68" t="str">
        <f>IFERROR(CONCATENATE("*",VLOOKUP(L529,PARAM!D:E,2,0),VLOOKUP(M529,PARAM!J:K,2,0),VLOOKUP(N529,PARAM!G:H,2,0),VLOOKUP(P529,PARAM!P:Q,2,0),"*"),"")</f>
        <v>*1215615*</v>
      </c>
      <c r="S529" s="18" t="str">
        <f>IFERROR(CONCATENATE(VLOOKUP(L529,PARAM!D:E,2,0),VLOOKUP(M529,PARAM!J:K,2,0),VLOOKUP(N529,PARAM!G:H,2,0),VLOOKUP(O529,PARAM!M:N,2,0),VLOOKUP(P529,PARAM!P:Q,2,0)),"")</f>
        <v>12156215</v>
      </c>
      <c r="T529" s="18">
        <f t="shared" si="4"/>
        <v>9</v>
      </c>
      <c r="U529" s="18" t="str">
        <f t="shared" si="5"/>
        <v>JEANS CABALLERO JOGGER AZUL TALLA 34</v>
      </c>
    </row>
    <row r="530">
      <c r="A530" s="64">
        <v>1.0</v>
      </c>
      <c r="B530" s="4" t="s">
        <v>1993</v>
      </c>
      <c r="C530" s="1"/>
      <c r="D530" s="4" t="s">
        <v>1994</v>
      </c>
      <c r="E530" s="3">
        <v>35000.0</v>
      </c>
      <c r="F530" s="2">
        <f t="shared" si="2"/>
        <v>35000</v>
      </c>
      <c r="G530" s="65">
        <f t="shared" si="7"/>
        <v>70000</v>
      </c>
      <c r="H530" s="1"/>
      <c r="I530" s="1"/>
      <c r="J530" s="1"/>
      <c r="K530" s="66" t="s">
        <v>1078</v>
      </c>
      <c r="L530" s="66" t="s">
        <v>1059</v>
      </c>
      <c r="M530" s="66" t="s">
        <v>1080</v>
      </c>
      <c r="N530" s="66" t="s">
        <v>1383</v>
      </c>
      <c r="O530" s="66" t="s">
        <v>1067</v>
      </c>
      <c r="P530" s="67">
        <v>36.0</v>
      </c>
      <c r="Q530" s="18" t="s">
        <v>476</v>
      </c>
      <c r="R530" s="68" t="str">
        <f>IFERROR(CONCATENATE("*",VLOOKUP(L530,PARAM!D:E,2,0),VLOOKUP(M530,PARAM!J:K,2,0),VLOOKUP(N530,PARAM!G:H,2,0),VLOOKUP(P530,PARAM!P:Q,2,0),"*"),"")</f>
        <v>*1215616*</v>
      </c>
      <c r="S530" s="18" t="str">
        <f>IFERROR(CONCATENATE(VLOOKUP(L530,PARAM!D:E,2,0),VLOOKUP(M530,PARAM!J:K,2,0),VLOOKUP(N530,PARAM!G:H,2,0),VLOOKUP(O530,PARAM!M:N,2,0),VLOOKUP(P530,PARAM!P:Q,2,0)),"")</f>
        <v>12156216</v>
      </c>
      <c r="T530" s="18">
        <f t="shared" si="4"/>
        <v>9</v>
      </c>
      <c r="U530" s="18" t="str">
        <f t="shared" si="5"/>
        <v>JEANS CABALLERO JOGGER AZUL TALLA 36</v>
      </c>
    </row>
    <row r="531">
      <c r="A531" s="64">
        <v>1.0</v>
      </c>
      <c r="B531" s="4" t="s">
        <v>1995</v>
      </c>
      <c r="C531" s="1"/>
      <c r="D531" s="4" t="s">
        <v>1996</v>
      </c>
      <c r="E531" s="3">
        <v>35000.0</v>
      </c>
      <c r="F531" s="2">
        <f t="shared" si="2"/>
        <v>35000</v>
      </c>
      <c r="G531" s="65">
        <f t="shared" si="7"/>
        <v>70000</v>
      </c>
      <c r="H531" s="1"/>
      <c r="I531" s="1"/>
      <c r="J531" s="1"/>
      <c r="K531" s="66" t="s">
        <v>1078</v>
      </c>
      <c r="L531" s="66" t="s">
        <v>1059</v>
      </c>
      <c r="M531" s="66" t="s">
        <v>1080</v>
      </c>
      <c r="N531" s="66" t="s">
        <v>1383</v>
      </c>
      <c r="O531" s="66" t="s">
        <v>1062</v>
      </c>
      <c r="P531" s="67">
        <v>28.0</v>
      </c>
      <c r="Q531" s="18" t="s">
        <v>476</v>
      </c>
      <c r="R531" s="68" t="str">
        <f>IFERROR(CONCATENATE("*",VLOOKUP(L531,PARAM!D:E,2,0),VLOOKUP(M531,PARAM!J:K,2,0),VLOOKUP(N531,PARAM!G:H,2,0),VLOOKUP(P531,PARAM!P:Q,2,0),"*"),"")</f>
        <v>*1215612*</v>
      </c>
      <c r="S531" s="18" t="str">
        <f>IFERROR(CONCATENATE(VLOOKUP(L531,PARAM!D:E,2,0),VLOOKUP(M531,PARAM!J:K,2,0),VLOOKUP(N531,PARAM!G:H,2,0),VLOOKUP(O531,PARAM!M:N,2,0),VLOOKUP(P531,PARAM!P:Q,2,0)),"")</f>
        <v>121561012</v>
      </c>
      <c r="T531" s="18">
        <f t="shared" si="4"/>
        <v>9</v>
      </c>
      <c r="U531" s="18" t="str">
        <f t="shared" si="5"/>
        <v>JEANS CABALLERO JOGGER GRIS TALLA 28</v>
      </c>
    </row>
    <row r="532">
      <c r="A532" s="64">
        <v>1.0</v>
      </c>
      <c r="B532" s="4" t="s">
        <v>1995</v>
      </c>
      <c r="C532" s="1"/>
      <c r="D532" s="4" t="s">
        <v>1996</v>
      </c>
      <c r="E532" s="3">
        <v>35000.0</v>
      </c>
      <c r="F532" s="2">
        <f t="shared" si="2"/>
        <v>35000</v>
      </c>
      <c r="G532" s="65">
        <f t="shared" si="7"/>
        <v>70000</v>
      </c>
      <c r="H532" s="1"/>
      <c r="I532" s="1"/>
      <c r="J532" s="1"/>
      <c r="K532" s="66" t="s">
        <v>1078</v>
      </c>
      <c r="L532" s="66" t="s">
        <v>1059</v>
      </c>
      <c r="M532" s="66" t="s">
        <v>1080</v>
      </c>
      <c r="N532" s="66" t="s">
        <v>1383</v>
      </c>
      <c r="O532" s="66" t="s">
        <v>1062</v>
      </c>
      <c r="P532" s="67">
        <v>30.0</v>
      </c>
      <c r="Q532" s="18" t="s">
        <v>476</v>
      </c>
      <c r="R532" s="68" t="str">
        <f>IFERROR(CONCATENATE("*",VLOOKUP(L532,PARAM!D:E,2,0),VLOOKUP(M532,PARAM!J:K,2,0),VLOOKUP(N532,PARAM!G:H,2,0),VLOOKUP(P532,PARAM!P:Q,2,0),"*"),"")</f>
        <v>*1215613*</v>
      </c>
      <c r="S532" s="18" t="str">
        <f>IFERROR(CONCATENATE(VLOOKUP(L532,PARAM!D:E,2,0),VLOOKUP(M532,PARAM!J:K,2,0),VLOOKUP(N532,PARAM!G:H,2,0),VLOOKUP(O532,PARAM!M:N,2,0),VLOOKUP(P532,PARAM!P:Q,2,0)),"")</f>
        <v>121561013</v>
      </c>
      <c r="T532" s="18">
        <f t="shared" si="4"/>
        <v>9</v>
      </c>
      <c r="U532" s="18" t="str">
        <f t="shared" si="5"/>
        <v>JEANS CABALLERO JOGGER GRIS TALLA 30</v>
      </c>
    </row>
    <row r="533">
      <c r="A533" s="64">
        <v>1.0</v>
      </c>
      <c r="B533" s="4" t="s">
        <v>1995</v>
      </c>
      <c r="C533" s="1"/>
      <c r="D533" s="4" t="s">
        <v>1996</v>
      </c>
      <c r="E533" s="3">
        <v>35000.0</v>
      </c>
      <c r="F533" s="2">
        <f t="shared" si="2"/>
        <v>35000</v>
      </c>
      <c r="G533" s="65">
        <f t="shared" si="7"/>
        <v>70000</v>
      </c>
      <c r="H533" s="1"/>
      <c r="I533" s="1"/>
      <c r="J533" s="1"/>
      <c r="K533" s="66" t="s">
        <v>1078</v>
      </c>
      <c r="L533" s="66" t="s">
        <v>1059</v>
      </c>
      <c r="M533" s="66" t="s">
        <v>1080</v>
      </c>
      <c r="N533" s="66" t="s">
        <v>1383</v>
      </c>
      <c r="O533" s="66" t="s">
        <v>1062</v>
      </c>
      <c r="P533" s="67">
        <v>32.0</v>
      </c>
      <c r="Q533" s="18" t="s">
        <v>476</v>
      </c>
      <c r="R533" s="68" t="str">
        <f>IFERROR(CONCATENATE("*",VLOOKUP(L533,PARAM!D:E,2,0),VLOOKUP(M533,PARAM!J:K,2,0),VLOOKUP(N533,PARAM!G:H,2,0),VLOOKUP(P533,PARAM!P:Q,2,0),"*"),"")</f>
        <v>*1215614*</v>
      </c>
      <c r="S533" s="18" t="str">
        <f>IFERROR(CONCATENATE(VLOOKUP(L533,PARAM!D:E,2,0),VLOOKUP(M533,PARAM!J:K,2,0),VLOOKUP(N533,PARAM!G:H,2,0),VLOOKUP(O533,PARAM!M:N,2,0),VLOOKUP(P533,PARAM!P:Q,2,0)),"")</f>
        <v>121561014</v>
      </c>
      <c r="T533" s="18">
        <f t="shared" si="4"/>
        <v>9</v>
      </c>
      <c r="U533" s="18" t="str">
        <f t="shared" si="5"/>
        <v>JEANS CABALLERO JOGGER GRIS TALLA 32</v>
      </c>
    </row>
    <row r="534">
      <c r="A534" s="64">
        <v>1.0</v>
      </c>
      <c r="B534" s="4" t="s">
        <v>1995</v>
      </c>
      <c r="C534" s="1"/>
      <c r="D534" s="4" t="s">
        <v>1996</v>
      </c>
      <c r="E534" s="3">
        <v>35000.0</v>
      </c>
      <c r="F534" s="2">
        <f t="shared" si="2"/>
        <v>35000</v>
      </c>
      <c r="G534" s="65">
        <f t="shared" si="7"/>
        <v>70000</v>
      </c>
      <c r="H534" s="1"/>
      <c r="I534" s="1"/>
      <c r="J534" s="1"/>
      <c r="K534" s="66" t="s">
        <v>1078</v>
      </c>
      <c r="L534" s="66" t="s">
        <v>1059</v>
      </c>
      <c r="M534" s="66" t="s">
        <v>1080</v>
      </c>
      <c r="N534" s="66" t="s">
        <v>1383</v>
      </c>
      <c r="O534" s="66" t="s">
        <v>1062</v>
      </c>
      <c r="P534" s="67">
        <v>34.0</v>
      </c>
      <c r="Q534" s="18" t="s">
        <v>476</v>
      </c>
      <c r="R534" s="68" t="str">
        <f>IFERROR(CONCATENATE("*",VLOOKUP(L534,PARAM!D:E,2,0),VLOOKUP(M534,PARAM!J:K,2,0),VLOOKUP(N534,PARAM!G:H,2,0),VLOOKUP(P534,PARAM!P:Q,2,0),"*"),"")</f>
        <v>*1215615*</v>
      </c>
      <c r="S534" s="18" t="str">
        <f>IFERROR(CONCATENATE(VLOOKUP(L534,PARAM!D:E,2,0),VLOOKUP(M534,PARAM!J:K,2,0),VLOOKUP(N534,PARAM!G:H,2,0),VLOOKUP(O534,PARAM!M:N,2,0),VLOOKUP(P534,PARAM!P:Q,2,0)),"")</f>
        <v>121561015</v>
      </c>
      <c r="T534" s="18">
        <f t="shared" si="4"/>
        <v>9</v>
      </c>
      <c r="U534" s="18" t="str">
        <f t="shared" si="5"/>
        <v>JEANS CABALLERO JOGGER GRIS TALLA 34</v>
      </c>
    </row>
    <row r="535">
      <c r="A535" s="64">
        <v>0.0</v>
      </c>
      <c r="B535" s="4" t="s">
        <v>1995</v>
      </c>
      <c r="C535" s="1"/>
      <c r="D535" s="4" t="s">
        <v>1996</v>
      </c>
      <c r="E535" s="3">
        <v>35000.0</v>
      </c>
      <c r="F535" s="2">
        <f t="shared" si="2"/>
        <v>0</v>
      </c>
      <c r="G535" s="65">
        <f t="shared" si="7"/>
        <v>70000</v>
      </c>
      <c r="H535" s="1"/>
      <c r="I535" s="1"/>
      <c r="J535" s="1"/>
      <c r="K535" s="66" t="s">
        <v>1078</v>
      </c>
      <c r="L535" s="66" t="s">
        <v>1059</v>
      </c>
      <c r="M535" s="66" t="s">
        <v>1080</v>
      </c>
      <c r="N535" s="66" t="s">
        <v>1383</v>
      </c>
      <c r="O535" s="66" t="s">
        <v>1062</v>
      </c>
      <c r="P535" s="67">
        <v>36.0</v>
      </c>
      <c r="Q535" s="18" t="s">
        <v>476</v>
      </c>
      <c r="R535" s="68" t="str">
        <f>IFERROR(CONCATENATE("*",VLOOKUP(L535,PARAM!D:E,2,0),VLOOKUP(M535,PARAM!J:K,2,0),VLOOKUP(N535,PARAM!G:H,2,0),VLOOKUP(P535,PARAM!P:Q,2,0),"*"),"")</f>
        <v>*1215616*</v>
      </c>
      <c r="S535" s="18" t="str">
        <f>IFERROR(CONCATENATE(VLOOKUP(L535,PARAM!D:E,2,0),VLOOKUP(M535,PARAM!J:K,2,0),VLOOKUP(N535,PARAM!G:H,2,0),VLOOKUP(O535,PARAM!M:N,2,0),VLOOKUP(P535,PARAM!P:Q,2,0)),"")</f>
        <v>121561016</v>
      </c>
      <c r="T535" s="18">
        <f t="shared" si="4"/>
        <v>9</v>
      </c>
      <c r="U535" s="18" t="str">
        <f t="shared" si="5"/>
        <v>JEANS CABALLERO JOGGER GRIS TALLA 36</v>
      </c>
    </row>
    <row r="536">
      <c r="A536" s="64">
        <v>3.0</v>
      </c>
      <c r="B536" s="4" t="s">
        <v>1997</v>
      </c>
      <c r="C536" s="1"/>
      <c r="D536" s="4" t="s">
        <v>1998</v>
      </c>
      <c r="E536" s="3">
        <v>45000.0</v>
      </c>
      <c r="F536" s="2">
        <f t="shared" si="2"/>
        <v>135000</v>
      </c>
      <c r="G536" s="65">
        <f t="shared" si="7"/>
        <v>90000</v>
      </c>
      <c r="H536" s="1"/>
      <c r="I536" s="1"/>
      <c r="J536" s="1"/>
      <c r="K536" s="66" t="s">
        <v>1078</v>
      </c>
      <c r="L536" s="66" t="s">
        <v>1092</v>
      </c>
      <c r="M536" s="66" t="s">
        <v>1080</v>
      </c>
      <c r="N536" s="66" t="s">
        <v>1081</v>
      </c>
      <c r="O536" s="66" t="s">
        <v>1069</v>
      </c>
      <c r="P536" s="67">
        <v>28.0</v>
      </c>
      <c r="Q536" s="18" t="s">
        <v>476</v>
      </c>
      <c r="R536" s="68" t="str">
        <f>IFERROR(CONCATENATE("*",VLOOKUP(L536,PARAM!D:E,2,0),VLOOKUP(M536,PARAM!J:K,2,0),VLOOKUP(N536,PARAM!G:H,2,0),VLOOKUP(P536,PARAM!P:Q,2,0),"*"),"")</f>
        <v>*4226612*</v>
      </c>
      <c r="S536" s="18" t="str">
        <f>IFERROR(CONCATENATE(VLOOKUP(L536,PARAM!D:E,2,0),VLOOKUP(M536,PARAM!J:K,2,0),VLOOKUP(N536,PARAM!G:H,2,0),VLOOKUP(O536,PARAM!M:N,2,0),VLOOKUP(P536,PARAM!P:Q,2,0)),"")</f>
        <v>422661612</v>
      </c>
      <c r="T536" s="18">
        <f t="shared" si="4"/>
        <v>9</v>
      </c>
      <c r="U536" s="18" t="str">
        <f t="shared" si="5"/>
        <v>DRILL CABALLERO CAMUFLADO VARIOS TALLA 28</v>
      </c>
    </row>
    <row r="537">
      <c r="A537" s="64">
        <v>4.0</v>
      </c>
      <c r="B537" s="4" t="s">
        <v>1999</v>
      </c>
      <c r="C537" s="1"/>
      <c r="D537" s="4" t="s">
        <v>1998</v>
      </c>
      <c r="E537" s="3">
        <v>45000.0</v>
      </c>
      <c r="F537" s="2">
        <f t="shared" si="2"/>
        <v>180000</v>
      </c>
      <c r="G537" s="65">
        <f t="shared" si="7"/>
        <v>90000</v>
      </c>
      <c r="H537" s="1"/>
      <c r="I537" s="1"/>
      <c r="J537" s="1"/>
      <c r="K537" s="66" t="s">
        <v>1078</v>
      </c>
      <c r="L537" s="66" t="s">
        <v>1092</v>
      </c>
      <c r="M537" s="66" t="s">
        <v>1080</v>
      </c>
      <c r="N537" s="66" t="s">
        <v>1081</v>
      </c>
      <c r="O537" s="66" t="s">
        <v>1069</v>
      </c>
      <c r="P537" s="67">
        <v>30.0</v>
      </c>
      <c r="Q537" s="18" t="s">
        <v>476</v>
      </c>
      <c r="R537" s="68" t="str">
        <f>IFERROR(CONCATENATE("*",VLOOKUP(L537,PARAM!D:E,2,0),VLOOKUP(M537,PARAM!J:K,2,0),VLOOKUP(N537,PARAM!G:H,2,0),VLOOKUP(P537,PARAM!P:Q,2,0),"*"),"")</f>
        <v>*4226613*</v>
      </c>
      <c r="S537" s="18" t="str">
        <f>IFERROR(CONCATENATE(VLOOKUP(L537,PARAM!D:E,2,0),VLOOKUP(M537,PARAM!J:K,2,0),VLOOKUP(N537,PARAM!G:H,2,0),VLOOKUP(O537,PARAM!M:N,2,0),VLOOKUP(P537,PARAM!P:Q,2,0)),"")</f>
        <v>422661613</v>
      </c>
      <c r="T537" s="18">
        <f t="shared" si="4"/>
        <v>9</v>
      </c>
      <c r="U537" s="18" t="str">
        <f t="shared" si="5"/>
        <v>DRILL CABALLERO CAMUFLADO VARIOS TALLA 30</v>
      </c>
    </row>
    <row r="538">
      <c r="A538" s="64">
        <v>4.0</v>
      </c>
      <c r="B538" s="4" t="s">
        <v>1999</v>
      </c>
      <c r="C538" s="1"/>
      <c r="D538" s="4" t="s">
        <v>1998</v>
      </c>
      <c r="E538" s="3">
        <v>45000.0</v>
      </c>
      <c r="F538" s="2">
        <f t="shared" si="2"/>
        <v>180000</v>
      </c>
      <c r="G538" s="65">
        <f t="shared" si="7"/>
        <v>90000</v>
      </c>
      <c r="H538" s="1"/>
      <c r="I538" s="1"/>
      <c r="J538" s="1"/>
      <c r="K538" s="66" t="s">
        <v>1078</v>
      </c>
      <c r="L538" s="66" t="s">
        <v>1092</v>
      </c>
      <c r="M538" s="66" t="s">
        <v>1080</v>
      </c>
      <c r="N538" s="66" t="s">
        <v>1081</v>
      </c>
      <c r="O538" s="66" t="s">
        <v>1069</v>
      </c>
      <c r="P538" s="67">
        <v>32.0</v>
      </c>
      <c r="Q538" s="18" t="s">
        <v>476</v>
      </c>
      <c r="R538" s="68" t="str">
        <f>IFERROR(CONCATENATE("*",VLOOKUP(L538,PARAM!D:E,2,0),VLOOKUP(M538,PARAM!J:K,2,0),VLOOKUP(N538,PARAM!G:H,2,0),VLOOKUP(P538,PARAM!P:Q,2,0),"*"),"")</f>
        <v>*4226614*</v>
      </c>
      <c r="S538" s="18" t="str">
        <f>IFERROR(CONCATENATE(VLOOKUP(L538,PARAM!D:E,2,0),VLOOKUP(M538,PARAM!J:K,2,0),VLOOKUP(N538,PARAM!G:H,2,0),VLOOKUP(O538,PARAM!M:N,2,0),VLOOKUP(P538,PARAM!P:Q,2,0)),"")</f>
        <v>422661614</v>
      </c>
      <c r="T538" s="18">
        <f t="shared" si="4"/>
        <v>9</v>
      </c>
      <c r="U538" s="18" t="str">
        <f t="shared" si="5"/>
        <v>DRILL CABALLERO CAMUFLADO VARIOS TALLA 32</v>
      </c>
    </row>
    <row r="539">
      <c r="A539" s="64">
        <v>3.0</v>
      </c>
      <c r="B539" s="4" t="s">
        <v>1999</v>
      </c>
      <c r="C539" s="1"/>
      <c r="D539" s="4" t="s">
        <v>1998</v>
      </c>
      <c r="E539" s="3">
        <v>45000.0</v>
      </c>
      <c r="F539" s="2">
        <f t="shared" si="2"/>
        <v>135000</v>
      </c>
      <c r="G539" s="65">
        <f t="shared" si="7"/>
        <v>90000</v>
      </c>
      <c r="H539" s="1"/>
      <c r="I539" s="1"/>
      <c r="J539" s="1"/>
      <c r="K539" s="66" t="s">
        <v>1078</v>
      </c>
      <c r="L539" s="66" t="s">
        <v>1092</v>
      </c>
      <c r="M539" s="66" t="s">
        <v>1080</v>
      </c>
      <c r="N539" s="66" t="s">
        <v>1081</v>
      </c>
      <c r="O539" s="66" t="s">
        <v>1069</v>
      </c>
      <c r="P539" s="67">
        <v>34.0</v>
      </c>
      <c r="Q539" s="18" t="s">
        <v>476</v>
      </c>
      <c r="R539" s="68" t="str">
        <f>IFERROR(CONCATENATE("*",VLOOKUP(L539,PARAM!D:E,2,0),VLOOKUP(M539,PARAM!J:K,2,0),VLOOKUP(N539,PARAM!G:H,2,0),VLOOKUP(P539,PARAM!P:Q,2,0),"*"),"")</f>
        <v>*4226615*</v>
      </c>
      <c r="S539" s="18" t="str">
        <f>IFERROR(CONCATENATE(VLOOKUP(L539,PARAM!D:E,2,0),VLOOKUP(M539,PARAM!J:K,2,0),VLOOKUP(N539,PARAM!G:H,2,0),VLOOKUP(O539,PARAM!M:N,2,0),VLOOKUP(P539,PARAM!P:Q,2,0)),"")</f>
        <v>422661615</v>
      </c>
      <c r="T539" s="18">
        <f t="shared" si="4"/>
        <v>9</v>
      </c>
      <c r="U539" s="18" t="str">
        <f t="shared" si="5"/>
        <v>DRILL CABALLERO CAMUFLADO VARIOS TALLA 34</v>
      </c>
    </row>
    <row r="540">
      <c r="A540" s="64">
        <v>1.0</v>
      </c>
      <c r="B540" s="4" t="s">
        <v>1999</v>
      </c>
      <c r="C540" s="1"/>
      <c r="D540" s="4" t="s">
        <v>1998</v>
      </c>
      <c r="E540" s="3">
        <v>45000.0</v>
      </c>
      <c r="F540" s="2">
        <f t="shared" si="2"/>
        <v>45000</v>
      </c>
      <c r="G540" s="65">
        <f t="shared" si="7"/>
        <v>90000</v>
      </c>
      <c r="H540" s="1"/>
      <c r="I540" s="1"/>
      <c r="J540" s="1"/>
      <c r="K540" s="66" t="s">
        <v>1078</v>
      </c>
      <c r="L540" s="66" t="s">
        <v>1092</v>
      </c>
      <c r="M540" s="66" t="s">
        <v>1080</v>
      </c>
      <c r="N540" s="66" t="s">
        <v>1081</v>
      </c>
      <c r="O540" s="66" t="s">
        <v>1069</v>
      </c>
      <c r="P540" s="67">
        <v>36.0</v>
      </c>
      <c r="Q540" s="18" t="s">
        <v>476</v>
      </c>
      <c r="R540" s="68" t="str">
        <f>IFERROR(CONCATENATE("*",VLOOKUP(L540,PARAM!D:E,2,0),VLOOKUP(M540,PARAM!J:K,2,0),VLOOKUP(N540,PARAM!G:H,2,0),VLOOKUP(P540,PARAM!P:Q,2,0),"*"),"")</f>
        <v>*4226616*</v>
      </c>
      <c r="S540" s="18" t="str">
        <f>IFERROR(CONCATENATE(VLOOKUP(L540,PARAM!D:E,2,0),VLOOKUP(M540,PARAM!J:K,2,0),VLOOKUP(N540,PARAM!G:H,2,0),VLOOKUP(O540,PARAM!M:N,2,0),VLOOKUP(P540,PARAM!P:Q,2,0)),"")</f>
        <v>422661616</v>
      </c>
      <c r="T540" s="18">
        <f t="shared" si="4"/>
        <v>9</v>
      </c>
      <c r="U540" s="18" t="str">
        <f t="shared" si="5"/>
        <v>DRILL CABALLERO CAMUFLADO VARIOS TALLA 36</v>
      </c>
    </row>
    <row r="541">
      <c r="A541" s="64">
        <v>0.0</v>
      </c>
      <c r="B541" s="4" t="s">
        <v>2000</v>
      </c>
      <c r="C541" s="1"/>
      <c r="D541" s="4" t="s">
        <v>2001</v>
      </c>
      <c r="E541" s="3">
        <v>38000.0</v>
      </c>
      <c r="F541" s="2">
        <f t="shared" si="2"/>
        <v>0</v>
      </c>
      <c r="G541" s="65">
        <f t="shared" si="7"/>
        <v>76000</v>
      </c>
      <c r="H541" s="1"/>
      <c r="I541" s="1"/>
      <c r="J541" s="1"/>
      <c r="K541" s="66" t="s">
        <v>1078</v>
      </c>
      <c r="L541" s="66" t="s">
        <v>1092</v>
      </c>
      <c r="M541" s="66" t="s">
        <v>1080</v>
      </c>
      <c r="N541" s="66" t="s">
        <v>1384</v>
      </c>
      <c r="O541" s="66" t="s">
        <v>1069</v>
      </c>
      <c r="P541" s="67">
        <v>28.0</v>
      </c>
      <c r="Q541" s="18" t="s">
        <v>476</v>
      </c>
      <c r="R541" s="68" t="str">
        <f>IFERROR(CONCATENATE("*",VLOOKUP(L541,PARAM!D:E,2,0),VLOOKUP(M541,PARAM!J:K,2,0),VLOOKUP(N541,PARAM!G:H,2,0),VLOOKUP(P541,PARAM!P:Q,2,0),"*"),"")</f>
        <v>*42223712*</v>
      </c>
      <c r="S541" s="18" t="str">
        <f>IFERROR(CONCATENATE(VLOOKUP(L541,PARAM!D:E,2,0),VLOOKUP(M541,PARAM!J:K,2,0),VLOOKUP(N541,PARAM!G:H,2,0),VLOOKUP(O541,PARAM!M:N,2,0),VLOOKUP(P541,PARAM!P:Q,2,0)),"")</f>
        <v>4222371612</v>
      </c>
      <c r="T541" s="18">
        <f t="shared" si="4"/>
        <v>10</v>
      </c>
      <c r="U541" s="18" t="str">
        <f t="shared" si="5"/>
        <v>DRILL CABALLERO RIBETE VARIOS TALLA 28</v>
      </c>
    </row>
    <row r="542">
      <c r="A542" s="64">
        <v>2.0</v>
      </c>
      <c r="B542" s="4" t="s">
        <v>2000</v>
      </c>
      <c r="C542" s="1"/>
      <c r="D542" s="4" t="s">
        <v>2001</v>
      </c>
      <c r="E542" s="3">
        <v>38000.0</v>
      </c>
      <c r="F542" s="2">
        <f t="shared" si="2"/>
        <v>76000</v>
      </c>
      <c r="G542" s="65">
        <f t="shared" si="7"/>
        <v>76000</v>
      </c>
      <c r="H542" s="1"/>
      <c r="I542" s="1"/>
      <c r="J542" s="1"/>
      <c r="K542" s="66" t="s">
        <v>1078</v>
      </c>
      <c r="L542" s="66" t="s">
        <v>1092</v>
      </c>
      <c r="M542" s="66" t="s">
        <v>1080</v>
      </c>
      <c r="N542" s="66" t="s">
        <v>1384</v>
      </c>
      <c r="O542" s="66" t="s">
        <v>1069</v>
      </c>
      <c r="P542" s="67">
        <v>30.0</v>
      </c>
      <c r="Q542" s="18" t="s">
        <v>476</v>
      </c>
      <c r="R542" s="68" t="str">
        <f>IFERROR(CONCATENATE("*",VLOOKUP(L542,PARAM!D:E,2,0),VLOOKUP(M542,PARAM!J:K,2,0),VLOOKUP(N542,PARAM!G:H,2,0),VLOOKUP(P542,PARAM!P:Q,2,0),"*"),"")</f>
        <v>*42223713*</v>
      </c>
      <c r="S542" s="18" t="str">
        <f>IFERROR(CONCATENATE(VLOOKUP(L542,PARAM!D:E,2,0),VLOOKUP(M542,PARAM!J:K,2,0),VLOOKUP(N542,PARAM!G:H,2,0),VLOOKUP(O542,PARAM!M:N,2,0),VLOOKUP(P542,PARAM!P:Q,2,0)),"")</f>
        <v>4222371613</v>
      </c>
      <c r="T542" s="18">
        <f t="shared" si="4"/>
        <v>10</v>
      </c>
      <c r="U542" s="18" t="str">
        <f t="shared" si="5"/>
        <v>DRILL CABALLERO RIBETE VARIOS TALLA 30</v>
      </c>
    </row>
    <row r="543">
      <c r="A543" s="64">
        <v>2.0</v>
      </c>
      <c r="B543" s="4" t="s">
        <v>2000</v>
      </c>
      <c r="C543" s="1"/>
      <c r="D543" s="4" t="s">
        <v>2001</v>
      </c>
      <c r="E543" s="3">
        <v>38000.0</v>
      </c>
      <c r="F543" s="2">
        <f t="shared" si="2"/>
        <v>76000</v>
      </c>
      <c r="G543" s="65">
        <f t="shared" si="7"/>
        <v>76000</v>
      </c>
      <c r="H543" s="1"/>
      <c r="I543" s="1"/>
      <c r="J543" s="1"/>
      <c r="K543" s="66" t="s">
        <v>1078</v>
      </c>
      <c r="L543" s="66" t="s">
        <v>1092</v>
      </c>
      <c r="M543" s="66" t="s">
        <v>1080</v>
      </c>
      <c r="N543" s="66" t="s">
        <v>1384</v>
      </c>
      <c r="O543" s="66" t="s">
        <v>1069</v>
      </c>
      <c r="P543" s="67">
        <v>32.0</v>
      </c>
      <c r="Q543" s="18" t="s">
        <v>476</v>
      </c>
      <c r="R543" s="68" t="str">
        <f>IFERROR(CONCATENATE("*",VLOOKUP(L543,PARAM!D:E,2,0),VLOOKUP(M543,PARAM!J:K,2,0),VLOOKUP(N543,PARAM!G:H,2,0),VLOOKUP(P543,PARAM!P:Q,2,0),"*"),"")</f>
        <v>*42223714*</v>
      </c>
      <c r="S543" s="18" t="str">
        <f>IFERROR(CONCATENATE(VLOOKUP(L543,PARAM!D:E,2,0),VLOOKUP(M543,PARAM!J:K,2,0),VLOOKUP(N543,PARAM!G:H,2,0),VLOOKUP(O543,PARAM!M:N,2,0),VLOOKUP(P543,PARAM!P:Q,2,0)),"")</f>
        <v>4222371614</v>
      </c>
      <c r="T543" s="18">
        <f t="shared" si="4"/>
        <v>10</v>
      </c>
      <c r="U543" s="18" t="str">
        <f t="shared" si="5"/>
        <v>DRILL CABALLERO RIBETE VARIOS TALLA 32</v>
      </c>
    </row>
    <row r="544">
      <c r="A544" s="64">
        <v>2.0</v>
      </c>
      <c r="B544" s="4" t="s">
        <v>2000</v>
      </c>
      <c r="C544" s="1"/>
      <c r="D544" s="4" t="s">
        <v>2001</v>
      </c>
      <c r="E544" s="3">
        <v>38000.0</v>
      </c>
      <c r="F544" s="2">
        <f t="shared" si="2"/>
        <v>76000</v>
      </c>
      <c r="G544" s="65">
        <f t="shared" si="7"/>
        <v>76000</v>
      </c>
      <c r="H544" s="1"/>
      <c r="I544" s="1"/>
      <c r="J544" s="1"/>
      <c r="K544" s="66" t="s">
        <v>1078</v>
      </c>
      <c r="L544" s="66" t="s">
        <v>1092</v>
      </c>
      <c r="M544" s="66" t="s">
        <v>1080</v>
      </c>
      <c r="N544" s="66" t="s">
        <v>1384</v>
      </c>
      <c r="O544" s="66" t="s">
        <v>1069</v>
      </c>
      <c r="P544" s="67">
        <v>34.0</v>
      </c>
      <c r="Q544" s="18" t="s">
        <v>476</v>
      </c>
      <c r="R544" s="68" t="str">
        <f>IFERROR(CONCATENATE("*",VLOOKUP(L544,PARAM!D:E,2,0),VLOOKUP(M544,PARAM!J:K,2,0),VLOOKUP(N544,PARAM!G:H,2,0),VLOOKUP(P544,PARAM!P:Q,2,0),"*"),"")</f>
        <v>*42223715*</v>
      </c>
      <c r="S544" s="18" t="str">
        <f>IFERROR(CONCATENATE(VLOOKUP(L544,PARAM!D:E,2,0),VLOOKUP(M544,PARAM!J:K,2,0),VLOOKUP(N544,PARAM!G:H,2,0),VLOOKUP(O544,PARAM!M:N,2,0),VLOOKUP(P544,PARAM!P:Q,2,0)),"")</f>
        <v>4222371615</v>
      </c>
      <c r="T544" s="18">
        <f t="shared" si="4"/>
        <v>10</v>
      </c>
      <c r="U544" s="18" t="str">
        <f t="shared" si="5"/>
        <v>DRILL CABALLERO RIBETE VARIOS TALLA 34</v>
      </c>
    </row>
    <row r="545">
      <c r="A545" s="64">
        <v>2.0</v>
      </c>
      <c r="B545" s="4" t="s">
        <v>2000</v>
      </c>
      <c r="C545" s="1"/>
      <c r="D545" s="4" t="s">
        <v>2001</v>
      </c>
      <c r="E545" s="3">
        <v>38000.0</v>
      </c>
      <c r="F545" s="2">
        <f t="shared" si="2"/>
        <v>76000</v>
      </c>
      <c r="G545" s="65">
        <f t="shared" si="7"/>
        <v>76000</v>
      </c>
      <c r="H545" s="1"/>
      <c r="I545" s="1"/>
      <c r="J545" s="1"/>
      <c r="K545" s="66" t="s">
        <v>1078</v>
      </c>
      <c r="L545" s="66" t="s">
        <v>1092</v>
      </c>
      <c r="M545" s="66" t="s">
        <v>1080</v>
      </c>
      <c r="N545" s="66" t="s">
        <v>1384</v>
      </c>
      <c r="O545" s="66" t="s">
        <v>1069</v>
      </c>
      <c r="P545" s="67">
        <v>36.0</v>
      </c>
      <c r="Q545" s="18" t="s">
        <v>476</v>
      </c>
      <c r="R545" s="68" t="str">
        <f>IFERROR(CONCATENATE("*",VLOOKUP(L545,PARAM!D:E,2,0),VLOOKUP(M545,PARAM!J:K,2,0),VLOOKUP(N545,PARAM!G:H,2,0),VLOOKUP(P545,PARAM!P:Q,2,0),"*"),"")</f>
        <v>*42223716*</v>
      </c>
      <c r="S545" s="18" t="str">
        <f>IFERROR(CONCATENATE(VLOOKUP(L545,PARAM!D:E,2,0),VLOOKUP(M545,PARAM!J:K,2,0),VLOOKUP(N545,PARAM!G:H,2,0),VLOOKUP(O545,PARAM!M:N,2,0),VLOOKUP(P545,PARAM!P:Q,2,0)),"")</f>
        <v>4222371616</v>
      </c>
      <c r="T545" s="18">
        <f t="shared" si="4"/>
        <v>10</v>
      </c>
      <c r="U545" s="18" t="str">
        <f t="shared" si="5"/>
        <v>DRILL CABALLERO RIBETE VARIOS TALLA 36</v>
      </c>
    </row>
    <row r="546">
      <c r="A546" s="64">
        <v>0.0</v>
      </c>
      <c r="B546" s="4" t="s">
        <v>2002</v>
      </c>
      <c r="C546" s="1"/>
      <c r="D546" s="4" t="s">
        <v>2003</v>
      </c>
      <c r="E546" s="3">
        <v>35000.0</v>
      </c>
      <c r="F546" s="2">
        <f t="shared" si="2"/>
        <v>0</v>
      </c>
      <c r="G546" s="65">
        <f t="shared" si="7"/>
        <v>70000</v>
      </c>
      <c r="H546" s="1"/>
      <c r="I546" s="1"/>
      <c r="J546" s="1"/>
      <c r="K546" s="66" t="s">
        <v>1078</v>
      </c>
      <c r="L546" s="66" t="s">
        <v>1092</v>
      </c>
      <c r="M546" s="66" t="s">
        <v>1080</v>
      </c>
      <c r="N546" s="66" t="s">
        <v>1385</v>
      </c>
      <c r="O546" s="66" t="s">
        <v>1069</v>
      </c>
      <c r="P546" s="67">
        <v>28.0</v>
      </c>
      <c r="Q546" s="18" t="s">
        <v>476</v>
      </c>
      <c r="R546" s="68" t="str">
        <f>IFERROR(CONCATENATE("*",VLOOKUP(L546,PARAM!D:E,2,0),VLOOKUP(M546,PARAM!J:K,2,0),VLOOKUP(N546,PARAM!G:H,2,0),VLOOKUP(P546,PARAM!P:Q,2,0),"*"),"")</f>
        <v>*42215812*</v>
      </c>
      <c r="S546" s="18" t="str">
        <f>IFERROR(CONCATENATE(VLOOKUP(L546,PARAM!D:E,2,0),VLOOKUP(M546,PARAM!J:K,2,0),VLOOKUP(N546,PARAM!G:H,2,0),VLOOKUP(O546,PARAM!M:N,2,0),VLOOKUP(P546,PARAM!P:Q,2,0)),"")</f>
        <v>4221581612</v>
      </c>
      <c r="T546" s="18">
        <f t="shared" si="4"/>
        <v>10</v>
      </c>
      <c r="U546" s="18" t="str">
        <f t="shared" si="5"/>
        <v>DRILL CABALLERO JUVENIL VARIOS TALLA 28</v>
      </c>
    </row>
    <row r="547">
      <c r="A547" s="64">
        <v>2.0</v>
      </c>
      <c r="B547" s="4" t="s">
        <v>2002</v>
      </c>
      <c r="C547" s="1"/>
      <c r="D547" s="4" t="s">
        <v>2003</v>
      </c>
      <c r="E547" s="3">
        <v>35000.0</v>
      </c>
      <c r="F547" s="2">
        <f t="shared" si="2"/>
        <v>70000</v>
      </c>
      <c r="G547" s="65">
        <f t="shared" si="7"/>
        <v>70000</v>
      </c>
      <c r="H547" s="1"/>
      <c r="I547" s="1"/>
      <c r="J547" s="1"/>
      <c r="K547" s="66" t="s">
        <v>1078</v>
      </c>
      <c r="L547" s="66" t="s">
        <v>1092</v>
      </c>
      <c r="M547" s="66" t="s">
        <v>1080</v>
      </c>
      <c r="N547" s="66" t="s">
        <v>1385</v>
      </c>
      <c r="O547" s="66" t="s">
        <v>1069</v>
      </c>
      <c r="P547" s="67">
        <v>30.0</v>
      </c>
      <c r="Q547" s="18" t="s">
        <v>476</v>
      </c>
      <c r="R547" s="68" t="str">
        <f>IFERROR(CONCATENATE("*",VLOOKUP(L547,PARAM!D:E,2,0),VLOOKUP(M547,PARAM!J:K,2,0),VLOOKUP(N547,PARAM!G:H,2,0),VLOOKUP(P547,PARAM!P:Q,2,0),"*"),"")</f>
        <v>*42215813*</v>
      </c>
      <c r="S547" s="18" t="str">
        <f>IFERROR(CONCATENATE(VLOOKUP(L547,PARAM!D:E,2,0),VLOOKUP(M547,PARAM!J:K,2,0),VLOOKUP(N547,PARAM!G:H,2,0),VLOOKUP(O547,PARAM!M:N,2,0),VLOOKUP(P547,PARAM!P:Q,2,0)),"")</f>
        <v>4221581613</v>
      </c>
      <c r="T547" s="18">
        <f t="shared" si="4"/>
        <v>10</v>
      </c>
      <c r="U547" s="18" t="str">
        <f t="shared" si="5"/>
        <v>DRILL CABALLERO JUVENIL VARIOS TALLA 30</v>
      </c>
    </row>
    <row r="548">
      <c r="A548" s="64">
        <v>2.0</v>
      </c>
      <c r="B548" s="4" t="s">
        <v>2002</v>
      </c>
      <c r="C548" s="1"/>
      <c r="D548" s="4" t="s">
        <v>2003</v>
      </c>
      <c r="E548" s="3">
        <v>35000.0</v>
      </c>
      <c r="F548" s="2">
        <f t="shared" si="2"/>
        <v>70000</v>
      </c>
      <c r="G548" s="65">
        <f t="shared" si="7"/>
        <v>70000</v>
      </c>
      <c r="H548" s="1"/>
      <c r="I548" s="1"/>
      <c r="J548" s="1"/>
      <c r="K548" s="66" t="s">
        <v>1078</v>
      </c>
      <c r="L548" s="66" t="s">
        <v>1092</v>
      </c>
      <c r="M548" s="66" t="s">
        <v>1080</v>
      </c>
      <c r="N548" s="66" t="s">
        <v>1385</v>
      </c>
      <c r="O548" s="66" t="s">
        <v>1069</v>
      </c>
      <c r="P548" s="67">
        <v>32.0</v>
      </c>
      <c r="Q548" s="18" t="s">
        <v>476</v>
      </c>
      <c r="R548" s="68" t="str">
        <f>IFERROR(CONCATENATE("*",VLOOKUP(L548,PARAM!D:E,2,0),VLOOKUP(M548,PARAM!J:K,2,0),VLOOKUP(N548,PARAM!G:H,2,0),VLOOKUP(P548,PARAM!P:Q,2,0),"*"),"")</f>
        <v>*42215814*</v>
      </c>
      <c r="S548" s="18" t="str">
        <f>IFERROR(CONCATENATE(VLOOKUP(L548,PARAM!D:E,2,0),VLOOKUP(M548,PARAM!J:K,2,0),VLOOKUP(N548,PARAM!G:H,2,0),VLOOKUP(O548,PARAM!M:N,2,0),VLOOKUP(P548,PARAM!P:Q,2,0)),"")</f>
        <v>4221581614</v>
      </c>
      <c r="T548" s="18">
        <f t="shared" si="4"/>
        <v>10</v>
      </c>
      <c r="U548" s="18" t="str">
        <f t="shared" si="5"/>
        <v>DRILL CABALLERO JUVENIL VARIOS TALLA 32</v>
      </c>
    </row>
    <row r="549">
      <c r="A549" s="64">
        <v>2.0</v>
      </c>
      <c r="B549" s="4" t="s">
        <v>2002</v>
      </c>
      <c r="C549" s="1"/>
      <c r="D549" s="4" t="s">
        <v>2003</v>
      </c>
      <c r="E549" s="3">
        <v>35000.0</v>
      </c>
      <c r="F549" s="2">
        <f t="shared" si="2"/>
        <v>70000</v>
      </c>
      <c r="G549" s="65">
        <f t="shared" si="7"/>
        <v>70000</v>
      </c>
      <c r="H549" s="1"/>
      <c r="I549" s="1"/>
      <c r="J549" s="1"/>
      <c r="K549" s="66" t="s">
        <v>1078</v>
      </c>
      <c r="L549" s="66" t="s">
        <v>1092</v>
      </c>
      <c r="M549" s="66" t="s">
        <v>1080</v>
      </c>
      <c r="N549" s="66" t="s">
        <v>1385</v>
      </c>
      <c r="O549" s="66" t="s">
        <v>1069</v>
      </c>
      <c r="P549" s="67">
        <v>34.0</v>
      </c>
      <c r="Q549" s="18" t="s">
        <v>476</v>
      </c>
      <c r="R549" s="68" t="str">
        <f>IFERROR(CONCATENATE("*",VLOOKUP(L549,PARAM!D:E,2,0),VLOOKUP(M549,PARAM!J:K,2,0),VLOOKUP(N549,PARAM!G:H,2,0),VLOOKUP(P549,PARAM!P:Q,2,0),"*"),"")</f>
        <v>*42215815*</v>
      </c>
      <c r="S549" s="18" t="str">
        <f>IFERROR(CONCATENATE(VLOOKUP(L549,PARAM!D:E,2,0),VLOOKUP(M549,PARAM!J:K,2,0),VLOOKUP(N549,PARAM!G:H,2,0),VLOOKUP(O549,PARAM!M:N,2,0),VLOOKUP(P549,PARAM!P:Q,2,0)),"")</f>
        <v>4221581615</v>
      </c>
      <c r="T549" s="18">
        <f t="shared" si="4"/>
        <v>10</v>
      </c>
      <c r="U549" s="18" t="str">
        <f t="shared" si="5"/>
        <v>DRILL CABALLERO JUVENIL VARIOS TALLA 34</v>
      </c>
    </row>
    <row r="550">
      <c r="A550" s="64">
        <v>2.0</v>
      </c>
      <c r="B550" s="4" t="s">
        <v>2002</v>
      </c>
      <c r="C550" s="1"/>
      <c r="D550" s="4" t="s">
        <v>2003</v>
      </c>
      <c r="E550" s="3">
        <v>35000.0</v>
      </c>
      <c r="F550" s="2">
        <f t="shared" si="2"/>
        <v>70000</v>
      </c>
      <c r="G550" s="65">
        <f t="shared" si="7"/>
        <v>70000</v>
      </c>
      <c r="H550" s="1"/>
      <c r="I550" s="1"/>
      <c r="J550" s="1"/>
      <c r="K550" s="66" t="s">
        <v>1078</v>
      </c>
      <c r="L550" s="66" t="s">
        <v>1092</v>
      </c>
      <c r="M550" s="66" t="s">
        <v>1080</v>
      </c>
      <c r="N550" s="66" t="s">
        <v>1385</v>
      </c>
      <c r="O550" s="66" t="s">
        <v>1069</v>
      </c>
      <c r="P550" s="67">
        <v>36.0</v>
      </c>
      <c r="Q550" s="18" t="s">
        <v>476</v>
      </c>
      <c r="R550" s="68" t="str">
        <f>IFERROR(CONCATENATE("*",VLOOKUP(L550,PARAM!D:E,2,0),VLOOKUP(M550,PARAM!J:K,2,0),VLOOKUP(N550,PARAM!G:H,2,0),VLOOKUP(P550,PARAM!P:Q,2,0),"*"),"")</f>
        <v>*42215816*</v>
      </c>
      <c r="S550" s="18" t="str">
        <f>IFERROR(CONCATENATE(VLOOKUP(L550,PARAM!D:E,2,0),VLOOKUP(M550,PARAM!J:K,2,0),VLOOKUP(N550,PARAM!G:H,2,0),VLOOKUP(O550,PARAM!M:N,2,0),VLOOKUP(P550,PARAM!P:Q,2,0)),"")</f>
        <v>4221581616</v>
      </c>
      <c r="T550" s="18">
        <f t="shared" si="4"/>
        <v>10</v>
      </c>
      <c r="U550" s="18" t="str">
        <f t="shared" si="5"/>
        <v>DRILL CABALLERO JUVENIL VARIOS TALLA 36</v>
      </c>
    </row>
    <row r="551">
      <c r="A551" s="64">
        <v>1.0</v>
      </c>
      <c r="B551" s="4" t="s">
        <v>2004</v>
      </c>
      <c r="C551" s="1"/>
      <c r="D551" s="4" t="s">
        <v>2005</v>
      </c>
      <c r="E551" s="3">
        <v>35000.0</v>
      </c>
      <c r="F551" s="2">
        <f t="shared" si="2"/>
        <v>35000</v>
      </c>
      <c r="G551" s="65">
        <f t="shared" si="7"/>
        <v>70000</v>
      </c>
      <c r="H551" s="1"/>
      <c r="I551" s="1"/>
      <c r="J551" s="1"/>
      <c r="K551" s="66" t="s">
        <v>1078</v>
      </c>
      <c r="L551" s="66" t="s">
        <v>1059</v>
      </c>
      <c r="M551" s="66" t="s">
        <v>1080</v>
      </c>
      <c r="N551" s="66" t="s">
        <v>1386</v>
      </c>
      <c r="O551" s="66" t="s">
        <v>1067</v>
      </c>
      <c r="P551" s="67">
        <v>28.0</v>
      </c>
      <c r="Q551" s="18" t="s">
        <v>476</v>
      </c>
      <c r="R551" s="68" t="str">
        <f>IFERROR(CONCATENATE("*",VLOOKUP(L551,PARAM!D:E,2,0),VLOOKUP(M551,PARAM!J:K,2,0),VLOOKUP(N551,PARAM!G:H,2,0),VLOOKUP(P551,PARAM!P:Q,2,0),"*"),"")</f>
        <v>*127812*</v>
      </c>
      <c r="S551" s="18" t="str">
        <f>IFERROR(CONCATENATE(VLOOKUP(L551,PARAM!D:E,2,0),VLOOKUP(M551,PARAM!J:K,2,0),VLOOKUP(N551,PARAM!G:H,2,0),VLOOKUP(O551,PARAM!M:N,2,0),VLOOKUP(P551,PARAM!P:Q,2,0)),"")</f>
        <v>1278212</v>
      </c>
      <c r="T551" s="18">
        <f t="shared" si="4"/>
        <v>8</v>
      </c>
      <c r="U551" s="18" t="str">
        <f t="shared" si="5"/>
        <v>JEANS CABALLERO CLASICO AZUL TALLA 28</v>
      </c>
    </row>
    <row r="552">
      <c r="A552" s="64">
        <v>1.0</v>
      </c>
      <c r="B552" s="4" t="s">
        <v>2004</v>
      </c>
      <c r="C552" s="1"/>
      <c r="D552" s="4" t="s">
        <v>2005</v>
      </c>
      <c r="E552" s="3">
        <v>35000.0</v>
      </c>
      <c r="F552" s="2">
        <f t="shared" si="2"/>
        <v>35000</v>
      </c>
      <c r="G552" s="65">
        <f t="shared" si="7"/>
        <v>70000</v>
      </c>
      <c r="H552" s="1"/>
      <c r="I552" s="1"/>
      <c r="J552" s="1"/>
      <c r="K552" s="66" t="s">
        <v>1078</v>
      </c>
      <c r="L552" s="66" t="s">
        <v>1059</v>
      </c>
      <c r="M552" s="66" t="s">
        <v>1080</v>
      </c>
      <c r="N552" s="66" t="s">
        <v>1386</v>
      </c>
      <c r="O552" s="66" t="s">
        <v>1067</v>
      </c>
      <c r="P552" s="67">
        <v>30.0</v>
      </c>
      <c r="Q552" s="18" t="s">
        <v>476</v>
      </c>
      <c r="R552" s="68" t="str">
        <f>IFERROR(CONCATENATE("*",VLOOKUP(L552,PARAM!D:E,2,0),VLOOKUP(M552,PARAM!J:K,2,0),VLOOKUP(N552,PARAM!G:H,2,0),VLOOKUP(P552,PARAM!P:Q,2,0),"*"),"")</f>
        <v>*127813*</v>
      </c>
      <c r="S552" s="18" t="str">
        <f>IFERROR(CONCATENATE(VLOOKUP(L552,PARAM!D:E,2,0),VLOOKUP(M552,PARAM!J:K,2,0),VLOOKUP(N552,PARAM!G:H,2,0),VLOOKUP(O552,PARAM!M:N,2,0),VLOOKUP(P552,PARAM!P:Q,2,0)),"")</f>
        <v>1278213</v>
      </c>
      <c r="T552" s="18">
        <f t="shared" si="4"/>
        <v>8</v>
      </c>
      <c r="U552" s="18" t="str">
        <f t="shared" si="5"/>
        <v>JEANS CABALLERO CLASICO AZUL TALLA 30</v>
      </c>
    </row>
    <row r="553">
      <c r="A553" s="64">
        <v>1.0</v>
      </c>
      <c r="B553" s="4" t="s">
        <v>2004</v>
      </c>
      <c r="C553" s="1"/>
      <c r="D553" s="4" t="s">
        <v>2005</v>
      </c>
      <c r="E553" s="3">
        <v>35000.0</v>
      </c>
      <c r="F553" s="2">
        <f t="shared" si="2"/>
        <v>35000</v>
      </c>
      <c r="G553" s="65">
        <f t="shared" si="7"/>
        <v>70000</v>
      </c>
      <c r="H553" s="1"/>
      <c r="I553" s="1"/>
      <c r="J553" s="1"/>
      <c r="K553" s="66" t="s">
        <v>1078</v>
      </c>
      <c r="L553" s="66" t="s">
        <v>1059</v>
      </c>
      <c r="M553" s="66" t="s">
        <v>1080</v>
      </c>
      <c r="N553" s="66" t="s">
        <v>1386</v>
      </c>
      <c r="O553" s="66" t="s">
        <v>1067</v>
      </c>
      <c r="P553" s="67">
        <v>32.0</v>
      </c>
      <c r="Q553" s="18" t="s">
        <v>476</v>
      </c>
      <c r="R553" s="68" t="str">
        <f>IFERROR(CONCATENATE("*",VLOOKUP(L553,PARAM!D:E,2,0),VLOOKUP(M553,PARAM!J:K,2,0),VLOOKUP(N553,PARAM!G:H,2,0),VLOOKUP(P553,PARAM!P:Q,2,0),"*"),"")</f>
        <v>*127814*</v>
      </c>
      <c r="S553" s="18" t="str">
        <f>IFERROR(CONCATENATE(VLOOKUP(L553,PARAM!D:E,2,0),VLOOKUP(M553,PARAM!J:K,2,0),VLOOKUP(N553,PARAM!G:H,2,0),VLOOKUP(O553,PARAM!M:N,2,0),VLOOKUP(P553,PARAM!P:Q,2,0)),"")</f>
        <v>1278214</v>
      </c>
      <c r="T553" s="18">
        <f t="shared" si="4"/>
        <v>8</v>
      </c>
      <c r="U553" s="18" t="str">
        <f t="shared" si="5"/>
        <v>JEANS CABALLERO CLASICO AZUL TALLA 32</v>
      </c>
    </row>
    <row r="554">
      <c r="A554" s="64">
        <v>0.0</v>
      </c>
      <c r="B554" s="4" t="s">
        <v>2004</v>
      </c>
      <c r="C554" s="1"/>
      <c r="D554" s="4" t="s">
        <v>2005</v>
      </c>
      <c r="E554" s="3">
        <v>35000.0</v>
      </c>
      <c r="F554" s="2">
        <f t="shared" si="2"/>
        <v>0</v>
      </c>
      <c r="G554" s="65">
        <f t="shared" si="7"/>
        <v>70000</v>
      </c>
      <c r="H554" s="1"/>
      <c r="I554" s="1"/>
      <c r="J554" s="1"/>
      <c r="K554" s="66" t="s">
        <v>1078</v>
      </c>
      <c r="L554" s="66" t="s">
        <v>1059</v>
      </c>
      <c r="M554" s="66" t="s">
        <v>1080</v>
      </c>
      <c r="N554" s="66" t="s">
        <v>1386</v>
      </c>
      <c r="O554" s="66" t="s">
        <v>1067</v>
      </c>
      <c r="P554" s="67">
        <v>34.0</v>
      </c>
      <c r="Q554" s="18" t="s">
        <v>476</v>
      </c>
      <c r="R554" s="68" t="str">
        <f>IFERROR(CONCATENATE("*",VLOOKUP(L554,PARAM!D:E,2,0),VLOOKUP(M554,PARAM!J:K,2,0),VLOOKUP(N554,PARAM!G:H,2,0),VLOOKUP(P554,PARAM!P:Q,2,0),"*"),"")</f>
        <v>*127815*</v>
      </c>
      <c r="S554" s="18" t="str">
        <f>IFERROR(CONCATENATE(VLOOKUP(L554,PARAM!D:E,2,0),VLOOKUP(M554,PARAM!J:K,2,0),VLOOKUP(N554,PARAM!G:H,2,0),VLOOKUP(O554,PARAM!M:N,2,0),VLOOKUP(P554,PARAM!P:Q,2,0)),"")</f>
        <v>1278215</v>
      </c>
      <c r="T554" s="18">
        <f t="shared" si="4"/>
        <v>8</v>
      </c>
      <c r="U554" s="18" t="str">
        <f t="shared" si="5"/>
        <v>JEANS CABALLERO CLASICO AZUL TALLA 34</v>
      </c>
    </row>
    <row r="555">
      <c r="A555" s="64">
        <v>1.0</v>
      </c>
      <c r="B555" s="4" t="s">
        <v>2006</v>
      </c>
      <c r="C555" s="1"/>
      <c r="D555" s="4" t="s">
        <v>2007</v>
      </c>
      <c r="E555" s="3">
        <v>35000.0</v>
      </c>
      <c r="F555" s="2">
        <f t="shared" si="2"/>
        <v>35000</v>
      </c>
      <c r="G555" s="65">
        <f t="shared" si="7"/>
        <v>70000</v>
      </c>
      <c r="H555" s="1"/>
      <c r="I555" s="1"/>
      <c r="J555" s="1"/>
      <c r="K555" s="66" t="s">
        <v>1078</v>
      </c>
      <c r="L555" s="66" t="s">
        <v>1059</v>
      </c>
      <c r="M555" s="66" t="s">
        <v>1080</v>
      </c>
      <c r="N555" s="66" t="s">
        <v>1386</v>
      </c>
      <c r="O555" s="66" t="s">
        <v>1062</v>
      </c>
      <c r="P555" s="67">
        <v>28.0</v>
      </c>
      <c r="Q555" s="18" t="s">
        <v>476</v>
      </c>
      <c r="R555" s="68" t="str">
        <f>IFERROR(CONCATENATE("*",VLOOKUP(L555,PARAM!D:E,2,0),VLOOKUP(M555,PARAM!J:K,2,0),VLOOKUP(N555,PARAM!G:H,2,0),VLOOKUP(P555,PARAM!P:Q,2,0),"*"),"")</f>
        <v>*127812*</v>
      </c>
      <c r="S555" s="18" t="str">
        <f>IFERROR(CONCATENATE(VLOOKUP(L555,PARAM!D:E,2,0),VLOOKUP(M555,PARAM!J:K,2,0),VLOOKUP(N555,PARAM!G:H,2,0),VLOOKUP(O555,PARAM!M:N,2,0),VLOOKUP(P555,PARAM!P:Q,2,0)),"")</f>
        <v>12781012</v>
      </c>
      <c r="T555" s="18">
        <f t="shared" si="4"/>
        <v>8</v>
      </c>
      <c r="U555" s="18" t="str">
        <f t="shared" si="5"/>
        <v>JEANS CABALLERO CLASICO GRIS TALLA 28</v>
      </c>
    </row>
    <row r="556">
      <c r="A556" s="64">
        <v>1.0</v>
      </c>
      <c r="B556" s="4" t="s">
        <v>2006</v>
      </c>
      <c r="C556" s="1"/>
      <c r="D556" s="4" t="s">
        <v>2007</v>
      </c>
      <c r="E556" s="3">
        <v>35000.0</v>
      </c>
      <c r="F556" s="2">
        <f t="shared" si="2"/>
        <v>35000</v>
      </c>
      <c r="G556" s="65">
        <f t="shared" si="7"/>
        <v>70000</v>
      </c>
      <c r="H556" s="1"/>
      <c r="I556" s="1"/>
      <c r="J556" s="1"/>
      <c r="K556" s="66" t="s">
        <v>1078</v>
      </c>
      <c r="L556" s="66" t="s">
        <v>1059</v>
      </c>
      <c r="M556" s="66" t="s">
        <v>1080</v>
      </c>
      <c r="N556" s="66" t="s">
        <v>1386</v>
      </c>
      <c r="O556" s="66" t="s">
        <v>1062</v>
      </c>
      <c r="P556" s="67">
        <v>30.0</v>
      </c>
      <c r="Q556" s="18" t="s">
        <v>476</v>
      </c>
      <c r="R556" s="68" t="str">
        <f>IFERROR(CONCATENATE("*",VLOOKUP(L556,PARAM!D:E,2,0),VLOOKUP(M556,PARAM!J:K,2,0),VLOOKUP(N556,PARAM!G:H,2,0),VLOOKUP(P556,PARAM!P:Q,2,0),"*"),"")</f>
        <v>*127813*</v>
      </c>
      <c r="S556" s="18" t="str">
        <f>IFERROR(CONCATENATE(VLOOKUP(L556,PARAM!D:E,2,0),VLOOKUP(M556,PARAM!J:K,2,0),VLOOKUP(N556,PARAM!G:H,2,0),VLOOKUP(O556,PARAM!M:N,2,0),VLOOKUP(P556,PARAM!P:Q,2,0)),"")</f>
        <v>12781013</v>
      </c>
      <c r="T556" s="18">
        <f t="shared" si="4"/>
        <v>8</v>
      </c>
      <c r="U556" s="18" t="str">
        <f t="shared" si="5"/>
        <v>JEANS CABALLERO CLASICO GRIS TALLA 30</v>
      </c>
    </row>
    <row r="557">
      <c r="A557" s="64">
        <v>1.0</v>
      </c>
      <c r="B557" s="4" t="s">
        <v>2006</v>
      </c>
      <c r="C557" s="1"/>
      <c r="D557" s="4" t="s">
        <v>2007</v>
      </c>
      <c r="E557" s="3">
        <v>35000.0</v>
      </c>
      <c r="F557" s="2">
        <f t="shared" si="2"/>
        <v>35000</v>
      </c>
      <c r="G557" s="65">
        <f t="shared" si="7"/>
        <v>70000</v>
      </c>
      <c r="H557" s="1"/>
      <c r="I557" s="1"/>
      <c r="J557" s="1"/>
      <c r="K557" s="66" t="s">
        <v>1078</v>
      </c>
      <c r="L557" s="66" t="s">
        <v>1059</v>
      </c>
      <c r="M557" s="66" t="s">
        <v>1080</v>
      </c>
      <c r="N557" s="66" t="s">
        <v>1386</v>
      </c>
      <c r="O557" s="66" t="s">
        <v>1062</v>
      </c>
      <c r="P557" s="67">
        <v>32.0</v>
      </c>
      <c r="Q557" s="18" t="s">
        <v>476</v>
      </c>
      <c r="R557" s="68" t="str">
        <f>IFERROR(CONCATENATE("*",VLOOKUP(L557,PARAM!D:E,2,0),VLOOKUP(M557,PARAM!J:K,2,0),VLOOKUP(N557,PARAM!G:H,2,0),VLOOKUP(P557,PARAM!P:Q,2,0),"*"),"")</f>
        <v>*127814*</v>
      </c>
      <c r="S557" s="18" t="str">
        <f>IFERROR(CONCATENATE(VLOOKUP(L557,PARAM!D:E,2,0),VLOOKUP(M557,PARAM!J:K,2,0),VLOOKUP(N557,PARAM!G:H,2,0),VLOOKUP(O557,PARAM!M:N,2,0),VLOOKUP(P557,PARAM!P:Q,2,0)),"")</f>
        <v>12781014</v>
      </c>
      <c r="T557" s="18">
        <f t="shared" si="4"/>
        <v>8</v>
      </c>
      <c r="U557" s="18" t="str">
        <f t="shared" si="5"/>
        <v>JEANS CABALLERO CLASICO GRIS TALLA 32</v>
      </c>
    </row>
    <row r="558">
      <c r="A558" s="64">
        <v>1.0</v>
      </c>
      <c r="B558" s="4" t="s">
        <v>2006</v>
      </c>
      <c r="C558" s="1"/>
      <c r="D558" s="4" t="s">
        <v>2007</v>
      </c>
      <c r="E558" s="3">
        <v>35000.0</v>
      </c>
      <c r="F558" s="2">
        <f t="shared" si="2"/>
        <v>35000</v>
      </c>
      <c r="G558" s="65">
        <f t="shared" si="7"/>
        <v>70000</v>
      </c>
      <c r="H558" s="1"/>
      <c r="I558" s="1"/>
      <c r="J558" s="1"/>
      <c r="K558" s="66" t="s">
        <v>1078</v>
      </c>
      <c r="L558" s="66" t="s">
        <v>1059</v>
      </c>
      <c r="M558" s="66" t="s">
        <v>1080</v>
      </c>
      <c r="N558" s="66" t="s">
        <v>1386</v>
      </c>
      <c r="O558" s="66" t="s">
        <v>1062</v>
      </c>
      <c r="P558" s="67">
        <v>34.0</v>
      </c>
      <c r="Q558" s="18" t="s">
        <v>476</v>
      </c>
      <c r="R558" s="68" t="str">
        <f>IFERROR(CONCATENATE("*",VLOOKUP(L558,PARAM!D:E,2,0),VLOOKUP(M558,PARAM!J:K,2,0),VLOOKUP(N558,PARAM!G:H,2,0),VLOOKUP(P558,PARAM!P:Q,2,0),"*"),"")</f>
        <v>*127815*</v>
      </c>
      <c r="S558" s="18" t="str">
        <f>IFERROR(CONCATENATE(VLOOKUP(L558,PARAM!D:E,2,0),VLOOKUP(M558,PARAM!J:K,2,0),VLOOKUP(N558,PARAM!G:H,2,0),VLOOKUP(O558,PARAM!M:N,2,0),VLOOKUP(P558,PARAM!P:Q,2,0)),"")</f>
        <v>12781015</v>
      </c>
      <c r="T558" s="18">
        <f t="shared" si="4"/>
        <v>8</v>
      </c>
      <c r="U558" s="18" t="str">
        <f t="shared" si="5"/>
        <v>JEANS CABALLERO CLASICO GRIS TALLA 34</v>
      </c>
    </row>
    <row r="559">
      <c r="A559" s="64">
        <v>0.0</v>
      </c>
      <c r="B559" s="4" t="s">
        <v>2006</v>
      </c>
      <c r="C559" s="1"/>
      <c r="D559" s="4" t="s">
        <v>2007</v>
      </c>
      <c r="E559" s="3">
        <v>35000.0</v>
      </c>
      <c r="F559" s="2">
        <f t="shared" si="2"/>
        <v>0</v>
      </c>
      <c r="G559" s="65">
        <f t="shared" si="7"/>
        <v>70000</v>
      </c>
      <c r="H559" s="1"/>
      <c r="I559" s="1"/>
      <c r="J559" s="1"/>
      <c r="K559" s="66" t="s">
        <v>1078</v>
      </c>
      <c r="L559" s="66" t="s">
        <v>1059</v>
      </c>
      <c r="M559" s="66" t="s">
        <v>1080</v>
      </c>
      <c r="N559" s="66" t="s">
        <v>1386</v>
      </c>
      <c r="O559" s="66" t="s">
        <v>1062</v>
      </c>
      <c r="P559" s="67">
        <v>36.0</v>
      </c>
      <c r="Q559" s="18" t="s">
        <v>476</v>
      </c>
      <c r="R559" s="68" t="str">
        <f>IFERROR(CONCATENATE("*",VLOOKUP(L559,PARAM!D:E,2,0),VLOOKUP(M559,PARAM!J:K,2,0),VLOOKUP(N559,PARAM!G:H,2,0),VLOOKUP(P559,PARAM!P:Q,2,0),"*"),"")</f>
        <v>*127816*</v>
      </c>
      <c r="S559" s="18" t="str">
        <f>IFERROR(CONCATENATE(VLOOKUP(L559,PARAM!D:E,2,0),VLOOKUP(M559,PARAM!J:K,2,0),VLOOKUP(N559,PARAM!G:H,2,0),VLOOKUP(O559,PARAM!M:N,2,0),VLOOKUP(P559,PARAM!P:Q,2,0)),"")</f>
        <v>12781016</v>
      </c>
      <c r="T559" s="18">
        <f t="shared" si="4"/>
        <v>8</v>
      </c>
      <c r="U559" s="18" t="str">
        <f t="shared" si="5"/>
        <v>JEANS CABALLERO CLASICO GRIS TALLA 36</v>
      </c>
    </row>
    <row r="560">
      <c r="A560" s="64">
        <v>1.0</v>
      </c>
      <c r="B560" s="4" t="s">
        <v>2008</v>
      </c>
      <c r="C560" s="1"/>
      <c r="D560" s="4" t="s">
        <v>2009</v>
      </c>
      <c r="E560" s="3">
        <v>35000.0</v>
      </c>
      <c r="F560" s="2">
        <f t="shared" si="2"/>
        <v>35000</v>
      </c>
      <c r="G560" s="65">
        <f t="shared" si="7"/>
        <v>70000</v>
      </c>
      <c r="H560" s="1"/>
      <c r="I560" s="1"/>
      <c r="J560" s="1"/>
      <c r="K560" s="66" t="s">
        <v>1078</v>
      </c>
      <c r="L560" s="66" t="s">
        <v>1059</v>
      </c>
      <c r="M560" s="66" t="s">
        <v>1080</v>
      </c>
      <c r="N560" s="66" t="s">
        <v>1386</v>
      </c>
      <c r="O560" s="66" t="s">
        <v>1066</v>
      </c>
      <c r="P560" s="67">
        <v>28.0</v>
      </c>
      <c r="Q560" s="18" t="s">
        <v>476</v>
      </c>
      <c r="R560" s="68" t="str">
        <f>IFERROR(CONCATENATE("*",VLOOKUP(L560,PARAM!D:E,2,0),VLOOKUP(M560,PARAM!J:K,2,0),VLOOKUP(N560,PARAM!G:H,2,0),VLOOKUP(P560,PARAM!P:Q,2,0),"*"),"")</f>
        <v>*127812*</v>
      </c>
      <c r="S560" s="18" t="str">
        <f>IFERROR(CONCATENATE(VLOOKUP(L560,PARAM!D:E,2,0),VLOOKUP(M560,PARAM!J:K,2,0),VLOOKUP(N560,PARAM!G:H,2,0),VLOOKUP(O560,PARAM!M:N,2,0),VLOOKUP(P560,PARAM!P:Q,2,0)),"")</f>
        <v>12781212</v>
      </c>
      <c r="T560" s="18">
        <f t="shared" si="4"/>
        <v>8</v>
      </c>
      <c r="U560" s="18" t="str">
        <f t="shared" si="5"/>
        <v>JEANS CABALLERO CLASICO NEGRO TALLA 28</v>
      </c>
    </row>
    <row r="561">
      <c r="A561" s="64">
        <v>1.0</v>
      </c>
      <c r="B561" s="4" t="s">
        <v>2008</v>
      </c>
      <c r="C561" s="1"/>
      <c r="D561" s="4" t="s">
        <v>2009</v>
      </c>
      <c r="E561" s="3">
        <v>35000.0</v>
      </c>
      <c r="F561" s="2">
        <f t="shared" si="2"/>
        <v>35000</v>
      </c>
      <c r="G561" s="65">
        <f t="shared" si="7"/>
        <v>70000</v>
      </c>
      <c r="H561" s="1"/>
      <c r="I561" s="1"/>
      <c r="J561" s="1"/>
      <c r="K561" s="66" t="s">
        <v>1078</v>
      </c>
      <c r="L561" s="66" t="s">
        <v>1059</v>
      </c>
      <c r="M561" s="66" t="s">
        <v>1080</v>
      </c>
      <c r="N561" s="66" t="s">
        <v>1386</v>
      </c>
      <c r="O561" s="66" t="s">
        <v>1066</v>
      </c>
      <c r="P561" s="67">
        <v>30.0</v>
      </c>
      <c r="Q561" s="18" t="s">
        <v>476</v>
      </c>
      <c r="R561" s="68" t="str">
        <f>IFERROR(CONCATENATE("*",VLOOKUP(L561,PARAM!D:E,2,0),VLOOKUP(M561,PARAM!J:K,2,0),VLOOKUP(N561,PARAM!G:H,2,0),VLOOKUP(P561,PARAM!P:Q,2,0),"*"),"")</f>
        <v>*127813*</v>
      </c>
      <c r="S561" s="18" t="str">
        <f>IFERROR(CONCATENATE(VLOOKUP(L561,PARAM!D:E,2,0),VLOOKUP(M561,PARAM!J:K,2,0),VLOOKUP(N561,PARAM!G:H,2,0),VLOOKUP(O561,PARAM!M:N,2,0),VLOOKUP(P561,PARAM!P:Q,2,0)),"")</f>
        <v>12781213</v>
      </c>
      <c r="T561" s="18">
        <f t="shared" si="4"/>
        <v>8</v>
      </c>
      <c r="U561" s="18" t="str">
        <f t="shared" si="5"/>
        <v>JEANS CABALLERO CLASICO NEGRO TALLA 30</v>
      </c>
    </row>
    <row r="562">
      <c r="A562" s="64">
        <v>1.0</v>
      </c>
      <c r="B562" s="4" t="s">
        <v>2008</v>
      </c>
      <c r="C562" s="1"/>
      <c r="D562" s="4" t="s">
        <v>2009</v>
      </c>
      <c r="E562" s="3">
        <v>35000.0</v>
      </c>
      <c r="F562" s="2">
        <f t="shared" si="2"/>
        <v>35000</v>
      </c>
      <c r="G562" s="65">
        <f t="shared" si="7"/>
        <v>70000</v>
      </c>
      <c r="H562" s="1"/>
      <c r="I562" s="1"/>
      <c r="J562" s="1"/>
      <c r="K562" s="66" t="s">
        <v>1078</v>
      </c>
      <c r="L562" s="66" t="s">
        <v>1059</v>
      </c>
      <c r="M562" s="66" t="s">
        <v>1080</v>
      </c>
      <c r="N562" s="66" t="s">
        <v>1386</v>
      </c>
      <c r="O562" s="66" t="s">
        <v>1066</v>
      </c>
      <c r="P562" s="67">
        <v>32.0</v>
      </c>
      <c r="Q562" s="18" t="s">
        <v>476</v>
      </c>
      <c r="R562" s="68" t="str">
        <f>IFERROR(CONCATENATE("*",VLOOKUP(L562,PARAM!D:E,2,0),VLOOKUP(M562,PARAM!J:K,2,0),VLOOKUP(N562,PARAM!G:H,2,0),VLOOKUP(P562,PARAM!P:Q,2,0),"*"),"")</f>
        <v>*127814*</v>
      </c>
      <c r="S562" s="18" t="str">
        <f>IFERROR(CONCATENATE(VLOOKUP(L562,PARAM!D:E,2,0),VLOOKUP(M562,PARAM!J:K,2,0),VLOOKUP(N562,PARAM!G:H,2,0),VLOOKUP(O562,PARAM!M:N,2,0),VLOOKUP(P562,PARAM!P:Q,2,0)),"")</f>
        <v>12781214</v>
      </c>
      <c r="T562" s="18">
        <f t="shared" si="4"/>
        <v>8</v>
      </c>
      <c r="U562" s="18" t="str">
        <f t="shared" si="5"/>
        <v>JEANS CABALLERO CLASICO NEGRO TALLA 32</v>
      </c>
    </row>
    <row r="563">
      <c r="A563" s="64">
        <v>1.0</v>
      </c>
      <c r="B563" s="4" t="s">
        <v>2008</v>
      </c>
      <c r="C563" s="1"/>
      <c r="D563" s="4" t="s">
        <v>2009</v>
      </c>
      <c r="E563" s="3">
        <v>35000.0</v>
      </c>
      <c r="F563" s="2">
        <f t="shared" si="2"/>
        <v>35000</v>
      </c>
      <c r="G563" s="65">
        <f t="shared" si="7"/>
        <v>70000</v>
      </c>
      <c r="H563" s="1"/>
      <c r="I563" s="1"/>
      <c r="J563" s="1"/>
      <c r="K563" s="66" t="s">
        <v>1078</v>
      </c>
      <c r="L563" s="66" t="s">
        <v>1059</v>
      </c>
      <c r="M563" s="66" t="s">
        <v>1080</v>
      </c>
      <c r="N563" s="66" t="s">
        <v>1386</v>
      </c>
      <c r="O563" s="66" t="s">
        <v>1066</v>
      </c>
      <c r="P563" s="67">
        <v>34.0</v>
      </c>
      <c r="Q563" s="18" t="s">
        <v>476</v>
      </c>
      <c r="R563" s="68" t="str">
        <f>IFERROR(CONCATENATE("*",VLOOKUP(L563,PARAM!D:E,2,0),VLOOKUP(M563,PARAM!J:K,2,0),VLOOKUP(N563,PARAM!G:H,2,0),VLOOKUP(P563,PARAM!P:Q,2,0),"*"),"")</f>
        <v>*127815*</v>
      </c>
      <c r="S563" s="18" t="str">
        <f>IFERROR(CONCATENATE(VLOOKUP(L563,PARAM!D:E,2,0),VLOOKUP(M563,PARAM!J:K,2,0),VLOOKUP(N563,PARAM!G:H,2,0),VLOOKUP(O563,PARAM!M:N,2,0),VLOOKUP(P563,PARAM!P:Q,2,0)),"")</f>
        <v>12781215</v>
      </c>
      <c r="T563" s="18">
        <f t="shared" si="4"/>
        <v>8</v>
      </c>
      <c r="U563" s="18" t="str">
        <f t="shared" si="5"/>
        <v>JEANS CABALLERO CLASICO NEGRO TALLA 34</v>
      </c>
    </row>
    <row r="564">
      <c r="A564" s="64">
        <v>1.0</v>
      </c>
      <c r="B564" s="4" t="s">
        <v>2008</v>
      </c>
      <c r="C564" s="1"/>
      <c r="D564" s="4" t="s">
        <v>2009</v>
      </c>
      <c r="E564" s="3">
        <v>35000.0</v>
      </c>
      <c r="F564" s="2">
        <f t="shared" si="2"/>
        <v>35000</v>
      </c>
      <c r="G564" s="65">
        <f t="shared" si="7"/>
        <v>70000</v>
      </c>
      <c r="H564" s="1"/>
      <c r="I564" s="1"/>
      <c r="J564" s="1"/>
      <c r="K564" s="66" t="s">
        <v>1078</v>
      </c>
      <c r="L564" s="66" t="s">
        <v>1059</v>
      </c>
      <c r="M564" s="66" t="s">
        <v>1080</v>
      </c>
      <c r="N564" s="66" t="s">
        <v>1386</v>
      </c>
      <c r="O564" s="66" t="s">
        <v>1066</v>
      </c>
      <c r="P564" s="67">
        <v>36.0</v>
      </c>
      <c r="Q564" s="18" t="s">
        <v>476</v>
      </c>
      <c r="R564" s="68" t="str">
        <f>IFERROR(CONCATENATE("*",VLOOKUP(L564,PARAM!D:E,2,0),VLOOKUP(M564,PARAM!J:K,2,0),VLOOKUP(N564,PARAM!G:H,2,0),VLOOKUP(P564,PARAM!P:Q,2,0),"*"),"")</f>
        <v>*127816*</v>
      </c>
      <c r="S564" s="18" t="str">
        <f>IFERROR(CONCATENATE(VLOOKUP(L564,PARAM!D:E,2,0),VLOOKUP(M564,PARAM!J:K,2,0),VLOOKUP(N564,PARAM!G:H,2,0),VLOOKUP(O564,PARAM!M:N,2,0),VLOOKUP(P564,PARAM!P:Q,2,0)),"")</f>
        <v>12781216</v>
      </c>
      <c r="T564" s="18">
        <f t="shared" si="4"/>
        <v>8</v>
      </c>
      <c r="U564" s="18" t="str">
        <f t="shared" si="5"/>
        <v>JEANS CABALLERO CLASICO NEGRO TALLA 36</v>
      </c>
    </row>
    <row r="565">
      <c r="A565" s="64">
        <v>3.0</v>
      </c>
      <c r="B565" s="4" t="s">
        <v>2010</v>
      </c>
      <c r="C565" s="1"/>
      <c r="D565" s="4" t="s">
        <v>2010</v>
      </c>
      <c r="E565" s="3">
        <v>3500.0</v>
      </c>
      <c r="F565" s="2">
        <f t="shared" si="2"/>
        <v>10500</v>
      </c>
      <c r="G565" s="65">
        <f t="shared" si="7"/>
        <v>7000</v>
      </c>
      <c r="H565" s="1"/>
      <c r="I565" s="1"/>
      <c r="J565" s="1"/>
      <c r="K565" s="66" t="s">
        <v>427</v>
      </c>
      <c r="L565" s="66" t="s">
        <v>1387</v>
      </c>
      <c r="M565" s="66" t="s">
        <v>1060</v>
      </c>
      <c r="N565" s="18" t="s">
        <v>1388</v>
      </c>
      <c r="O565" s="66" t="s">
        <v>1069</v>
      </c>
      <c r="P565" s="67" t="s">
        <v>503</v>
      </c>
      <c r="Q565" s="18" t="s">
        <v>1006</v>
      </c>
      <c r="R565" s="68" t="str">
        <f>IFERROR(CONCATENATE("*",VLOOKUP(L565,PARAM!D:E,2,0),VLOOKUP(M565,PARAM!J:K,2,0),VLOOKUP(N565,PARAM!G:H,2,0),VLOOKUP(P565,PARAM!P:Q,2,0),"*"),"")</f>
        <v>*5611930*</v>
      </c>
      <c r="S565" s="18" t="str">
        <f>IFERROR(CONCATENATE(VLOOKUP(L565,PARAM!D:E,2,0),VLOOKUP(M565,PARAM!J:K,2,0),VLOOKUP(N565,PARAM!G:H,2,0),VLOOKUP(O565,PARAM!M:N,2,0),VLOOKUP(P565,PARAM!P:Q,2,0)),"")</f>
        <v>561193160</v>
      </c>
      <c r="T565" s="18">
        <f t="shared" si="4"/>
        <v>9</v>
      </c>
      <c r="U565" s="18" t="str">
        <f t="shared" si="5"/>
        <v>MOÑOS DAMA MOÑOS COLOMBIA VARIOS</v>
      </c>
    </row>
    <row r="566">
      <c r="A566" s="64">
        <v>2.0</v>
      </c>
      <c r="B566" s="4" t="s">
        <v>2011</v>
      </c>
      <c r="C566" s="1"/>
      <c r="D566" s="4" t="s">
        <v>2012</v>
      </c>
      <c r="E566" s="3">
        <v>7500.0</v>
      </c>
      <c r="F566" s="2">
        <f t="shared" si="2"/>
        <v>15000</v>
      </c>
      <c r="G566" s="65">
        <f t="shared" si="7"/>
        <v>15000</v>
      </c>
      <c r="H566" s="1"/>
      <c r="I566" s="1"/>
      <c r="J566" s="1"/>
      <c r="K566" s="66" t="s">
        <v>427</v>
      </c>
      <c r="L566" s="66" t="s">
        <v>1389</v>
      </c>
      <c r="M566" s="66" t="s">
        <v>1060</v>
      </c>
      <c r="N566" s="18" t="s">
        <v>1390</v>
      </c>
      <c r="O566" s="66" t="s">
        <v>1069</v>
      </c>
      <c r="P566" s="67" t="s">
        <v>503</v>
      </c>
      <c r="Q566" s="18" t="s">
        <v>1006</v>
      </c>
      <c r="R566" s="68" t="str">
        <f>IFERROR(CONCATENATE("*",VLOOKUP(L566,PARAM!D:E,2,0),VLOOKUP(M566,PARAM!J:K,2,0),VLOOKUP(N566,PARAM!G:H,2,0),VLOOKUP(P566,PARAM!P:Q,2,0),"*"),"")</f>
        <v>*5711200*</v>
      </c>
      <c r="S566" s="18" t="str">
        <f>IFERROR(CONCATENATE(VLOOKUP(L566,PARAM!D:E,2,0),VLOOKUP(M566,PARAM!J:K,2,0),VLOOKUP(N566,PARAM!G:H,2,0),VLOOKUP(O566,PARAM!M:N,2,0),VLOOKUP(P566,PARAM!P:Q,2,0)),"")</f>
        <v>571120160</v>
      </c>
      <c r="T566" s="18">
        <f t="shared" si="4"/>
        <v>9</v>
      </c>
      <c r="U566" s="18" t="str">
        <f t="shared" si="5"/>
        <v>ENCRESPADOR DAMA DOS COLORES VARIOS</v>
      </c>
    </row>
    <row r="567">
      <c r="A567" s="64">
        <v>2.0</v>
      </c>
      <c r="B567" s="4" t="s">
        <v>2013</v>
      </c>
      <c r="C567" s="1"/>
      <c r="D567" s="4" t="s">
        <v>2014</v>
      </c>
      <c r="E567" s="3">
        <v>5500.0</v>
      </c>
      <c r="F567" s="2">
        <f t="shared" si="2"/>
        <v>11000</v>
      </c>
      <c r="G567" s="65">
        <f t="shared" si="7"/>
        <v>11000</v>
      </c>
      <c r="H567" s="1"/>
      <c r="I567" s="1"/>
      <c r="J567" s="1"/>
      <c r="K567" s="66" t="s">
        <v>427</v>
      </c>
      <c r="L567" s="66" t="s">
        <v>1389</v>
      </c>
      <c r="M567" s="66" t="s">
        <v>1060</v>
      </c>
      <c r="N567" s="18" t="s">
        <v>1391</v>
      </c>
      <c r="O567" s="66" t="s">
        <v>1069</v>
      </c>
      <c r="P567" s="67" t="s">
        <v>503</v>
      </c>
      <c r="Q567" s="18" t="s">
        <v>1006</v>
      </c>
      <c r="R567" s="68" t="str">
        <f>IFERROR(CONCATENATE("*",VLOOKUP(L567,PARAM!D:E,2,0),VLOOKUP(M567,PARAM!J:K,2,0),VLOOKUP(N567,PARAM!G:H,2,0),VLOOKUP(P567,PARAM!P:Q,2,0),"*"),"")</f>
        <v>*571950*</v>
      </c>
      <c r="S567" s="18" t="str">
        <f>IFERROR(CONCATENATE(VLOOKUP(L567,PARAM!D:E,2,0),VLOOKUP(M567,PARAM!J:K,2,0),VLOOKUP(N567,PARAM!G:H,2,0),VLOOKUP(O567,PARAM!M:N,2,0),VLOOKUP(P567,PARAM!P:Q,2,0)),"")</f>
        <v>57195160</v>
      </c>
      <c r="T567" s="18">
        <f t="shared" si="4"/>
        <v>8</v>
      </c>
      <c r="U567" s="18" t="str">
        <f t="shared" si="5"/>
        <v>ENCRESPADOR DAMA CON SIRENA VARIOS</v>
      </c>
    </row>
    <row r="568">
      <c r="A568" s="64">
        <v>2.0</v>
      </c>
      <c r="B568" s="4" t="s">
        <v>2015</v>
      </c>
      <c r="C568" s="1"/>
      <c r="D568" s="4" t="s">
        <v>2016</v>
      </c>
      <c r="E568" s="3">
        <v>5500.0</v>
      </c>
      <c r="F568" s="2">
        <f t="shared" si="2"/>
        <v>11000</v>
      </c>
      <c r="G568" s="65">
        <f t="shared" si="7"/>
        <v>11000</v>
      </c>
      <c r="H568" s="1"/>
      <c r="I568" s="1"/>
      <c r="J568" s="1"/>
      <c r="K568" s="66" t="s">
        <v>427</v>
      </c>
      <c r="L568" s="66" t="s">
        <v>1389</v>
      </c>
      <c r="M568" s="66" t="s">
        <v>1060</v>
      </c>
      <c r="N568" s="18" t="s">
        <v>1392</v>
      </c>
      <c r="O568" s="66" t="s">
        <v>1069</v>
      </c>
      <c r="P568" s="67" t="s">
        <v>503</v>
      </c>
      <c r="Q568" s="18" t="s">
        <v>1006</v>
      </c>
      <c r="R568" s="68" t="str">
        <f>IFERROR(CONCATENATE("*",VLOOKUP(L568,PARAM!D:E,2,0),VLOOKUP(M568,PARAM!J:K,2,0),VLOOKUP(N568,PARAM!G:H,2,0),VLOOKUP(P568,PARAM!P:Q,2,0),"*"),"")</f>
        <v>*5712080*</v>
      </c>
      <c r="S568" s="18" t="str">
        <f>IFERROR(CONCATENATE(VLOOKUP(L568,PARAM!D:E,2,0),VLOOKUP(M568,PARAM!J:K,2,0),VLOOKUP(N568,PARAM!G:H,2,0),VLOOKUP(O568,PARAM!M:N,2,0),VLOOKUP(P568,PARAM!P:Q,2,0)),"")</f>
        <v>571208160</v>
      </c>
      <c r="T568" s="18">
        <f t="shared" si="4"/>
        <v>9</v>
      </c>
      <c r="U568" s="18" t="str">
        <f t="shared" si="5"/>
        <v>ENCRESPADOR DAMA PEPITAS BRILLANTES VARIOS</v>
      </c>
    </row>
    <row r="569">
      <c r="A569" s="64">
        <v>12.0</v>
      </c>
      <c r="B569" s="4" t="s">
        <v>2017</v>
      </c>
      <c r="C569" s="1"/>
      <c r="D569" s="4" t="s">
        <v>2018</v>
      </c>
      <c r="E569" s="3">
        <v>1000.0</v>
      </c>
      <c r="F569" s="2">
        <f t="shared" si="2"/>
        <v>12000</v>
      </c>
      <c r="G569" s="65">
        <f t="shared" si="7"/>
        <v>2000</v>
      </c>
      <c r="H569" s="1"/>
      <c r="I569" s="1"/>
      <c r="J569" s="1"/>
      <c r="K569" s="66" t="s">
        <v>427</v>
      </c>
      <c r="L569" s="66" t="s">
        <v>1393</v>
      </c>
      <c r="M569" s="66" t="s">
        <v>1060</v>
      </c>
      <c r="N569" s="18" t="s">
        <v>1393</v>
      </c>
      <c r="O569" s="66" t="s">
        <v>1069</v>
      </c>
      <c r="P569" s="67" t="s">
        <v>503</v>
      </c>
      <c r="Q569" s="18" t="s">
        <v>1006</v>
      </c>
      <c r="R569" s="68" t="str">
        <f>IFERROR(CONCATENATE("*",VLOOKUP(L569,PARAM!D:E,2,0),VLOOKUP(M569,PARAM!J:K,2,0),VLOOKUP(N569,PARAM!G:H,2,0),VLOOKUP(P569,PARAM!P:Q,2,0),"*"),"")</f>
        <v>*5812060*</v>
      </c>
      <c r="S569" s="18" t="str">
        <f>IFERROR(CONCATENATE(VLOOKUP(L569,PARAM!D:E,2,0),VLOOKUP(M569,PARAM!J:K,2,0),VLOOKUP(N569,PARAM!G:H,2,0),VLOOKUP(O569,PARAM!M:N,2,0),VLOOKUP(P569,PARAM!P:Q,2,0)),"")</f>
        <v>581206160</v>
      </c>
      <c r="T569" s="18">
        <f t="shared" si="4"/>
        <v>9</v>
      </c>
      <c r="U569" s="18" t="str">
        <f t="shared" si="5"/>
        <v>PAQUETE CAUCHOS DAMA PAQUETE CAUCHOS VARIOS</v>
      </c>
    </row>
    <row r="570">
      <c r="A570" s="64">
        <v>24.0</v>
      </c>
      <c r="B570" s="4" t="s">
        <v>2019</v>
      </c>
      <c r="C570" s="1"/>
      <c r="D570" s="4" t="s">
        <v>2020</v>
      </c>
      <c r="E570" s="3">
        <v>2500.0</v>
      </c>
      <c r="F570" s="2">
        <f t="shared" si="2"/>
        <v>60000</v>
      </c>
      <c r="G570" s="65">
        <f t="shared" si="7"/>
        <v>5000</v>
      </c>
      <c r="H570" s="1"/>
      <c r="I570" s="1"/>
      <c r="J570" s="1"/>
      <c r="K570" s="66" t="s">
        <v>427</v>
      </c>
      <c r="L570" s="66" t="s">
        <v>1269</v>
      </c>
      <c r="M570" s="66" t="s">
        <v>1060</v>
      </c>
      <c r="N570" s="18" t="s">
        <v>1394</v>
      </c>
      <c r="O570" s="66" t="s">
        <v>1069</v>
      </c>
      <c r="P570" s="67" t="s">
        <v>503</v>
      </c>
      <c r="Q570" s="18" t="s">
        <v>1006</v>
      </c>
      <c r="R570" s="68" t="str">
        <f>IFERROR(CONCATENATE("*",VLOOKUP(L570,PARAM!D:E,2,0),VLOOKUP(M570,PARAM!J:K,2,0),VLOOKUP(N570,PARAM!G:H,2,0),VLOOKUP(P570,PARAM!P:Q,2,0),"*"),"")</f>
        <v>*3111110*</v>
      </c>
      <c r="S570" s="18" t="str">
        <f>IFERROR(CONCATENATE(VLOOKUP(L570,PARAM!D:E,2,0),VLOOKUP(M570,PARAM!J:K,2,0),VLOOKUP(N570,PARAM!G:H,2,0),VLOOKUP(O570,PARAM!M:N,2,0),VLOOKUP(P570,PARAM!P:Q,2,0)),"")</f>
        <v>311111160</v>
      </c>
      <c r="T570" s="18">
        <f t="shared" si="4"/>
        <v>9</v>
      </c>
      <c r="U570" s="18" t="str">
        <f t="shared" si="5"/>
        <v>PULSERAS DAMA DE COLOMBIA VARIOS</v>
      </c>
    </row>
    <row r="571">
      <c r="A571" s="64">
        <v>3.0</v>
      </c>
      <c r="B571" s="4" t="s">
        <v>2021</v>
      </c>
      <c r="C571" s="1"/>
      <c r="D571" s="4" t="s">
        <v>2022</v>
      </c>
      <c r="E571" s="3">
        <v>3000.0</v>
      </c>
      <c r="F571" s="2">
        <f t="shared" si="2"/>
        <v>9000</v>
      </c>
      <c r="G571" s="65">
        <f t="shared" si="7"/>
        <v>6000</v>
      </c>
      <c r="H571" s="1"/>
      <c r="I571" s="1"/>
      <c r="J571" s="1"/>
      <c r="K571" s="66" t="s">
        <v>427</v>
      </c>
      <c r="L571" s="66" t="s">
        <v>1395</v>
      </c>
      <c r="M571" s="66" t="s">
        <v>1060</v>
      </c>
      <c r="N571" s="18" t="s">
        <v>1396</v>
      </c>
      <c r="O571" s="66" t="s">
        <v>1069</v>
      </c>
      <c r="P571" s="67" t="s">
        <v>503</v>
      </c>
      <c r="Q571" s="18" t="s">
        <v>1006</v>
      </c>
      <c r="R571" s="68" t="str">
        <f>IFERROR(CONCATENATE("*",VLOOKUP(L571,PARAM!D:E,2,0),VLOOKUP(M571,PARAM!J:K,2,0),VLOOKUP(N571,PARAM!G:H,2,0),VLOOKUP(P571,PARAM!P:Q,2,0),"*"),"")</f>
        <v>*591550*</v>
      </c>
      <c r="S571" s="18" t="str">
        <f>IFERROR(CONCATENATE(VLOOKUP(L571,PARAM!D:E,2,0),VLOOKUP(M571,PARAM!J:K,2,0),VLOOKUP(N571,PARAM!G:H,2,0),VLOOKUP(O571,PARAM!M:N,2,0),VLOOKUP(P571,PARAM!P:Q,2,0)),"")</f>
        <v>59155160</v>
      </c>
      <c r="T571" s="18">
        <f t="shared" si="4"/>
        <v>8</v>
      </c>
      <c r="U571" s="18" t="str">
        <f t="shared" si="5"/>
        <v>CAIMAN DAMA BRONCE CAIMAN VARIOS</v>
      </c>
    </row>
    <row r="572">
      <c r="A572" s="64">
        <v>2.0</v>
      </c>
      <c r="B572" s="4" t="s">
        <v>2023</v>
      </c>
      <c r="C572" s="1"/>
      <c r="D572" s="4" t="s">
        <v>2024</v>
      </c>
      <c r="E572" s="3">
        <v>11000.0</v>
      </c>
      <c r="F572" s="2">
        <f t="shared" si="2"/>
        <v>22000</v>
      </c>
      <c r="G572" s="65">
        <f t="shared" si="7"/>
        <v>22000</v>
      </c>
      <c r="H572" s="1"/>
      <c r="I572" s="1"/>
      <c r="J572" s="1"/>
      <c r="K572" s="66" t="s">
        <v>427</v>
      </c>
      <c r="L572" s="66" t="s">
        <v>1397</v>
      </c>
      <c r="M572" s="66" t="s">
        <v>1060</v>
      </c>
      <c r="N572" s="18" t="s">
        <v>1398</v>
      </c>
      <c r="O572" s="66" t="s">
        <v>1069</v>
      </c>
      <c r="P572" s="67" t="s">
        <v>503</v>
      </c>
      <c r="Q572" s="18" t="s">
        <v>1006</v>
      </c>
      <c r="R572" s="68" t="str">
        <f>IFERROR(CONCATENATE("*",VLOOKUP(L572,PARAM!D:E,2,0),VLOOKUP(M572,PARAM!J:K,2,0),VLOOKUP(N572,PARAM!G:H,2,0),VLOOKUP(P572,PARAM!P:Q,2,0),"*"),"")</f>
        <v>*6011030*</v>
      </c>
      <c r="S572" s="18" t="str">
        <f>IFERROR(CONCATENATE(VLOOKUP(L572,PARAM!D:E,2,0),VLOOKUP(M572,PARAM!J:K,2,0),VLOOKUP(N572,PARAM!G:H,2,0),VLOOKUP(O572,PARAM!M:N,2,0),VLOOKUP(P572,PARAM!P:Q,2,0)),"")</f>
        <v>601103160</v>
      </c>
      <c r="T572" s="18">
        <f t="shared" si="4"/>
        <v>9</v>
      </c>
      <c r="U572" s="18" t="str">
        <f t="shared" si="5"/>
        <v>COSMETIQUERA DAMA COSMETIQUERA COLORES VARIOS</v>
      </c>
    </row>
    <row r="573">
      <c r="A573" s="64">
        <v>13.0</v>
      </c>
      <c r="B573" s="4" t="s">
        <v>2025</v>
      </c>
      <c r="C573" s="1"/>
      <c r="D573" s="4" t="s">
        <v>2025</v>
      </c>
      <c r="E573" s="3">
        <v>9000.0</v>
      </c>
      <c r="F573" s="2">
        <f t="shared" si="2"/>
        <v>117000</v>
      </c>
      <c r="G573" s="65">
        <f t="shared" si="7"/>
        <v>18000</v>
      </c>
      <c r="H573" s="1"/>
      <c r="I573" s="1"/>
      <c r="J573" s="1"/>
      <c r="K573" s="66" t="s">
        <v>427</v>
      </c>
      <c r="L573" s="66" t="s">
        <v>1399</v>
      </c>
      <c r="M573" s="66" t="s">
        <v>1060</v>
      </c>
      <c r="N573" s="18" t="s">
        <v>1400</v>
      </c>
      <c r="O573" s="66" t="s">
        <v>1069</v>
      </c>
      <c r="P573" s="67" t="s">
        <v>503</v>
      </c>
      <c r="Q573" s="18" t="s">
        <v>1006</v>
      </c>
      <c r="R573" s="68" t="str">
        <f>IFERROR(CONCATENATE("*",VLOOKUP(L573,PARAM!D:E,2,0),VLOOKUP(M573,PARAM!J:K,2,0),VLOOKUP(N573,PARAM!G:H,2,0),VLOOKUP(P573,PARAM!P:Q,2,0),"*"),"")</f>
        <v>*611410*</v>
      </c>
      <c r="S573" s="18" t="str">
        <f>IFERROR(CONCATENATE(VLOOKUP(L573,PARAM!D:E,2,0),VLOOKUP(M573,PARAM!J:K,2,0),VLOOKUP(N573,PARAM!G:H,2,0),VLOOKUP(O573,PARAM!M:N,2,0),VLOOKUP(P573,PARAM!P:Q,2,0)),"")</f>
        <v>61141160</v>
      </c>
      <c r="T573" s="18">
        <f t="shared" si="4"/>
        <v>8</v>
      </c>
      <c r="U573" s="18" t="str">
        <f t="shared" si="5"/>
        <v>BALACA DAMA BALACA TELA VARIOS</v>
      </c>
    </row>
    <row r="574">
      <c r="A574" s="64">
        <v>6.0</v>
      </c>
      <c r="B574" s="4" t="s">
        <v>2026</v>
      </c>
      <c r="C574" s="1"/>
      <c r="D574" s="4" t="s">
        <v>2027</v>
      </c>
      <c r="E574" s="3">
        <v>7500.0</v>
      </c>
      <c r="F574" s="2">
        <f t="shared" si="2"/>
        <v>45000</v>
      </c>
      <c r="G574" s="65">
        <f t="shared" si="7"/>
        <v>15000</v>
      </c>
      <c r="H574" s="1"/>
      <c r="I574" s="1"/>
      <c r="J574" s="1"/>
      <c r="K574" s="66" t="s">
        <v>427</v>
      </c>
      <c r="L574" s="66" t="s">
        <v>1097</v>
      </c>
      <c r="M574" s="66" t="s">
        <v>1060</v>
      </c>
      <c r="N574" s="18" t="s">
        <v>1401</v>
      </c>
      <c r="O574" s="66" t="s">
        <v>1069</v>
      </c>
      <c r="P574" s="67" t="s">
        <v>503</v>
      </c>
      <c r="Q574" s="18" t="s">
        <v>1006</v>
      </c>
      <c r="R574" s="68" t="str">
        <f>IFERROR(CONCATENATE("*",VLOOKUP(L574,PARAM!D:E,2,0),VLOOKUP(M574,PARAM!J:K,2,0),VLOOKUP(N574,PARAM!G:H,2,0),VLOOKUP(P574,PARAM!P:Q,2,0),"*"),"")</f>
        <v>*471590*</v>
      </c>
      <c r="S574" s="18" t="str">
        <f>IFERROR(CONCATENATE(VLOOKUP(L574,PARAM!D:E,2,0),VLOOKUP(M574,PARAM!J:K,2,0),VLOOKUP(N574,PARAM!G:H,2,0),VLOOKUP(O574,PARAM!M:N,2,0),VLOOKUP(P574,PARAM!P:Q,2,0)),"")</f>
        <v>47159160</v>
      </c>
      <c r="T574" s="18">
        <f t="shared" si="4"/>
        <v>8</v>
      </c>
      <c r="U574" s="18" t="str">
        <f t="shared" si="5"/>
        <v>BRILLO DAMA CAJA GRIS VARIOS</v>
      </c>
    </row>
    <row r="575">
      <c r="A575" s="64">
        <v>2.0</v>
      </c>
      <c r="B575" s="4" t="s">
        <v>2028</v>
      </c>
      <c r="C575" s="1"/>
      <c r="D575" s="4" t="s">
        <v>2028</v>
      </c>
      <c r="E575" s="3">
        <v>4000.0</v>
      </c>
      <c r="F575" s="2">
        <f t="shared" si="2"/>
        <v>8000</v>
      </c>
      <c r="G575" s="65">
        <f t="shared" si="7"/>
        <v>8000</v>
      </c>
      <c r="H575" s="1"/>
      <c r="I575" s="1"/>
      <c r="J575" s="1"/>
      <c r="K575" s="66" t="s">
        <v>427</v>
      </c>
      <c r="L575" s="66" t="s">
        <v>1402</v>
      </c>
      <c r="M575" s="66" t="s">
        <v>1060</v>
      </c>
      <c r="N575" s="18" t="s">
        <v>1403</v>
      </c>
      <c r="O575" s="66" t="s">
        <v>1069</v>
      </c>
      <c r="P575" s="67" t="s">
        <v>503</v>
      </c>
      <c r="Q575" s="18" t="s">
        <v>1006</v>
      </c>
      <c r="R575" s="68" t="str">
        <f>IFERROR(CONCATENATE("*",VLOOKUP(L575,PARAM!D:E,2,0),VLOOKUP(M575,PARAM!J:K,2,0),VLOOKUP(N575,PARAM!G:H,2,0),VLOOKUP(P575,PARAM!P:Q,2,0),"*"),"")</f>
        <v>*6211410*</v>
      </c>
      <c r="S575" s="18" t="str">
        <f>IFERROR(CONCATENATE(VLOOKUP(L575,PARAM!D:E,2,0),VLOOKUP(M575,PARAM!J:K,2,0),VLOOKUP(N575,PARAM!G:H,2,0),VLOOKUP(O575,PARAM!M:N,2,0),VLOOKUP(P575,PARAM!P:Q,2,0)),"")</f>
        <v>621141160</v>
      </c>
      <c r="T575" s="18">
        <f t="shared" si="4"/>
        <v>9</v>
      </c>
      <c r="U575" s="18" t="str">
        <f t="shared" si="5"/>
        <v>HEBILLA DAMA HEBILLA ESTRELLA VARIOS</v>
      </c>
    </row>
    <row r="576">
      <c r="A576" s="64">
        <v>24.0</v>
      </c>
      <c r="B576" s="4" t="s">
        <v>2029</v>
      </c>
      <c r="C576" s="1"/>
      <c r="D576" s="4" t="s">
        <v>2029</v>
      </c>
      <c r="E576" s="3">
        <v>1500.0</v>
      </c>
      <c r="F576" s="2">
        <f t="shared" si="2"/>
        <v>36000</v>
      </c>
      <c r="G576" s="65">
        <f t="shared" si="7"/>
        <v>3000</v>
      </c>
      <c r="H576" s="1"/>
      <c r="I576" s="1"/>
      <c r="J576" s="1"/>
      <c r="K576" s="66" t="s">
        <v>427</v>
      </c>
      <c r="L576" s="66" t="s">
        <v>1404</v>
      </c>
      <c r="M576" s="66" t="s">
        <v>1060</v>
      </c>
      <c r="N576" s="18" t="s">
        <v>1405</v>
      </c>
      <c r="O576" s="66" t="s">
        <v>1069</v>
      </c>
      <c r="P576" s="67" t="s">
        <v>503</v>
      </c>
      <c r="Q576" s="18" t="s">
        <v>1006</v>
      </c>
      <c r="R576" s="68" t="str">
        <f>IFERROR(CONCATENATE("*",VLOOKUP(L576,PARAM!D:E,2,0),VLOOKUP(M576,PARAM!J:K,2,0),VLOOKUP(N576,PARAM!G:H,2,0),VLOOKUP(P576,PARAM!P:Q,2,0),"*"),"")</f>
        <v>*631420*</v>
      </c>
      <c r="S576" s="18" t="str">
        <f>IFERROR(CONCATENATE(VLOOKUP(L576,PARAM!D:E,2,0),VLOOKUP(M576,PARAM!J:K,2,0),VLOOKUP(N576,PARAM!G:H,2,0),VLOOKUP(O576,PARAM!M:N,2,0),VLOOKUP(P576,PARAM!P:Q,2,0)),"")</f>
        <v>63142160</v>
      </c>
      <c r="T576" s="18">
        <f t="shared" si="4"/>
        <v>8</v>
      </c>
      <c r="U576" s="18" t="str">
        <f t="shared" si="5"/>
        <v>BAMBA DAMA BAMBA SATIN VARIOS</v>
      </c>
    </row>
    <row r="577">
      <c r="A577" s="64">
        <v>6.0</v>
      </c>
      <c r="B577" s="4" t="s">
        <v>2030</v>
      </c>
      <c r="C577" s="1"/>
      <c r="D577" s="4" t="s">
        <v>2031</v>
      </c>
      <c r="E577" s="3">
        <v>3500.0</v>
      </c>
      <c r="F577" s="2">
        <f t="shared" si="2"/>
        <v>21000</v>
      </c>
      <c r="G577" s="65">
        <f t="shared" si="7"/>
        <v>7000</v>
      </c>
      <c r="H577" s="1"/>
      <c r="I577" s="1"/>
      <c r="J577" s="1"/>
      <c r="K577" s="66" t="s">
        <v>427</v>
      </c>
      <c r="L577" s="66" t="s">
        <v>1097</v>
      </c>
      <c r="M577" s="66" t="s">
        <v>1060</v>
      </c>
      <c r="N577" s="18" t="s">
        <v>1406</v>
      </c>
      <c r="O577" s="66" t="s">
        <v>1069</v>
      </c>
      <c r="P577" s="67" t="s">
        <v>503</v>
      </c>
      <c r="Q577" s="18" t="s">
        <v>1006</v>
      </c>
      <c r="R577" s="68" t="str">
        <f>IFERROR(CONCATENATE("*",VLOOKUP(L577,PARAM!D:E,2,0),VLOOKUP(M577,PARAM!J:K,2,0),VLOOKUP(N577,PARAM!G:H,2,0),VLOOKUP(P577,PARAM!P:Q,2,0),"*"),"")</f>
        <v>*4712570*</v>
      </c>
      <c r="S577" s="18" t="str">
        <f>IFERROR(CONCATENATE(VLOOKUP(L577,PARAM!D:E,2,0),VLOOKUP(M577,PARAM!J:K,2,0),VLOOKUP(N577,PARAM!G:H,2,0),VLOOKUP(O577,PARAM!M:N,2,0),VLOOKUP(P577,PARAM!P:Q,2,0)),"")</f>
        <v>471257160</v>
      </c>
      <c r="T577" s="18">
        <f t="shared" si="4"/>
        <v>9</v>
      </c>
      <c r="U577" s="18" t="str">
        <f t="shared" si="5"/>
        <v>BRILLO DAMA TAPA CONCHA VARIOS</v>
      </c>
    </row>
    <row r="578">
      <c r="A578" s="64">
        <v>3.0</v>
      </c>
      <c r="B578" s="4" t="s">
        <v>2032</v>
      </c>
      <c r="C578" s="1"/>
      <c r="D578" s="4" t="s">
        <v>2032</v>
      </c>
      <c r="E578" s="3">
        <v>5000.0</v>
      </c>
      <c r="F578" s="2">
        <f t="shared" si="2"/>
        <v>15000</v>
      </c>
      <c r="G578" s="65">
        <f t="shared" si="7"/>
        <v>10000</v>
      </c>
      <c r="H578" s="1"/>
      <c r="I578" s="1"/>
      <c r="J578" s="1"/>
      <c r="K578" s="66" t="s">
        <v>427</v>
      </c>
      <c r="L578" s="66" t="s">
        <v>1407</v>
      </c>
      <c r="M578" s="66" t="s">
        <v>1060</v>
      </c>
      <c r="N578" s="18" t="s">
        <v>1408</v>
      </c>
      <c r="O578" s="66" t="s">
        <v>1069</v>
      </c>
      <c r="P578" s="67" t="s">
        <v>503</v>
      </c>
      <c r="Q578" s="18" t="s">
        <v>1006</v>
      </c>
      <c r="R578" s="68" t="str">
        <f>IFERROR(CONCATENATE("*",VLOOKUP(L578,PARAM!D:E,2,0),VLOOKUP(M578,PARAM!J:K,2,0),VLOOKUP(N578,PARAM!G:H,2,0),VLOOKUP(P578,PARAM!P:Q,2,0),"*"),"")</f>
        <v>*6412450*</v>
      </c>
      <c r="S578" s="18" t="str">
        <f>IFERROR(CONCATENATE(VLOOKUP(L578,PARAM!D:E,2,0),VLOOKUP(M578,PARAM!J:K,2,0),VLOOKUP(N578,PARAM!G:H,2,0),VLOOKUP(O578,PARAM!M:N,2,0),VLOOKUP(P578,PARAM!P:Q,2,0)),"")</f>
        <v>641245160</v>
      </c>
      <c r="T578" s="18">
        <f t="shared" si="4"/>
        <v>9</v>
      </c>
      <c r="U578" s="18" t="str">
        <f t="shared" si="5"/>
        <v>RUBOR DAMA RUBOR RIMOCOO VARIOS</v>
      </c>
    </row>
    <row r="579">
      <c r="A579" s="64">
        <v>2.0</v>
      </c>
      <c r="B579" s="4" t="s">
        <v>2033</v>
      </c>
      <c r="C579" s="1"/>
      <c r="D579" s="4" t="s">
        <v>2033</v>
      </c>
      <c r="E579" s="3">
        <v>12000.0</v>
      </c>
      <c r="F579" s="2">
        <f t="shared" si="2"/>
        <v>24000</v>
      </c>
      <c r="G579" s="65">
        <f t="shared" si="7"/>
        <v>24000</v>
      </c>
      <c r="H579" s="1"/>
      <c r="I579" s="1"/>
      <c r="J579" s="1"/>
      <c r="K579" s="66" t="s">
        <v>427</v>
      </c>
      <c r="L579" s="66" t="s">
        <v>1409</v>
      </c>
      <c r="M579" s="66" t="s">
        <v>1060</v>
      </c>
      <c r="N579" s="18" t="s">
        <v>1410</v>
      </c>
      <c r="O579" s="66" t="s">
        <v>1069</v>
      </c>
      <c r="P579" s="67" t="s">
        <v>503</v>
      </c>
      <c r="Q579" s="18" t="s">
        <v>1006</v>
      </c>
      <c r="R579" s="68" t="str">
        <f>IFERROR(CONCATENATE("*",VLOOKUP(L579,PARAM!D:E,2,0),VLOOKUP(M579,PARAM!J:K,2,0),VLOOKUP(N579,PARAM!G:H,2,0),VLOOKUP(P579,PARAM!P:Q,2,0),"*"),"")</f>
        <v>*6512530*</v>
      </c>
      <c r="S579" s="18" t="str">
        <f>IFERROR(CONCATENATE(VLOOKUP(L579,PARAM!D:E,2,0),VLOOKUP(M579,PARAM!J:K,2,0),VLOOKUP(N579,PARAM!G:H,2,0),VLOOKUP(O579,PARAM!M:N,2,0),VLOOKUP(P579,PARAM!P:Q,2,0)),"")</f>
        <v>651253160</v>
      </c>
      <c r="T579" s="18">
        <f t="shared" si="4"/>
        <v>9</v>
      </c>
      <c r="U579" s="18" t="str">
        <f t="shared" si="5"/>
        <v>SOMBRA DAMA SOMBRA BIGCAKE VARIOS</v>
      </c>
    </row>
    <row r="580">
      <c r="A580" s="64">
        <v>2.0</v>
      </c>
      <c r="B580" s="4" t="s">
        <v>2034</v>
      </c>
      <c r="C580" s="1"/>
      <c r="D580" s="4" t="s">
        <v>1411</v>
      </c>
      <c r="E580" s="3">
        <v>10000.0</v>
      </c>
      <c r="F580" s="2">
        <f t="shared" si="2"/>
        <v>20000</v>
      </c>
      <c r="G580" s="65">
        <f t="shared" si="7"/>
        <v>20000</v>
      </c>
      <c r="H580" s="1"/>
      <c r="I580" s="1"/>
      <c r="J580" s="1"/>
      <c r="K580" s="66" t="s">
        <v>427</v>
      </c>
      <c r="L580" s="66" t="s">
        <v>1409</v>
      </c>
      <c r="M580" s="66" t="s">
        <v>1060</v>
      </c>
      <c r="N580" s="18" t="s">
        <v>1411</v>
      </c>
      <c r="O580" s="66" t="s">
        <v>1069</v>
      </c>
      <c r="P580" s="67" t="s">
        <v>503</v>
      </c>
      <c r="Q580" s="18" t="s">
        <v>1006</v>
      </c>
      <c r="R580" s="68" t="str">
        <f>IFERROR(CONCATENATE("*",VLOOKUP(L580,PARAM!D:E,2,0),VLOOKUP(M580,PARAM!J:K,2,0),VLOOKUP(N580,PARAM!G:H,2,0),VLOOKUP(P580,PARAM!P:Q,2,0),"*"),"")</f>
        <v>*6511190*</v>
      </c>
      <c r="S580" s="18" t="str">
        <f>IFERROR(CONCATENATE(VLOOKUP(L580,PARAM!D:E,2,0),VLOOKUP(M580,PARAM!J:K,2,0),VLOOKUP(N580,PARAM!G:H,2,0),VLOOKUP(O580,PARAM!M:N,2,0),VLOOKUP(P580,PARAM!P:Q,2,0)),"")</f>
        <v>651119160</v>
      </c>
      <c r="T580" s="18">
        <f t="shared" si="4"/>
        <v>9</v>
      </c>
      <c r="U580" s="18" t="str">
        <f t="shared" si="5"/>
        <v>SOMBRA DAMA DIY BEAR VARIOS</v>
      </c>
    </row>
    <row r="581">
      <c r="A581" s="64">
        <v>2.0</v>
      </c>
      <c r="B581" s="4" t="s">
        <v>2035</v>
      </c>
      <c r="C581" s="1"/>
      <c r="D581" s="4" t="s">
        <v>2036</v>
      </c>
      <c r="E581" s="3">
        <v>6000.0</v>
      </c>
      <c r="F581" s="2">
        <f t="shared" si="2"/>
        <v>12000</v>
      </c>
      <c r="G581" s="65">
        <f t="shared" si="7"/>
        <v>12000</v>
      </c>
      <c r="H581" s="1"/>
      <c r="I581" s="1"/>
      <c r="J581" s="1"/>
      <c r="K581" s="66" t="s">
        <v>427</v>
      </c>
      <c r="L581" s="66" t="s">
        <v>1097</v>
      </c>
      <c r="M581" s="66" t="s">
        <v>1060</v>
      </c>
      <c r="N581" s="18" t="s">
        <v>1412</v>
      </c>
      <c r="O581" s="66" t="s">
        <v>1069</v>
      </c>
      <c r="P581" s="67" t="s">
        <v>503</v>
      </c>
      <c r="Q581" s="18" t="s">
        <v>1006</v>
      </c>
      <c r="R581" s="68" t="str">
        <f>IFERROR(CONCATENATE("*",VLOOKUP(L581,PARAM!D:E,2,0),VLOOKUP(M581,PARAM!J:K,2,0),VLOOKUP(N581,PARAM!G:H,2,0),VLOOKUP(P581,PARAM!P:Q,2,0),"*"),"")</f>
        <v>*4711100*</v>
      </c>
      <c r="S581" s="18" t="str">
        <f>IFERROR(CONCATENATE(VLOOKUP(L581,PARAM!D:E,2,0),VLOOKUP(M581,PARAM!J:K,2,0),VLOOKUP(N581,PARAM!G:H,2,0),VLOOKUP(O581,PARAM!M:N,2,0),VLOOKUP(P581,PARAM!P:Q,2,0)),"")</f>
        <v>471110160</v>
      </c>
      <c r="T581" s="18">
        <f t="shared" si="4"/>
        <v>9</v>
      </c>
      <c r="U581" s="18" t="str">
        <f t="shared" si="5"/>
        <v>BRILLO DAMA CUTE RABBIT VARIOS</v>
      </c>
    </row>
    <row r="582">
      <c r="A582" s="64">
        <v>4.0</v>
      </c>
      <c r="B582" s="4" t="s">
        <v>2037</v>
      </c>
      <c r="C582" s="1"/>
      <c r="D582" s="4" t="s">
        <v>2038</v>
      </c>
      <c r="E582" s="3">
        <v>13000.0</v>
      </c>
      <c r="F582" s="2">
        <f t="shared" si="2"/>
        <v>52000</v>
      </c>
      <c r="G582" s="65">
        <f t="shared" si="7"/>
        <v>26000</v>
      </c>
      <c r="H582" s="1"/>
      <c r="I582" s="1"/>
      <c r="J582" s="1"/>
      <c r="K582" s="66" t="s">
        <v>427</v>
      </c>
      <c r="L582" s="66" t="s">
        <v>1409</v>
      </c>
      <c r="M582" s="66" t="s">
        <v>1060</v>
      </c>
      <c r="N582" s="18" t="s">
        <v>1413</v>
      </c>
      <c r="O582" s="66" t="s">
        <v>1069</v>
      </c>
      <c r="P582" s="67" t="s">
        <v>503</v>
      </c>
      <c r="Q582" s="18" t="s">
        <v>1006</v>
      </c>
      <c r="R582" s="68" t="str">
        <f>IFERROR(CONCATENATE("*",VLOOKUP(L582,PARAM!D:E,2,0),VLOOKUP(M582,PARAM!J:K,2,0),VLOOKUP(N582,PARAM!G:H,2,0),VLOOKUP(P582,PARAM!P:Q,2,0),"*"),"")</f>
        <v>*6511380*</v>
      </c>
      <c r="S582" s="18" t="str">
        <f>IFERROR(CONCATENATE(VLOOKUP(L582,PARAM!D:E,2,0),VLOOKUP(M582,PARAM!J:K,2,0),VLOOKUP(N582,PARAM!G:H,2,0),VLOOKUP(O582,PARAM!M:N,2,0),VLOOKUP(P582,PARAM!P:Q,2,0)),"")</f>
        <v>651138160</v>
      </c>
      <c r="T582" s="18">
        <f t="shared" si="4"/>
        <v>9</v>
      </c>
      <c r="U582" s="18" t="str">
        <f t="shared" si="5"/>
        <v>SOMBRA DAMA GIRL POWER - DELICIUS CHEESE VARIOS</v>
      </c>
    </row>
    <row r="583">
      <c r="A583" s="64">
        <v>6.0</v>
      </c>
      <c r="B583" s="4" t="s">
        <v>2039</v>
      </c>
      <c r="C583" s="1"/>
      <c r="D583" s="4" t="s">
        <v>2039</v>
      </c>
      <c r="E583" s="3">
        <v>1500.0</v>
      </c>
      <c r="F583" s="2">
        <f t="shared" si="2"/>
        <v>9000</v>
      </c>
      <c r="G583" s="65">
        <f t="shared" si="7"/>
        <v>3000</v>
      </c>
      <c r="H583" s="1"/>
      <c r="I583" s="1"/>
      <c r="J583" s="1"/>
      <c r="K583" s="66" t="s">
        <v>427</v>
      </c>
      <c r="L583" s="66" t="s">
        <v>1395</v>
      </c>
      <c r="M583" s="66" t="s">
        <v>1060</v>
      </c>
      <c r="N583" s="18" t="s">
        <v>1414</v>
      </c>
      <c r="O583" s="66" t="s">
        <v>1069</v>
      </c>
      <c r="P583" s="67" t="s">
        <v>503</v>
      </c>
      <c r="Q583" s="18" t="s">
        <v>1006</v>
      </c>
      <c r="R583" s="68" t="str">
        <f>IFERROR(CONCATENATE("*",VLOOKUP(L583,PARAM!D:E,2,0),VLOOKUP(M583,PARAM!J:K,2,0),VLOOKUP(N583,PARAM!G:H,2,0),VLOOKUP(P583,PARAM!P:Q,2,0),"*"),"")</f>
        <v>*591580*</v>
      </c>
      <c r="S583" s="18" t="str">
        <f>IFERROR(CONCATENATE(VLOOKUP(L583,PARAM!D:E,2,0),VLOOKUP(M583,PARAM!J:K,2,0),VLOOKUP(N583,PARAM!G:H,2,0),VLOOKUP(O583,PARAM!M:N,2,0),VLOOKUP(P583,PARAM!P:Q,2,0)),"")</f>
        <v>59158160</v>
      </c>
      <c r="T583" s="18">
        <f t="shared" si="4"/>
        <v>8</v>
      </c>
      <c r="U583" s="18" t="str">
        <f t="shared" si="5"/>
        <v>CAIMAN DAMA CAIMAN BRILLO VARIOS</v>
      </c>
    </row>
    <row r="584">
      <c r="A584" s="64">
        <v>15.0</v>
      </c>
      <c r="B584" s="4" t="s">
        <v>2040</v>
      </c>
      <c r="C584" s="1"/>
      <c r="D584" s="4" t="s">
        <v>2041</v>
      </c>
      <c r="E584" s="3">
        <v>3000.0</v>
      </c>
      <c r="F584" s="2">
        <f t="shared" si="2"/>
        <v>45000</v>
      </c>
      <c r="G584" s="65">
        <f t="shared" si="7"/>
        <v>6000</v>
      </c>
      <c r="H584" s="1"/>
      <c r="I584" s="1"/>
      <c r="J584" s="1"/>
      <c r="K584" s="66" t="s">
        <v>427</v>
      </c>
      <c r="L584" s="66" t="s">
        <v>1395</v>
      </c>
      <c r="M584" s="66" t="s">
        <v>1060</v>
      </c>
      <c r="N584" s="18" t="s">
        <v>1415</v>
      </c>
      <c r="O584" s="66" t="s">
        <v>1069</v>
      </c>
      <c r="P584" s="67" t="s">
        <v>503</v>
      </c>
      <c r="Q584" s="18" t="s">
        <v>1006</v>
      </c>
      <c r="R584" s="68" t="str">
        <f>IFERROR(CONCATENATE("*",VLOOKUP(L584,PARAM!D:E,2,0),VLOOKUP(M584,PARAM!J:K,2,0),VLOOKUP(N584,PARAM!G:H,2,0),VLOOKUP(P584,PARAM!P:Q,2,0),"*"),"")</f>
        <v>*5911360*</v>
      </c>
      <c r="S584" s="18" t="str">
        <f>IFERROR(CONCATENATE(VLOOKUP(L584,PARAM!D:E,2,0),VLOOKUP(M584,PARAM!J:K,2,0),VLOOKUP(N584,PARAM!G:H,2,0),VLOOKUP(O584,PARAM!M:N,2,0),VLOOKUP(P584,PARAM!P:Q,2,0)),"")</f>
        <v>591136160</v>
      </c>
      <c r="T584" s="18">
        <f t="shared" si="4"/>
        <v>9</v>
      </c>
      <c r="U584" s="18" t="str">
        <f t="shared" si="5"/>
        <v>CAIMAN DAMA FLORES PELUCHE Y DEMAS VARIOS</v>
      </c>
    </row>
    <row r="585">
      <c r="A585" s="64">
        <v>4.0</v>
      </c>
      <c r="B585" s="4" t="s">
        <v>2042</v>
      </c>
      <c r="C585" s="1"/>
      <c r="D585" s="4" t="s">
        <v>2043</v>
      </c>
      <c r="E585" s="3">
        <v>3000.0</v>
      </c>
      <c r="F585" s="2">
        <f t="shared" si="2"/>
        <v>12000</v>
      </c>
      <c r="G585" s="65">
        <f t="shared" si="7"/>
        <v>6000</v>
      </c>
      <c r="H585" s="1"/>
      <c r="I585" s="1"/>
      <c r="J585" s="1"/>
      <c r="K585" s="66" t="s">
        <v>427</v>
      </c>
      <c r="L585" s="66" t="s">
        <v>1395</v>
      </c>
      <c r="M585" s="66" t="s">
        <v>1060</v>
      </c>
      <c r="N585" s="18" t="s">
        <v>1416</v>
      </c>
      <c r="O585" s="66" t="s">
        <v>1069</v>
      </c>
      <c r="P585" s="67" t="s">
        <v>503</v>
      </c>
      <c r="Q585" s="18" t="s">
        <v>1006</v>
      </c>
      <c r="R585" s="68" t="str">
        <f>IFERROR(CONCATENATE("*",VLOOKUP(L585,PARAM!D:E,2,0),VLOOKUP(M585,PARAM!J:K,2,0),VLOOKUP(N585,PARAM!G:H,2,0),VLOOKUP(P585,PARAM!P:Q,2,0),"*"),"")</f>
        <v>*5911980*</v>
      </c>
      <c r="S585" s="18" t="str">
        <f>IFERROR(CONCATENATE(VLOOKUP(L585,PARAM!D:E,2,0),VLOOKUP(M585,PARAM!J:K,2,0),VLOOKUP(N585,PARAM!G:H,2,0),VLOOKUP(O585,PARAM!M:N,2,0),VLOOKUP(P585,PARAM!P:Q,2,0)),"")</f>
        <v>591198160</v>
      </c>
      <c r="T585" s="18">
        <f t="shared" si="4"/>
        <v>9</v>
      </c>
      <c r="U585" s="18" t="str">
        <f t="shared" si="5"/>
        <v>CAIMAN DAMA OSCURO CAFE VARIOS</v>
      </c>
    </row>
    <row r="586">
      <c r="A586" s="64">
        <v>2.0</v>
      </c>
      <c r="B586" s="4" t="s">
        <v>2044</v>
      </c>
      <c r="C586" s="1"/>
      <c r="D586" s="4" t="s">
        <v>2045</v>
      </c>
      <c r="E586" s="3">
        <v>8000.0</v>
      </c>
      <c r="F586" s="2">
        <f t="shared" si="2"/>
        <v>16000</v>
      </c>
      <c r="G586" s="65">
        <f t="shared" si="7"/>
        <v>16000</v>
      </c>
      <c r="H586" s="1"/>
      <c r="I586" s="1"/>
      <c r="J586" s="1"/>
      <c r="K586" s="66" t="s">
        <v>427</v>
      </c>
      <c r="L586" s="66" t="s">
        <v>1417</v>
      </c>
      <c r="M586" s="66" t="s">
        <v>1060</v>
      </c>
      <c r="N586" s="18" t="s">
        <v>1418</v>
      </c>
      <c r="O586" s="66" t="s">
        <v>1069</v>
      </c>
      <c r="P586" s="67" t="s">
        <v>503</v>
      </c>
      <c r="Q586" s="18" t="s">
        <v>1006</v>
      </c>
      <c r="R586" s="68" t="str">
        <f>IFERROR(CONCATENATE("*",VLOOKUP(L586,PARAM!D:E,2,0),VLOOKUP(M586,PARAM!J:K,2,0),VLOOKUP(N586,PARAM!G:H,2,0),VLOOKUP(P586,PARAM!P:Q,2,0),"*"),"")</f>
        <v>*661960*</v>
      </c>
      <c r="S586" s="18" t="str">
        <f>IFERROR(CONCATENATE(VLOOKUP(L586,PARAM!D:E,2,0),VLOOKUP(M586,PARAM!J:K,2,0),VLOOKUP(N586,PARAM!G:H,2,0),VLOOKUP(O586,PARAM!M:N,2,0),VLOOKUP(P586,PARAM!P:Q,2,0)),"")</f>
        <v>66196160</v>
      </c>
      <c r="T586" s="18">
        <f t="shared" si="4"/>
        <v>8</v>
      </c>
      <c r="U586" s="18" t="str">
        <f t="shared" si="5"/>
        <v>CORRECTOR DAMA CONCEDER YEAHKISS VARIOS</v>
      </c>
    </row>
    <row r="587">
      <c r="A587" s="64">
        <v>12.0</v>
      </c>
      <c r="B587" s="4" t="s">
        <v>2046</v>
      </c>
      <c r="C587" s="1"/>
      <c r="D587" s="4" t="s">
        <v>2047</v>
      </c>
      <c r="E587" s="3">
        <v>800.0</v>
      </c>
      <c r="F587" s="2">
        <f t="shared" si="2"/>
        <v>9600</v>
      </c>
      <c r="G587" s="65">
        <f t="shared" si="7"/>
        <v>1600</v>
      </c>
      <c r="H587" s="1"/>
      <c r="I587" s="1"/>
      <c r="J587" s="1"/>
      <c r="K587" s="66" t="s">
        <v>427</v>
      </c>
      <c r="L587" s="66" t="s">
        <v>1387</v>
      </c>
      <c r="M587" s="66" t="s">
        <v>1060</v>
      </c>
      <c r="N587" s="18" t="s">
        <v>1419</v>
      </c>
      <c r="O587" s="66" t="s">
        <v>1069</v>
      </c>
      <c r="P587" s="67" t="s">
        <v>503</v>
      </c>
      <c r="Q587" s="18" t="s">
        <v>1006</v>
      </c>
      <c r="R587" s="68" t="str">
        <f>IFERROR(CONCATENATE("*",VLOOKUP(L587,PARAM!D:E,2,0),VLOOKUP(M587,PARAM!J:K,2,0),VLOOKUP(N587,PARAM!G:H,2,0),VLOOKUP(P587,PARAM!P:Q,2,0),"*"),"")</f>
        <v>*5611960*</v>
      </c>
      <c r="S587" s="18" t="str">
        <f>IFERROR(CONCATENATE(VLOOKUP(L587,PARAM!D:E,2,0),VLOOKUP(M587,PARAM!J:K,2,0),VLOOKUP(N587,PARAM!G:H,2,0),VLOOKUP(O587,PARAM!M:N,2,0),VLOOKUP(P587,PARAM!P:Q,2,0)),"")</f>
        <v>561196160</v>
      </c>
      <c r="T587" s="18">
        <f t="shared" si="4"/>
        <v>9</v>
      </c>
      <c r="U587" s="18" t="str">
        <f t="shared" si="5"/>
        <v>MOÑOS DAMA NEGRA CAFE BEIGE VARIOS</v>
      </c>
    </row>
    <row r="588">
      <c r="A588" s="64">
        <v>8.0</v>
      </c>
      <c r="B588" s="4" t="s">
        <v>2048</v>
      </c>
      <c r="C588" s="1"/>
      <c r="D588" s="4" t="s">
        <v>2049</v>
      </c>
      <c r="E588" s="3">
        <v>500.0</v>
      </c>
      <c r="F588" s="2">
        <f t="shared" si="2"/>
        <v>4000</v>
      </c>
      <c r="G588" s="65">
        <f t="shared" si="7"/>
        <v>1000</v>
      </c>
      <c r="H588" s="1"/>
      <c r="I588" s="1"/>
      <c r="J588" s="1"/>
      <c r="K588" s="66" t="s">
        <v>427</v>
      </c>
      <c r="L588" s="66" t="s">
        <v>1420</v>
      </c>
      <c r="M588" s="66" t="s">
        <v>1060</v>
      </c>
      <c r="N588" s="18" t="s">
        <v>1421</v>
      </c>
      <c r="O588" s="66" t="s">
        <v>1069</v>
      </c>
      <c r="P588" s="67" t="s">
        <v>503</v>
      </c>
      <c r="Q588" s="18" t="s">
        <v>1006</v>
      </c>
      <c r="R588" s="68" t="str">
        <f>IFERROR(CONCATENATE("*",VLOOKUP(L588,PARAM!D:E,2,0),VLOOKUP(M588,PARAM!J:K,2,0),VLOOKUP(N588,PARAM!G:H,2,0),VLOOKUP(P588,PARAM!P:Q,2,0),"*"),"")</f>
        <v>*671530*</v>
      </c>
      <c r="S588" s="18" t="str">
        <f>IFERROR(CONCATENATE(VLOOKUP(L588,PARAM!D:E,2,0),VLOOKUP(M588,PARAM!J:K,2,0),VLOOKUP(N588,PARAM!G:H,2,0),VLOOKUP(O588,PARAM!M:N,2,0),VLOOKUP(P588,PARAM!P:Q,2,0)),"")</f>
        <v>67153160</v>
      </c>
      <c r="T588" s="18">
        <f t="shared" si="4"/>
        <v>8</v>
      </c>
      <c r="U588" s="18" t="str">
        <f t="shared" si="5"/>
        <v>COLEROS DAMA BRILLANTES FIGURAS VARIOS</v>
      </c>
    </row>
    <row r="589">
      <c r="A589" s="64">
        <v>2.0</v>
      </c>
      <c r="B589" s="4" t="s">
        <v>2050</v>
      </c>
      <c r="C589" s="1"/>
      <c r="D589" s="4" t="s">
        <v>2050</v>
      </c>
      <c r="E589" s="3">
        <v>6000.0</v>
      </c>
      <c r="F589" s="2">
        <f t="shared" si="2"/>
        <v>12000</v>
      </c>
      <c r="G589" s="65">
        <f t="shared" si="7"/>
        <v>12000</v>
      </c>
      <c r="H589" s="1"/>
      <c r="I589" s="1"/>
      <c r="J589" s="1"/>
      <c r="K589" s="66" t="s">
        <v>1096</v>
      </c>
      <c r="L589" s="66" t="s">
        <v>1407</v>
      </c>
      <c r="M589" s="66" t="s">
        <v>1060</v>
      </c>
      <c r="N589" s="18" t="s">
        <v>1422</v>
      </c>
      <c r="O589" s="66" t="s">
        <v>1069</v>
      </c>
      <c r="P589" s="67" t="s">
        <v>503</v>
      </c>
      <c r="Q589" s="18" t="s">
        <v>1006</v>
      </c>
      <c r="R589" s="68" t="str">
        <f>IFERROR(CONCATENATE("*",VLOOKUP(L589,PARAM!D:E,2,0),VLOOKUP(M589,PARAM!J:K,2,0),VLOOKUP(N589,PARAM!G:H,2,0),VLOOKUP(P589,PARAM!P:Q,2,0),"*"),"")</f>
        <v>*6412440*</v>
      </c>
      <c r="S589" s="18" t="str">
        <f>IFERROR(CONCATENATE(VLOOKUP(L589,PARAM!D:E,2,0),VLOOKUP(M589,PARAM!J:K,2,0),VLOOKUP(N589,PARAM!G:H,2,0),VLOOKUP(O589,PARAM!M:N,2,0),VLOOKUP(P589,PARAM!P:Q,2,0)),"")</f>
        <v>641244160</v>
      </c>
      <c r="T589" s="18">
        <f t="shared" si="4"/>
        <v>9</v>
      </c>
      <c r="U589" s="18" t="str">
        <f t="shared" si="5"/>
        <v>RUBOR DAMA RUBOR CORAZON VARIOS</v>
      </c>
    </row>
    <row r="590">
      <c r="A590" s="64">
        <v>4.0</v>
      </c>
      <c r="B590" s="4" t="s">
        <v>2051</v>
      </c>
      <c r="C590" s="1"/>
      <c r="D590" s="4" t="s">
        <v>2052</v>
      </c>
      <c r="E590" s="3">
        <v>6000.0</v>
      </c>
      <c r="F590" s="2">
        <f t="shared" si="2"/>
        <v>24000</v>
      </c>
      <c r="G590" s="65">
        <f t="shared" si="7"/>
        <v>12000</v>
      </c>
      <c r="H590" s="1"/>
      <c r="I590" s="1"/>
      <c r="J590" s="1"/>
      <c r="K590" s="66" t="s">
        <v>1096</v>
      </c>
      <c r="L590" s="66" t="s">
        <v>1098</v>
      </c>
      <c r="M590" s="66" t="s">
        <v>1060</v>
      </c>
      <c r="N590" s="18" t="s">
        <v>1423</v>
      </c>
      <c r="O590" s="66" t="s">
        <v>1069</v>
      </c>
      <c r="P590" s="67" t="s">
        <v>503</v>
      </c>
      <c r="Q590" s="18" t="s">
        <v>1006</v>
      </c>
      <c r="R590" s="68" t="str">
        <f>IFERROR(CONCATENATE("*",VLOOKUP(L590,PARAM!D:E,2,0),VLOOKUP(M590,PARAM!J:K,2,0),VLOOKUP(N590,PARAM!G:H,2,0),VLOOKUP(P590,PARAM!P:Q,2,0),"*"),"")</f>
        <v>*6811610*</v>
      </c>
      <c r="S590" s="18" t="str">
        <f>IFERROR(CONCATENATE(VLOOKUP(L590,PARAM!D:E,2,0),VLOOKUP(M590,PARAM!J:K,2,0),VLOOKUP(N590,PARAM!G:H,2,0),VLOOKUP(O590,PARAM!M:N,2,0),VLOOKUP(P590,PARAM!P:Q,2,0)),"")</f>
        <v>681161160</v>
      </c>
      <c r="T590" s="18">
        <f t="shared" si="4"/>
        <v>9</v>
      </c>
      <c r="U590" s="18" t="str">
        <f t="shared" si="5"/>
        <v>LABIAL DAMA LABIAL CORAZON VARIOS</v>
      </c>
    </row>
    <row r="591">
      <c r="A591" s="64">
        <v>3.0</v>
      </c>
      <c r="B591" s="4" t="s">
        <v>2053</v>
      </c>
      <c r="C591" s="1"/>
      <c r="D591" s="4" t="s">
        <v>2053</v>
      </c>
      <c r="E591" s="3">
        <v>5000.0</v>
      </c>
      <c r="F591" s="2">
        <f t="shared" si="2"/>
        <v>15000</v>
      </c>
      <c r="G591" s="65">
        <f t="shared" si="7"/>
        <v>10000</v>
      </c>
      <c r="H591" s="1"/>
      <c r="I591" s="1"/>
      <c r="J591" s="1"/>
      <c r="K591" s="66" t="s">
        <v>1096</v>
      </c>
      <c r="L591" s="66" t="s">
        <v>1424</v>
      </c>
      <c r="M591" s="66" t="s">
        <v>1060</v>
      </c>
      <c r="N591" s="18" t="s">
        <v>1425</v>
      </c>
      <c r="O591" s="66" t="s">
        <v>1069</v>
      </c>
      <c r="P591" s="67" t="s">
        <v>503</v>
      </c>
      <c r="Q591" s="18" t="s">
        <v>1006</v>
      </c>
      <c r="R591" s="68" t="str">
        <f>IFERROR(CONCATENATE("*",VLOOKUP(L591,PARAM!D:E,2,0),VLOOKUP(M591,PARAM!J:K,2,0),VLOOKUP(N591,PARAM!G:H,2,0),VLOOKUP(P591,PARAM!P:Q,2,0),"*"),"")</f>
        <v>*6911440*</v>
      </c>
      <c r="S591" s="18" t="str">
        <f>IFERROR(CONCATENATE(VLOOKUP(L591,PARAM!D:E,2,0),VLOOKUP(M591,PARAM!J:K,2,0),VLOOKUP(N591,PARAM!G:H,2,0),VLOOKUP(O591,PARAM!M:N,2,0),VLOOKUP(P591,PARAM!P:Q,2,0)),"")</f>
        <v>691144160</v>
      </c>
      <c r="T591" s="18">
        <f t="shared" si="4"/>
        <v>9</v>
      </c>
      <c r="U591" s="18" t="str">
        <f t="shared" si="5"/>
        <v>ILUMINADORES DAMA ILUMINADORES SKIN VARIOS</v>
      </c>
    </row>
    <row r="592">
      <c r="A592" s="64">
        <v>4.0</v>
      </c>
      <c r="B592" s="4" t="s">
        <v>2054</v>
      </c>
      <c r="C592" s="1"/>
      <c r="D592" s="4" t="s">
        <v>2054</v>
      </c>
      <c r="E592" s="3">
        <v>6000.0</v>
      </c>
      <c r="F592" s="2">
        <f t="shared" si="2"/>
        <v>24000</v>
      </c>
      <c r="G592" s="65">
        <f t="shared" si="7"/>
        <v>12000</v>
      </c>
      <c r="H592" s="1"/>
      <c r="I592" s="1"/>
      <c r="J592" s="1"/>
      <c r="K592" s="66" t="s">
        <v>1096</v>
      </c>
      <c r="L592" s="66" t="s">
        <v>1098</v>
      </c>
      <c r="M592" s="66" t="s">
        <v>1060</v>
      </c>
      <c r="N592" s="18" t="s">
        <v>1426</v>
      </c>
      <c r="O592" s="66" t="s">
        <v>1069</v>
      </c>
      <c r="P592" s="67" t="s">
        <v>503</v>
      </c>
      <c r="Q592" s="18" t="s">
        <v>1006</v>
      </c>
      <c r="R592" s="68" t="str">
        <f>IFERROR(CONCATENATE("*",VLOOKUP(L592,PARAM!D:E,2,0),VLOOKUP(M592,PARAM!J:K,2,0),VLOOKUP(N592,PARAM!G:H,2,0),VLOOKUP(P592,PARAM!P:Q,2,0),"*"),"")</f>
        <v>*6811620*</v>
      </c>
      <c r="S592" s="18" t="str">
        <f>IFERROR(CONCATENATE(VLOOKUP(L592,PARAM!D:E,2,0),VLOOKUP(M592,PARAM!J:K,2,0),VLOOKUP(N592,PARAM!G:H,2,0),VLOOKUP(O592,PARAM!M:N,2,0),VLOOKUP(P592,PARAM!P:Q,2,0)),"")</f>
        <v>681162160</v>
      </c>
      <c r="T592" s="18">
        <f t="shared" si="4"/>
        <v>9</v>
      </c>
      <c r="U592" s="18" t="str">
        <f t="shared" si="5"/>
        <v>LABIAL DAMA LABIAL THE OILY LIPS VARIOS</v>
      </c>
    </row>
    <row r="593">
      <c r="A593" s="64">
        <v>2.0</v>
      </c>
      <c r="B593" s="4" t="s">
        <v>2055</v>
      </c>
      <c r="C593" s="1"/>
      <c r="D593" s="4" t="s">
        <v>2055</v>
      </c>
      <c r="E593" s="3">
        <v>6000.0</v>
      </c>
      <c r="F593" s="2">
        <f t="shared" si="2"/>
        <v>12000</v>
      </c>
      <c r="G593" s="65">
        <f t="shared" si="7"/>
        <v>12000</v>
      </c>
      <c r="H593" s="1"/>
      <c r="I593" s="1"/>
      <c r="J593" s="1"/>
      <c r="K593" s="66" t="s">
        <v>1096</v>
      </c>
      <c r="L593" s="66" t="s">
        <v>1098</v>
      </c>
      <c r="M593" s="66" t="s">
        <v>1060</v>
      </c>
      <c r="N593" s="18" t="s">
        <v>1427</v>
      </c>
      <c r="O593" s="66" t="s">
        <v>1069</v>
      </c>
      <c r="P593" s="67" t="s">
        <v>503</v>
      </c>
      <c r="Q593" s="18" t="s">
        <v>1006</v>
      </c>
      <c r="R593" s="68" t="str">
        <f>IFERROR(CONCATENATE("*",VLOOKUP(L593,PARAM!D:E,2,0),VLOOKUP(M593,PARAM!J:K,2,0),VLOOKUP(N593,PARAM!G:H,2,0),VLOOKUP(P593,PARAM!P:Q,2,0),"*"),"")</f>
        <v>*6812610*</v>
      </c>
      <c r="S593" s="18" t="str">
        <f>IFERROR(CONCATENATE(VLOOKUP(L593,PARAM!D:E,2,0),VLOOKUP(M593,PARAM!J:K,2,0),VLOOKUP(N593,PARAM!G:H,2,0),VLOOKUP(O593,PARAM!M:N,2,0),VLOOKUP(P593,PARAM!P:Q,2,0)),"")</f>
        <v>681261160</v>
      </c>
      <c r="T593" s="18">
        <f t="shared" si="4"/>
        <v>9</v>
      </c>
      <c r="U593" s="18" t="str">
        <f t="shared" si="5"/>
        <v>LABIAL DAMA TINTAS ENGOIL VARIOS</v>
      </c>
    </row>
    <row r="594">
      <c r="A594" s="64">
        <v>6.0</v>
      </c>
      <c r="B594" s="4" t="s">
        <v>2056</v>
      </c>
      <c r="C594" s="1"/>
      <c r="D594" s="4" t="s">
        <v>2056</v>
      </c>
      <c r="E594" s="3">
        <v>8000.0</v>
      </c>
      <c r="F594" s="2">
        <f t="shared" si="2"/>
        <v>48000</v>
      </c>
      <c r="G594" s="65">
        <f t="shared" si="7"/>
        <v>16000</v>
      </c>
      <c r="H594" s="1"/>
      <c r="I594" s="1"/>
      <c r="J594" s="1"/>
      <c r="K594" s="66" t="s">
        <v>1096</v>
      </c>
      <c r="L594" s="66" t="s">
        <v>1428</v>
      </c>
      <c r="M594" s="66" t="s">
        <v>1060</v>
      </c>
      <c r="N594" s="18" t="s">
        <v>1429</v>
      </c>
      <c r="O594" s="66" t="s">
        <v>1069</v>
      </c>
      <c r="P594" s="67" t="s">
        <v>503</v>
      </c>
      <c r="Q594" s="18" t="s">
        <v>1006</v>
      </c>
      <c r="R594" s="68" t="str">
        <f>IFERROR(CONCATENATE("*",VLOOKUP(L594,PARAM!D:E,2,0),VLOOKUP(M594,PARAM!J:K,2,0),VLOOKUP(N594,PARAM!G:H,2,0),VLOOKUP(P594,PARAM!P:Q,2,0),"*"),"")</f>
        <v>*7012100*</v>
      </c>
      <c r="S594" s="18" t="str">
        <f>IFERROR(CONCATENATE(VLOOKUP(L594,PARAM!D:E,2,0),VLOOKUP(M594,PARAM!J:K,2,0),VLOOKUP(N594,PARAM!G:H,2,0),VLOOKUP(O594,PARAM!M:N,2,0),VLOOKUP(P594,PARAM!P:Q,2,0)),"")</f>
        <v>701210160</v>
      </c>
      <c r="T594" s="18">
        <f t="shared" si="4"/>
        <v>9</v>
      </c>
      <c r="U594" s="18" t="str">
        <f t="shared" si="5"/>
        <v>PESTAÑINA DAMA PESTAÑINAS PAGEVINE VARIOS</v>
      </c>
    </row>
    <row r="595">
      <c r="A595" s="64">
        <v>6.0</v>
      </c>
      <c r="B595" s="4" t="s">
        <v>2057</v>
      </c>
      <c r="C595" s="1"/>
      <c r="D595" s="4" t="s">
        <v>2057</v>
      </c>
      <c r="E595" s="3">
        <v>2800.0</v>
      </c>
      <c r="F595" s="2">
        <f t="shared" si="2"/>
        <v>16800</v>
      </c>
      <c r="G595" s="65">
        <f t="shared" si="7"/>
        <v>5600</v>
      </c>
      <c r="H595" s="1"/>
      <c r="I595" s="1"/>
      <c r="J595" s="1"/>
      <c r="K595" s="66" t="s">
        <v>427</v>
      </c>
      <c r="L595" s="66" t="s">
        <v>1430</v>
      </c>
      <c r="M595" s="66" t="s">
        <v>1060</v>
      </c>
      <c r="N595" s="18" t="s">
        <v>1431</v>
      </c>
      <c r="O595" s="66" t="s">
        <v>1069</v>
      </c>
      <c r="P595" s="67" t="s">
        <v>503</v>
      </c>
      <c r="Q595" s="18" t="s">
        <v>1006</v>
      </c>
      <c r="R595" s="68" t="str">
        <f>IFERROR(CONCATENATE("*",VLOOKUP(L595,PARAM!D:E,2,0),VLOOKUP(M595,PARAM!J:K,2,0),VLOOKUP(N595,PARAM!G:H,2,0),VLOOKUP(P595,PARAM!P:Q,2,0),"*"),"")</f>
        <v>*7111300*</v>
      </c>
      <c r="S595" s="18" t="str">
        <f>IFERROR(CONCATENATE(VLOOKUP(L595,PARAM!D:E,2,0),VLOOKUP(M595,PARAM!J:K,2,0),VLOOKUP(N595,PARAM!G:H,2,0),VLOOKUP(O595,PARAM!M:N,2,0),VLOOKUP(P595,PARAM!P:Q,2,0)),"")</f>
        <v>711130160</v>
      </c>
      <c r="T595" s="18">
        <f t="shared" si="4"/>
        <v>9</v>
      </c>
      <c r="U595" s="18" t="str">
        <f t="shared" si="5"/>
        <v>ESPEJO DAMA ESPEJOS LOVE VARIOS</v>
      </c>
    </row>
    <row r="596">
      <c r="A596" s="64">
        <v>15.0</v>
      </c>
      <c r="B596" s="4" t="s">
        <v>2058</v>
      </c>
      <c r="C596" s="1"/>
      <c r="D596" s="4" t="s">
        <v>2058</v>
      </c>
      <c r="E596" s="3">
        <v>1200.0</v>
      </c>
      <c r="F596" s="2">
        <f t="shared" si="2"/>
        <v>18000</v>
      </c>
      <c r="G596" s="65">
        <f t="shared" si="7"/>
        <v>2400</v>
      </c>
      <c r="H596" s="1"/>
      <c r="I596" s="1"/>
      <c r="J596" s="1"/>
      <c r="K596" s="66" t="s">
        <v>1096</v>
      </c>
      <c r="L596" s="66" t="s">
        <v>1432</v>
      </c>
      <c r="M596" s="66" t="s">
        <v>1060</v>
      </c>
      <c r="N596" s="18" t="s">
        <v>1433</v>
      </c>
      <c r="O596" s="66" t="s">
        <v>1069</v>
      </c>
      <c r="P596" s="67" t="s">
        <v>503</v>
      </c>
      <c r="Q596" s="18" t="s">
        <v>1006</v>
      </c>
      <c r="R596" s="68" t="str">
        <f>IFERROR(CONCATENATE("*",VLOOKUP(L596,PARAM!D:E,2,0),VLOOKUP(M596,PARAM!J:K,2,0),VLOOKUP(N596,PARAM!G:H,2,0),VLOOKUP(P596,PARAM!P:Q,2,0),"*"),"")</f>
        <v>*7211640*</v>
      </c>
      <c r="S596" s="18" t="str">
        <f>IFERROR(CONCATENATE(VLOOKUP(L596,PARAM!D:E,2,0),VLOOKUP(M596,PARAM!J:K,2,0),VLOOKUP(N596,PARAM!G:H,2,0),VLOOKUP(O596,PARAM!M:N,2,0),VLOOKUP(P596,PARAM!P:Q,2,0)),"")</f>
        <v>721164160</v>
      </c>
      <c r="T596" s="18">
        <f t="shared" si="4"/>
        <v>9</v>
      </c>
      <c r="U596" s="18" t="str">
        <f t="shared" si="5"/>
        <v>LAPIZ DAMA LAPIZ UBC VARIOS</v>
      </c>
    </row>
    <row r="597">
      <c r="A597" s="64">
        <v>24.0</v>
      </c>
      <c r="B597" s="4" t="s">
        <v>2059</v>
      </c>
      <c r="C597" s="1"/>
      <c r="D597" s="4" t="s">
        <v>2059</v>
      </c>
      <c r="E597" s="3">
        <v>200.0</v>
      </c>
      <c r="F597" s="2">
        <f t="shared" si="2"/>
        <v>4800</v>
      </c>
      <c r="G597" s="65">
        <f t="shared" si="7"/>
        <v>400</v>
      </c>
      <c r="H597" s="1"/>
      <c r="I597" s="1"/>
      <c r="J597" s="1"/>
      <c r="K597" s="66" t="s">
        <v>1096</v>
      </c>
      <c r="L597" s="66" t="s">
        <v>1409</v>
      </c>
      <c r="M597" s="66" t="s">
        <v>1060</v>
      </c>
      <c r="N597" s="18" t="s">
        <v>1434</v>
      </c>
      <c r="O597" s="66" t="s">
        <v>1069</v>
      </c>
      <c r="P597" s="67" t="s">
        <v>503</v>
      </c>
      <c r="Q597" s="18" t="s">
        <v>1006</v>
      </c>
      <c r="R597" s="68" t="str">
        <f>IFERROR(CONCATENATE("*",VLOOKUP(L597,PARAM!D:E,2,0),VLOOKUP(M597,PARAM!J:K,2,0),VLOOKUP(N597,PARAM!G:H,2,0),VLOOKUP(P597,PARAM!P:Q,2,0),"*"),"")</f>
        <v>*651320*</v>
      </c>
      <c r="S597" s="18" t="str">
        <f>IFERROR(CONCATENATE(VLOOKUP(L597,PARAM!D:E,2,0),VLOOKUP(M597,PARAM!J:K,2,0),VLOOKUP(N597,PARAM!G:H,2,0),VLOOKUP(O597,PARAM!M:N,2,0),VLOOKUP(P597,PARAM!P:Q,2,0)),"")</f>
        <v>65132160</v>
      </c>
      <c r="T597" s="18">
        <f t="shared" si="4"/>
        <v>8</v>
      </c>
      <c r="U597" s="18" t="str">
        <f t="shared" si="5"/>
        <v>SOMBRA DAMA APLICADOR SOMBRA VARIOS</v>
      </c>
    </row>
    <row r="598">
      <c r="A598" s="64">
        <v>1.0</v>
      </c>
      <c r="B598" s="4" t="s">
        <v>2060</v>
      </c>
      <c r="C598" s="1"/>
      <c r="D598" s="4" t="s">
        <v>2060</v>
      </c>
      <c r="E598" s="3">
        <v>3000.0</v>
      </c>
      <c r="F598" s="2">
        <f t="shared" si="2"/>
        <v>3000</v>
      </c>
      <c r="G598" s="65">
        <f t="shared" si="7"/>
        <v>6000</v>
      </c>
      <c r="H598" s="1"/>
      <c r="I598" s="1"/>
      <c r="J598" s="1"/>
      <c r="K598" s="66" t="s">
        <v>427</v>
      </c>
      <c r="L598" s="66" t="s">
        <v>1402</v>
      </c>
      <c r="M598" s="66" t="s">
        <v>1060</v>
      </c>
      <c r="N598" s="18" t="s">
        <v>1435</v>
      </c>
      <c r="O598" s="66" t="s">
        <v>1069</v>
      </c>
      <c r="P598" s="67" t="s">
        <v>503</v>
      </c>
      <c r="Q598" s="18" t="s">
        <v>1006</v>
      </c>
      <c r="R598" s="68" t="str">
        <f>IFERROR(CONCATENATE("*",VLOOKUP(L598,PARAM!D:E,2,0),VLOOKUP(M598,PARAM!J:K,2,0),VLOOKUP(N598,PARAM!G:H,2,0),VLOOKUP(P598,PARAM!P:Q,2,0),"*"),"")</f>
        <v>*6211420*</v>
      </c>
      <c r="S598" s="18" t="str">
        <f>IFERROR(CONCATENATE(VLOOKUP(L598,PARAM!D:E,2,0),VLOOKUP(M598,PARAM!J:K,2,0),VLOOKUP(N598,PARAM!G:H,2,0),VLOOKUP(O598,PARAM!M:N,2,0),VLOOKUP(P598,PARAM!P:Q,2,0)),"")</f>
        <v>621142160</v>
      </c>
      <c r="T598" s="18">
        <f t="shared" si="4"/>
        <v>9</v>
      </c>
      <c r="U598" s="18" t="str">
        <f t="shared" si="5"/>
        <v>HEBILLA DAMA HEBILLA NEGRA *3 VARIOS</v>
      </c>
    </row>
    <row r="599">
      <c r="A599" s="64">
        <v>3.0</v>
      </c>
      <c r="B599" s="4" t="s">
        <v>2061</v>
      </c>
      <c r="C599" s="1"/>
      <c r="D599" s="4" t="s">
        <v>2062</v>
      </c>
      <c r="E599" s="3">
        <v>1800.0</v>
      </c>
      <c r="F599" s="2">
        <f t="shared" si="2"/>
        <v>5400</v>
      </c>
      <c r="G599" s="65">
        <f t="shared" si="7"/>
        <v>3600</v>
      </c>
      <c r="H599" s="1"/>
      <c r="I599" s="1"/>
      <c r="J599" s="1"/>
      <c r="K599" s="66" t="s">
        <v>427</v>
      </c>
      <c r="L599" s="66" t="s">
        <v>1404</v>
      </c>
      <c r="M599" s="66" t="s">
        <v>1060</v>
      </c>
      <c r="N599" s="18" t="s">
        <v>1436</v>
      </c>
      <c r="O599" s="66" t="s">
        <v>1069</v>
      </c>
      <c r="P599" s="67" t="s">
        <v>503</v>
      </c>
      <c r="Q599" s="18" t="s">
        <v>1006</v>
      </c>
      <c r="R599" s="68" t="str">
        <f>IFERROR(CONCATENATE("*",VLOOKUP(L599,PARAM!D:E,2,0),VLOOKUP(M599,PARAM!J:K,2,0),VLOOKUP(N599,PARAM!G:H,2,0),VLOOKUP(P599,PARAM!P:Q,2,0),"*"),"")</f>
        <v>*6311950*</v>
      </c>
      <c r="S599" s="18" t="str">
        <f>IFERROR(CONCATENATE(VLOOKUP(L599,PARAM!D:E,2,0),VLOOKUP(M599,PARAM!J:K,2,0),VLOOKUP(N599,PARAM!G:H,2,0),VLOOKUP(O599,PARAM!M:N,2,0),VLOOKUP(P599,PARAM!P:Q,2,0)),"")</f>
        <v>631195160</v>
      </c>
      <c r="T599" s="18">
        <f t="shared" si="4"/>
        <v>9</v>
      </c>
      <c r="U599" s="18" t="str">
        <f t="shared" si="5"/>
        <v>BAMBA DAMA MURANO BRILLOS VARIOS</v>
      </c>
    </row>
    <row r="600">
      <c r="A600" s="64">
        <v>1.0</v>
      </c>
      <c r="B600" s="4" t="s">
        <v>2063</v>
      </c>
      <c r="C600" s="1"/>
      <c r="D600" s="4" t="s">
        <v>2063</v>
      </c>
      <c r="E600" s="3">
        <v>10000.0</v>
      </c>
      <c r="F600" s="2">
        <f t="shared" si="2"/>
        <v>10000</v>
      </c>
      <c r="G600" s="65">
        <f t="shared" si="7"/>
        <v>20000</v>
      </c>
      <c r="H600" s="1"/>
      <c r="I600" s="1"/>
      <c r="J600" s="1"/>
      <c r="K600" s="66" t="s">
        <v>427</v>
      </c>
      <c r="L600" s="66" t="s">
        <v>1437</v>
      </c>
      <c r="M600" s="66" t="s">
        <v>1060</v>
      </c>
      <c r="N600" s="18" t="s">
        <v>1438</v>
      </c>
      <c r="O600" s="66" t="s">
        <v>1069</v>
      </c>
      <c r="P600" s="67" t="s">
        <v>503</v>
      </c>
      <c r="Q600" s="18" t="s">
        <v>1006</v>
      </c>
      <c r="R600" s="68" t="str">
        <f>IFERROR(CONCATENATE("*",VLOOKUP(L600,PARAM!D:E,2,0),VLOOKUP(M600,PARAM!J:K,2,0),VLOOKUP(N600,PARAM!G:H,2,0),VLOOKUP(P600,PARAM!P:Q,2,0),"*"),"")</f>
        <v>*7312210*</v>
      </c>
      <c r="S600" s="18" t="str">
        <f>IFERROR(CONCATENATE(VLOOKUP(L600,PARAM!D:E,2,0),VLOOKUP(M600,PARAM!J:K,2,0),VLOOKUP(N600,PARAM!G:H,2,0),VLOOKUP(O600,PARAM!M:N,2,0),VLOOKUP(P600,PARAM!P:Q,2,0)),"")</f>
        <v>731221160</v>
      </c>
      <c r="T600" s="18">
        <f t="shared" si="4"/>
        <v>9</v>
      </c>
      <c r="U600" s="18" t="str">
        <f t="shared" si="5"/>
        <v>POLVO DAMA POLVO ROSADO VARIOS</v>
      </c>
    </row>
    <row r="601">
      <c r="A601" s="64">
        <v>24.0</v>
      </c>
      <c r="B601" s="4" t="s">
        <v>2064</v>
      </c>
      <c r="C601" s="1"/>
      <c r="D601" s="4" t="s">
        <v>2065</v>
      </c>
      <c r="E601" s="3">
        <v>800.0</v>
      </c>
      <c r="F601" s="2">
        <f t="shared" si="2"/>
        <v>19200</v>
      </c>
      <c r="G601" s="65">
        <f t="shared" si="7"/>
        <v>1600</v>
      </c>
      <c r="H601" s="1"/>
      <c r="I601" s="1"/>
      <c r="J601" s="1"/>
      <c r="K601" s="66" t="s">
        <v>427</v>
      </c>
      <c r="L601" s="66" t="s">
        <v>1395</v>
      </c>
      <c r="M601" s="66" t="s">
        <v>1060</v>
      </c>
      <c r="N601" s="18" t="s">
        <v>1439</v>
      </c>
      <c r="O601" s="66" t="s">
        <v>1069</v>
      </c>
      <c r="P601" s="67" t="s">
        <v>503</v>
      </c>
      <c r="Q601" s="18" t="s">
        <v>1006</v>
      </c>
      <c r="R601" s="68" t="str">
        <f>IFERROR(CONCATENATE("*",VLOOKUP(L601,PARAM!D:E,2,0),VLOOKUP(M601,PARAM!J:K,2,0),VLOOKUP(N601,PARAM!G:H,2,0),VLOOKUP(P601,PARAM!P:Q,2,0),"*"),"")</f>
        <v>*5912090*</v>
      </c>
      <c r="S601" s="18" t="str">
        <f>IFERROR(CONCATENATE(VLOOKUP(L601,PARAM!D:E,2,0),VLOOKUP(M601,PARAM!J:K,2,0),VLOOKUP(N601,PARAM!G:H,2,0),VLOOKUP(O601,PARAM!M:N,2,0),VLOOKUP(P601,PARAM!P:Q,2,0)),"")</f>
        <v>591209160</v>
      </c>
      <c r="T601" s="18">
        <f t="shared" si="4"/>
        <v>9</v>
      </c>
      <c r="U601" s="18" t="str">
        <f t="shared" si="5"/>
        <v>CAIMAN DAMA PEQUEÑO DORADO MURANO  VARIOS</v>
      </c>
    </row>
    <row r="602">
      <c r="A602" s="64">
        <v>12.0</v>
      </c>
      <c r="B602" s="4" t="s">
        <v>2066</v>
      </c>
      <c r="C602" s="1"/>
      <c r="D602" s="4" t="s">
        <v>2067</v>
      </c>
      <c r="E602" s="3">
        <v>1500.0</v>
      </c>
      <c r="F602" s="2">
        <f t="shared" si="2"/>
        <v>18000</v>
      </c>
      <c r="G602" s="65">
        <f t="shared" si="7"/>
        <v>3000</v>
      </c>
      <c r="H602" s="1"/>
      <c r="I602" s="1"/>
      <c r="J602" s="1"/>
      <c r="K602" s="66" t="s">
        <v>427</v>
      </c>
      <c r="L602" s="66" t="s">
        <v>1395</v>
      </c>
      <c r="M602" s="66" t="s">
        <v>1060</v>
      </c>
      <c r="N602" s="18" t="s">
        <v>1440</v>
      </c>
      <c r="O602" s="66" t="s">
        <v>1069</v>
      </c>
      <c r="P602" s="67" t="s">
        <v>503</v>
      </c>
      <c r="Q602" s="18" t="s">
        <v>1006</v>
      </c>
      <c r="R602" s="68" t="str">
        <f>IFERROR(CONCATENATE("*",VLOOKUP(L602,PARAM!D:E,2,0),VLOOKUP(M602,PARAM!J:K,2,0),VLOOKUP(N602,PARAM!G:H,2,0),VLOOKUP(P602,PARAM!P:Q,2,0),"*"),"")</f>
        <v>*5911860*</v>
      </c>
      <c r="S602" s="18" t="str">
        <f>IFERROR(CONCATENATE(VLOOKUP(L602,PARAM!D:E,2,0),VLOOKUP(M602,PARAM!J:K,2,0),VLOOKUP(N602,PARAM!G:H,2,0),VLOOKUP(O602,PARAM!M:N,2,0),VLOOKUP(P602,PARAM!P:Q,2,0)),"")</f>
        <v>591186160</v>
      </c>
      <c r="T602" s="18">
        <f t="shared" si="4"/>
        <v>9</v>
      </c>
      <c r="U602" s="18" t="str">
        <f t="shared" si="5"/>
        <v>CAIMAN DAMA MEDIANO MURANO DORADO VARIOS</v>
      </c>
    </row>
    <row r="603">
      <c r="A603" s="64">
        <v>4.0</v>
      </c>
      <c r="B603" s="4" t="s">
        <v>2068</v>
      </c>
      <c r="C603" s="1"/>
      <c r="D603" s="4" t="s">
        <v>2069</v>
      </c>
      <c r="E603" s="3">
        <v>3000.0</v>
      </c>
      <c r="F603" s="2">
        <f t="shared" si="2"/>
        <v>12000</v>
      </c>
      <c r="G603" s="65">
        <f t="shared" si="7"/>
        <v>6000</v>
      </c>
      <c r="H603" s="1"/>
      <c r="I603" s="1"/>
      <c r="J603" s="1"/>
      <c r="K603" s="66" t="s">
        <v>427</v>
      </c>
      <c r="L603" s="66" t="s">
        <v>1395</v>
      </c>
      <c r="M603" s="66" t="s">
        <v>1060</v>
      </c>
      <c r="N603" s="18" t="s">
        <v>1441</v>
      </c>
      <c r="O603" s="66" t="s">
        <v>1069</v>
      </c>
      <c r="P603" s="67" t="s">
        <v>503</v>
      </c>
      <c r="Q603" s="18" t="s">
        <v>1006</v>
      </c>
      <c r="R603" s="68" t="str">
        <f>IFERROR(CONCATENATE("*",VLOOKUP(L603,PARAM!D:E,2,0),VLOOKUP(M603,PARAM!J:K,2,0),VLOOKUP(N603,PARAM!G:H,2,0),VLOOKUP(P603,PARAM!P:Q,2,0),"*"),"")</f>
        <v>*5912140*</v>
      </c>
      <c r="S603" s="18" t="str">
        <f>IFERROR(CONCATENATE(VLOOKUP(L603,PARAM!D:E,2,0),VLOOKUP(M603,PARAM!J:K,2,0),VLOOKUP(N603,PARAM!G:H,2,0),VLOOKUP(O603,PARAM!M:N,2,0),VLOOKUP(P603,PARAM!P:Q,2,0)),"")</f>
        <v>591214160</v>
      </c>
      <c r="T603" s="18">
        <f t="shared" si="4"/>
        <v>9</v>
      </c>
      <c r="U603" s="18" t="str">
        <f t="shared" si="5"/>
        <v>CAIMAN DAMA PLATEADO MEDIANO MURANO VARIOS</v>
      </c>
    </row>
    <row r="604">
      <c r="A604" s="64">
        <v>4.0</v>
      </c>
      <c r="B604" s="4" t="s">
        <v>2070</v>
      </c>
      <c r="C604" s="1"/>
      <c r="D604" s="4" t="s">
        <v>2070</v>
      </c>
      <c r="E604" s="3">
        <v>3500.0</v>
      </c>
      <c r="F604" s="2">
        <f t="shared" si="2"/>
        <v>14000</v>
      </c>
      <c r="G604" s="65">
        <f t="shared" si="7"/>
        <v>7000</v>
      </c>
      <c r="H604" s="1"/>
      <c r="I604" s="1"/>
      <c r="J604" s="1"/>
      <c r="K604" s="66" t="s">
        <v>427</v>
      </c>
      <c r="L604" s="66" t="s">
        <v>1442</v>
      </c>
      <c r="M604" s="66" t="s">
        <v>1060</v>
      </c>
      <c r="N604" s="18" t="s">
        <v>1443</v>
      </c>
      <c r="O604" s="66" t="s">
        <v>1069</v>
      </c>
      <c r="P604" s="67" t="s">
        <v>503</v>
      </c>
      <c r="Q604" s="18" t="s">
        <v>1006</v>
      </c>
      <c r="R604" s="68" t="str">
        <f>IFERROR(CONCATENATE("*",VLOOKUP(L604,PARAM!D:E,2,0),VLOOKUP(M604,PARAM!J:K,2,0),VLOOKUP(N604,PARAM!G:H,2,0),VLOOKUP(P604,PARAM!P:Q,2,0),"*"),"")</f>
        <v>*7412120*</v>
      </c>
      <c r="S604" s="18" t="str">
        <f>IFERROR(CONCATENATE(VLOOKUP(L604,PARAM!D:E,2,0),VLOOKUP(M604,PARAM!J:K,2,0),VLOOKUP(N604,PARAM!G:H,2,0),VLOOKUP(O604,PARAM!M:N,2,0),VLOOKUP(P604,PARAM!P:Q,2,0)),"")</f>
        <v>741212160</v>
      </c>
      <c r="T604" s="18">
        <f t="shared" si="4"/>
        <v>9</v>
      </c>
      <c r="U604" s="18" t="str">
        <f t="shared" si="5"/>
        <v>PINTUCARA DAMA PINTUCARA TRICOLOR VARIOS</v>
      </c>
    </row>
    <row r="605">
      <c r="A605" s="1"/>
      <c r="B605" s="1"/>
      <c r="C605" s="1"/>
      <c r="D605" s="1"/>
      <c r="E605" s="2"/>
      <c r="F605" s="2">
        <f t="shared" si="2"/>
        <v>0</v>
      </c>
      <c r="G605" s="65">
        <f t="shared" si="7"/>
        <v>0</v>
      </c>
      <c r="H605" s="1"/>
      <c r="I605" s="1"/>
      <c r="J605" s="1"/>
      <c r="K605" s="18"/>
      <c r="L605" s="18"/>
      <c r="M605" s="18"/>
      <c r="N605" s="18"/>
      <c r="O605" s="18"/>
      <c r="P605" s="67" t="s">
        <v>503</v>
      </c>
      <c r="Q605" s="18" t="s">
        <v>476</v>
      </c>
      <c r="R605" s="68" t="str">
        <f>IFERROR(CONCATENATE("*",VLOOKUP(L605,PARAM!D:E,2,0),VLOOKUP(M605,PARAM!J:K,2,0),VLOOKUP(N605,PARAM!G:H,2,0),VLOOKUP(P605,PARAM!P:Q,2,0),"*"),"")</f>
        <v/>
      </c>
      <c r="S605" s="18" t="str">
        <f>IFERROR(CONCATENATE(VLOOKUP(L605,PARAM!D:E,2,0),VLOOKUP(M605,PARAM!J:K,2,0),VLOOKUP(N605,PARAM!G:H,2,0),VLOOKUP(O605,PARAM!M:N,2,0),VLOOKUP(P605,PARAM!P:Q,2,0)),"")</f>
        <v/>
      </c>
      <c r="T605" s="18">
        <f t="shared" si="4"/>
        <v>0</v>
      </c>
      <c r="U605" s="18" t="str">
        <f t="shared" si="5"/>
        <v>   </v>
      </c>
    </row>
    <row r="606">
      <c r="A606" s="1"/>
      <c r="B606" s="1"/>
      <c r="C606" s="1"/>
      <c r="D606" s="1"/>
      <c r="E606" s="2"/>
      <c r="F606" s="2">
        <f t="shared" si="2"/>
        <v>0</v>
      </c>
      <c r="G606" s="65">
        <f t="shared" si="7"/>
        <v>0</v>
      </c>
      <c r="H606" s="1"/>
      <c r="I606" s="1"/>
      <c r="J606" s="1"/>
      <c r="K606" s="18"/>
      <c r="L606" s="18"/>
      <c r="M606" s="18"/>
      <c r="N606" s="18"/>
      <c r="O606" s="18"/>
      <c r="P606" s="67" t="s">
        <v>503</v>
      </c>
      <c r="Q606" s="18" t="s">
        <v>476</v>
      </c>
      <c r="R606" s="68" t="str">
        <f>IFERROR(CONCATENATE("*",VLOOKUP(L606,PARAM!D:E,2,0),VLOOKUP(M606,PARAM!J:K,2,0),VLOOKUP(N606,PARAM!G:H,2,0),VLOOKUP(P606,PARAM!P:Q,2,0),"*"),"")</f>
        <v/>
      </c>
      <c r="S606" s="18" t="str">
        <f>IFERROR(CONCATENATE(VLOOKUP(L606,PARAM!D:E,2,0),VLOOKUP(M606,PARAM!J:K,2,0),VLOOKUP(N606,PARAM!G:H,2,0),VLOOKUP(O606,PARAM!M:N,2,0),VLOOKUP(P606,PARAM!P:Q,2,0)),"")</f>
        <v/>
      </c>
      <c r="T606" s="18">
        <f t="shared" si="4"/>
        <v>0</v>
      </c>
      <c r="U606" s="18" t="str">
        <f t="shared" si="5"/>
        <v>   </v>
      </c>
    </row>
    <row r="607">
      <c r="A607" s="1"/>
      <c r="B607" s="1"/>
      <c r="C607" s="1"/>
      <c r="D607" s="1"/>
      <c r="E607" s="2"/>
      <c r="F607" s="2">
        <f t="shared" si="2"/>
        <v>0</v>
      </c>
      <c r="G607" s="65">
        <f t="shared" si="7"/>
        <v>0</v>
      </c>
      <c r="H607" s="1"/>
      <c r="I607" s="1"/>
      <c r="J607" s="1"/>
      <c r="K607" s="18"/>
      <c r="L607" s="18"/>
      <c r="M607" s="18"/>
      <c r="N607" s="18"/>
      <c r="O607" s="18"/>
      <c r="P607" s="67" t="s">
        <v>503</v>
      </c>
      <c r="Q607" s="18" t="s">
        <v>476</v>
      </c>
      <c r="R607" s="68" t="str">
        <f>IFERROR(CONCATENATE("*",VLOOKUP(L607,PARAM!D:E,2,0),VLOOKUP(M607,PARAM!J:K,2,0),VLOOKUP(N607,PARAM!G:H,2,0),VLOOKUP(P607,PARAM!P:Q,2,0),"*"),"")</f>
        <v/>
      </c>
      <c r="S607" s="18" t="str">
        <f>IFERROR(CONCATENATE(VLOOKUP(L607,PARAM!D:E,2,0),VLOOKUP(M607,PARAM!J:K,2,0),VLOOKUP(N607,PARAM!G:H,2,0),VLOOKUP(O607,PARAM!M:N,2,0),VLOOKUP(P607,PARAM!P:Q,2,0)),"")</f>
        <v/>
      </c>
      <c r="T607" s="18">
        <f t="shared" si="4"/>
        <v>0</v>
      </c>
      <c r="U607" s="18" t="str">
        <f t="shared" si="5"/>
        <v>   </v>
      </c>
    </row>
    <row r="608">
      <c r="A608" s="1"/>
      <c r="B608" s="1"/>
      <c r="C608" s="1"/>
      <c r="D608" s="1"/>
      <c r="E608" s="2"/>
      <c r="F608" s="2">
        <f t="shared" si="2"/>
        <v>0</v>
      </c>
      <c r="G608" s="65">
        <f t="shared" si="7"/>
        <v>0</v>
      </c>
      <c r="H608" s="1"/>
      <c r="I608" s="1"/>
      <c r="J608" s="1"/>
      <c r="K608" s="18"/>
      <c r="L608" s="18"/>
      <c r="M608" s="18"/>
      <c r="N608" s="18"/>
      <c r="O608" s="18"/>
      <c r="P608" s="67" t="s">
        <v>503</v>
      </c>
      <c r="Q608" s="18" t="s">
        <v>476</v>
      </c>
      <c r="R608" s="68" t="str">
        <f>IFERROR(CONCATENATE("*",VLOOKUP(L608,PARAM!D:E,2,0),VLOOKUP(M608,PARAM!J:K,2,0),VLOOKUP(N608,PARAM!G:H,2,0),VLOOKUP(P608,PARAM!P:Q,2,0),"*"),"")</f>
        <v/>
      </c>
      <c r="S608" s="18" t="str">
        <f>IFERROR(CONCATENATE(VLOOKUP(L608,PARAM!D:E,2,0),VLOOKUP(M608,PARAM!J:K,2,0),VLOOKUP(N608,PARAM!G:H,2,0),VLOOKUP(O608,PARAM!M:N,2,0),VLOOKUP(P608,PARAM!P:Q,2,0)),"")</f>
        <v/>
      </c>
      <c r="T608" s="18">
        <f t="shared" si="4"/>
        <v>0</v>
      </c>
      <c r="U608" s="18" t="str">
        <f t="shared" si="5"/>
        <v>   </v>
      </c>
    </row>
    <row r="609">
      <c r="A609" s="1"/>
      <c r="B609" s="1"/>
      <c r="C609" s="1"/>
      <c r="D609" s="1"/>
      <c r="E609" s="2"/>
      <c r="F609" s="2">
        <f t="shared" si="2"/>
        <v>0</v>
      </c>
      <c r="G609" s="65">
        <f t="shared" si="7"/>
        <v>0</v>
      </c>
      <c r="H609" s="1"/>
      <c r="I609" s="1"/>
      <c r="J609" s="1"/>
      <c r="K609" s="18"/>
      <c r="L609" s="18"/>
      <c r="M609" s="18"/>
      <c r="N609" s="18"/>
      <c r="O609" s="18"/>
      <c r="P609" s="67" t="s">
        <v>503</v>
      </c>
      <c r="Q609" s="18" t="s">
        <v>476</v>
      </c>
      <c r="R609" s="68" t="str">
        <f>IFERROR(CONCATENATE("*",VLOOKUP(L609,PARAM!D:E,2,0),VLOOKUP(M609,PARAM!J:K,2,0),VLOOKUP(N609,PARAM!G:H,2,0),VLOOKUP(P609,PARAM!P:Q,2,0),"*"),"")</f>
        <v/>
      </c>
      <c r="S609" s="18" t="str">
        <f>IFERROR(CONCATENATE(VLOOKUP(L609,PARAM!D:E,2,0),VLOOKUP(M609,PARAM!J:K,2,0),VLOOKUP(N609,PARAM!G:H,2,0),VLOOKUP(O609,PARAM!M:N,2,0),VLOOKUP(P609,PARAM!P:Q,2,0)),"")</f>
        <v/>
      </c>
      <c r="T609" s="18">
        <f t="shared" si="4"/>
        <v>0</v>
      </c>
      <c r="U609" s="18" t="str">
        <f t="shared" si="5"/>
        <v>   </v>
      </c>
    </row>
    <row r="610">
      <c r="A610" s="1"/>
      <c r="B610" s="1"/>
      <c r="C610" s="1"/>
      <c r="D610" s="1"/>
      <c r="E610" s="2"/>
      <c r="F610" s="2">
        <f t="shared" si="2"/>
        <v>0</v>
      </c>
      <c r="G610" s="65">
        <f t="shared" si="7"/>
        <v>0</v>
      </c>
      <c r="H610" s="1"/>
      <c r="I610" s="1"/>
      <c r="J610" s="1"/>
      <c r="K610" s="18"/>
      <c r="L610" s="18"/>
      <c r="M610" s="18"/>
      <c r="N610" s="18"/>
      <c r="O610" s="18"/>
      <c r="P610" s="67" t="s">
        <v>503</v>
      </c>
      <c r="Q610" s="18" t="s">
        <v>476</v>
      </c>
      <c r="R610" s="68" t="str">
        <f>IFERROR(CONCATENATE("*",VLOOKUP(L610,PARAM!D:E,2,0),VLOOKUP(M610,PARAM!J:K,2,0),VLOOKUP(N610,PARAM!G:H,2,0),VLOOKUP(P610,PARAM!P:Q,2,0),"*"),"")</f>
        <v/>
      </c>
      <c r="S610" s="18" t="str">
        <f>IFERROR(CONCATENATE(VLOOKUP(L610,PARAM!D:E,2,0),VLOOKUP(M610,PARAM!J:K,2,0),VLOOKUP(N610,PARAM!G:H,2,0),VLOOKUP(O610,PARAM!M:N,2,0),VLOOKUP(P610,PARAM!P:Q,2,0)),"")</f>
        <v/>
      </c>
      <c r="T610" s="18">
        <f t="shared" si="4"/>
        <v>0</v>
      </c>
      <c r="U610" s="18" t="str">
        <f t="shared" si="5"/>
        <v>   </v>
      </c>
    </row>
    <row r="611">
      <c r="A611" s="1"/>
      <c r="B611" s="1"/>
      <c r="C611" s="1"/>
      <c r="D611" s="1"/>
      <c r="E611" s="2"/>
      <c r="F611" s="1"/>
      <c r="G611" s="65">
        <f t="shared" si="7"/>
        <v>0</v>
      </c>
      <c r="H611" s="1"/>
      <c r="I611" s="1"/>
      <c r="J611" s="1"/>
      <c r="K611" s="18"/>
      <c r="L611" s="18"/>
      <c r="M611" s="18"/>
      <c r="N611" s="18"/>
      <c r="O611" s="18"/>
      <c r="P611" s="67" t="s">
        <v>503</v>
      </c>
      <c r="Q611" s="18" t="s">
        <v>476</v>
      </c>
      <c r="R611" s="68" t="str">
        <f>IFERROR(CONCATENATE("*",VLOOKUP(L611,PARAM!D:E,2,0),VLOOKUP(M611,PARAM!J:K,2,0),VLOOKUP(N611,PARAM!G:H,2,0),VLOOKUP(P611,PARAM!P:Q,2,0),"*"),"")</f>
        <v/>
      </c>
      <c r="S611" s="18" t="str">
        <f>IFERROR(CONCATENATE(VLOOKUP(L611,PARAM!D:E,2,0),VLOOKUP(M611,PARAM!J:K,2,0),VLOOKUP(N611,PARAM!G:H,2,0),VLOOKUP(O611,PARAM!M:N,2,0),VLOOKUP(P611,PARAM!P:Q,2,0)),"")</f>
        <v/>
      </c>
      <c r="T611" s="18">
        <f t="shared" si="4"/>
        <v>0</v>
      </c>
      <c r="U611" s="18" t="str">
        <f t="shared" si="5"/>
        <v>   </v>
      </c>
    </row>
    <row r="612">
      <c r="A612" s="1"/>
      <c r="B612" s="1"/>
      <c r="C612" s="1"/>
      <c r="D612" s="1"/>
      <c r="E612" s="2"/>
      <c r="F612" s="1"/>
      <c r="G612" s="65">
        <f t="shared" si="7"/>
        <v>0</v>
      </c>
      <c r="H612" s="1"/>
      <c r="I612" s="1"/>
      <c r="J612" s="1"/>
      <c r="K612" s="18"/>
      <c r="L612" s="18"/>
      <c r="M612" s="18"/>
      <c r="N612" s="18"/>
      <c r="O612" s="18"/>
      <c r="P612" s="67" t="s">
        <v>503</v>
      </c>
      <c r="Q612" s="18" t="s">
        <v>476</v>
      </c>
      <c r="R612" s="68" t="str">
        <f>IFERROR(CONCATENATE("*",VLOOKUP(L612,PARAM!D:E,2,0),VLOOKUP(M612,PARAM!J:K,2,0),VLOOKUP(N612,PARAM!G:H,2,0),VLOOKUP(P612,PARAM!P:Q,2,0),"*"),"")</f>
        <v/>
      </c>
      <c r="S612" s="18" t="str">
        <f>IFERROR(CONCATENATE(VLOOKUP(L612,PARAM!D:E,2,0),VLOOKUP(M612,PARAM!J:K,2,0),VLOOKUP(N612,PARAM!G:H,2,0),VLOOKUP(O612,PARAM!M:N,2,0),VLOOKUP(P612,PARAM!P:Q,2,0)),"")</f>
        <v/>
      </c>
      <c r="T612" s="18">
        <f t="shared" si="4"/>
        <v>0</v>
      </c>
      <c r="U612" s="18" t="str">
        <f t="shared" si="5"/>
        <v>   </v>
      </c>
    </row>
    <row r="613">
      <c r="A613" s="1"/>
      <c r="B613" s="1"/>
      <c r="C613" s="1"/>
      <c r="D613" s="1"/>
      <c r="E613" s="2"/>
      <c r="F613" s="1"/>
      <c r="G613" s="65">
        <f t="shared" si="7"/>
        <v>0</v>
      </c>
      <c r="H613" s="1"/>
      <c r="I613" s="1"/>
      <c r="J613" s="1"/>
      <c r="K613" s="18"/>
      <c r="L613" s="18"/>
      <c r="M613" s="18"/>
      <c r="N613" s="18"/>
      <c r="O613" s="18"/>
      <c r="P613" s="67" t="s">
        <v>503</v>
      </c>
      <c r="Q613" s="18" t="s">
        <v>476</v>
      </c>
      <c r="R613" s="68" t="str">
        <f>IFERROR(CONCATENATE("*",VLOOKUP(L613,PARAM!D:E,2,0),VLOOKUP(M613,PARAM!J:K,2,0),VLOOKUP(N613,PARAM!G:H,2,0),VLOOKUP(P613,PARAM!P:Q,2,0),"*"),"")</f>
        <v/>
      </c>
      <c r="S613" s="18" t="str">
        <f>IFERROR(CONCATENATE(VLOOKUP(L613,PARAM!D:E,2,0),VLOOKUP(M613,PARAM!J:K,2,0),VLOOKUP(N613,PARAM!G:H,2,0),VLOOKUP(O613,PARAM!M:N,2,0),VLOOKUP(P613,PARAM!P:Q,2,0)),"")</f>
        <v/>
      </c>
      <c r="T613" s="18">
        <f t="shared" si="4"/>
        <v>0</v>
      </c>
      <c r="U613" s="18" t="str">
        <f t="shared" si="5"/>
        <v>   </v>
      </c>
    </row>
    <row r="614">
      <c r="A614" s="1"/>
      <c r="B614" s="1"/>
      <c r="C614" s="1"/>
      <c r="D614" s="1"/>
      <c r="E614" s="2"/>
      <c r="F614" s="1"/>
      <c r="G614" s="65">
        <f t="shared" si="7"/>
        <v>0</v>
      </c>
      <c r="H614" s="1"/>
      <c r="I614" s="1"/>
      <c r="J614" s="1"/>
      <c r="K614" s="18"/>
      <c r="L614" s="18"/>
      <c r="M614" s="18"/>
      <c r="N614" s="18"/>
      <c r="O614" s="18"/>
      <c r="P614" s="67" t="s">
        <v>503</v>
      </c>
      <c r="Q614" s="18" t="s">
        <v>476</v>
      </c>
      <c r="R614" s="68" t="str">
        <f>IFERROR(CONCATENATE("*",VLOOKUP(L614,PARAM!D:E,2,0),VLOOKUP(M614,PARAM!J:K,2,0),VLOOKUP(N614,PARAM!G:H,2,0),VLOOKUP(P614,PARAM!P:Q,2,0),"*"),"")</f>
        <v/>
      </c>
      <c r="S614" s="18" t="str">
        <f>IFERROR(CONCATENATE(VLOOKUP(L614,PARAM!D:E,2,0),VLOOKUP(M614,PARAM!J:K,2,0),VLOOKUP(N614,PARAM!G:H,2,0),VLOOKUP(O614,PARAM!M:N,2,0),VLOOKUP(P614,PARAM!P:Q,2,0)),"")</f>
        <v/>
      </c>
      <c r="T614" s="18">
        <f t="shared" si="4"/>
        <v>0</v>
      </c>
      <c r="U614" s="18" t="str">
        <f t="shared" si="5"/>
        <v>   </v>
      </c>
    </row>
    <row r="615">
      <c r="A615" s="1"/>
      <c r="B615" s="1"/>
      <c r="C615" s="1"/>
      <c r="D615" s="1"/>
      <c r="E615" s="2"/>
      <c r="F615" s="1"/>
      <c r="G615" s="65">
        <f t="shared" si="7"/>
        <v>0</v>
      </c>
      <c r="H615" s="1"/>
      <c r="I615" s="1"/>
      <c r="J615" s="1"/>
      <c r="K615" s="18"/>
      <c r="L615" s="18"/>
      <c r="M615" s="18"/>
      <c r="N615" s="18"/>
      <c r="O615" s="18"/>
      <c r="P615" s="67" t="s">
        <v>503</v>
      </c>
      <c r="Q615" s="18" t="s">
        <v>476</v>
      </c>
      <c r="R615" s="68" t="str">
        <f>IFERROR(CONCATENATE("*",VLOOKUP(L615,PARAM!D:E,2,0),VLOOKUP(M615,PARAM!J:K,2,0),VLOOKUP(N615,PARAM!G:H,2,0),VLOOKUP(P615,PARAM!P:Q,2,0),"*"),"")</f>
        <v/>
      </c>
      <c r="S615" s="18" t="str">
        <f>IFERROR(CONCATENATE(VLOOKUP(L615,PARAM!D:E,2,0),VLOOKUP(M615,PARAM!J:K,2,0),VLOOKUP(N615,PARAM!G:H,2,0),VLOOKUP(O615,PARAM!M:N,2,0),VLOOKUP(P615,PARAM!P:Q,2,0)),"")</f>
        <v/>
      </c>
      <c r="T615" s="18">
        <f t="shared" si="4"/>
        <v>0</v>
      </c>
      <c r="U615" s="18" t="str">
        <f t="shared" si="5"/>
        <v>   </v>
      </c>
    </row>
    <row r="616">
      <c r="A616" s="1"/>
      <c r="B616" s="1"/>
      <c r="C616" s="1"/>
      <c r="D616" s="1"/>
      <c r="E616" s="2"/>
      <c r="F616" s="1"/>
      <c r="G616" s="65">
        <f t="shared" si="7"/>
        <v>0</v>
      </c>
      <c r="H616" s="1"/>
      <c r="I616" s="1"/>
      <c r="J616" s="1"/>
      <c r="K616" s="18"/>
      <c r="L616" s="18"/>
      <c r="M616" s="18"/>
      <c r="N616" s="18"/>
      <c r="O616" s="18"/>
      <c r="P616" s="67" t="s">
        <v>503</v>
      </c>
      <c r="Q616" s="18" t="s">
        <v>476</v>
      </c>
      <c r="R616" s="68" t="str">
        <f>IFERROR(CONCATENATE("*",VLOOKUP(L616,PARAM!D:E,2,0),VLOOKUP(M616,PARAM!J:K,2,0),VLOOKUP(N616,PARAM!G:H,2,0),VLOOKUP(P616,PARAM!P:Q,2,0),"*"),"")</f>
        <v/>
      </c>
      <c r="S616" s="18" t="str">
        <f>IFERROR(CONCATENATE(VLOOKUP(L616,PARAM!D:E,2,0),VLOOKUP(M616,PARAM!J:K,2,0),VLOOKUP(N616,PARAM!G:H,2,0),VLOOKUP(O616,PARAM!M:N,2,0),VLOOKUP(P616,PARAM!P:Q,2,0)),"")</f>
        <v/>
      </c>
      <c r="T616" s="18">
        <f t="shared" si="4"/>
        <v>0</v>
      </c>
      <c r="U616" s="18" t="str">
        <f t="shared" si="5"/>
        <v>   </v>
      </c>
    </row>
    <row r="617">
      <c r="A617" s="1"/>
      <c r="B617" s="1"/>
      <c r="C617" s="1"/>
      <c r="D617" s="1"/>
      <c r="E617" s="2"/>
      <c r="F617" s="1"/>
      <c r="G617" s="65">
        <f t="shared" si="7"/>
        <v>0</v>
      </c>
      <c r="H617" s="1"/>
      <c r="I617" s="1"/>
      <c r="J617" s="1"/>
      <c r="K617" s="18"/>
      <c r="L617" s="18"/>
      <c r="M617" s="18"/>
      <c r="N617" s="18"/>
      <c r="O617" s="18"/>
      <c r="P617" s="67" t="s">
        <v>503</v>
      </c>
      <c r="Q617" s="18" t="s">
        <v>476</v>
      </c>
      <c r="R617" s="68" t="str">
        <f>IFERROR(CONCATENATE("*",VLOOKUP(L617,PARAM!D:E,2,0),VLOOKUP(M617,PARAM!J:K,2,0),VLOOKUP(N617,PARAM!G:H,2,0),VLOOKUP(P617,PARAM!P:Q,2,0),"*"),"")</f>
        <v/>
      </c>
      <c r="S617" s="18" t="str">
        <f>IFERROR(CONCATENATE(VLOOKUP(L617,PARAM!D:E,2,0),VLOOKUP(M617,PARAM!J:K,2,0),VLOOKUP(N617,PARAM!G:H,2,0),VLOOKUP(O617,PARAM!M:N,2,0),VLOOKUP(P617,PARAM!P:Q,2,0)),"")</f>
        <v/>
      </c>
      <c r="T617" s="18">
        <f t="shared" si="4"/>
        <v>0</v>
      </c>
      <c r="U617" s="18" t="str">
        <f t="shared" si="5"/>
        <v>   </v>
      </c>
    </row>
    <row r="618">
      <c r="A618" s="1"/>
      <c r="B618" s="1"/>
      <c r="C618" s="1"/>
      <c r="D618" s="1"/>
      <c r="E618" s="2"/>
      <c r="F618" s="1"/>
      <c r="G618" s="65">
        <f t="shared" si="7"/>
        <v>0</v>
      </c>
      <c r="H618" s="1"/>
      <c r="I618" s="1"/>
      <c r="J618" s="1"/>
      <c r="K618" s="18"/>
      <c r="L618" s="18"/>
      <c r="M618" s="18"/>
      <c r="N618" s="18"/>
      <c r="O618" s="18"/>
      <c r="P618" s="67" t="s">
        <v>503</v>
      </c>
      <c r="Q618" s="18" t="s">
        <v>476</v>
      </c>
      <c r="R618" s="68" t="str">
        <f>IFERROR(CONCATENATE("*",VLOOKUP(L618,PARAM!D:E,2,0),VLOOKUP(M618,PARAM!J:K,2,0),VLOOKUP(N618,PARAM!G:H,2,0),VLOOKUP(P618,PARAM!P:Q,2,0),"*"),"")</f>
        <v/>
      </c>
      <c r="S618" s="18" t="str">
        <f>IFERROR(CONCATENATE(VLOOKUP(L618,PARAM!D:E,2,0),VLOOKUP(M618,PARAM!J:K,2,0),VLOOKUP(N618,PARAM!G:H,2,0),VLOOKUP(O618,PARAM!M:N,2,0),VLOOKUP(P618,PARAM!P:Q,2,0)),"")</f>
        <v/>
      </c>
      <c r="T618" s="18">
        <f t="shared" si="4"/>
        <v>0</v>
      </c>
      <c r="U618" s="18" t="str">
        <f t="shared" si="5"/>
        <v>   </v>
      </c>
    </row>
    <row r="619">
      <c r="A619" s="1"/>
      <c r="B619" s="1"/>
      <c r="C619" s="1"/>
      <c r="D619" s="1"/>
      <c r="E619" s="2"/>
      <c r="F619" s="1"/>
      <c r="G619" s="65">
        <f t="shared" si="7"/>
        <v>0</v>
      </c>
      <c r="H619" s="1"/>
      <c r="I619" s="1"/>
      <c r="J619" s="1"/>
      <c r="K619" s="18"/>
      <c r="L619" s="18"/>
      <c r="M619" s="18"/>
      <c r="N619" s="18"/>
      <c r="O619" s="18"/>
      <c r="P619" s="67" t="s">
        <v>503</v>
      </c>
      <c r="Q619" s="18" t="s">
        <v>476</v>
      </c>
      <c r="R619" s="68" t="str">
        <f>IFERROR(CONCATENATE("*",VLOOKUP(L619,PARAM!D:E,2,0),VLOOKUP(M619,PARAM!J:K,2,0),VLOOKUP(N619,PARAM!G:H,2,0),VLOOKUP(P619,PARAM!P:Q,2,0),"*"),"")</f>
        <v/>
      </c>
      <c r="S619" s="18" t="str">
        <f>IFERROR(CONCATENATE(VLOOKUP(L619,PARAM!D:E,2,0),VLOOKUP(M619,PARAM!J:K,2,0),VLOOKUP(N619,PARAM!G:H,2,0),VLOOKUP(O619,PARAM!M:N,2,0),VLOOKUP(P619,PARAM!P:Q,2,0)),"")</f>
        <v/>
      </c>
      <c r="T619" s="18">
        <f t="shared" si="4"/>
        <v>0</v>
      </c>
      <c r="U619" s="18" t="str">
        <f t="shared" si="5"/>
        <v>   </v>
      </c>
    </row>
    <row r="620">
      <c r="A620" s="1"/>
      <c r="B620" s="1"/>
      <c r="C620" s="1"/>
      <c r="D620" s="1"/>
      <c r="E620" s="2"/>
      <c r="F620" s="1"/>
      <c r="G620" s="65">
        <f t="shared" si="7"/>
        <v>0</v>
      </c>
      <c r="H620" s="1"/>
      <c r="I620" s="1"/>
      <c r="J620" s="1"/>
      <c r="K620" s="18"/>
      <c r="L620" s="18"/>
      <c r="M620" s="18"/>
      <c r="N620" s="18"/>
      <c r="O620" s="18"/>
      <c r="P620" s="67" t="s">
        <v>503</v>
      </c>
      <c r="Q620" s="18" t="s">
        <v>476</v>
      </c>
      <c r="R620" s="68" t="str">
        <f>IFERROR(CONCATENATE("*",VLOOKUP(L620,PARAM!D:E,2,0),VLOOKUP(M620,PARAM!J:K,2,0),VLOOKUP(N620,PARAM!G:H,2,0),VLOOKUP(P620,PARAM!P:Q,2,0),"*"),"")</f>
        <v/>
      </c>
      <c r="S620" s="18" t="str">
        <f>IFERROR(CONCATENATE(VLOOKUP(L620,PARAM!D:E,2,0),VLOOKUP(M620,PARAM!J:K,2,0),VLOOKUP(N620,PARAM!G:H,2,0),VLOOKUP(O620,PARAM!M:N,2,0),VLOOKUP(P620,PARAM!P:Q,2,0)),"")</f>
        <v/>
      </c>
      <c r="T620" s="18">
        <f t="shared" si="4"/>
        <v>0</v>
      </c>
      <c r="U620" s="18" t="str">
        <f t="shared" si="5"/>
        <v>   </v>
      </c>
    </row>
    <row r="621">
      <c r="A621" s="1"/>
      <c r="B621" s="1"/>
      <c r="C621" s="1"/>
      <c r="D621" s="1"/>
      <c r="E621" s="2"/>
      <c r="F621" s="1"/>
      <c r="G621" s="65">
        <f t="shared" si="7"/>
        <v>0</v>
      </c>
      <c r="H621" s="1"/>
      <c r="I621" s="1"/>
      <c r="J621" s="1"/>
      <c r="K621" s="18"/>
      <c r="L621" s="18"/>
      <c r="M621" s="18"/>
      <c r="N621" s="18"/>
      <c r="O621" s="18"/>
      <c r="P621" s="67" t="s">
        <v>503</v>
      </c>
      <c r="Q621" s="18" t="s">
        <v>476</v>
      </c>
      <c r="R621" s="68" t="str">
        <f>IFERROR(CONCATENATE("*",VLOOKUP(L621,PARAM!D:E,2,0),VLOOKUP(M621,PARAM!J:K,2,0),VLOOKUP(N621,PARAM!G:H,2,0),VLOOKUP(P621,PARAM!P:Q,2,0),"*"),"")</f>
        <v/>
      </c>
      <c r="S621" s="18" t="str">
        <f>IFERROR(CONCATENATE(VLOOKUP(L621,PARAM!D:E,2,0),VLOOKUP(M621,PARAM!J:K,2,0),VLOOKUP(N621,PARAM!G:H,2,0),VLOOKUP(O621,PARAM!M:N,2,0),VLOOKUP(P621,PARAM!P:Q,2,0)),"")</f>
        <v/>
      </c>
      <c r="T621" s="18">
        <f t="shared" si="4"/>
        <v>0</v>
      </c>
      <c r="U621" s="18" t="str">
        <f t="shared" si="5"/>
        <v>   </v>
      </c>
    </row>
    <row r="622">
      <c r="A622" s="1"/>
      <c r="B622" s="1"/>
      <c r="C622" s="1"/>
      <c r="D622" s="1"/>
      <c r="E622" s="2"/>
      <c r="F622" s="1"/>
      <c r="G622" s="65">
        <f t="shared" si="7"/>
        <v>0</v>
      </c>
      <c r="H622" s="1"/>
      <c r="I622" s="1"/>
      <c r="J622" s="1"/>
      <c r="K622" s="18"/>
      <c r="L622" s="18"/>
      <c r="M622" s="18"/>
      <c r="N622" s="18"/>
      <c r="O622" s="18"/>
      <c r="P622" s="67" t="s">
        <v>503</v>
      </c>
      <c r="Q622" s="18" t="s">
        <v>476</v>
      </c>
      <c r="R622" s="68" t="str">
        <f>IFERROR(CONCATENATE("*",VLOOKUP(L622,PARAM!D:E,2,0),VLOOKUP(M622,PARAM!J:K,2,0),VLOOKUP(N622,PARAM!G:H,2,0),VLOOKUP(P622,PARAM!P:Q,2,0),"*"),"")</f>
        <v/>
      </c>
      <c r="S622" s="18" t="str">
        <f>IFERROR(CONCATENATE(VLOOKUP(L622,PARAM!D:E,2,0),VLOOKUP(M622,PARAM!J:K,2,0),VLOOKUP(N622,PARAM!G:H,2,0),VLOOKUP(O622,PARAM!M:N,2,0),VLOOKUP(P622,PARAM!P:Q,2,0)),"")</f>
        <v/>
      </c>
      <c r="T622" s="18">
        <f t="shared" si="4"/>
        <v>0</v>
      </c>
      <c r="U622" s="18" t="str">
        <f t="shared" si="5"/>
        <v>   </v>
      </c>
    </row>
    <row r="623">
      <c r="A623" s="1"/>
      <c r="B623" s="1"/>
      <c r="C623" s="1"/>
      <c r="D623" s="1"/>
      <c r="E623" s="2"/>
      <c r="F623" s="1"/>
      <c r="G623" s="65">
        <f t="shared" si="7"/>
        <v>0</v>
      </c>
      <c r="H623" s="1"/>
      <c r="I623" s="1"/>
      <c r="J623" s="1"/>
      <c r="K623" s="18"/>
      <c r="L623" s="18"/>
      <c r="M623" s="18"/>
      <c r="N623" s="18"/>
      <c r="O623" s="18"/>
      <c r="P623" s="67" t="s">
        <v>503</v>
      </c>
      <c r="Q623" s="18" t="s">
        <v>476</v>
      </c>
      <c r="R623" s="68" t="str">
        <f>IFERROR(CONCATENATE("*",VLOOKUP(L623,PARAM!D:E,2,0),VLOOKUP(M623,PARAM!J:K,2,0),VLOOKUP(N623,PARAM!G:H,2,0),VLOOKUP(P623,PARAM!P:Q,2,0),"*"),"")</f>
        <v/>
      </c>
      <c r="S623" s="18" t="str">
        <f>IFERROR(CONCATENATE(VLOOKUP(L623,PARAM!D:E,2,0),VLOOKUP(M623,PARAM!J:K,2,0),VLOOKUP(N623,PARAM!G:H,2,0),VLOOKUP(O623,PARAM!M:N,2,0),VLOOKUP(P623,PARAM!P:Q,2,0)),"")</f>
        <v/>
      </c>
      <c r="T623" s="18">
        <f t="shared" si="4"/>
        <v>0</v>
      </c>
      <c r="U623" s="18" t="str">
        <f t="shared" si="5"/>
        <v>   </v>
      </c>
    </row>
    <row r="624">
      <c r="A624" s="1"/>
      <c r="B624" s="1"/>
      <c r="C624" s="1"/>
      <c r="D624" s="1"/>
      <c r="E624" s="2"/>
      <c r="F624" s="1"/>
      <c r="G624" s="65">
        <f t="shared" si="7"/>
        <v>0</v>
      </c>
      <c r="H624" s="1"/>
      <c r="I624" s="1"/>
      <c r="J624" s="1"/>
      <c r="K624" s="18"/>
      <c r="L624" s="18"/>
      <c r="M624" s="18"/>
      <c r="N624" s="18"/>
      <c r="O624" s="18"/>
      <c r="P624" s="67" t="s">
        <v>503</v>
      </c>
      <c r="Q624" s="18" t="s">
        <v>476</v>
      </c>
      <c r="R624" s="68" t="str">
        <f>IFERROR(CONCATENATE("*",VLOOKUP(L624,PARAM!D:E,2,0),VLOOKUP(M624,PARAM!J:K,2,0),VLOOKUP(N624,PARAM!G:H,2,0),VLOOKUP(P624,PARAM!P:Q,2,0),"*"),"")</f>
        <v/>
      </c>
      <c r="S624" s="18" t="str">
        <f>IFERROR(CONCATENATE(VLOOKUP(L624,PARAM!D:E,2,0),VLOOKUP(M624,PARAM!J:K,2,0),VLOOKUP(N624,PARAM!G:H,2,0),VLOOKUP(O624,PARAM!M:N,2,0),VLOOKUP(P624,PARAM!P:Q,2,0)),"")</f>
        <v/>
      </c>
      <c r="T624" s="18">
        <f t="shared" si="4"/>
        <v>0</v>
      </c>
      <c r="U624" s="18" t="str">
        <f t="shared" si="5"/>
        <v>   </v>
      </c>
    </row>
    <row r="625">
      <c r="A625" s="1"/>
      <c r="B625" s="1"/>
      <c r="C625" s="1"/>
      <c r="D625" s="1"/>
      <c r="E625" s="2"/>
      <c r="F625" s="1"/>
      <c r="G625" s="65">
        <f t="shared" si="7"/>
        <v>0</v>
      </c>
      <c r="H625" s="1"/>
      <c r="I625" s="1"/>
      <c r="J625" s="1"/>
      <c r="K625" s="18"/>
      <c r="L625" s="18"/>
      <c r="M625" s="18"/>
      <c r="N625" s="18"/>
      <c r="O625" s="18"/>
      <c r="P625" s="67" t="s">
        <v>503</v>
      </c>
      <c r="Q625" s="18" t="s">
        <v>476</v>
      </c>
      <c r="R625" s="68" t="str">
        <f>IFERROR(CONCATENATE("*",VLOOKUP(L625,PARAM!D:E,2,0),VLOOKUP(M625,PARAM!J:K,2,0),VLOOKUP(N625,PARAM!G:H,2,0),VLOOKUP(P625,PARAM!P:Q,2,0),"*"),"")</f>
        <v/>
      </c>
      <c r="S625" s="18" t="str">
        <f>IFERROR(CONCATENATE(VLOOKUP(L625,PARAM!D:E,2,0),VLOOKUP(M625,PARAM!J:K,2,0),VLOOKUP(N625,PARAM!G:H,2,0),VLOOKUP(O625,PARAM!M:N,2,0),VLOOKUP(P625,PARAM!P:Q,2,0)),"")</f>
        <v/>
      </c>
      <c r="T625" s="18">
        <f t="shared" si="4"/>
        <v>0</v>
      </c>
      <c r="U625" s="18" t="str">
        <f t="shared" si="5"/>
        <v>   </v>
      </c>
    </row>
    <row r="626">
      <c r="A626" s="1"/>
      <c r="B626" s="1"/>
      <c r="C626" s="1"/>
      <c r="D626" s="1"/>
      <c r="E626" s="2"/>
      <c r="F626" s="1"/>
      <c r="G626" s="65">
        <f t="shared" si="7"/>
        <v>0</v>
      </c>
      <c r="H626" s="1"/>
      <c r="I626" s="1"/>
      <c r="J626" s="1"/>
      <c r="K626" s="18"/>
      <c r="L626" s="18"/>
      <c r="M626" s="18"/>
      <c r="N626" s="18"/>
      <c r="O626" s="18"/>
      <c r="P626" s="67" t="s">
        <v>503</v>
      </c>
      <c r="Q626" s="18" t="s">
        <v>476</v>
      </c>
      <c r="R626" s="68" t="str">
        <f>IFERROR(CONCATENATE("*",VLOOKUP(L626,PARAM!D:E,2,0),VLOOKUP(M626,PARAM!J:K,2,0),VLOOKUP(N626,PARAM!G:H,2,0),VLOOKUP(P626,PARAM!P:Q,2,0),"*"),"")</f>
        <v/>
      </c>
      <c r="S626" s="18" t="str">
        <f>IFERROR(CONCATENATE(VLOOKUP(L626,PARAM!D:E,2,0),VLOOKUP(M626,PARAM!J:K,2,0),VLOOKUP(N626,PARAM!G:H,2,0),VLOOKUP(O626,PARAM!M:N,2,0),VLOOKUP(P626,PARAM!P:Q,2,0)),"")</f>
        <v/>
      </c>
      <c r="T626" s="18">
        <f t="shared" si="4"/>
        <v>0</v>
      </c>
      <c r="U626" s="18" t="str">
        <f t="shared" si="5"/>
        <v>   </v>
      </c>
    </row>
    <row r="627">
      <c r="A627" s="1"/>
      <c r="B627" s="1"/>
      <c r="C627" s="1"/>
      <c r="D627" s="1"/>
      <c r="E627" s="2"/>
      <c r="F627" s="1"/>
      <c r="G627" s="65">
        <f t="shared" si="7"/>
        <v>0</v>
      </c>
      <c r="H627" s="1"/>
      <c r="I627" s="1"/>
      <c r="J627" s="1"/>
      <c r="K627" s="18"/>
      <c r="L627" s="18"/>
      <c r="M627" s="18"/>
      <c r="N627" s="18"/>
      <c r="O627" s="18"/>
      <c r="P627" s="67" t="s">
        <v>503</v>
      </c>
      <c r="Q627" s="18" t="s">
        <v>476</v>
      </c>
      <c r="R627" s="68" t="str">
        <f>IFERROR(CONCATENATE("*",VLOOKUP(L627,PARAM!D:E,2,0),VLOOKUP(M627,PARAM!J:K,2,0),VLOOKUP(N627,PARAM!G:H,2,0),VLOOKUP(P627,PARAM!P:Q,2,0),"*"),"")</f>
        <v/>
      </c>
      <c r="S627" s="18" t="str">
        <f>IFERROR(CONCATENATE(VLOOKUP(L627,PARAM!D:E,2,0),VLOOKUP(M627,PARAM!J:K,2,0),VLOOKUP(N627,PARAM!G:H,2,0),VLOOKUP(O627,PARAM!M:N,2,0),VLOOKUP(P627,PARAM!P:Q,2,0)),"")</f>
        <v/>
      </c>
      <c r="T627" s="18">
        <f t="shared" si="4"/>
        <v>0</v>
      </c>
      <c r="U627" s="18" t="str">
        <f t="shared" si="5"/>
        <v>   </v>
      </c>
    </row>
    <row r="628">
      <c r="A628" s="1"/>
      <c r="B628" s="1"/>
      <c r="C628" s="1"/>
      <c r="D628" s="1"/>
      <c r="E628" s="2"/>
      <c r="F628" s="1"/>
      <c r="G628" s="65">
        <f t="shared" si="7"/>
        <v>0</v>
      </c>
      <c r="H628" s="1"/>
      <c r="I628" s="1"/>
      <c r="J628" s="1"/>
      <c r="K628" s="18"/>
      <c r="L628" s="18"/>
      <c r="M628" s="18"/>
      <c r="N628" s="18"/>
      <c r="O628" s="18"/>
      <c r="P628" s="67" t="s">
        <v>503</v>
      </c>
      <c r="Q628" s="18" t="s">
        <v>476</v>
      </c>
      <c r="R628" s="68" t="str">
        <f>IFERROR(CONCATENATE("*",VLOOKUP(L628,PARAM!D:E,2,0),VLOOKUP(M628,PARAM!J:K,2,0),VLOOKUP(N628,PARAM!G:H,2,0),VLOOKUP(P628,PARAM!P:Q,2,0),"*"),"")</f>
        <v/>
      </c>
      <c r="S628" s="18" t="str">
        <f>IFERROR(CONCATENATE(VLOOKUP(L628,PARAM!D:E,2,0),VLOOKUP(M628,PARAM!J:K,2,0),VLOOKUP(N628,PARAM!G:H,2,0),VLOOKUP(O628,PARAM!M:N,2,0),VLOOKUP(P628,PARAM!P:Q,2,0)),"")</f>
        <v/>
      </c>
      <c r="T628" s="18">
        <f t="shared" si="4"/>
        <v>0</v>
      </c>
      <c r="U628" s="18" t="str">
        <f t="shared" si="5"/>
        <v>   </v>
      </c>
    </row>
    <row r="629">
      <c r="A629" s="1"/>
      <c r="B629" s="1"/>
      <c r="C629" s="1"/>
      <c r="D629" s="1"/>
      <c r="E629" s="2"/>
      <c r="F629" s="1"/>
      <c r="G629" s="65">
        <f t="shared" si="7"/>
        <v>0</v>
      </c>
      <c r="H629" s="1"/>
      <c r="I629" s="1"/>
      <c r="J629" s="1"/>
      <c r="K629" s="18"/>
      <c r="L629" s="18"/>
      <c r="M629" s="18"/>
      <c r="N629" s="18"/>
      <c r="O629" s="18"/>
      <c r="P629" s="67" t="s">
        <v>503</v>
      </c>
      <c r="Q629" s="18" t="s">
        <v>476</v>
      </c>
      <c r="R629" s="68" t="str">
        <f>IFERROR(CONCATENATE("*",VLOOKUP(L629,PARAM!D:E,2,0),VLOOKUP(M629,PARAM!J:K,2,0),VLOOKUP(N629,PARAM!G:H,2,0),VLOOKUP(P629,PARAM!P:Q,2,0),"*"),"")</f>
        <v/>
      </c>
      <c r="S629" s="18" t="str">
        <f>IFERROR(CONCATENATE(VLOOKUP(L629,PARAM!D:E,2,0),VLOOKUP(M629,PARAM!J:K,2,0),VLOOKUP(N629,PARAM!G:H,2,0),VLOOKUP(O629,PARAM!M:N,2,0),VLOOKUP(P629,PARAM!P:Q,2,0)),"")</f>
        <v/>
      </c>
      <c r="T629" s="18">
        <f t="shared" si="4"/>
        <v>0</v>
      </c>
      <c r="U629" s="18" t="str">
        <f t="shared" si="5"/>
        <v>   </v>
      </c>
    </row>
    <row r="630">
      <c r="A630" s="1"/>
      <c r="B630" s="1"/>
      <c r="C630" s="1"/>
      <c r="D630" s="1"/>
      <c r="E630" s="2"/>
      <c r="F630" s="1"/>
      <c r="G630" s="65">
        <f t="shared" si="7"/>
        <v>0</v>
      </c>
      <c r="H630" s="1"/>
      <c r="I630" s="1"/>
      <c r="J630" s="1"/>
      <c r="K630" s="18"/>
      <c r="L630" s="18"/>
      <c r="M630" s="18"/>
      <c r="N630" s="18"/>
      <c r="O630" s="18"/>
      <c r="P630" s="67" t="s">
        <v>503</v>
      </c>
      <c r="Q630" s="18" t="s">
        <v>476</v>
      </c>
      <c r="R630" s="68" t="str">
        <f>IFERROR(CONCATENATE("*",VLOOKUP(L630,PARAM!D:E,2,0),VLOOKUP(M630,PARAM!J:K,2,0),VLOOKUP(N630,PARAM!G:H,2,0),VLOOKUP(P630,PARAM!P:Q,2,0),"*"),"")</f>
        <v/>
      </c>
      <c r="S630" s="18" t="str">
        <f>IFERROR(CONCATENATE(VLOOKUP(L630,PARAM!D:E,2,0),VLOOKUP(M630,PARAM!J:K,2,0),VLOOKUP(N630,PARAM!G:H,2,0),VLOOKUP(O630,PARAM!M:N,2,0),VLOOKUP(P630,PARAM!P:Q,2,0)),"")</f>
        <v/>
      </c>
      <c r="T630" s="18">
        <f t="shared" si="4"/>
        <v>0</v>
      </c>
      <c r="U630" s="18" t="str">
        <f t="shared" si="5"/>
        <v>   </v>
      </c>
    </row>
    <row r="631">
      <c r="A631" s="1"/>
      <c r="B631" s="1"/>
      <c r="C631" s="1"/>
      <c r="D631" s="1"/>
      <c r="E631" s="2"/>
      <c r="F631" s="1"/>
      <c r="G631" s="65">
        <f t="shared" si="7"/>
        <v>0</v>
      </c>
      <c r="H631" s="1"/>
      <c r="I631" s="1"/>
      <c r="J631" s="1"/>
      <c r="K631" s="18"/>
      <c r="L631" s="18"/>
      <c r="M631" s="18"/>
      <c r="N631" s="18"/>
      <c r="O631" s="18"/>
      <c r="P631" s="67" t="s">
        <v>503</v>
      </c>
      <c r="Q631" s="18" t="s">
        <v>476</v>
      </c>
      <c r="R631" s="68" t="str">
        <f>IFERROR(CONCATENATE("*",VLOOKUP(L631,PARAM!D:E,2,0),VLOOKUP(M631,PARAM!J:K,2,0),VLOOKUP(N631,PARAM!G:H,2,0),VLOOKUP(P631,PARAM!P:Q,2,0),"*"),"")</f>
        <v/>
      </c>
      <c r="S631" s="18" t="str">
        <f>IFERROR(CONCATENATE(VLOOKUP(L631,PARAM!D:E,2,0),VLOOKUP(M631,PARAM!J:K,2,0),VLOOKUP(N631,PARAM!G:H,2,0),VLOOKUP(O631,PARAM!M:N,2,0),VLOOKUP(P631,PARAM!P:Q,2,0)),"")</f>
        <v/>
      </c>
      <c r="T631" s="18">
        <f t="shared" si="4"/>
        <v>0</v>
      </c>
      <c r="U631" s="18" t="str">
        <f t="shared" si="5"/>
        <v>   </v>
      </c>
    </row>
    <row r="632">
      <c r="A632" s="1"/>
      <c r="B632" s="1"/>
      <c r="C632" s="1"/>
      <c r="D632" s="1"/>
      <c r="E632" s="2"/>
      <c r="F632" s="1"/>
      <c r="G632" s="65">
        <f t="shared" si="7"/>
        <v>0</v>
      </c>
      <c r="H632" s="1"/>
      <c r="I632" s="1"/>
      <c r="J632" s="1"/>
      <c r="K632" s="18"/>
      <c r="L632" s="18"/>
      <c r="M632" s="18"/>
      <c r="N632" s="18"/>
      <c r="O632" s="18"/>
      <c r="P632" s="67" t="s">
        <v>503</v>
      </c>
      <c r="Q632" s="18" t="s">
        <v>476</v>
      </c>
      <c r="R632" s="68" t="str">
        <f>IFERROR(CONCATENATE("*",VLOOKUP(L632,PARAM!D:E,2,0),VLOOKUP(M632,PARAM!J:K,2,0),VLOOKUP(N632,PARAM!G:H,2,0),VLOOKUP(P632,PARAM!P:Q,2,0),"*"),"")</f>
        <v/>
      </c>
      <c r="S632" s="18" t="str">
        <f>IFERROR(CONCATENATE(VLOOKUP(L632,PARAM!D:E,2,0),VLOOKUP(M632,PARAM!J:K,2,0),VLOOKUP(N632,PARAM!G:H,2,0),VLOOKUP(O632,PARAM!M:N,2,0),VLOOKUP(P632,PARAM!P:Q,2,0)),"")</f>
        <v/>
      </c>
      <c r="T632" s="18">
        <f t="shared" si="4"/>
        <v>0</v>
      </c>
      <c r="U632" s="18" t="str">
        <f t="shared" si="5"/>
        <v>   </v>
      </c>
    </row>
    <row r="633">
      <c r="A633" s="1"/>
      <c r="B633" s="1"/>
      <c r="C633" s="1"/>
      <c r="D633" s="1"/>
      <c r="E633" s="2"/>
      <c r="F633" s="1"/>
      <c r="G633" s="65">
        <f t="shared" si="7"/>
        <v>0</v>
      </c>
      <c r="H633" s="1"/>
      <c r="I633" s="1"/>
      <c r="J633" s="1"/>
      <c r="K633" s="18"/>
      <c r="L633" s="18"/>
      <c r="M633" s="18"/>
      <c r="N633" s="18"/>
      <c r="O633" s="18"/>
      <c r="P633" s="67" t="s">
        <v>503</v>
      </c>
      <c r="Q633" s="18" t="s">
        <v>476</v>
      </c>
      <c r="R633" s="68" t="str">
        <f>IFERROR(CONCATENATE("*",VLOOKUP(L633,PARAM!D:E,2,0),VLOOKUP(M633,PARAM!J:K,2,0),VLOOKUP(N633,PARAM!G:H,2,0),VLOOKUP(P633,PARAM!P:Q,2,0),"*"),"")</f>
        <v/>
      </c>
      <c r="S633" s="18" t="str">
        <f>IFERROR(CONCATENATE(VLOOKUP(L633,PARAM!D:E,2,0),VLOOKUP(M633,PARAM!J:K,2,0),VLOOKUP(N633,PARAM!G:H,2,0),VLOOKUP(O633,PARAM!M:N,2,0),VLOOKUP(P633,PARAM!P:Q,2,0)),"")</f>
        <v/>
      </c>
      <c r="T633" s="18">
        <f t="shared" si="4"/>
        <v>0</v>
      </c>
      <c r="U633" s="18" t="str">
        <f t="shared" si="5"/>
        <v>   </v>
      </c>
    </row>
    <row r="634">
      <c r="A634" s="1"/>
      <c r="B634" s="1"/>
      <c r="C634" s="1"/>
      <c r="D634" s="1"/>
      <c r="E634" s="2"/>
      <c r="F634" s="1"/>
      <c r="G634" s="65">
        <f t="shared" si="7"/>
        <v>0</v>
      </c>
      <c r="H634" s="1"/>
      <c r="I634" s="1"/>
      <c r="J634" s="1"/>
      <c r="K634" s="18"/>
      <c r="L634" s="18"/>
      <c r="M634" s="18"/>
      <c r="N634" s="18"/>
      <c r="O634" s="18"/>
      <c r="P634" s="67" t="s">
        <v>503</v>
      </c>
      <c r="Q634" s="18" t="s">
        <v>476</v>
      </c>
      <c r="R634" s="68" t="str">
        <f>IFERROR(CONCATENATE("*",VLOOKUP(L634,PARAM!D:E,2,0),VLOOKUP(M634,PARAM!J:K,2,0),VLOOKUP(N634,PARAM!G:H,2,0),VLOOKUP(P634,PARAM!P:Q,2,0),"*"),"")</f>
        <v/>
      </c>
      <c r="S634" s="18" t="str">
        <f>IFERROR(CONCATENATE(VLOOKUP(L634,PARAM!D:E,2,0),VLOOKUP(M634,PARAM!J:K,2,0),VLOOKUP(N634,PARAM!G:H,2,0),VLOOKUP(O634,PARAM!M:N,2,0),VLOOKUP(P634,PARAM!P:Q,2,0)),"")</f>
        <v/>
      </c>
      <c r="T634" s="18">
        <f t="shared" si="4"/>
        <v>0</v>
      </c>
      <c r="U634" s="18" t="str">
        <f t="shared" si="5"/>
        <v>   </v>
      </c>
    </row>
    <row r="635">
      <c r="A635" s="1"/>
      <c r="B635" s="1"/>
      <c r="C635" s="1"/>
      <c r="D635" s="1"/>
      <c r="E635" s="2"/>
      <c r="F635" s="1"/>
      <c r="G635" s="65">
        <f t="shared" si="7"/>
        <v>0</v>
      </c>
      <c r="H635" s="1"/>
      <c r="I635" s="1"/>
      <c r="J635" s="1"/>
      <c r="K635" s="18"/>
      <c r="L635" s="18"/>
      <c r="M635" s="18"/>
      <c r="N635" s="18"/>
      <c r="O635" s="18"/>
      <c r="P635" s="67" t="s">
        <v>503</v>
      </c>
      <c r="Q635" s="18" t="s">
        <v>476</v>
      </c>
      <c r="R635" s="68" t="str">
        <f>IFERROR(CONCATENATE("*",VLOOKUP(L635,PARAM!D:E,2,0),VLOOKUP(M635,PARAM!J:K,2,0),VLOOKUP(N635,PARAM!G:H,2,0),VLOOKUP(P635,PARAM!P:Q,2,0),"*"),"")</f>
        <v/>
      </c>
      <c r="S635" s="18" t="str">
        <f>IFERROR(CONCATENATE(VLOOKUP(L635,PARAM!D:E,2,0),VLOOKUP(M635,PARAM!J:K,2,0),VLOOKUP(N635,PARAM!G:H,2,0),VLOOKUP(O635,PARAM!M:N,2,0),VLOOKUP(P635,PARAM!P:Q,2,0)),"")</f>
        <v/>
      </c>
      <c r="T635" s="18">
        <f t="shared" si="4"/>
        <v>0</v>
      </c>
      <c r="U635" s="18" t="str">
        <f t="shared" si="5"/>
        <v>   </v>
      </c>
    </row>
    <row r="636">
      <c r="A636" s="1"/>
      <c r="B636" s="1"/>
      <c r="C636" s="1"/>
      <c r="D636" s="1"/>
      <c r="E636" s="2"/>
      <c r="F636" s="1"/>
      <c r="G636" s="65">
        <f t="shared" si="7"/>
        <v>0</v>
      </c>
      <c r="H636" s="1"/>
      <c r="I636" s="1"/>
      <c r="J636" s="1"/>
      <c r="K636" s="18"/>
      <c r="L636" s="18"/>
      <c r="M636" s="18"/>
      <c r="N636" s="18"/>
      <c r="O636" s="18"/>
      <c r="P636" s="67" t="s">
        <v>503</v>
      </c>
      <c r="Q636" s="18" t="s">
        <v>476</v>
      </c>
      <c r="R636" s="68" t="str">
        <f>IFERROR(CONCATENATE("*",VLOOKUP(L636,PARAM!D:E,2,0),VLOOKUP(M636,PARAM!J:K,2,0),VLOOKUP(N636,PARAM!G:H,2,0),VLOOKUP(P636,PARAM!P:Q,2,0),"*"),"")</f>
        <v/>
      </c>
      <c r="S636" s="18" t="str">
        <f>IFERROR(CONCATENATE(VLOOKUP(L636,PARAM!D:E,2,0),VLOOKUP(M636,PARAM!J:K,2,0),VLOOKUP(N636,PARAM!G:H,2,0),VLOOKUP(O636,PARAM!M:N,2,0),VLOOKUP(P636,PARAM!P:Q,2,0)),"")</f>
        <v/>
      </c>
      <c r="T636" s="18">
        <f t="shared" si="4"/>
        <v>0</v>
      </c>
      <c r="U636" s="18" t="str">
        <f t="shared" si="5"/>
        <v>   </v>
      </c>
    </row>
    <row r="637">
      <c r="A637" s="1"/>
      <c r="B637" s="1"/>
      <c r="C637" s="1"/>
      <c r="D637" s="1"/>
      <c r="E637" s="2"/>
      <c r="F637" s="1"/>
      <c r="G637" s="65">
        <f t="shared" si="7"/>
        <v>0</v>
      </c>
      <c r="H637" s="1"/>
      <c r="I637" s="1"/>
      <c r="J637" s="1"/>
      <c r="K637" s="18"/>
      <c r="L637" s="18"/>
      <c r="M637" s="18"/>
      <c r="N637" s="18"/>
      <c r="O637" s="18"/>
      <c r="P637" s="67" t="s">
        <v>503</v>
      </c>
      <c r="Q637" s="18" t="s">
        <v>476</v>
      </c>
      <c r="R637" s="68" t="str">
        <f>IFERROR(CONCATENATE("*",VLOOKUP(L637,PARAM!D:E,2,0),VLOOKUP(M637,PARAM!J:K,2,0),VLOOKUP(N637,PARAM!G:H,2,0),VLOOKUP(P637,PARAM!P:Q,2,0),"*"),"")</f>
        <v/>
      </c>
      <c r="S637" s="18" t="str">
        <f>IFERROR(CONCATENATE(VLOOKUP(L637,PARAM!D:E,2,0),VLOOKUP(M637,PARAM!J:K,2,0),VLOOKUP(N637,PARAM!G:H,2,0),VLOOKUP(O637,PARAM!M:N,2,0),VLOOKUP(P637,PARAM!P:Q,2,0)),"")</f>
        <v/>
      </c>
      <c r="T637" s="18">
        <f t="shared" si="4"/>
        <v>0</v>
      </c>
      <c r="U637" s="18" t="str">
        <f t="shared" si="5"/>
        <v>   </v>
      </c>
    </row>
    <row r="638">
      <c r="A638" s="1"/>
      <c r="B638" s="1"/>
      <c r="C638" s="1"/>
      <c r="D638" s="1"/>
      <c r="E638" s="2"/>
      <c r="F638" s="1"/>
      <c r="G638" s="65">
        <f t="shared" si="7"/>
        <v>0</v>
      </c>
      <c r="H638" s="1"/>
      <c r="I638" s="1"/>
      <c r="J638" s="1"/>
      <c r="K638" s="18"/>
      <c r="L638" s="18"/>
      <c r="M638" s="18"/>
      <c r="N638" s="18"/>
      <c r="O638" s="18"/>
      <c r="P638" s="67" t="s">
        <v>503</v>
      </c>
      <c r="Q638" s="18" t="s">
        <v>476</v>
      </c>
      <c r="R638" s="68" t="str">
        <f>IFERROR(CONCATENATE("*",VLOOKUP(L638,PARAM!D:E,2,0),VLOOKUP(M638,PARAM!J:K,2,0),VLOOKUP(N638,PARAM!G:H,2,0),VLOOKUP(P638,PARAM!P:Q,2,0),"*"),"")</f>
        <v/>
      </c>
      <c r="S638" s="18" t="str">
        <f>IFERROR(CONCATENATE(VLOOKUP(L638,PARAM!D:E,2,0),VLOOKUP(M638,PARAM!J:K,2,0),VLOOKUP(N638,PARAM!G:H,2,0),VLOOKUP(O638,PARAM!M:N,2,0),VLOOKUP(P638,PARAM!P:Q,2,0)),"")</f>
        <v/>
      </c>
      <c r="T638" s="18">
        <f t="shared" si="4"/>
        <v>0</v>
      </c>
      <c r="U638" s="18" t="str">
        <f t="shared" si="5"/>
        <v>   </v>
      </c>
    </row>
    <row r="639">
      <c r="A639" s="1"/>
      <c r="B639" s="1"/>
      <c r="C639" s="1"/>
      <c r="D639" s="1"/>
      <c r="E639" s="2"/>
      <c r="F639" s="1"/>
      <c r="G639" s="65">
        <f t="shared" si="7"/>
        <v>0</v>
      </c>
      <c r="H639" s="1"/>
      <c r="I639" s="1"/>
      <c r="J639" s="1"/>
      <c r="K639" s="18"/>
      <c r="L639" s="18"/>
      <c r="M639" s="18"/>
      <c r="N639" s="18"/>
      <c r="O639" s="18"/>
      <c r="P639" s="67" t="s">
        <v>503</v>
      </c>
      <c r="Q639" s="18" t="s">
        <v>476</v>
      </c>
      <c r="R639" s="68" t="str">
        <f>IFERROR(CONCATENATE("*",VLOOKUP(L639,PARAM!D:E,2,0),VLOOKUP(M639,PARAM!J:K,2,0),VLOOKUP(N639,PARAM!G:H,2,0),VLOOKUP(P639,PARAM!P:Q,2,0),"*"),"")</f>
        <v/>
      </c>
      <c r="S639" s="18" t="str">
        <f>IFERROR(CONCATENATE(VLOOKUP(L639,PARAM!D:E,2,0),VLOOKUP(M639,PARAM!J:K,2,0),VLOOKUP(N639,PARAM!G:H,2,0),VLOOKUP(O639,PARAM!M:N,2,0),VLOOKUP(P639,PARAM!P:Q,2,0)),"")</f>
        <v/>
      </c>
      <c r="T639" s="18">
        <f t="shared" si="4"/>
        <v>0</v>
      </c>
      <c r="U639" s="18" t="str">
        <f t="shared" si="5"/>
        <v>   </v>
      </c>
    </row>
    <row r="640">
      <c r="A640" s="1"/>
      <c r="B640" s="1"/>
      <c r="C640" s="1"/>
      <c r="D640" s="1"/>
      <c r="E640" s="2"/>
      <c r="F640" s="1"/>
      <c r="G640" s="65">
        <f t="shared" si="7"/>
        <v>0</v>
      </c>
      <c r="H640" s="1"/>
      <c r="I640" s="1"/>
      <c r="J640" s="1"/>
      <c r="K640" s="18"/>
      <c r="L640" s="18"/>
      <c r="M640" s="18"/>
      <c r="N640" s="18"/>
      <c r="O640" s="18"/>
      <c r="P640" s="67" t="s">
        <v>503</v>
      </c>
      <c r="Q640" s="18" t="s">
        <v>476</v>
      </c>
      <c r="R640" s="68" t="str">
        <f>IFERROR(CONCATENATE("*",VLOOKUP(L640,PARAM!D:E,2,0),VLOOKUP(M640,PARAM!J:K,2,0),VLOOKUP(N640,PARAM!G:H,2,0),VLOOKUP(P640,PARAM!P:Q,2,0),"*"),"")</f>
        <v/>
      </c>
      <c r="S640" s="18" t="str">
        <f>IFERROR(CONCATENATE(VLOOKUP(L640,PARAM!D:E,2,0),VLOOKUP(M640,PARAM!J:K,2,0),VLOOKUP(N640,PARAM!G:H,2,0),VLOOKUP(O640,PARAM!M:N,2,0),VLOOKUP(P640,PARAM!P:Q,2,0)),"")</f>
        <v/>
      </c>
      <c r="T640" s="18">
        <f t="shared" si="4"/>
        <v>0</v>
      </c>
      <c r="U640" s="18" t="str">
        <f t="shared" si="5"/>
        <v>   </v>
      </c>
    </row>
    <row r="641">
      <c r="A641" s="1"/>
      <c r="B641" s="1"/>
      <c r="C641" s="1"/>
      <c r="D641" s="1"/>
      <c r="E641" s="2"/>
      <c r="F641" s="1"/>
      <c r="G641" s="65">
        <f t="shared" si="7"/>
        <v>0</v>
      </c>
      <c r="H641" s="1"/>
      <c r="I641" s="1"/>
      <c r="J641" s="1"/>
      <c r="K641" s="18"/>
      <c r="L641" s="18"/>
      <c r="M641" s="18"/>
      <c r="N641" s="18"/>
      <c r="O641" s="18"/>
      <c r="P641" s="67" t="s">
        <v>503</v>
      </c>
      <c r="Q641" s="18" t="s">
        <v>476</v>
      </c>
      <c r="R641" s="68" t="str">
        <f>IFERROR(CONCATENATE("*",VLOOKUP(L641,PARAM!D:E,2,0),VLOOKUP(M641,PARAM!J:K,2,0),VLOOKUP(N641,PARAM!G:H,2,0),VLOOKUP(P641,PARAM!P:Q,2,0),"*"),"")</f>
        <v/>
      </c>
      <c r="S641" s="18" t="str">
        <f>IFERROR(CONCATENATE(VLOOKUP(L641,PARAM!D:E,2,0),VLOOKUP(M641,PARAM!J:K,2,0),VLOOKUP(N641,PARAM!G:H,2,0),VLOOKUP(O641,PARAM!M:N,2,0),VLOOKUP(P641,PARAM!P:Q,2,0)),"")</f>
        <v/>
      </c>
      <c r="T641" s="18">
        <f t="shared" si="4"/>
        <v>0</v>
      </c>
      <c r="U641" s="18" t="str">
        <f t="shared" si="5"/>
        <v>   </v>
      </c>
    </row>
    <row r="642">
      <c r="A642" s="1"/>
      <c r="B642" s="1"/>
      <c r="C642" s="1"/>
      <c r="D642" s="1"/>
      <c r="E642" s="2"/>
      <c r="F642" s="1"/>
      <c r="G642" s="65">
        <f t="shared" si="7"/>
        <v>0</v>
      </c>
      <c r="H642" s="1"/>
      <c r="I642" s="1"/>
      <c r="J642" s="1"/>
      <c r="K642" s="18"/>
      <c r="L642" s="18"/>
      <c r="M642" s="18"/>
      <c r="N642" s="18"/>
      <c r="O642" s="18"/>
      <c r="P642" s="67" t="s">
        <v>503</v>
      </c>
      <c r="Q642" s="18" t="s">
        <v>476</v>
      </c>
      <c r="R642" s="68" t="str">
        <f>IFERROR(CONCATENATE("*",VLOOKUP(L642,PARAM!D:E,2,0),VLOOKUP(M642,PARAM!J:K,2,0),VLOOKUP(N642,PARAM!G:H,2,0),VLOOKUP(P642,PARAM!P:Q,2,0),"*"),"")</f>
        <v/>
      </c>
      <c r="S642" s="18" t="str">
        <f>IFERROR(CONCATENATE(VLOOKUP(L642,PARAM!D:E,2,0),VLOOKUP(M642,PARAM!J:K,2,0),VLOOKUP(N642,PARAM!G:H,2,0),VLOOKUP(O642,PARAM!M:N,2,0),VLOOKUP(P642,PARAM!P:Q,2,0)),"")</f>
        <v/>
      </c>
      <c r="T642" s="18">
        <f t="shared" si="4"/>
        <v>0</v>
      </c>
      <c r="U642" s="18" t="str">
        <f t="shared" si="5"/>
        <v>   </v>
      </c>
    </row>
    <row r="643">
      <c r="A643" s="1"/>
      <c r="B643" s="1"/>
      <c r="C643" s="1"/>
      <c r="D643" s="1"/>
      <c r="E643" s="2"/>
      <c r="F643" s="1"/>
      <c r="G643" s="65">
        <f t="shared" si="7"/>
        <v>0</v>
      </c>
      <c r="H643" s="1"/>
      <c r="I643" s="1"/>
      <c r="J643" s="1"/>
      <c r="K643" s="18"/>
      <c r="L643" s="18"/>
      <c r="M643" s="18"/>
      <c r="N643" s="18"/>
      <c r="O643" s="18"/>
      <c r="P643" s="67" t="s">
        <v>503</v>
      </c>
      <c r="Q643" s="18" t="s">
        <v>476</v>
      </c>
      <c r="R643" s="68" t="str">
        <f>IFERROR(CONCATENATE("*",VLOOKUP(L643,PARAM!D:E,2,0),VLOOKUP(M643,PARAM!J:K,2,0),VLOOKUP(N643,PARAM!G:H,2,0),VLOOKUP(P643,PARAM!P:Q,2,0),"*"),"")</f>
        <v/>
      </c>
      <c r="S643" s="18" t="str">
        <f>IFERROR(CONCATENATE(VLOOKUP(L643,PARAM!D:E,2,0),VLOOKUP(M643,PARAM!J:K,2,0),VLOOKUP(N643,PARAM!G:H,2,0),VLOOKUP(O643,PARAM!M:N,2,0),VLOOKUP(P643,PARAM!P:Q,2,0)),"")</f>
        <v/>
      </c>
      <c r="T643" s="18">
        <f t="shared" si="4"/>
        <v>0</v>
      </c>
      <c r="U643" s="18" t="str">
        <f t="shared" si="5"/>
        <v>   </v>
      </c>
    </row>
    <row r="644">
      <c r="A644" s="1"/>
      <c r="B644" s="1"/>
      <c r="C644" s="1"/>
      <c r="D644" s="1"/>
      <c r="E644" s="2"/>
      <c r="F644" s="1"/>
      <c r="G644" s="65">
        <f t="shared" si="7"/>
        <v>0</v>
      </c>
      <c r="H644" s="1"/>
      <c r="I644" s="1"/>
      <c r="J644" s="1"/>
      <c r="K644" s="18"/>
      <c r="L644" s="18"/>
      <c r="M644" s="18"/>
      <c r="N644" s="18"/>
      <c r="O644" s="18"/>
      <c r="P644" s="67" t="s">
        <v>503</v>
      </c>
      <c r="Q644" s="18" t="s">
        <v>476</v>
      </c>
      <c r="R644" s="68" t="str">
        <f>IFERROR(CONCATENATE("*",VLOOKUP(L644,PARAM!D:E,2,0),VLOOKUP(M644,PARAM!J:K,2,0),VLOOKUP(N644,PARAM!G:H,2,0),VLOOKUP(P644,PARAM!P:Q,2,0),"*"),"")</f>
        <v/>
      </c>
      <c r="S644" s="18" t="str">
        <f>IFERROR(CONCATENATE(VLOOKUP(L644,PARAM!D:E,2,0),VLOOKUP(M644,PARAM!J:K,2,0),VLOOKUP(N644,PARAM!G:H,2,0),VLOOKUP(O644,PARAM!M:N,2,0),VLOOKUP(P644,PARAM!P:Q,2,0)),"")</f>
        <v/>
      </c>
      <c r="T644" s="18">
        <f t="shared" si="4"/>
        <v>0</v>
      </c>
      <c r="U644" s="18" t="str">
        <f t="shared" si="5"/>
        <v>   </v>
      </c>
    </row>
    <row r="645">
      <c r="A645" s="1"/>
      <c r="B645" s="1"/>
      <c r="C645" s="1"/>
      <c r="D645" s="1"/>
      <c r="E645" s="2"/>
      <c r="F645" s="1"/>
      <c r="G645" s="65">
        <f t="shared" si="7"/>
        <v>0</v>
      </c>
      <c r="H645" s="1"/>
      <c r="I645" s="1"/>
      <c r="J645" s="1"/>
      <c r="K645" s="18"/>
      <c r="L645" s="18"/>
      <c r="M645" s="18"/>
      <c r="N645" s="18"/>
      <c r="O645" s="18"/>
      <c r="P645" s="67" t="s">
        <v>503</v>
      </c>
      <c r="Q645" s="18" t="s">
        <v>476</v>
      </c>
      <c r="R645" s="68" t="str">
        <f>IFERROR(CONCATENATE("*",VLOOKUP(L645,PARAM!D:E,2,0),VLOOKUP(M645,PARAM!J:K,2,0),VLOOKUP(N645,PARAM!G:H,2,0),VLOOKUP(P645,PARAM!P:Q,2,0),"*"),"")</f>
        <v/>
      </c>
      <c r="S645" s="18" t="str">
        <f>IFERROR(CONCATENATE(VLOOKUP(L645,PARAM!D:E,2,0),VLOOKUP(M645,PARAM!J:K,2,0),VLOOKUP(N645,PARAM!G:H,2,0),VLOOKUP(O645,PARAM!M:N,2,0),VLOOKUP(P645,PARAM!P:Q,2,0)),"")</f>
        <v/>
      </c>
      <c r="T645" s="18">
        <f t="shared" si="4"/>
        <v>0</v>
      </c>
      <c r="U645" s="18" t="str">
        <f t="shared" si="5"/>
        <v>   </v>
      </c>
    </row>
    <row r="646">
      <c r="A646" s="1"/>
      <c r="B646" s="1"/>
      <c r="C646" s="1"/>
      <c r="D646" s="1"/>
      <c r="E646" s="2"/>
      <c r="F646" s="1"/>
      <c r="G646" s="65">
        <f t="shared" si="7"/>
        <v>0</v>
      </c>
      <c r="H646" s="1"/>
      <c r="I646" s="1"/>
      <c r="J646" s="1"/>
      <c r="K646" s="18"/>
      <c r="L646" s="18"/>
      <c r="M646" s="18"/>
      <c r="N646" s="18"/>
      <c r="O646" s="18"/>
      <c r="P646" s="67" t="s">
        <v>503</v>
      </c>
      <c r="Q646" s="18" t="s">
        <v>476</v>
      </c>
      <c r="R646" s="68" t="str">
        <f>IFERROR(CONCATENATE("*",VLOOKUP(L646,PARAM!D:E,2,0),VLOOKUP(M646,PARAM!J:K,2,0),VLOOKUP(N646,PARAM!G:H,2,0),VLOOKUP(P646,PARAM!P:Q,2,0),"*"),"")</f>
        <v/>
      </c>
      <c r="S646" s="18" t="str">
        <f>IFERROR(CONCATENATE(VLOOKUP(L646,PARAM!D:E,2,0),VLOOKUP(M646,PARAM!J:K,2,0),VLOOKUP(N646,PARAM!G:H,2,0),VLOOKUP(O646,PARAM!M:N,2,0),VLOOKUP(P646,PARAM!P:Q,2,0)),"")</f>
        <v/>
      </c>
      <c r="T646" s="18">
        <f t="shared" si="4"/>
        <v>0</v>
      </c>
      <c r="U646" s="18" t="str">
        <f t="shared" si="5"/>
        <v>   </v>
      </c>
    </row>
    <row r="647">
      <c r="A647" s="1"/>
      <c r="B647" s="1"/>
      <c r="C647" s="1"/>
      <c r="D647" s="1"/>
      <c r="E647" s="2"/>
      <c r="F647" s="1"/>
      <c r="G647" s="65">
        <f t="shared" si="7"/>
        <v>0</v>
      </c>
      <c r="H647" s="1"/>
      <c r="I647" s="1"/>
      <c r="J647" s="1"/>
      <c r="K647" s="18"/>
      <c r="L647" s="18"/>
      <c r="M647" s="18"/>
      <c r="N647" s="18"/>
      <c r="O647" s="18"/>
      <c r="P647" s="67" t="s">
        <v>503</v>
      </c>
      <c r="Q647" s="18" t="s">
        <v>476</v>
      </c>
      <c r="R647" s="68" t="str">
        <f>IFERROR(CONCATENATE("*",VLOOKUP(L647,PARAM!D:E,2,0),VLOOKUP(M647,PARAM!J:K,2,0),VLOOKUP(N647,PARAM!G:H,2,0),VLOOKUP(P647,PARAM!P:Q,2,0),"*"),"")</f>
        <v/>
      </c>
      <c r="S647" s="18" t="str">
        <f>IFERROR(CONCATENATE(VLOOKUP(L647,PARAM!D:E,2,0),VLOOKUP(M647,PARAM!J:K,2,0),VLOOKUP(N647,PARAM!G:H,2,0),VLOOKUP(O647,PARAM!M:N,2,0),VLOOKUP(P647,PARAM!P:Q,2,0)),"")</f>
        <v/>
      </c>
      <c r="T647" s="18">
        <f t="shared" si="4"/>
        <v>0</v>
      </c>
      <c r="U647" s="18" t="str">
        <f t="shared" si="5"/>
        <v>   </v>
      </c>
    </row>
    <row r="648">
      <c r="A648" s="1"/>
      <c r="B648" s="1"/>
      <c r="C648" s="1"/>
      <c r="D648" s="1"/>
      <c r="E648" s="2"/>
      <c r="F648" s="1"/>
      <c r="G648" s="65">
        <f t="shared" si="7"/>
        <v>0</v>
      </c>
      <c r="H648" s="1"/>
      <c r="I648" s="1"/>
      <c r="J648" s="1"/>
      <c r="K648" s="18"/>
      <c r="L648" s="18"/>
      <c r="M648" s="18"/>
      <c r="N648" s="18"/>
      <c r="O648" s="18"/>
      <c r="P648" s="67" t="s">
        <v>503</v>
      </c>
      <c r="Q648" s="18" t="s">
        <v>476</v>
      </c>
      <c r="R648" s="68" t="str">
        <f>IFERROR(CONCATENATE("*",VLOOKUP(L648,PARAM!D:E,2,0),VLOOKUP(M648,PARAM!J:K,2,0),VLOOKUP(N648,PARAM!G:H,2,0),VLOOKUP(P648,PARAM!P:Q,2,0),"*"),"")</f>
        <v/>
      </c>
      <c r="S648" s="18" t="str">
        <f>IFERROR(CONCATENATE(VLOOKUP(L648,PARAM!D:E,2,0),VLOOKUP(M648,PARAM!J:K,2,0),VLOOKUP(N648,PARAM!G:H,2,0),VLOOKUP(O648,PARAM!M:N,2,0),VLOOKUP(P648,PARAM!P:Q,2,0)),"")</f>
        <v/>
      </c>
      <c r="T648" s="18">
        <f t="shared" si="4"/>
        <v>0</v>
      </c>
      <c r="U648" s="18" t="str">
        <f t="shared" si="5"/>
        <v>   </v>
      </c>
    </row>
    <row r="649">
      <c r="A649" s="1"/>
      <c r="B649" s="1"/>
      <c r="C649" s="1"/>
      <c r="D649" s="1"/>
      <c r="E649" s="2"/>
      <c r="F649" s="1"/>
      <c r="G649" s="65">
        <f t="shared" si="7"/>
        <v>0</v>
      </c>
      <c r="H649" s="1"/>
      <c r="I649" s="1"/>
      <c r="J649" s="1"/>
      <c r="K649" s="18"/>
      <c r="L649" s="18"/>
      <c r="M649" s="18"/>
      <c r="N649" s="18"/>
      <c r="O649" s="18"/>
      <c r="P649" s="67" t="s">
        <v>503</v>
      </c>
      <c r="Q649" s="18" t="s">
        <v>476</v>
      </c>
      <c r="R649" s="68" t="str">
        <f>IFERROR(CONCATENATE("*",VLOOKUP(L649,PARAM!D:E,2,0),VLOOKUP(M649,PARAM!J:K,2,0),VLOOKUP(N649,PARAM!G:H,2,0),VLOOKUP(P649,PARAM!P:Q,2,0),"*"),"")</f>
        <v/>
      </c>
      <c r="S649" s="18" t="str">
        <f>IFERROR(CONCATENATE(VLOOKUP(L649,PARAM!D:E,2,0),VLOOKUP(M649,PARAM!J:K,2,0),VLOOKUP(N649,PARAM!G:H,2,0),VLOOKUP(O649,PARAM!M:N,2,0),VLOOKUP(P649,PARAM!P:Q,2,0)),"")</f>
        <v/>
      </c>
      <c r="T649" s="18">
        <f t="shared" si="4"/>
        <v>0</v>
      </c>
      <c r="U649" s="18" t="str">
        <f t="shared" si="5"/>
        <v>   </v>
      </c>
    </row>
    <row r="650">
      <c r="A650" s="1"/>
      <c r="B650" s="1"/>
      <c r="C650" s="1"/>
      <c r="D650" s="1"/>
      <c r="E650" s="2"/>
      <c r="F650" s="1"/>
      <c r="G650" s="65">
        <f t="shared" si="7"/>
        <v>0</v>
      </c>
      <c r="H650" s="1"/>
      <c r="I650" s="1"/>
      <c r="J650" s="1"/>
      <c r="K650" s="18"/>
      <c r="L650" s="18"/>
      <c r="M650" s="18"/>
      <c r="N650" s="18"/>
      <c r="O650" s="18"/>
      <c r="P650" s="67" t="s">
        <v>503</v>
      </c>
      <c r="Q650" s="18" t="s">
        <v>476</v>
      </c>
      <c r="R650" s="68" t="str">
        <f>IFERROR(CONCATENATE("*",VLOOKUP(L650,PARAM!D:E,2,0),VLOOKUP(M650,PARAM!J:K,2,0),VLOOKUP(N650,PARAM!G:H,2,0),VLOOKUP(P650,PARAM!P:Q,2,0),"*"),"")</f>
        <v/>
      </c>
      <c r="S650" s="18" t="str">
        <f>IFERROR(CONCATENATE(VLOOKUP(L650,PARAM!D:E,2,0),VLOOKUP(M650,PARAM!J:K,2,0),VLOOKUP(N650,PARAM!G:H,2,0),VLOOKUP(O650,PARAM!M:N,2,0),VLOOKUP(P650,PARAM!P:Q,2,0)),"")</f>
        <v/>
      </c>
      <c r="T650" s="18">
        <f t="shared" si="4"/>
        <v>0</v>
      </c>
      <c r="U650" s="18" t="str">
        <f t="shared" si="5"/>
        <v>   </v>
      </c>
    </row>
    <row r="651">
      <c r="A651" s="1"/>
      <c r="B651" s="1"/>
      <c r="C651" s="1"/>
      <c r="D651" s="1"/>
      <c r="E651" s="2"/>
      <c r="F651" s="1"/>
      <c r="G651" s="65">
        <f t="shared" si="7"/>
        <v>0</v>
      </c>
      <c r="H651" s="1"/>
      <c r="I651" s="1"/>
      <c r="J651" s="1"/>
      <c r="K651" s="18"/>
      <c r="L651" s="18"/>
      <c r="M651" s="18"/>
      <c r="N651" s="18"/>
      <c r="O651" s="18"/>
      <c r="P651" s="67" t="s">
        <v>503</v>
      </c>
      <c r="Q651" s="18" t="s">
        <v>476</v>
      </c>
      <c r="R651" s="68" t="str">
        <f>IFERROR(CONCATENATE("*",VLOOKUP(L651,PARAM!D:E,2,0),VLOOKUP(M651,PARAM!J:K,2,0),VLOOKUP(N651,PARAM!G:H,2,0),VLOOKUP(P651,PARAM!P:Q,2,0),"*"),"")</f>
        <v/>
      </c>
      <c r="S651" s="18" t="str">
        <f>IFERROR(CONCATENATE(VLOOKUP(L651,PARAM!D:E,2,0),VLOOKUP(M651,PARAM!J:K,2,0),VLOOKUP(N651,PARAM!G:H,2,0),VLOOKUP(O651,PARAM!M:N,2,0),VLOOKUP(P651,PARAM!P:Q,2,0)),"")</f>
        <v/>
      </c>
      <c r="T651" s="18">
        <f t="shared" si="4"/>
        <v>0</v>
      </c>
      <c r="U651" s="18" t="str">
        <f t="shared" si="5"/>
        <v>   </v>
      </c>
    </row>
    <row r="652">
      <c r="A652" s="1"/>
      <c r="B652" s="1"/>
      <c r="C652" s="1"/>
      <c r="D652" s="1"/>
      <c r="E652" s="2"/>
      <c r="F652" s="1"/>
      <c r="G652" s="65">
        <f t="shared" si="7"/>
        <v>0</v>
      </c>
      <c r="H652" s="1"/>
      <c r="I652" s="1"/>
      <c r="J652" s="1"/>
      <c r="K652" s="18"/>
      <c r="L652" s="18"/>
      <c r="M652" s="18"/>
      <c r="N652" s="18"/>
      <c r="O652" s="18"/>
      <c r="P652" s="67" t="s">
        <v>503</v>
      </c>
      <c r="Q652" s="18" t="s">
        <v>476</v>
      </c>
      <c r="R652" s="68" t="str">
        <f>IFERROR(CONCATENATE("*",VLOOKUP(L652,PARAM!D:E,2,0),VLOOKUP(M652,PARAM!J:K,2,0),VLOOKUP(N652,PARAM!G:H,2,0),VLOOKUP(P652,PARAM!P:Q,2,0),"*"),"")</f>
        <v/>
      </c>
      <c r="S652" s="18" t="str">
        <f>IFERROR(CONCATENATE(VLOOKUP(L652,PARAM!D:E,2,0),VLOOKUP(M652,PARAM!J:K,2,0),VLOOKUP(N652,PARAM!G:H,2,0),VLOOKUP(O652,PARAM!M:N,2,0),VLOOKUP(P652,PARAM!P:Q,2,0)),"")</f>
        <v/>
      </c>
      <c r="T652" s="18">
        <f t="shared" si="4"/>
        <v>0</v>
      </c>
      <c r="U652" s="18" t="str">
        <f t="shared" si="5"/>
        <v>   </v>
      </c>
    </row>
    <row r="653">
      <c r="A653" s="1"/>
      <c r="B653" s="1"/>
      <c r="C653" s="1"/>
      <c r="D653" s="1"/>
      <c r="E653" s="2"/>
      <c r="F653" s="1"/>
      <c r="G653" s="65">
        <f t="shared" si="7"/>
        <v>0</v>
      </c>
      <c r="H653" s="1"/>
      <c r="I653" s="1"/>
      <c r="J653" s="1"/>
      <c r="K653" s="18"/>
      <c r="L653" s="18"/>
      <c r="M653" s="18"/>
      <c r="N653" s="18"/>
      <c r="O653" s="18"/>
      <c r="P653" s="67" t="s">
        <v>503</v>
      </c>
      <c r="Q653" s="18" t="s">
        <v>476</v>
      </c>
      <c r="R653" s="68" t="str">
        <f>IFERROR(CONCATENATE("*",VLOOKUP(L653,PARAM!D:E,2,0),VLOOKUP(M653,PARAM!J:K,2,0),VLOOKUP(N653,PARAM!G:H,2,0),VLOOKUP(P653,PARAM!P:Q,2,0),"*"),"")</f>
        <v/>
      </c>
      <c r="S653" s="18" t="str">
        <f>IFERROR(CONCATENATE(VLOOKUP(L653,PARAM!D:E,2,0),VLOOKUP(M653,PARAM!J:K,2,0),VLOOKUP(N653,PARAM!G:H,2,0),VLOOKUP(O653,PARAM!M:N,2,0),VLOOKUP(P653,PARAM!P:Q,2,0)),"")</f>
        <v/>
      </c>
      <c r="T653" s="18">
        <f t="shared" si="4"/>
        <v>0</v>
      </c>
      <c r="U653" s="18" t="str">
        <f t="shared" si="5"/>
        <v>   </v>
      </c>
    </row>
    <row r="654">
      <c r="A654" s="1"/>
      <c r="B654" s="1"/>
      <c r="C654" s="1"/>
      <c r="D654" s="1"/>
      <c r="E654" s="2"/>
      <c r="F654" s="1"/>
      <c r="G654" s="65">
        <f t="shared" si="7"/>
        <v>0</v>
      </c>
      <c r="H654" s="1"/>
      <c r="I654" s="1"/>
      <c r="J654" s="1"/>
      <c r="K654" s="18"/>
      <c r="L654" s="18"/>
      <c r="M654" s="18"/>
      <c r="N654" s="18"/>
      <c r="O654" s="18"/>
      <c r="P654" s="67" t="s">
        <v>503</v>
      </c>
      <c r="Q654" s="18" t="s">
        <v>476</v>
      </c>
      <c r="R654" s="68" t="str">
        <f>IFERROR(CONCATENATE("*",VLOOKUP(L654,PARAM!D:E,2,0),VLOOKUP(M654,PARAM!J:K,2,0),VLOOKUP(N654,PARAM!G:H,2,0),VLOOKUP(P654,PARAM!P:Q,2,0),"*"),"")</f>
        <v/>
      </c>
      <c r="S654" s="18" t="str">
        <f>IFERROR(CONCATENATE(VLOOKUP(L654,PARAM!D:E,2,0),VLOOKUP(M654,PARAM!J:K,2,0),VLOOKUP(N654,PARAM!G:H,2,0),VLOOKUP(O654,PARAM!M:N,2,0),VLOOKUP(P654,PARAM!P:Q,2,0)),"")</f>
        <v/>
      </c>
      <c r="T654" s="18">
        <f t="shared" si="4"/>
        <v>0</v>
      </c>
      <c r="U654" s="18" t="str">
        <f t="shared" si="5"/>
        <v>   </v>
      </c>
    </row>
    <row r="655">
      <c r="A655" s="1"/>
      <c r="B655" s="1"/>
      <c r="C655" s="1"/>
      <c r="D655" s="1"/>
      <c r="E655" s="2"/>
      <c r="F655" s="1"/>
      <c r="G655" s="65">
        <f t="shared" si="7"/>
        <v>0</v>
      </c>
      <c r="H655" s="1"/>
      <c r="I655" s="1"/>
      <c r="J655" s="1"/>
      <c r="K655" s="18"/>
      <c r="L655" s="18"/>
      <c r="M655" s="18"/>
      <c r="N655" s="18"/>
      <c r="O655" s="18"/>
      <c r="P655" s="67" t="s">
        <v>503</v>
      </c>
      <c r="Q655" s="18" t="s">
        <v>476</v>
      </c>
      <c r="R655" s="68" t="str">
        <f>IFERROR(CONCATENATE("*",VLOOKUP(L655,PARAM!D:E,2,0),VLOOKUP(M655,PARAM!J:K,2,0),VLOOKUP(N655,PARAM!G:H,2,0),VLOOKUP(P655,PARAM!P:Q,2,0),"*"),"")</f>
        <v/>
      </c>
      <c r="S655" s="18" t="str">
        <f>IFERROR(CONCATENATE(VLOOKUP(L655,PARAM!D:E,2,0),VLOOKUP(M655,PARAM!J:K,2,0),VLOOKUP(N655,PARAM!G:H,2,0),VLOOKUP(O655,PARAM!M:N,2,0),VLOOKUP(P655,PARAM!P:Q,2,0)),"")</f>
        <v/>
      </c>
      <c r="T655" s="18">
        <f t="shared" si="4"/>
        <v>0</v>
      </c>
      <c r="U655" s="18" t="str">
        <f t="shared" si="5"/>
        <v>   </v>
      </c>
    </row>
    <row r="656">
      <c r="A656" s="1"/>
      <c r="B656" s="1"/>
      <c r="C656" s="1"/>
      <c r="D656" s="1"/>
      <c r="E656" s="2"/>
      <c r="F656" s="1"/>
      <c r="G656" s="65">
        <f t="shared" si="7"/>
        <v>0</v>
      </c>
      <c r="H656" s="1"/>
      <c r="I656" s="1"/>
      <c r="J656" s="1"/>
      <c r="K656" s="18"/>
      <c r="L656" s="18"/>
      <c r="M656" s="18"/>
      <c r="N656" s="18"/>
      <c r="O656" s="18"/>
      <c r="P656" s="67" t="s">
        <v>503</v>
      </c>
      <c r="Q656" s="18" t="s">
        <v>476</v>
      </c>
      <c r="R656" s="68" t="str">
        <f>IFERROR(CONCATENATE("*",VLOOKUP(L656,PARAM!D:E,2,0),VLOOKUP(M656,PARAM!J:K,2,0),VLOOKUP(N656,PARAM!G:H,2,0),VLOOKUP(P656,PARAM!P:Q,2,0),"*"),"")</f>
        <v/>
      </c>
      <c r="S656" s="18" t="str">
        <f>IFERROR(CONCATENATE(VLOOKUP(L656,PARAM!D:E,2,0),VLOOKUP(M656,PARAM!J:K,2,0),VLOOKUP(N656,PARAM!G:H,2,0),VLOOKUP(O656,PARAM!M:N,2,0),VLOOKUP(P656,PARAM!P:Q,2,0)),"")</f>
        <v/>
      </c>
      <c r="T656" s="18">
        <f t="shared" si="4"/>
        <v>0</v>
      </c>
      <c r="U656" s="18" t="str">
        <f t="shared" si="5"/>
        <v>   </v>
      </c>
    </row>
    <row r="657">
      <c r="A657" s="1"/>
      <c r="B657" s="1"/>
      <c r="C657" s="1"/>
      <c r="D657" s="1"/>
      <c r="E657" s="2"/>
      <c r="F657" s="1"/>
      <c r="G657" s="65">
        <f t="shared" si="7"/>
        <v>0</v>
      </c>
      <c r="H657" s="1"/>
      <c r="I657" s="1"/>
      <c r="J657" s="1"/>
      <c r="K657" s="18"/>
      <c r="L657" s="18"/>
      <c r="M657" s="18"/>
      <c r="N657" s="18"/>
      <c r="O657" s="18"/>
      <c r="P657" s="67" t="s">
        <v>503</v>
      </c>
      <c r="Q657" s="18" t="s">
        <v>476</v>
      </c>
      <c r="R657" s="68" t="str">
        <f>IFERROR(CONCATENATE("*",VLOOKUP(L657,PARAM!D:E,2,0),VLOOKUP(M657,PARAM!J:K,2,0),VLOOKUP(N657,PARAM!G:H,2,0),VLOOKUP(P657,PARAM!P:Q,2,0),"*"),"")</f>
        <v/>
      </c>
      <c r="S657" s="18" t="str">
        <f>IFERROR(CONCATENATE(VLOOKUP(L657,PARAM!D:E,2,0),VLOOKUP(M657,PARAM!J:K,2,0),VLOOKUP(N657,PARAM!G:H,2,0),VLOOKUP(O657,PARAM!M:N,2,0),VLOOKUP(P657,PARAM!P:Q,2,0)),"")</f>
        <v/>
      </c>
      <c r="T657" s="18">
        <f t="shared" si="4"/>
        <v>0</v>
      </c>
      <c r="U657" s="18" t="str">
        <f t="shared" si="5"/>
        <v>   </v>
      </c>
    </row>
    <row r="658">
      <c r="A658" s="1"/>
      <c r="B658" s="1"/>
      <c r="C658" s="1"/>
      <c r="D658" s="1"/>
      <c r="E658" s="2"/>
      <c r="F658" s="1"/>
      <c r="G658" s="65">
        <f t="shared" si="7"/>
        <v>0</v>
      </c>
      <c r="H658" s="1"/>
      <c r="I658" s="1"/>
      <c r="J658" s="1"/>
      <c r="K658" s="18"/>
      <c r="L658" s="18"/>
      <c r="M658" s="18"/>
      <c r="N658" s="18"/>
      <c r="O658" s="18"/>
      <c r="P658" s="67" t="s">
        <v>503</v>
      </c>
      <c r="Q658" s="18" t="s">
        <v>476</v>
      </c>
      <c r="R658" s="68" t="str">
        <f>IFERROR(CONCATENATE("*",VLOOKUP(L658,PARAM!D:E,2,0),VLOOKUP(M658,PARAM!J:K,2,0),VLOOKUP(N658,PARAM!G:H,2,0),VLOOKUP(P658,PARAM!P:Q,2,0),"*"),"")</f>
        <v/>
      </c>
      <c r="S658" s="18" t="str">
        <f>IFERROR(CONCATENATE(VLOOKUP(L658,PARAM!D:E,2,0),VLOOKUP(M658,PARAM!J:K,2,0),VLOOKUP(N658,PARAM!G:H,2,0),VLOOKUP(O658,PARAM!M:N,2,0),VLOOKUP(P658,PARAM!P:Q,2,0)),"")</f>
        <v/>
      </c>
      <c r="T658" s="18">
        <f t="shared" si="4"/>
        <v>0</v>
      </c>
      <c r="U658" s="18" t="str">
        <f t="shared" si="5"/>
        <v>   </v>
      </c>
    </row>
    <row r="659">
      <c r="A659" s="1"/>
      <c r="B659" s="1"/>
      <c r="C659" s="1"/>
      <c r="D659" s="1"/>
      <c r="E659" s="2"/>
      <c r="F659" s="1"/>
      <c r="G659" s="65">
        <f t="shared" si="7"/>
        <v>0</v>
      </c>
      <c r="H659" s="1"/>
      <c r="I659" s="1"/>
      <c r="J659" s="1"/>
      <c r="K659" s="18"/>
      <c r="L659" s="18"/>
      <c r="M659" s="18"/>
      <c r="N659" s="18"/>
      <c r="O659" s="18"/>
      <c r="P659" s="67" t="s">
        <v>503</v>
      </c>
      <c r="Q659" s="18" t="s">
        <v>476</v>
      </c>
      <c r="R659" s="68" t="str">
        <f>IFERROR(CONCATENATE("*",VLOOKUP(L659,PARAM!D:E,2,0),VLOOKUP(M659,PARAM!J:K,2,0),VLOOKUP(N659,PARAM!G:H,2,0),VLOOKUP(P659,PARAM!P:Q,2,0),"*"),"")</f>
        <v/>
      </c>
      <c r="S659" s="18" t="str">
        <f>IFERROR(CONCATENATE(VLOOKUP(L659,PARAM!D:E,2,0),VLOOKUP(M659,PARAM!J:K,2,0),VLOOKUP(N659,PARAM!G:H,2,0),VLOOKUP(O659,PARAM!M:N,2,0),VLOOKUP(P659,PARAM!P:Q,2,0)),"")</f>
        <v/>
      </c>
      <c r="T659" s="18">
        <f t="shared" si="4"/>
        <v>0</v>
      </c>
      <c r="U659" s="18" t="str">
        <f t="shared" si="5"/>
        <v>   </v>
      </c>
    </row>
    <row r="660">
      <c r="A660" s="1"/>
      <c r="B660" s="1"/>
      <c r="C660" s="1"/>
      <c r="D660" s="1"/>
      <c r="E660" s="2"/>
      <c r="F660" s="1"/>
      <c r="G660" s="65">
        <f t="shared" si="7"/>
        <v>0</v>
      </c>
      <c r="H660" s="1"/>
      <c r="I660" s="1"/>
      <c r="J660" s="1"/>
      <c r="K660" s="18"/>
      <c r="L660" s="18"/>
      <c r="M660" s="18"/>
      <c r="N660" s="18"/>
      <c r="O660" s="18"/>
      <c r="P660" s="67" t="s">
        <v>503</v>
      </c>
      <c r="Q660" s="18" t="s">
        <v>476</v>
      </c>
      <c r="R660" s="68" t="str">
        <f>IFERROR(CONCATENATE("*",VLOOKUP(L660,PARAM!D:E,2,0),VLOOKUP(M660,PARAM!J:K,2,0),VLOOKUP(N660,PARAM!G:H,2,0),VLOOKUP(P660,PARAM!P:Q,2,0),"*"),"")</f>
        <v/>
      </c>
      <c r="S660" s="18" t="str">
        <f>IFERROR(CONCATENATE(VLOOKUP(L660,PARAM!D:E,2,0),VLOOKUP(M660,PARAM!J:K,2,0),VLOOKUP(N660,PARAM!G:H,2,0),VLOOKUP(O660,PARAM!M:N,2,0),VLOOKUP(P660,PARAM!P:Q,2,0)),"")</f>
        <v/>
      </c>
      <c r="T660" s="18">
        <f t="shared" si="4"/>
        <v>0</v>
      </c>
      <c r="U660" s="18" t="str">
        <f t="shared" si="5"/>
        <v>   </v>
      </c>
    </row>
    <row r="661">
      <c r="A661" s="1"/>
      <c r="B661" s="1"/>
      <c r="C661" s="1"/>
      <c r="D661" s="1"/>
      <c r="E661" s="2"/>
      <c r="F661" s="1"/>
      <c r="G661" s="65">
        <f t="shared" si="7"/>
        <v>0</v>
      </c>
      <c r="H661" s="1"/>
      <c r="I661" s="1"/>
      <c r="J661" s="1"/>
      <c r="K661" s="18"/>
      <c r="L661" s="18"/>
      <c r="M661" s="18"/>
      <c r="N661" s="18"/>
      <c r="O661" s="18"/>
      <c r="P661" s="67" t="s">
        <v>503</v>
      </c>
      <c r="Q661" s="18" t="s">
        <v>476</v>
      </c>
      <c r="R661" s="68" t="str">
        <f>IFERROR(CONCATENATE("*",VLOOKUP(L661,PARAM!D:E,2,0),VLOOKUP(M661,PARAM!J:K,2,0),VLOOKUP(N661,PARAM!G:H,2,0),VLOOKUP(P661,PARAM!P:Q,2,0),"*"),"")</f>
        <v/>
      </c>
      <c r="S661" s="18" t="str">
        <f>IFERROR(CONCATENATE(VLOOKUP(L661,PARAM!D:E,2,0),VLOOKUP(M661,PARAM!J:K,2,0),VLOOKUP(N661,PARAM!G:H,2,0),VLOOKUP(O661,PARAM!M:N,2,0),VLOOKUP(P661,PARAM!P:Q,2,0)),"")</f>
        <v/>
      </c>
      <c r="T661" s="18">
        <f t="shared" si="4"/>
        <v>0</v>
      </c>
      <c r="U661" s="18" t="str">
        <f t="shared" si="5"/>
        <v>   </v>
      </c>
    </row>
    <row r="662">
      <c r="A662" s="1"/>
      <c r="B662" s="1"/>
      <c r="C662" s="1"/>
      <c r="D662" s="1"/>
      <c r="E662" s="2"/>
      <c r="F662" s="1"/>
      <c r="G662" s="65">
        <f t="shared" si="7"/>
        <v>0</v>
      </c>
      <c r="H662" s="1"/>
      <c r="I662" s="1"/>
      <c r="J662" s="1"/>
      <c r="K662" s="18"/>
      <c r="L662" s="18"/>
      <c r="M662" s="18"/>
      <c r="N662" s="18"/>
      <c r="O662" s="18"/>
      <c r="P662" s="67" t="s">
        <v>503</v>
      </c>
      <c r="Q662" s="18" t="s">
        <v>476</v>
      </c>
      <c r="R662" s="68" t="str">
        <f>IFERROR(CONCATENATE("*",VLOOKUP(L662,PARAM!D:E,2,0),VLOOKUP(M662,PARAM!J:K,2,0),VLOOKUP(N662,PARAM!G:H,2,0),VLOOKUP(P662,PARAM!P:Q,2,0),"*"),"")</f>
        <v/>
      </c>
      <c r="S662" s="18" t="str">
        <f>IFERROR(CONCATENATE(VLOOKUP(L662,PARAM!D:E,2,0),VLOOKUP(M662,PARAM!J:K,2,0),VLOOKUP(N662,PARAM!G:H,2,0),VLOOKUP(O662,PARAM!M:N,2,0),VLOOKUP(P662,PARAM!P:Q,2,0)),"")</f>
        <v/>
      </c>
      <c r="T662" s="18">
        <f t="shared" si="4"/>
        <v>0</v>
      </c>
      <c r="U662" s="18" t="str">
        <f t="shared" si="5"/>
        <v>   </v>
      </c>
    </row>
    <row r="663">
      <c r="A663" s="1"/>
      <c r="B663" s="1"/>
      <c r="C663" s="1"/>
      <c r="D663" s="1"/>
      <c r="E663" s="2"/>
      <c r="F663" s="1"/>
      <c r="G663" s="65">
        <f t="shared" si="7"/>
        <v>0</v>
      </c>
      <c r="H663" s="1"/>
      <c r="I663" s="1"/>
      <c r="J663" s="1"/>
      <c r="K663" s="18"/>
      <c r="L663" s="18"/>
      <c r="M663" s="18"/>
      <c r="N663" s="18"/>
      <c r="O663" s="18"/>
      <c r="P663" s="67" t="s">
        <v>503</v>
      </c>
      <c r="Q663" s="18" t="s">
        <v>476</v>
      </c>
      <c r="R663" s="68" t="str">
        <f>IFERROR(CONCATENATE("*",VLOOKUP(L663,PARAM!D:E,2,0),VLOOKUP(M663,PARAM!J:K,2,0),VLOOKUP(N663,PARAM!G:H,2,0),VLOOKUP(P663,PARAM!P:Q,2,0),"*"),"")</f>
        <v/>
      </c>
      <c r="S663" s="18" t="str">
        <f>IFERROR(CONCATENATE(VLOOKUP(L663,PARAM!D:E,2,0),VLOOKUP(M663,PARAM!J:K,2,0),VLOOKUP(N663,PARAM!G:H,2,0),VLOOKUP(O663,PARAM!M:N,2,0),VLOOKUP(P663,PARAM!P:Q,2,0)),"")</f>
        <v/>
      </c>
      <c r="T663" s="18">
        <f t="shared" si="4"/>
        <v>0</v>
      </c>
      <c r="U663" s="18" t="str">
        <f t="shared" si="5"/>
        <v>   </v>
      </c>
    </row>
    <row r="664">
      <c r="A664" s="1"/>
      <c r="B664" s="1"/>
      <c r="C664" s="1"/>
      <c r="D664" s="1"/>
      <c r="E664" s="2"/>
      <c r="F664" s="1"/>
      <c r="G664" s="65">
        <f t="shared" si="7"/>
        <v>0</v>
      </c>
      <c r="H664" s="1"/>
      <c r="I664" s="1"/>
      <c r="J664" s="1"/>
      <c r="K664" s="18"/>
      <c r="L664" s="18"/>
      <c r="M664" s="18"/>
      <c r="N664" s="18"/>
      <c r="O664" s="18"/>
      <c r="P664" s="67" t="s">
        <v>503</v>
      </c>
      <c r="Q664" s="18" t="s">
        <v>476</v>
      </c>
      <c r="R664" s="68" t="str">
        <f>IFERROR(CONCATENATE("*",VLOOKUP(L664,PARAM!D:E,2,0),VLOOKUP(M664,PARAM!J:K,2,0),VLOOKUP(N664,PARAM!G:H,2,0),VLOOKUP(P664,PARAM!P:Q,2,0),"*"),"")</f>
        <v/>
      </c>
      <c r="S664" s="18" t="str">
        <f>IFERROR(CONCATENATE(VLOOKUP(L664,PARAM!D:E,2,0),VLOOKUP(M664,PARAM!J:K,2,0),VLOOKUP(N664,PARAM!G:H,2,0),VLOOKUP(O664,PARAM!M:N,2,0),VLOOKUP(P664,PARAM!P:Q,2,0)),"")</f>
        <v/>
      </c>
      <c r="T664" s="18">
        <f t="shared" si="4"/>
        <v>0</v>
      </c>
      <c r="U664" s="18" t="str">
        <f t="shared" si="5"/>
        <v>   </v>
      </c>
    </row>
    <row r="665">
      <c r="A665" s="1"/>
      <c r="B665" s="1"/>
      <c r="C665" s="1"/>
      <c r="D665" s="1"/>
      <c r="E665" s="2"/>
      <c r="F665" s="1"/>
      <c r="G665" s="65">
        <f t="shared" si="7"/>
        <v>0</v>
      </c>
      <c r="H665" s="1"/>
      <c r="I665" s="1"/>
      <c r="J665" s="1"/>
      <c r="K665" s="18"/>
      <c r="L665" s="18"/>
      <c r="M665" s="18"/>
      <c r="N665" s="18"/>
      <c r="O665" s="18"/>
      <c r="P665" s="67" t="s">
        <v>503</v>
      </c>
      <c r="Q665" s="18" t="s">
        <v>476</v>
      </c>
      <c r="R665" s="68" t="str">
        <f>IFERROR(CONCATENATE("*",VLOOKUP(L665,PARAM!D:E,2,0),VLOOKUP(M665,PARAM!J:K,2,0),VLOOKUP(N665,PARAM!G:H,2,0),VLOOKUP(P665,PARAM!P:Q,2,0),"*"),"")</f>
        <v/>
      </c>
      <c r="S665" s="18" t="str">
        <f>IFERROR(CONCATENATE(VLOOKUP(L665,PARAM!D:E,2,0),VLOOKUP(M665,PARAM!J:K,2,0),VLOOKUP(N665,PARAM!G:H,2,0),VLOOKUP(O665,PARAM!M:N,2,0),VLOOKUP(P665,PARAM!P:Q,2,0)),"")</f>
        <v/>
      </c>
      <c r="T665" s="18">
        <f t="shared" si="4"/>
        <v>0</v>
      </c>
      <c r="U665" s="18" t="str">
        <f t="shared" si="5"/>
        <v>   </v>
      </c>
    </row>
    <row r="666">
      <c r="A666" s="1"/>
      <c r="B666" s="1"/>
      <c r="C666" s="1"/>
      <c r="D666" s="1"/>
      <c r="E666" s="2"/>
      <c r="F666" s="1"/>
      <c r="G666" s="65">
        <f t="shared" si="7"/>
        <v>0</v>
      </c>
      <c r="H666" s="1"/>
      <c r="I666" s="1"/>
      <c r="J666" s="1"/>
      <c r="K666" s="18"/>
      <c r="L666" s="18"/>
      <c r="M666" s="18"/>
      <c r="N666" s="18"/>
      <c r="O666" s="18"/>
      <c r="P666" s="67" t="s">
        <v>503</v>
      </c>
      <c r="Q666" s="18" t="s">
        <v>476</v>
      </c>
      <c r="R666" s="68" t="str">
        <f>IFERROR(CONCATENATE("*",VLOOKUP(L666,PARAM!D:E,2,0),VLOOKUP(M666,PARAM!J:K,2,0),VLOOKUP(N666,PARAM!G:H,2,0),VLOOKUP(P666,PARAM!P:Q,2,0),"*"),"")</f>
        <v/>
      </c>
      <c r="S666" s="18" t="str">
        <f>IFERROR(CONCATENATE(VLOOKUP(L666,PARAM!D:E,2,0),VLOOKUP(M666,PARAM!J:K,2,0),VLOOKUP(N666,PARAM!G:H,2,0),VLOOKUP(O666,PARAM!M:N,2,0),VLOOKUP(P666,PARAM!P:Q,2,0)),"")</f>
        <v/>
      </c>
      <c r="T666" s="18">
        <f t="shared" si="4"/>
        <v>0</v>
      </c>
      <c r="U666" s="18" t="str">
        <f t="shared" si="5"/>
        <v>   </v>
      </c>
    </row>
    <row r="667">
      <c r="A667" s="1"/>
      <c r="B667" s="1"/>
      <c r="C667" s="1"/>
      <c r="D667" s="1"/>
      <c r="E667" s="2"/>
      <c r="F667" s="1"/>
      <c r="G667" s="65">
        <f t="shared" si="7"/>
        <v>0</v>
      </c>
      <c r="H667" s="1"/>
      <c r="I667" s="1"/>
      <c r="J667" s="1"/>
      <c r="K667" s="18"/>
      <c r="L667" s="18"/>
      <c r="M667" s="18"/>
      <c r="N667" s="18"/>
      <c r="O667" s="18"/>
      <c r="P667" s="67" t="s">
        <v>503</v>
      </c>
      <c r="Q667" s="18" t="s">
        <v>476</v>
      </c>
      <c r="R667" s="68" t="str">
        <f>IFERROR(CONCATENATE("*",VLOOKUP(L667,PARAM!D:E,2,0),VLOOKUP(M667,PARAM!J:K,2,0),VLOOKUP(N667,PARAM!G:H,2,0),VLOOKUP(P667,PARAM!P:Q,2,0),"*"),"")</f>
        <v/>
      </c>
      <c r="S667" s="18" t="str">
        <f>IFERROR(CONCATENATE(VLOOKUP(L667,PARAM!D:E,2,0),VLOOKUP(M667,PARAM!J:K,2,0),VLOOKUP(N667,PARAM!G:H,2,0),VLOOKUP(O667,PARAM!M:N,2,0),VLOOKUP(P667,PARAM!P:Q,2,0)),"")</f>
        <v/>
      </c>
      <c r="T667" s="18">
        <f t="shared" si="4"/>
        <v>0</v>
      </c>
      <c r="U667" s="18" t="str">
        <f t="shared" si="5"/>
        <v>   </v>
      </c>
    </row>
    <row r="668">
      <c r="A668" s="1"/>
      <c r="B668" s="1"/>
      <c r="C668" s="1"/>
      <c r="D668" s="1"/>
      <c r="E668" s="2"/>
      <c r="F668" s="1"/>
      <c r="G668" s="65">
        <f t="shared" si="7"/>
        <v>0</v>
      </c>
      <c r="H668" s="1"/>
      <c r="I668" s="1"/>
      <c r="J668" s="1"/>
      <c r="K668" s="18"/>
      <c r="L668" s="18"/>
      <c r="M668" s="18"/>
      <c r="N668" s="18"/>
      <c r="O668" s="18"/>
      <c r="P668" s="67" t="s">
        <v>503</v>
      </c>
      <c r="Q668" s="18" t="s">
        <v>476</v>
      </c>
      <c r="R668" s="68" t="str">
        <f>IFERROR(CONCATENATE("*",VLOOKUP(L668,PARAM!D:E,2,0),VLOOKUP(M668,PARAM!J:K,2,0),VLOOKUP(N668,PARAM!G:H,2,0),VLOOKUP(P668,PARAM!P:Q,2,0),"*"),"")</f>
        <v/>
      </c>
      <c r="S668" s="18" t="str">
        <f>IFERROR(CONCATENATE(VLOOKUP(L668,PARAM!D:E,2,0),VLOOKUP(M668,PARAM!J:K,2,0),VLOOKUP(N668,PARAM!G:H,2,0),VLOOKUP(O668,PARAM!M:N,2,0),VLOOKUP(P668,PARAM!P:Q,2,0)),"")</f>
        <v/>
      </c>
      <c r="T668" s="18">
        <f t="shared" si="4"/>
        <v>0</v>
      </c>
      <c r="U668" s="18" t="str">
        <f t="shared" si="5"/>
        <v>   </v>
      </c>
    </row>
    <row r="669">
      <c r="A669" s="1"/>
      <c r="B669" s="1"/>
      <c r="C669" s="1"/>
      <c r="D669" s="1"/>
      <c r="E669" s="2"/>
      <c r="F669" s="1"/>
      <c r="G669" s="65">
        <f t="shared" si="7"/>
        <v>0</v>
      </c>
      <c r="H669" s="1"/>
      <c r="I669" s="1"/>
      <c r="J669" s="1"/>
      <c r="K669" s="18"/>
      <c r="L669" s="18"/>
      <c r="M669" s="18"/>
      <c r="N669" s="18"/>
      <c r="O669" s="18"/>
      <c r="P669" s="67" t="s">
        <v>503</v>
      </c>
      <c r="Q669" s="18" t="s">
        <v>476</v>
      </c>
      <c r="R669" s="68" t="str">
        <f>IFERROR(CONCATENATE("*",VLOOKUP(L669,PARAM!D:E,2,0),VLOOKUP(M669,PARAM!J:K,2,0),VLOOKUP(N669,PARAM!G:H,2,0),VLOOKUP(P669,PARAM!P:Q,2,0),"*"),"")</f>
        <v/>
      </c>
      <c r="S669" s="18" t="str">
        <f>IFERROR(CONCATENATE(VLOOKUP(L669,PARAM!D:E,2,0),VLOOKUP(M669,PARAM!J:K,2,0),VLOOKUP(N669,PARAM!G:H,2,0),VLOOKUP(O669,PARAM!M:N,2,0),VLOOKUP(P669,PARAM!P:Q,2,0)),"")</f>
        <v/>
      </c>
      <c r="T669" s="18">
        <f t="shared" si="4"/>
        <v>0</v>
      </c>
      <c r="U669" s="18" t="str">
        <f t="shared" si="5"/>
        <v>   </v>
      </c>
    </row>
    <row r="670">
      <c r="A670" s="1"/>
      <c r="B670" s="1"/>
      <c r="C670" s="1"/>
      <c r="D670" s="1"/>
      <c r="E670" s="2"/>
      <c r="F670" s="1"/>
      <c r="G670" s="65">
        <f t="shared" si="7"/>
        <v>0</v>
      </c>
      <c r="H670" s="1"/>
      <c r="I670" s="1"/>
      <c r="J670" s="1"/>
      <c r="K670" s="18"/>
      <c r="L670" s="18"/>
      <c r="M670" s="18"/>
      <c r="N670" s="18"/>
      <c r="O670" s="18"/>
      <c r="P670" s="67" t="s">
        <v>503</v>
      </c>
      <c r="Q670" s="18" t="s">
        <v>476</v>
      </c>
      <c r="R670" s="68" t="str">
        <f>IFERROR(CONCATENATE("*",VLOOKUP(L670,PARAM!D:E,2,0),VLOOKUP(M670,PARAM!J:K,2,0),VLOOKUP(N670,PARAM!G:H,2,0),VLOOKUP(P670,PARAM!P:Q,2,0),"*"),"")</f>
        <v/>
      </c>
      <c r="S670" s="18" t="str">
        <f>IFERROR(CONCATENATE(VLOOKUP(L670,PARAM!D:E,2,0),VLOOKUP(M670,PARAM!J:K,2,0),VLOOKUP(N670,PARAM!G:H,2,0),VLOOKUP(O670,PARAM!M:N,2,0),VLOOKUP(P670,PARAM!P:Q,2,0)),"")</f>
        <v/>
      </c>
      <c r="T670" s="18">
        <f t="shared" si="4"/>
        <v>0</v>
      </c>
      <c r="U670" s="18" t="str">
        <f t="shared" si="5"/>
        <v>   </v>
      </c>
    </row>
    <row r="671">
      <c r="A671" s="1"/>
      <c r="B671" s="1"/>
      <c r="C671" s="1"/>
      <c r="D671" s="1"/>
      <c r="E671" s="2"/>
      <c r="F671" s="1"/>
      <c r="G671" s="65">
        <f t="shared" si="7"/>
        <v>0</v>
      </c>
      <c r="H671" s="1"/>
      <c r="I671" s="1"/>
      <c r="J671" s="1"/>
      <c r="K671" s="18"/>
      <c r="L671" s="18"/>
      <c r="M671" s="18"/>
      <c r="N671" s="18"/>
      <c r="O671" s="18"/>
      <c r="P671" s="67" t="s">
        <v>503</v>
      </c>
      <c r="Q671" s="18" t="s">
        <v>476</v>
      </c>
      <c r="R671" s="68" t="str">
        <f>IFERROR(CONCATENATE("*",VLOOKUP(L671,PARAM!D:E,2,0),VLOOKUP(M671,PARAM!J:K,2,0),VLOOKUP(N671,PARAM!G:H,2,0),VLOOKUP(P671,PARAM!P:Q,2,0),"*"),"")</f>
        <v/>
      </c>
      <c r="S671" s="18" t="str">
        <f>IFERROR(CONCATENATE(VLOOKUP(L671,PARAM!D:E,2,0),VLOOKUP(M671,PARAM!J:K,2,0),VLOOKUP(N671,PARAM!G:H,2,0),VLOOKUP(O671,PARAM!M:N,2,0),VLOOKUP(P671,PARAM!P:Q,2,0)),"")</f>
        <v/>
      </c>
      <c r="T671" s="18">
        <f t="shared" si="4"/>
        <v>0</v>
      </c>
      <c r="U671" s="18" t="str">
        <f t="shared" si="5"/>
        <v>   </v>
      </c>
    </row>
    <row r="672">
      <c r="A672" s="1"/>
      <c r="B672" s="1"/>
      <c r="C672" s="1"/>
      <c r="D672" s="1"/>
      <c r="E672" s="2"/>
      <c r="F672" s="1"/>
      <c r="G672" s="65">
        <f t="shared" si="7"/>
        <v>0</v>
      </c>
      <c r="H672" s="1"/>
      <c r="I672" s="1"/>
      <c r="J672" s="1"/>
      <c r="K672" s="18"/>
      <c r="L672" s="18"/>
      <c r="M672" s="18"/>
      <c r="N672" s="18"/>
      <c r="O672" s="18"/>
      <c r="P672" s="67" t="s">
        <v>503</v>
      </c>
      <c r="Q672" s="18" t="s">
        <v>476</v>
      </c>
      <c r="R672" s="68" t="str">
        <f>IFERROR(CONCATENATE("*",VLOOKUP(L672,PARAM!D:E,2,0),VLOOKUP(M672,PARAM!J:K,2,0),VLOOKUP(N672,PARAM!G:H,2,0),VLOOKUP(P672,PARAM!P:Q,2,0),"*"),"")</f>
        <v/>
      </c>
      <c r="S672" s="18" t="str">
        <f>IFERROR(CONCATENATE(VLOOKUP(L672,PARAM!D:E,2,0),VLOOKUP(M672,PARAM!J:K,2,0),VLOOKUP(N672,PARAM!G:H,2,0),VLOOKUP(O672,PARAM!M:N,2,0),VLOOKUP(P672,PARAM!P:Q,2,0)),"")</f>
        <v/>
      </c>
      <c r="T672" s="18">
        <f t="shared" si="4"/>
        <v>0</v>
      </c>
      <c r="U672" s="18" t="str">
        <f t="shared" si="5"/>
        <v>   </v>
      </c>
    </row>
    <row r="673">
      <c r="A673" s="1"/>
      <c r="B673" s="1"/>
      <c r="C673" s="1"/>
      <c r="D673" s="1"/>
      <c r="E673" s="2"/>
      <c r="F673" s="1"/>
      <c r="G673" s="65">
        <f t="shared" si="7"/>
        <v>0</v>
      </c>
      <c r="H673" s="1"/>
      <c r="I673" s="1"/>
      <c r="J673" s="1"/>
      <c r="K673" s="18"/>
      <c r="L673" s="18"/>
      <c r="M673" s="18"/>
      <c r="N673" s="18"/>
      <c r="O673" s="18"/>
      <c r="P673" s="67" t="s">
        <v>503</v>
      </c>
      <c r="Q673" s="18" t="s">
        <v>476</v>
      </c>
      <c r="R673" s="68" t="str">
        <f>IFERROR(CONCATENATE("*",VLOOKUP(L673,PARAM!D:E,2,0),VLOOKUP(M673,PARAM!J:K,2,0),VLOOKUP(N673,PARAM!G:H,2,0),VLOOKUP(P673,PARAM!P:Q,2,0),"*"),"")</f>
        <v/>
      </c>
      <c r="S673" s="18" t="str">
        <f>IFERROR(CONCATENATE(VLOOKUP(L673,PARAM!D:E,2,0),VLOOKUP(M673,PARAM!J:K,2,0),VLOOKUP(N673,PARAM!G:H,2,0),VLOOKUP(O673,PARAM!M:N,2,0),VLOOKUP(P673,PARAM!P:Q,2,0)),"")</f>
        <v/>
      </c>
      <c r="T673" s="18">
        <f t="shared" si="4"/>
        <v>0</v>
      </c>
      <c r="U673" s="18" t="str">
        <f t="shared" si="5"/>
        <v>   </v>
      </c>
    </row>
    <row r="674">
      <c r="A674" s="1"/>
      <c r="B674" s="1"/>
      <c r="C674" s="1"/>
      <c r="D674" s="1"/>
      <c r="E674" s="2"/>
      <c r="F674" s="1"/>
      <c r="G674" s="65">
        <f t="shared" si="7"/>
        <v>0</v>
      </c>
      <c r="H674" s="1"/>
      <c r="I674" s="1"/>
      <c r="J674" s="1"/>
      <c r="K674" s="18"/>
      <c r="L674" s="18"/>
      <c r="M674" s="18"/>
      <c r="N674" s="18"/>
      <c r="O674" s="18"/>
      <c r="P674" s="67" t="s">
        <v>503</v>
      </c>
      <c r="Q674" s="18" t="s">
        <v>476</v>
      </c>
      <c r="R674" s="68" t="str">
        <f>IFERROR(CONCATENATE("*",VLOOKUP(L674,PARAM!D:E,2,0),VLOOKUP(M674,PARAM!J:K,2,0),VLOOKUP(N674,PARAM!G:H,2,0),VLOOKUP(P674,PARAM!P:Q,2,0),"*"),"")</f>
        <v/>
      </c>
      <c r="S674" s="18" t="str">
        <f>IFERROR(CONCATENATE(VLOOKUP(L674,PARAM!D:E,2,0),VLOOKUP(M674,PARAM!J:K,2,0),VLOOKUP(N674,PARAM!G:H,2,0),VLOOKUP(O674,PARAM!M:N,2,0),VLOOKUP(P674,PARAM!P:Q,2,0)),"")</f>
        <v/>
      </c>
      <c r="T674" s="18">
        <f t="shared" si="4"/>
        <v>0</v>
      </c>
      <c r="U674" s="18" t="str">
        <f t="shared" si="5"/>
        <v>   </v>
      </c>
    </row>
    <row r="675">
      <c r="A675" s="1"/>
      <c r="B675" s="1"/>
      <c r="C675" s="1"/>
      <c r="D675" s="1"/>
      <c r="E675" s="2"/>
      <c r="F675" s="1"/>
      <c r="G675" s="65">
        <f t="shared" si="7"/>
        <v>0</v>
      </c>
      <c r="H675" s="1"/>
      <c r="I675" s="1"/>
      <c r="J675" s="1"/>
      <c r="K675" s="18"/>
      <c r="L675" s="18"/>
      <c r="M675" s="18"/>
      <c r="N675" s="18"/>
      <c r="O675" s="18"/>
      <c r="P675" s="67" t="s">
        <v>503</v>
      </c>
      <c r="Q675" s="18" t="s">
        <v>476</v>
      </c>
      <c r="R675" s="68" t="str">
        <f>IFERROR(CONCATENATE("*",VLOOKUP(L675,PARAM!D:E,2,0),VLOOKUP(M675,PARAM!J:K,2,0),VLOOKUP(N675,PARAM!G:H,2,0),VLOOKUP(P675,PARAM!P:Q,2,0),"*"),"")</f>
        <v/>
      </c>
      <c r="S675" s="18" t="str">
        <f>IFERROR(CONCATENATE(VLOOKUP(L675,PARAM!D:E,2,0),VLOOKUP(M675,PARAM!J:K,2,0),VLOOKUP(N675,PARAM!G:H,2,0),VLOOKUP(O675,PARAM!M:N,2,0),VLOOKUP(P675,PARAM!P:Q,2,0)),"")</f>
        <v/>
      </c>
      <c r="T675" s="18">
        <f t="shared" si="4"/>
        <v>0</v>
      </c>
      <c r="U675" s="18" t="str">
        <f t="shared" si="5"/>
        <v>   </v>
      </c>
    </row>
    <row r="676">
      <c r="A676" s="1"/>
      <c r="B676" s="1"/>
      <c r="C676" s="1"/>
      <c r="D676" s="1"/>
      <c r="E676" s="2"/>
      <c r="F676" s="1"/>
      <c r="G676" s="65">
        <f t="shared" si="7"/>
        <v>0</v>
      </c>
      <c r="H676" s="1"/>
      <c r="I676" s="1"/>
      <c r="J676" s="1"/>
      <c r="K676" s="18"/>
      <c r="L676" s="18"/>
      <c r="M676" s="18"/>
      <c r="N676" s="18"/>
      <c r="O676" s="18"/>
      <c r="P676" s="67" t="s">
        <v>503</v>
      </c>
      <c r="Q676" s="18" t="s">
        <v>476</v>
      </c>
      <c r="R676" s="68" t="str">
        <f>IFERROR(CONCATENATE("*",VLOOKUP(L676,PARAM!D:E,2,0),VLOOKUP(M676,PARAM!J:K,2,0),VLOOKUP(N676,PARAM!G:H,2,0),VLOOKUP(P676,PARAM!P:Q,2,0),"*"),"")</f>
        <v/>
      </c>
      <c r="S676" s="18" t="str">
        <f>IFERROR(CONCATENATE(VLOOKUP(L676,PARAM!D:E,2,0),VLOOKUP(M676,PARAM!J:K,2,0),VLOOKUP(N676,PARAM!G:H,2,0),VLOOKUP(O676,PARAM!M:N,2,0),VLOOKUP(P676,PARAM!P:Q,2,0)),"")</f>
        <v/>
      </c>
      <c r="T676" s="18">
        <f t="shared" si="4"/>
        <v>0</v>
      </c>
      <c r="U676" s="18" t="str">
        <f t="shared" si="5"/>
        <v>   </v>
      </c>
    </row>
    <row r="677">
      <c r="A677" s="1"/>
      <c r="B677" s="1"/>
      <c r="C677" s="1"/>
      <c r="D677" s="1"/>
      <c r="E677" s="2"/>
      <c r="F677" s="1"/>
      <c r="G677" s="65">
        <f t="shared" si="7"/>
        <v>0</v>
      </c>
      <c r="H677" s="1"/>
      <c r="I677" s="1"/>
      <c r="J677" s="1"/>
      <c r="K677" s="18"/>
      <c r="L677" s="18"/>
      <c r="M677" s="18"/>
      <c r="N677" s="18"/>
      <c r="O677" s="18"/>
      <c r="P677" s="67" t="s">
        <v>503</v>
      </c>
      <c r="Q677" s="18" t="s">
        <v>476</v>
      </c>
      <c r="R677" s="68" t="str">
        <f>IFERROR(CONCATENATE("*",VLOOKUP(L677,PARAM!D:E,2,0),VLOOKUP(M677,PARAM!J:K,2,0),VLOOKUP(N677,PARAM!G:H,2,0),VLOOKUP(P677,PARAM!P:Q,2,0),"*"),"")</f>
        <v/>
      </c>
      <c r="S677" s="18" t="str">
        <f>IFERROR(CONCATENATE(VLOOKUP(L677,PARAM!D:E,2,0),VLOOKUP(M677,PARAM!J:K,2,0),VLOOKUP(N677,PARAM!G:H,2,0),VLOOKUP(O677,PARAM!M:N,2,0),VLOOKUP(P677,PARAM!P:Q,2,0)),"")</f>
        <v/>
      </c>
      <c r="T677" s="18">
        <f t="shared" si="4"/>
        <v>0</v>
      </c>
      <c r="U677" s="18" t="str">
        <f t="shared" si="5"/>
        <v>   </v>
      </c>
    </row>
    <row r="678">
      <c r="A678" s="1"/>
      <c r="B678" s="1"/>
      <c r="C678" s="1"/>
      <c r="D678" s="1"/>
      <c r="E678" s="2"/>
      <c r="F678" s="1"/>
      <c r="G678" s="65">
        <f t="shared" si="7"/>
        <v>0</v>
      </c>
      <c r="H678" s="1"/>
      <c r="I678" s="1"/>
      <c r="J678" s="1"/>
      <c r="K678" s="18"/>
      <c r="L678" s="18"/>
      <c r="M678" s="18"/>
      <c r="N678" s="18"/>
      <c r="O678" s="18"/>
      <c r="P678" s="67" t="s">
        <v>503</v>
      </c>
      <c r="Q678" s="18" t="s">
        <v>476</v>
      </c>
      <c r="R678" s="68" t="str">
        <f>IFERROR(CONCATENATE("*",VLOOKUP(L678,PARAM!D:E,2,0),VLOOKUP(M678,PARAM!J:K,2,0),VLOOKUP(N678,PARAM!G:H,2,0),VLOOKUP(P678,PARAM!P:Q,2,0),"*"),"")</f>
        <v/>
      </c>
      <c r="S678" s="18" t="str">
        <f>IFERROR(CONCATENATE(VLOOKUP(L678,PARAM!D:E,2,0),VLOOKUP(M678,PARAM!J:K,2,0),VLOOKUP(N678,PARAM!G:H,2,0),VLOOKUP(O678,PARAM!M:N,2,0),VLOOKUP(P678,PARAM!P:Q,2,0)),"")</f>
        <v/>
      </c>
      <c r="T678" s="18">
        <f t="shared" si="4"/>
        <v>0</v>
      </c>
      <c r="U678" s="18" t="str">
        <f t="shared" si="5"/>
        <v>   </v>
      </c>
    </row>
    <row r="679">
      <c r="A679" s="1"/>
      <c r="B679" s="1"/>
      <c r="C679" s="1"/>
      <c r="D679" s="1"/>
      <c r="E679" s="2"/>
      <c r="F679" s="1"/>
      <c r="G679" s="65">
        <f t="shared" si="7"/>
        <v>0</v>
      </c>
      <c r="H679" s="1"/>
      <c r="I679" s="1"/>
      <c r="J679" s="1"/>
      <c r="K679" s="18"/>
      <c r="L679" s="18"/>
      <c r="M679" s="18"/>
      <c r="N679" s="18"/>
      <c r="O679" s="18"/>
      <c r="P679" s="67" t="s">
        <v>503</v>
      </c>
      <c r="Q679" s="18" t="s">
        <v>476</v>
      </c>
      <c r="R679" s="68" t="str">
        <f>IFERROR(CONCATENATE("*",VLOOKUP(L679,PARAM!D:E,2,0),VLOOKUP(M679,PARAM!J:K,2,0),VLOOKUP(N679,PARAM!G:H,2,0),VLOOKUP(P679,PARAM!P:Q,2,0),"*"),"")</f>
        <v/>
      </c>
      <c r="S679" s="18" t="str">
        <f>IFERROR(CONCATENATE(VLOOKUP(L679,PARAM!D:E,2,0),VLOOKUP(M679,PARAM!J:K,2,0),VLOOKUP(N679,PARAM!G:H,2,0),VLOOKUP(O679,PARAM!M:N,2,0),VLOOKUP(P679,PARAM!P:Q,2,0)),"")</f>
        <v/>
      </c>
      <c r="T679" s="18">
        <f t="shared" si="4"/>
        <v>0</v>
      </c>
      <c r="U679" s="18" t="str">
        <f t="shared" si="5"/>
        <v>   </v>
      </c>
    </row>
    <row r="680">
      <c r="A680" s="1"/>
      <c r="B680" s="1"/>
      <c r="C680" s="1"/>
      <c r="D680" s="1"/>
      <c r="E680" s="2"/>
      <c r="F680" s="1"/>
      <c r="G680" s="65">
        <f t="shared" si="7"/>
        <v>0</v>
      </c>
      <c r="H680" s="1"/>
      <c r="I680" s="1"/>
      <c r="J680" s="1"/>
      <c r="K680" s="18"/>
      <c r="L680" s="18"/>
      <c r="M680" s="18"/>
      <c r="N680" s="18"/>
      <c r="O680" s="18"/>
      <c r="P680" s="67" t="s">
        <v>503</v>
      </c>
      <c r="Q680" s="18" t="s">
        <v>476</v>
      </c>
      <c r="R680" s="68" t="str">
        <f>IFERROR(CONCATENATE("*",VLOOKUP(L680,PARAM!D:E,2,0),VLOOKUP(M680,PARAM!J:K,2,0),VLOOKUP(N680,PARAM!G:H,2,0),VLOOKUP(P680,PARAM!P:Q,2,0),"*"),"")</f>
        <v/>
      </c>
      <c r="S680" s="18" t="str">
        <f>IFERROR(CONCATENATE(VLOOKUP(L680,PARAM!D:E,2,0),VLOOKUP(M680,PARAM!J:K,2,0),VLOOKUP(N680,PARAM!G:H,2,0),VLOOKUP(O680,PARAM!M:N,2,0),VLOOKUP(P680,PARAM!P:Q,2,0)),"")</f>
        <v/>
      </c>
      <c r="T680" s="18">
        <f t="shared" si="4"/>
        <v>0</v>
      </c>
      <c r="U680" s="18" t="str">
        <f t="shared" si="5"/>
        <v>   </v>
      </c>
    </row>
    <row r="681">
      <c r="A681" s="1"/>
      <c r="B681" s="1"/>
      <c r="C681" s="1"/>
      <c r="D681" s="1"/>
      <c r="E681" s="2"/>
      <c r="F681" s="1"/>
      <c r="G681" s="65">
        <f t="shared" si="7"/>
        <v>0</v>
      </c>
      <c r="H681" s="1"/>
      <c r="I681" s="1"/>
      <c r="J681" s="1"/>
      <c r="K681" s="18"/>
      <c r="L681" s="18"/>
      <c r="M681" s="18"/>
      <c r="N681" s="18"/>
      <c r="O681" s="18"/>
      <c r="P681" s="67" t="s">
        <v>503</v>
      </c>
      <c r="Q681" s="18" t="s">
        <v>476</v>
      </c>
      <c r="R681" s="68" t="str">
        <f>IFERROR(CONCATENATE("*",VLOOKUP(L681,PARAM!D:E,2,0),VLOOKUP(M681,PARAM!J:K,2,0),VLOOKUP(N681,PARAM!G:H,2,0),VLOOKUP(P681,PARAM!P:Q,2,0),"*"),"")</f>
        <v/>
      </c>
      <c r="S681" s="18" t="str">
        <f>IFERROR(CONCATENATE(VLOOKUP(L681,PARAM!D:E,2,0),VLOOKUP(M681,PARAM!J:K,2,0),VLOOKUP(N681,PARAM!G:H,2,0),VLOOKUP(O681,PARAM!M:N,2,0),VLOOKUP(P681,PARAM!P:Q,2,0)),"")</f>
        <v/>
      </c>
      <c r="T681" s="18">
        <f t="shared" si="4"/>
        <v>0</v>
      </c>
      <c r="U681" s="18" t="str">
        <f t="shared" si="5"/>
        <v>   </v>
      </c>
    </row>
    <row r="682">
      <c r="A682" s="1"/>
      <c r="B682" s="1"/>
      <c r="C682" s="1"/>
      <c r="D682" s="1"/>
      <c r="E682" s="2"/>
      <c r="F682" s="1"/>
      <c r="G682" s="65">
        <f t="shared" si="7"/>
        <v>0</v>
      </c>
      <c r="H682" s="1"/>
      <c r="I682" s="1"/>
      <c r="J682" s="1"/>
      <c r="K682" s="18"/>
      <c r="L682" s="18"/>
      <c r="M682" s="18"/>
      <c r="N682" s="18"/>
      <c r="O682" s="18"/>
      <c r="P682" s="67" t="s">
        <v>503</v>
      </c>
      <c r="Q682" s="18" t="s">
        <v>476</v>
      </c>
      <c r="R682" s="68" t="str">
        <f>IFERROR(CONCATENATE("*",VLOOKUP(L682,PARAM!D:E,2,0),VLOOKUP(M682,PARAM!J:K,2,0),VLOOKUP(N682,PARAM!G:H,2,0),VLOOKUP(P682,PARAM!P:Q,2,0),"*"),"")</f>
        <v/>
      </c>
      <c r="S682" s="18" t="str">
        <f>IFERROR(CONCATENATE(VLOOKUP(L682,PARAM!D:E,2,0),VLOOKUP(M682,PARAM!J:K,2,0),VLOOKUP(N682,PARAM!G:H,2,0),VLOOKUP(O682,PARAM!M:N,2,0),VLOOKUP(P682,PARAM!P:Q,2,0)),"")</f>
        <v/>
      </c>
      <c r="T682" s="18">
        <f t="shared" si="4"/>
        <v>0</v>
      </c>
      <c r="U682" s="18" t="str">
        <f t="shared" si="5"/>
        <v>   </v>
      </c>
    </row>
    <row r="683">
      <c r="A683" s="1"/>
      <c r="B683" s="1"/>
      <c r="C683" s="1"/>
      <c r="D683" s="1"/>
      <c r="E683" s="2"/>
      <c r="F683" s="1"/>
      <c r="G683" s="65">
        <f t="shared" si="7"/>
        <v>0</v>
      </c>
      <c r="H683" s="1"/>
      <c r="I683" s="1"/>
      <c r="J683" s="1"/>
      <c r="K683" s="18"/>
      <c r="L683" s="18"/>
      <c r="M683" s="18"/>
      <c r="N683" s="18"/>
      <c r="O683" s="18"/>
      <c r="P683" s="67" t="s">
        <v>503</v>
      </c>
      <c r="Q683" s="18" t="s">
        <v>476</v>
      </c>
      <c r="R683" s="68" t="str">
        <f>IFERROR(CONCATENATE("*",VLOOKUP(L683,PARAM!D:E,2,0),VLOOKUP(M683,PARAM!J:K,2,0),VLOOKUP(N683,PARAM!G:H,2,0),VLOOKUP(P683,PARAM!P:Q,2,0),"*"),"")</f>
        <v/>
      </c>
      <c r="S683" s="18" t="str">
        <f>IFERROR(CONCATENATE(VLOOKUP(L683,PARAM!D:E,2,0),VLOOKUP(M683,PARAM!J:K,2,0),VLOOKUP(N683,PARAM!G:H,2,0),VLOOKUP(O683,PARAM!M:N,2,0),VLOOKUP(P683,PARAM!P:Q,2,0)),"")</f>
        <v/>
      </c>
      <c r="T683" s="18">
        <f t="shared" si="4"/>
        <v>0</v>
      </c>
      <c r="U683" s="18" t="str">
        <f t="shared" si="5"/>
        <v>   </v>
      </c>
    </row>
    <row r="684">
      <c r="A684" s="1"/>
      <c r="B684" s="1"/>
      <c r="C684" s="1"/>
      <c r="D684" s="1"/>
      <c r="E684" s="2"/>
      <c r="F684" s="1"/>
      <c r="G684" s="65">
        <f t="shared" si="7"/>
        <v>0</v>
      </c>
      <c r="H684" s="1"/>
      <c r="I684" s="1"/>
      <c r="J684" s="1"/>
      <c r="K684" s="18"/>
      <c r="L684" s="18"/>
      <c r="M684" s="18"/>
      <c r="N684" s="18"/>
      <c r="O684" s="18"/>
      <c r="P684" s="67" t="s">
        <v>503</v>
      </c>
      <c r="Q684" s="18" t="s">
        <v>476</v>
      </c>
      <c r="R684" s="68" t="str">
        <f>IFERROR(CONCATENATE("*",VLOOKUP(L684,PARAM!D:E,2,0),VLOOKUP(M684,PARAM!J:K,2,0),VLOOKUP(N684,PARAM!G:H,2,0),VLOOKUP(P684,PARAM!P:Q,2,0),"*"),"")</f>
        <v/>
      </c>
      <c r="S684" s="18" t="str">
        <f>IFERROR(CONCATENATE(VLOOKUP(L684,PARAM!D:E,2,0),VLOOKUP(M684,PARAM!J:K,2,0),VLOOKUP(N684,PARAM!G:H,2,0),VLOOKUP(O684,PARAM!M:N,2,0),VLOOKUP(P684,PARAM!P:Q,2,0)),"")</f>
        <v/>
      </c>
      <c r="T684" s="18">
        <f t="shared" si="4"/>
        <v>0</v>
      </c>
      <c r="U684" s="18" t="str">
        <f t="shared" si="5"/>
        <v>   </v>
      </c>
    </row>
    <row r="685">
      <c r="A685" s="1"/>
      <c r="B685" s="1"/>
      <c r="C685" s="1"/>
      <c r="D685" s="1"/>
      <c r="E685" s="2"/>
      <c r="F685" s="1"/>
      <c r="G685" s="65">
        <f t="shared" si="7"/>
        <v>0</v>
      </c>
      <c r="H685" s="1"/>
      <c r="I685" s="1"/>
      <c r="J685" s="1"/>
      <c r="K685" s="18"/>
      <c r="L685" s="18"/>
      <c r="M685" s="18"/>
      <c r="N685" s="18"/>
      <c r="O685" s="18"/>
      <c r="P685" s="67" t="s">
        <v>503</v>
      </c>
      <c r="Q685" s="18" t="s">
        <v>476</v>
      </c>
      <c r="R685" s="68" t="str">
        <f>IFERROR(CONCATENATE("*",VLOOKUP(L685,PARAM!D:E,2,0),VLOOKUP(M685,PARAM!J:K,2,0),VLOOKUP(N685,PARAM!G:H,2,0),VLOOKUP(P685,PARAM!P:Q,2,0),"*"),"")</f>
        <v/>
      </c>
      <c r="S685" s="18" t="str">
        <f>IFERROR(CONCATENATE(VLOOKUP(L685,PARAM!D:E,2,0),VLOOKUP(M685,PARAM!J:K,2,0),VLOOKUP(N685,PARAM!G:H,2,0),VLOOKUP(O685,PARAM!M:N,2,0),VLOOKUP(P685,PARAM!P:Q,2,0)),"")</f>
        <v/>
      </c>
      <c r="T685" s="18">
        <f t="shared" si="4"/>
        <v>0</v>
      </c>
      <c r="U685" s="18" t="str">
        <f t="shared" si="5"/>
        <v>   </v>
      </c>
    </row>
    <row r="686">
      <c r="A686" s="1"/>
      <c r="B686" s="1"/>
      <c r="C686" s="1"/>
      <c r="D686" s="1"/>
      <c r="E686" s="2"/>
      <c r="F686" s="1"/>
      <c r="G686" s="65">
        <f t="shared" si="7"/>
        <v>0</v>
      </c>
      <c r="H686" s="1"/>
      <c r="I686" s="1"/>
      <c r="J686" s="1"/>
      <c r="K686" s="18"/>
      <c r="L686" s="18"/>
      <c r="M686" s="18"/>
      <c r="N686" s="18"/>
      <c r="O686" s="18"/>
      <c r="P686" s="67" t="s">
        <v>503</v>
      </c>
      <c r="Q686" s="18" t="s">
        <v>476</v>
      </c>
      <c r="R686" s="68" t="str">
        <f>IFERROR(CONCATENATE("*",VLOOKUP(L686,PARAM!D:E,2,0),VLOOKUP(M686,PARAM!J:K,2,0),VLOOKUP(N686,PARAM!G:H,2,0),VLOOKUP(P686,PARAM!P:Q,2,0),"*"),"")</f>
        <v/>
      </c>
      <c r="S686" s="18" t="str">
        <f>IFERROR(CONCATENATE(VLOOKUP(L686,PARAM!D:E,2,0),VLOOKUP(M686,PARAM!J:K,2,0),VLOOKUP(N686,PARAM!G:H,2,0),VLOOKUP(O686,PARAM!M:N,2,0),VLOOKUP(P686,PARAM!P:Q,2,0)),"")</f>
        <v/>
      </c>
      <c r="T686" s="18">
        <f t="shared" si="4"/>
        <v>0</v>
      </c>
      <c r="U686" s="18" t="str">
        <f t="shared" si="5"/>
        <v>   </v>
      </c>
    </row>
    <row r="687">
      <c r="A687" s="1"/>
      <c r="B687" s="1"/>
      <c r="C687" s="1"/>
      <c r="D687" s="1"/>
      <c r="E687" s="2"/>
      <c r="F687" s="1"/>
      <c r="G687" s="65">
        <f t="shared" si="7"/>
        <v>0</v>
      </c>
      <c r="H687" s="1"/>
      <c r="I687" s="1"/>
      <c r="J687" s="1"/>
      <c r="K687" s="18"/>
      <c r="L687" s="18"/>
      <c r="M687" s="18"/>
      <c r="N687" s="18"/>
      <c r="O687" s="18"/>
      <c r="P687" s="67" t="s">
        <v>503</v>
      </c>
      <c r="Q687" s="18" t="s">
        <v>476</v>
      </c>
      <c r="R687" s="68" t="str">
        <f>IFERROR(CONCATENATE("*",VLOOKUP(L687,PARAM!D:E,2,0),VLOOKUP(M687,PARAM!J:K,2,0),VLOOKUP(N687,PARAM!G:H,2,0),VLOOKUP(P687,PARAM!P:Q,2,0),"*"),"")</f>
        <v/>
      </c>
      <c r="S687" s="18" t="str">
        <f>IFERROR(CONCATENATE(VLOOKUP(L687,PARAM!D:E,2,0),VLOOKUP(M687,PARAM!J:K,2,0),VLOOKUP(N687,PARAM!G:H,2,0),VLOOKUP(O687,PARAM!M:N,2,0),VLOOKUP(P687,PARAM!P:Q,2,0)),"")</f>
        <v/>
      </c>
      <c r="T687" s="18">
        <f t="shared" si="4"/>
        <v>0</v>
      </c>
      <c r="U687" s="18" t="str">
        <f t="shared" si="5"/>
        <v>   </v>
      </c>
    </row>
    <row r="688">
      <c r="A688" s="1"/>
      <c r="B688" s="1"/>
      <c r="C688" s="1"/>
      <c r="D688" s="1"/>
      <c r="E688" s="2"/>
      <c r="F688" s="1"/>
      <c r="G688" s="65">
        <f t="shared" si="7"/>
        <v>0</v>
      </c>
      <c r="H688" s="1"/>
      <c r="I688" s="1"/>
      <c r="J688" s="1"/>
      <c r="K688" s="18"/>
      <c r="L688" s="18"/>
      <c r="M688" s="18"/>
      <c r="N688" s="18"/>
      <c r="O688" s="18"/>
      <c r="P688" s="67" t="s">
        <v>503</v>
      </c>
      <c r="Q688" s="18" t="s">
        <v>476</v>
      </c>
      <c r="R688" s="68" t="str">
        <f>IFERROR(CONCATENATE("*",VLOOKUP(L688,PARAM!D:E,2,0),VLOOKUP(M688,PARAM!J:K,2,0),VLOOKUP(N688,PARAM!G:H,2,0),VLOOKUP(P688,PARAM!P:Q,2,0),"*"),"")</f>
        <v/>
      </c>
      <c r="S688" s="18" t="str">
        <f>IFERROR(CONCATENATE(VLOOKUP(L688,PARAM!D:E,2,0),VLOOKUP(M688,PARAM!J:K,2,0),VLOOKUP(N688,PARAM!G:H,2,0),VLOOKUP(O688,PARAM!M:N,2,0),VLOOKUP(P688,PARAM!P:Q,2,0)),"")</f>
        <v/>
      </c>
      <c r="T688" s="18">
        <f t="shared" si="4"/>
        <v>0</v>
      </c>
      <c r="U688" s="18" t="str">
        <f t="shared" si="5"/>
        <v>   </v>
      </c>
    </row>
    <row r="689">
      <c r="A689" s="1"/>
      <c r="B689" s="1"/>
      <c r="C689" s="1"/>
      <c r="D689" s="1"/>
      <c r="E689" s="2"/>
      <c r="F689" s="1"/>
      <c r="G689" s="65">
        <f t="shared" si="7"/>
        <v>0</v>
      </c>
      <c r="H689" s="1"/>
      <c r="I689" s="1"/>
      <c r="J689" s="1"/>
      <c r="K689" s="18"/>
      <c r="L689" s="18"/>
      <c r="M689" s="18"/>
      <c r="N689" s="18"/>
      <c r="O689" s="18"/>
      <c r="P689" s="67" t="s">
        <v>503</v>
      </c>
      <c r="Q689" s="18" t="s">
        <v>476</v>
      </c>
      <c r="R689" s="68" t="str">
        <f>IFERROR(CONCATENATE("*",VLOOKUP(L689,PARAM!D:E,2,0),VLOOKUP(M689,PARAM!J:K,2,0),VLOOKUP(N689,PARAM!G:H,2,0),VLOOKUP(P689,PARAM!P:Q,2,0),"*"),"")</f>
        <v/>
      </c>
      <c r="S689" s="18" t="str">
        <f>IFERROR(CONCATENATE(VLOOKUP(L689,PARAM!D:E,2,0),VLOOKUP(M689,PARAM!J:K,2,0),VLOOKUP(N689,PARAM!G:H,2,0),VLOOKUP(O689,PARAM!M:N,2,0),VLOOKUP(P689,PARAM!P:Q,2,0)),"")</f>
        <v/>
      </c>
      <c r="T689" s="18">
        <f t="shared" si="4"/>
        <v>0</v>
      </c>
      <c r="U689" s="18" t="str">
        <f t="shared" si="5"/>
        <v>   </v>
      </c>
    </row>
    <row r="690">
      <c r="A690" s="1"/>
      <c r="B690" s="1"/>
      <c r="C690" s="1"/>
      <c r="D690" s="1"/>
      <c r="E690" s="2"/>
      <c r="F690" s="1"/>
      <c r="G690" s="65">
        <f t="shared" si="7"/>
        <v>0</v>
      </c>
      <c r="H690" s="1"/>
      <c r="I690" s="1"/>
      <c r="J690" s="1"/>
      <c r="K690" s="18"/>
      <c r="L690" s="18"/>
      <c r="M690" s="18"/>
      <c r="N690" s="18"/>
      <c r="O690" s="18"/>
      <c r="P690" s="67" t="s">
        <v>503</v>
      </c>
      <c r="Q690" s="18" t="s">
        <v>476</v>
      </c>
      <c r="R690" s="68" t="str">
        <f>IFERROR(CONCATENATE("*",VLOOKUP(L690,PARAM!D:E,2,0),VLOOKUP(M690,PARAM!J:K,2,0),VLOOKUP(N690,PARAM!G:H,2,0),VLOOKUP(P690,PARAM!P:Q,2,0),"*"),"")</f>
        <v/>
      </c>
      <c r="S690" s="18" t="str">
        <f>IFERROR(CONCATENATE(VLOOKUP(L690,PARAM!D:E,2,0),VLOOKUP(M690,PARAM!J:K,2,0),VLOOKUP(N690,PARAM!G:H,2,0),VLOOKUP(O690,PARAM!M:N,2,0),VLOOKUP(P690,PARAM!P:Q,2,0)),"")</f>
        <v/>
      </c>
      <c r="T690" s="18">
        <f t="shared" si="4"/>
        <v>0</v>
      </c>
      <c r="U690" s="18" t="str">
        <f t="shared" si="5"/>
        <v>   </v>
      </c>
    </row>
    <row r="691">
      <c r="A691" s="1"/>
      <c r="B691" s="1"/>
      <c r="C691" s="1"/>
      <c r="D691" s="1"/>
      <c r="E691" s="2"/>
      <c r="F691" s="1"/>
      <c r="G691" s="65">
        <f t="shared" si="7"/>
        <v>0</v>
      </c>
      <c r="H691" s="1"/>
      <c r="I691" s="1"/>
      <c r="J691" s="1"/>
      <c r="K691" s="18"/>
      <c r="L691" s="18"/>
      <c r="M691" s="18"/>
      <c r="N691" s="18"/>
      <c r="O691" s="18"/>
      <c r="P691" s="67" t="s">
        <v>503</v>
      </c>
      <c r="Q691" s="18" t="s">
        <v>476</v>
      </c>
      <c r="R691" s="68" t="str">
        <f>IFERROR(CONCATENATE("*",VLOOKUP(L691,PARAM!D:E,2,0),VLOOKUP(M691,PARAM!J:K,2,0),VLOOKUP(N691,PARAM!G:H,2,0),VLOOKUP(P691,PARAM!P:Q,2,0),"*"),"")</f>
        <v/>
      </c>
      <c r="S691" s="18" t="str">
        <f>IFERROR(CONCATENATE(VLOOKUP(L691,PARAM!D:E,2,0),VLOOKUP(M691,PARAM!J:K,2,0),VLOOKUP(N691,PARAM!G:H,2,0),VLOOKUP(O691,PARAM!M:N,2,0),VLOOKUP(P691,PARAM!P:Q,2,0)),"")</f>
        <v/>
      </c>
      <c r="T691" s="18">
        <f t="shared" si="4"/>
        <v>0</v>
      </c>
      <c r="U691" s="18" t="str">
        <f t="shared" si="5"/>
        <v>   </v>
      </c>
    </row>
    <row r="692">
      <c r="A692" s="1"/>
      <c r="B692" s="1"/>
      <c r="C692" s="1"/>
      <c r="D692" s="1"/>
      <c r="E692" s="2"/>
      <c r="F692" s="1"/>
      <c r="G692" s="65">
        <f t="shared" si="7"/>
        <v>0</v>
      </c>
      <c r="H692" s="1"/>
      <c r="I692" s="1"/>
      <c r="J692" s="1"/>
      <c r="K692" s="18"/>
      <c r="L692" s="18"/>
      <c r="M692" s="18"/>
      <c r="N692" s="18"/>
      <c r="O692" s="18"/>
      <c r="P692" s="67" t="s">
        <v>503</v>
      </c>
      <c r="Q692" s="18" t="s">
        <v>476</v>
      </c>
      <c r="R692" s="68" t="str">
        <f>IFERROR(CONCATENATE("*",VLOOKUP(L692,PARAM!D:E,2,0),VLOOKUP(M692,PARAM!J:K,2,0),VLOOKUP(N692,PARAM!G:H,2,0),VLOOKUP(P692,PARAM!P:Q,2,0),"*"),"")</f>
        <v/>
      </c>
      <c r="S692" s="18" t="str">
        <f>IFERROR(CONCATENATE(VLOOKUP(L692,PARAM!D:E,2,0),VLOOKUP(M692,PARAM!J:K,2,0),VLOOKUP(N692,PARAM!G:H,2,0),VLOOKUP(O692,PARAM!M:N,2,0),VLOOKUP(P692,PARAM!P:Q,2,0)),"")</f>
        <v/>
      </c>
      <c r="T692" s="18">
        <f t="shared" si="4"/>
        <v>0</v>
      </c>
      <c r="U692" s="18" t="str">
        <f t="shared" si="5"/>
        <v>   </v>
      </c>
    </row>
    <row r="693">
      <c r="A693" s="1"/>
      <c r="B693" s="1"/>
      <c r="C693" s="1"/>
      <c r="D693" s="1"/>
      <c r="E693" s="2"/>
      <c r="F693" s="1"/>
      <c r="G693" s="65">
        <f t="shared" si="7"/>
        <v>0</v>
      </c>
      <c r="H693" s="1"/>
      <c r="I693" s="1"/>
      <c r="J693" s="1"/>
      <c r="K693" s="18"/>
      <c r="L693" s="18"/>
      <c r="M693" s="18"/>
      <c r="N693" s="18"/>
      <c r="O693" s="18"/>
      <c r="P693" s="67" t="s">
        <v>503</v>
      </c>
      <c r="Q693" s="18" t="s">
        <v>476</v>
      </c>
      <c r="R693" s="68" t="str">
        <f>IFERROR(CONCATENATE("*",VLOOKUP(L693,PARAM!D:E,2,0),VLOOKUP(M693,PARAM!J:K,2,0),VLOOKUP(N693,PARAM!G:H,2,0),VLOOKUP(P693,PARAM!P:Q,2,0),"*"),"")</f>
        <v/>
      </c>
      <c r="S693" s="18" t="str">
        <f>IFERROR(CONCATENATE(VLOOKUP(L693,PARAM!D:E,2,0),VLOOKUP(M693,PARAM!J:K,2,0),VLOOKUP(N693,PARAM!G:H,2,0),VLOOKUP(O693,PARAM!M:N,2,0),VLOOKUP(P693,PARAM!P:Q,2,0)),"")</f>
        <v/>
      </c>
      <c r="T693" s="18">
        <f t="shared" si="4"/>
        <v>0</v>
      </c>
      <c r="U693" s="18" t="str">
        <f t="shared" si="5"/>
        <v>   </v>
      </c>
    </row>
    <row r="694">
      <c r="A694" s="1"/>
      <c r="B694" s="1"/>
      <c r="C694" s="1"/>
      <c r="D694" s="1"/>
      <c r="E694" s="2"/>
      <c r="F694" s="1"/>
      <c r="G694" s="65">
        <f t="shared" si="7"/>
        <v>0</v>
      </c>
      <c r="H694" s="1"/>
      <c r="I694" s="1"/>
      <c r="J694" s="1"/>
      <c r="K694" s="18"/>
      <c r="L694" s="18"/>
      <c r="M694" s="18"/>
      <c r="N694" s="18"/>
      <c r="O694" s="18"/>
      <c r="P694" s="67" t="s">
        <v>503</v>
      </c>
      <c r="Q694" s="18" t="s">
        <v>476</v>
      </c>
      <c r="R694" s="68" t="str">
        <f>IFERROR(CONCATENATE("*",VLOOKUP(L694,PARAM!D:E,2,0),VLOOKUP(M694,PARAM!J:K,2,0),VLOOKUP(N694,PARAM!G:H,2,0),VLOOKUP(P694,PARAM!P:Q,2,0),"*"),"")</f>
        <v/>
      </c>
      <c r="S694" s="18" t="str">
        <f>IFERROR(CONCATENATE(VLOOKUP(L694,PARAM!D:E,2,0),VLOOKUP(M694,PARAM!J:K,2,0),VLOOKUP(N694,PARAM!G:H,2,0),VLOOKUP(O694,PARAM!M:N,2,0),VLOOKUP(P694,PARAM!P:Q,2,0)),"")</f>
        <v/>
      </c>
      <c r="T694" s="18">
        <f t="shared" si="4"/>
        <v>0</v>
      </c>
      <c r="U694" s="18" t="str">
        <f t="shared" si="5"/>
        <v>   </v>
      </c>
    </row>
    <row r="695">
      <c r="A695" s="1"/>
      <c r="B695" s="1"/>
      <c r="C695" s="1"/>
      <c r="D695" s="1"/>
      <c r="E695" s="2"/>
      <c r="F695" s="1"/>
      <c r="G695" s="65">
        <f t="shared" si="7"/>
        <v>0</v>
      </c>
      <c r="H695" s="1"/>
      <c r="I695" s="1"/>
      <c r="J695" s="1"/>
      <c r="K695" s="18"/>
      <c r="L695" s="18"/>
      <c r="M695" s="18"/>
      <c r="N695" s="18"/>
      <c r="O695" s="18"/>
      <c r="P695" s="67" t="s">
        <v>503</v>
      </c>
      <c r="Q695" s="18" t="s">
        <v>476</v>
      </c>
      <c r="R695" s="68" t="str">
        <f>IFERROR(CONCATENATE("*",VLOOKUP(L695,PARAM!D:E,2,0),VLOOKUP(M695,PARAM!J:K,2,0),VLOOKUP(N695,PARAM!G:H,2,0),VLOOKUP(P695,PARAM!P:Q,2,0),"*"),"")</f>
        <v/>
      </c>
      <c r="S695" s="18" t="str">
        <f>IFERROR(CONCATENATE(VLOOKUP(L695,PARAM!D:E,2,0),VLOOKUP(M695,PARAM!J:K,2,0),VLOOKUP(N695,PARAM!G:H,2,0),VLOOKUP(O695,PARAM!M:N,2,0),VLOOKUP(P695,PARAM!P:Q,2,0)),"")</f>
        <v/>
      </c>
      <c r="T695" s="18">
        <f t="shared" si="4"/>
        <v>0</v>
      </c>
      <c r="U695" s="18" t="str">
        <f t="shared" si="5"/>
        <v>   </v>
      </c>
    </row>
    <row r="696">
      <c r="A696" s="1"/>
      <c r="B696" s="1"/>
      <c r="C696" s="1"/>
      <c r="D696" s="1"/>
      <c r="E696" s="2"/>
      <c r="F696" s="1"/>
      <c r="G696" s="65">
        <f t="shared" si="7"/>
        <v>0</v>
      </c>
      <c r="H696" s="1"/>
      <c r="I696" s="1"/>
      <c r="J696" s="1"/>
      <c r="K696" s="18"/>
      <c r="L696" s="18"/>
      <c r="M696" s="18"/>
      <c r="N696" s="18"/>
      <c r="O696" s="18"/>
      <c r="P696" s="67" t="s">
        <v>503</v>
      </c>
      <c r="Q696" s="18" t="s">
        <v>476</v>
      </c>
      <c r="R696" s="68" t="str">
        <f>IFERROR(CONCATENATE("*",VLOOKUP(L696,PARAM!D:E,2,0),VLOOKUP(M696,PARAM!J:K,2,0),VLOOKUP(N696,PARAM!G:H,2,0),VLOOKUP(P696,PARAM!P:Q,2,0),"*"),"")</f>
        <v/>
      </c>
      <c r="S696" s="18" t="str">
        <f>IFERROR(CONCATENATE(VLOOKUP(L696,PARAM!D:E,2,0),VLOOKUP(M696,PARAM!J:K,2,0),VLOOKUP(N696,PARAM!G:H,2,0),VLOOKUP(O696,PARAM!M:N,2,0),VLOOKUP(P696,PARAM!P:Q,2,0)),"")</f>
        <v/>
      </c>
      <c r="T696" s="18">
        <f t="shared" si="4"/>
        <v>0</v>
      </c>
      <c r="U696" s="18" t="str">
        <f t="shared" si="5"/>
        <v>   </v>
      </c>
    </row>
    <row r="697">
      <c r="A697" s="1"/>
      <c r="B697" s="1"/>
      <c r="C697" s="1"/>
      <c r="D697" s="1"/>
      <c r="E697" s="2"/>
      <c r="F697" s="1"/>
      <c r="G697" s="65">
        <f t="shared" si="7"/>
        <v>0</v>
      </c>
      <c r="H697" s="1"/>
      <c r="I697" s="1"/>
      <c r="J697" s="1"/>
      <c r="K697" s="18"/>
      <c r="L697" s="18"/>
      <c r="M697" s="18"/>
      <c r="N697" s="18"/>
      <c r="O697" s="18"/>
      <c r="P697" s="67" t="s">
        <v>503</v>
      </c>
      <c r="Q697" s="18" t="s">
        <v>476</v>
      </c>
      <c r="R697" s="68" t="str">
        <f>IFERROR(CONCATENATE("*",VLOOKUP(L697,PARAM!D:E,2,0),VLOOKUP(M697,PARAM!J:K,2,0),VLOOKUP(N697,PARAM!G:H,2,0),VLOOKUP(P697,PARAM!P:Q,2,0),"*"),"")</f>
        <v/>
      </c>
      <c r="S697" s="18" t="str">
        <f>IFERROR(CONCATENATE(VLOOKUP(L697,PARAM!D:E,2,0),VLOOKUP(M697,PARAM!J:K,2,0),VLOOKUP(N697,PARAM!G:H,2,0),VLOOKUP(O697,PARAM!M:N,2,0),VLOOKUP(P697,PARAM!P:Q,2,0)),"")</f>
        <v/>
      </c>
      <c r="T697" s="18">
        <f t="shared" si="4"/>
        <v>0</v>
      </c>
      <c r="U697" s="18" t="str">
        <f t="shared" si="5"/>
        <v>   </v>
      </c>
    </row>
    <row r="698">
      <c r="A698" s="1"/>
      <c r="B698" s="1"/>
      <c r="C698" s="1"/>
      <c r="D698" s="1"/>
      <c r="E698" s="2"/>
      <c r="F698" s="1"/>
      <c r="G698" s="65">
        <f t="shared" si="7"/>
        <v>0</v>
      </c>
      <c r="H698" s="1"/>
      <c r="I698" s="1"/>
      <c r="J698" s="1"/>
      <c r="K698" s="18"/>
      <c r="L698" s="18"/>
      <c r="M698" s="18"/>
      <c r="N698" s="18"/>
      <c r="O698" s="18"/>
      <c r="P698" s="67" t="s">
        <v>503</v>
      </c>
      <c r="Q698" s="18" t="s">
        <v>476</v>
      </c>
      <c r="R698" s="68" t="str">
        <f>IFERROR(CONCATENATE("*",VLOOKUP(L698,PARAM!D:E,2,0),VLOOKUP(M698,PARAM!J:K,2,0),VLOOKUP(N698,PARAM!G:H,2,0),VLOOKUP(P698,PARAM!P:Q,2,0),"*"),"")</f>
        <v/>
      </c>
      <c r="S698" s="18" t="str">
        <f>IFERROR(CONCATENATE(VLOOKUP(L698,PARAM!D:E,2,0),VLOOKUP(M698,PARAM!J:K,2,0),VLOOKUP(N698,PARAM!G:H,2,0),VLOOKUP(O698,PARAM!M:N,2,0),VLOOKUP(P698,PARAM!P:Q,2,0)),"")</f>
        <v/>
      </c>
      <c r="T698" s="18">
        <f t="shared" si="4"/>
        <v>0</v>
      </c>
      <c r="U698" s="18" t="str">
        <f t="shared" si="5"/>
        <v>   </v>
      </c>
    </row>
    <row r="699">
      <c r="A699" s="1"/>
      <c r="B699" s="1"/>
      <c r="C699" s="1"/>
      <c r="D699" s="1"/>
      <c r="E699" s="2"/>
      <c r="F699" s="1"/>
      <c r="G699" s="65">
        <f t="shared" si="7"/>
        <v>0</v>
      </c>
      <c r="H699" s="1"/>
      <c r="I699" s="1"/>
      <c r="J699" s="1"/>
      <c r="K699" s="18"/>
      <c r="L699" s="18"/>
      <c r="M699" s="18"/>
      <c r="N699" s="18"/>
      <c r="O699" s="18"/>
      <c r="P699" s="67" t="s">
        <v>503</v>
      </c>
      <c r="Q699" s="18" t="s">
        <v>476</v>
      </c>
      <c r="R699" s="68" t="str">
        <f>IFERROR(CONCATENATE("*",VLOOKUP(L699,PARAM!D:E,2,0),VLOOKUP(M699,PARAM!J:K,2,0),VLOOKUP(N699,PARAM!G:H,2,0),VLOOKUP(P699,PARAM!P:Q,2,0),"*"),"")</f>
        <v/>
      </c>
      <c r="S699" s="18" t="str">
        <f>IFERROR(CONCATENATE(VLOOKUP(L699,PARAM!D:E,2,0),VLOOKUP(M699,PARAM!J:K,2,0),VLOOKUP(N699,PARAM!G:H,2,0),VLOOKUP(O699,PARAM!M:N,2,0),VLOOKUP(P699,PARAM!P:Q,2,0)),"")</f>
        <v/>
      </c>
      <c r="T699" s="18">
        <f t="shared" si="4"/>
        <v>0</v>
      </c>
      <c r="U699" s="18" t="str">
        <f t="shared" si="5"/>
        <v>   </v>
      </c>
    </row>
    <row r="700">
      <c r="A700" s="1"/>
      <c r="B700" s="1"/>
      <c r="C700" s="1"/>
      <c r="D700" s="1"/>
      <c r="E700" s="2"/>
      <c r="F700" s="1"/>
      <c r="G700" s="65">
        <f t="shared" si="7"/>
        <v>0</v>
      </c>
      <c r="H700" s="1"/>
      <c r="I700" s="1"/>
      <c r="J700" s="1"/>
      <c r="K700" s="18"/>
      <c r="L700" s="18"/>
      <c r="M700" s="18"/>
      <c r="N700" s="18"/>
      <c r="O700" s="18"/>
      <c r="P700" s="67" t="s">
        <v>503</v>
      </c>
      <c r="Q700" s="18" t="s">
        <v>476</v>
      </c>
      <c r="R700" s="68" t="str">
        <f>IFERROR(CONCATENATE("*",VLOOKUP(L700,PARAM!D:E,2,0),VLOOKUP(M700,PARAM!J:K,2,0),VLOOKUP(N700,PARAM!G:H,2,0),VLOOKUP(P700,PARAM!P:Q,2,0),"*"),"")</f>
        <v/>
      </c>
      <c r="S700" s="18" t="str">
        <f>IFERROR(CONCATENATE(VLOOKUP(L700,PARAM!D:E,2,0),VLOOKUP(M700,PARAM!J:K,2,0),VLOOKUP(N700,PARAM!G:H,2,0),VLOOKUP(O700,PARAM!M:N,2,0),VLOOKUP(P700,PARAM!P:Q,2,0)),"")</f>
        <v/>
      </c>
      <c r="T700" s="18">
        <f t="shared" si="4"/>
        <v>0</v>
      </c>
      <c r="U700" s="18" t="str">
        <f t="shared" si="5"/>
        <v>   </v>
      </c>
    </row>
    <row r="701">
      <c r="A701" s="1"/>
      <c r="B701" s="1"/>
      <c r="C701" s="1"/>
      <c r="D701" s="1"/>
      <c r="E701" s="2"/>
      <c r="F701" s="1"/>
      <c r="G701" s="65">
        <f t="shared" si="7"/>
        <v>0</v>
      </c>
      <c r="H701" s="1"/>
      <c r="I701" s="1"/>
      <c r="J701" s="1"/>
      <c r="K701" s="18"/>
      <c r="L701" s="18"/>
      <c r="M701" s="18"/>
      <c r="N701" s="18"/>
      <c r="O701" s="18"/>
      <c r="P701" s="67" t="s">
        <v>503</v>
      </c>
      <c r="Q701" s="18" t="s">
        <v>476</v>
      </c>
      <c r="R701" s="68" t="str">
        <f>IFERROR(CONCATENATE("*",VLOOKUP(L701,PARAM!D:E,2,0),VLOOKUP(M701,PARAM!J:K,2,0),VLOOKUP(N701,PARAM!G:H,2,0),VLOOKUP(P701,PARAM!P:Q,2,0),"*"),"")</f>
        <v/>
      </c>
      <c r="S701" s="18" t="str">
        <f>IFERROR(CONCATENATE(VLOOKUP(L701,PARAM!D:E,2,0),VLOOKUP(M701,PARAM!J:K,2,0),VLOOKUP(N701,PARAM!G:H,2,0),VLOOKUP(O701,PARAM!M:N,2,0),VLOOKUP(P701,PARAM!P:Q,2,0)),"")</f>
        <v/>
      </c>
      <c r="T701" s="18">
        <f t="shared" si="4"/>
        <v>0</v>
      </c>
      <c r="U701" s="18" t="str">
        <f t="shared" si="5"/>
        <v>   </v>
      </c>
    </row>
    <row r="702">
      <c r="A702" s="1"/>
      <c r="B702" s="1"/>
      <c r="C702" s="1"/>
      <c r="D702" s="1"/>
      <c r="E702" s="2"/>
      <c r="F702" s="1"/>
      <c r="G702" s="65">
        <f t="shared" si="7"/>
        <v>0</v>
      </c>
      <c r="H702" s="1"/>
      <c r="I702" s="1"/>
      <c r="J702" s="1"/>
      <c r="K702" s="18"/>
      <c r="L702" s="18"/>
      <c r="M702" s="18"/>
      <c r="N702" s="18"/>
      <c r="O702" s="18"/>
      <c r="P702" s="67" t="s">
        <v>503</v>
      </c>
      <c r="Q702" s="18" t="s">
        <v>476</v>
      </c>
      <c r="R702" s="68" t="str">
        <f>IFERROR(CONCATENATE("*",VLOOKUP(L702,PARAM!D:E,2,0),VLOOKUP(M702,PARAM!J:K,2,0),VLOOKUP(N702,PARAM!G:H,2,0),VLOOKUP(P702,PARAM!P:Q,2,0),"*"),"")</f>
        <v/>
      </c>
      <c r="S702" s="18" t="str">
        <f>IFERROR(CONCATENATE(VLOOKUP(L702,PARAM!D:E,2,0),VLOOKUP(M702,PARAM!J:K,2,0),VLOOKUP(N702,PARAM!G:H,2,0),VLOOKUP(O702,PARAM!M:N,2,0),VLOOKUP(P702,PARAM!P:Q,2,0)),"")</f>
        <v/>
      </c>
      <c r="T702" s="18">
        <f t="shared" si="4"/>
        <v>0</v>
      </c>
      <c r="U702" s="18" t="str">
        <f t="shared" si="5"/>
        <v>   </v>
      </c>
    </row>
    <row r="703">
      <c r="A703" s="1"/>
      <c r="B703" s="1"/>
      <c r="C703" s="1"/>
      <c r="D703" s="1"/>
      <c r="E703" s="2"/>
      <c r="F703" s="1"/>
      <c r="G703" s="65">
        <f t="shared" si="7"/>
        <v>0</v>
      </c>
      <c r="H703" s="1"/>
      <c r="I703" s="1"/>
      <c r="J703" s="1"/>
      <c r="K703" s="18"/>
      <c r="L703" s="18"/>
      <c r="M703" s="18"/>
      <c r="N703" s="18"/>
      <c r="O703" s="18"/>
      <c r="P703" s="67" t="s">
        <v>503</v>
      </c>
      <c r="Q703" s="18" t="s">
        <v>476</v>
      </c>
      <c r="R703" s="68" t="str">
        <f>IFERROR(CONCATENATE("*",VLOOKUP(L703,PARAM!D:E,2,0),VLOOKUP(M703,PARAM!J:K,2,0),VLOOKUP(N703,PARAM!G:H,2,0),VLOOKUP(P703,PARAM!P:Q,2,0),"*"),"")</f>
        <v/>
      </c>
      <c r="S703" s="18" t="str">
        <f>IFERROR(CONCATENATE(VLOOKUP(L703,PARAM!D:E,2,0),VLOOKUP(M703,PARAM!J:K,2,0),VLOOKUP(N703,PARAM!G:H,2,0),VLOOKUP(O703,PARAM!M:N,2,0),VLOOKUP(P703,PARAM!P:Q,2,0)),"")</f>
        <v/>
      </c>
      <c r="T703" s="18">
        <f t="shared" si="4"/>
        <v>0</v>
      </c>
      <c r="U703" s="18" t="str">
        <f t="shared" si="5"/>
        <v>   </v>
      </c>
    </row>
    <row r="704">
      <c r="A704" s="1"/>
      <c r="B704" s="1"/>
      <c r="C704" s="1"/>
      <c r="D704" s="1"/>
      <c r="E704" s="2"/>
      <c r="F704" s="1"/>
      <c r="G704" s="65">
        <f t="shared" si="7"/>
        <v>0</v>
      </c>
      <c r="H704" s="1"/>
      <c r="I704" s="1"/>
      <c r="J704" s="1"/>
      <c r="K704" s="18"/>
      <c r="L704" s="18"/>
      <c r="M704" s="18"/>
      <c r="N704" s="18"/>
      <c r="O704" s="18"/>
      <c r="P704" s="67" t="s">
        <v>503</v>
      </c>
      <c r="Q704" s="18" t="s">
        <v>476</v>
      </c>
      <c r="R704" s="68" t="str">
        <f>IFERROR(CONCATENATE("*",VLOOKUP(L704,PARAM!D:E,2,0),VLOOKUP(M704,PARAM!J:K,2,0),VLOOKUP(N704,PARAM!G:H,2,0),VLOOKUP(P704,PARAM!P:Q,2,0),"*"),"")</f>
        <v/>
      </c>
      <c r="S704" s="18" t="str">
        <f>IFERROR(CONCATENATE(VLOOKUP(L704,PARAM!D:E,2,0),VLOOKUP(M704,PARAM!J:K,2,0),VLOOKUP(N704,PARAM!G:H,2,0),VLOOKUP(O704,PARAM!M:N,2,0),VLOOKUP(P704,PARAM!P:Q,2,0)),"")</f>
        <v/>
      </c>
      <c r="T704" s="18">
        <f t="shared" si="4"/>
        <v>0</v>
      </c>
      <c r="U704" s="18" t="str">
        <f t="shared" si="5"/>
        <v>   </v>
      </c>
    </row>
    <row r="705">
      <c r="A705" s="1"/>
      <c r="B705" s="1"/>
      <c r="C705" s="1"/>
      <c r="D705" s="1"/>
      <c r="E705" s="2"/>
      <c r="F705" s="1"/>
      <c r="G705" s="65">
        <f t="shared" si="7"/>
        <v>0</v>
      </c>
      <c r="H705" s="1"/>
      <c r="I705" s="1"/>
      <c r="J705" s="1"/>
      <c r="K705" s="18"/>
      <c r="L705" s="18"/>
      <c r="M705" s="18"/>
      <c r="N705" s="18"/>
      <c r="O705" s="18"/>
      <c r="P705" s="67" t="s">
        <v>503</v>
      </c>
      <c r="Q705" s="18" t="s">
        <v>476</v>
      </c>
      <c r="R705" s="68" t="str">
        <f>IFERROR(CONCATENATE("*",VLOOKUP(L705,PARAM!D:E,2,0),VLOOKUP(M705,PARAM!J:K,2,0),VLOOKUP(N705,PARAM!G:H,2,0),VLOOKUP(P705,PARAM!P:Q,2,0),"*"),"")</f>
        <v/>
      </c>
      <c r="S705" s="18" t="str">
        <f>IFERROR(CONCATENATE(VLOOKUP(L705,PARAM!D:E,2,0),VLOOKUP(M705,PARAM!J:K,2,0),VLOOKUP(N705,PARAM!G:H,2,0),VLOOKUP(O705,PARAM!M:N,2,0),VLOOKUP(P705,PARAM!P:Q,2,0)),"")</f>
        <v/>
      </c>
      <c r="T705" s="18">
        <f t="shared" si="4"/>
        <v>0</v>
      </c>
      <c r="U705" s="18" t="str">
        <f t="shared" si="5"/>
        <v>   </v>
      </c>
    </row>
    <row r="706">
      <c r="A706" s="1"/>
      <c r="B706" s="1"/>
      <c r="C706" s="1"/>
      <c r="D706" s="1"/>
      <c r="E706" s="2"/>
      <c r="F706" s="1"/>
      <c r="G706" s="65">
        <f t="shared" si="7"/>
        <v>0</v>
      </c>
      <c r="H706" s="1"/>
      <c r="I706" s="1"/>
      <c r="J706" s="1"/>
      <c r="K706" s="18"/>
      <c r="L706" s="18"/>
      <c r="M706" s="18"/>
      <c r="N706" s="18"/>
      <c r="O706" s="18"/>
      <c r="P706" s="67" t="s">
        <v>503</v>
      </c>
      <c r="Q706" s="18" t="s">
        <v>476</v>
      </c>
      <c r="R706" s="68" t="str">
        <f>IFERROR(CONCATENATE("*",VLOOKUP(L706,PARAM!D:E,2,0),VLOOKUP(M706,PARAM!J:K,2,0),VLOOKUP(N706,PARAM!G:H,2,0),VLOOKUP(P706,PARAM!P:Q,2,0),"*"),"")</f>
        <v/>
      </c>
      <c r="S706" s="18" t="str">
        <f>IFERROR(CONCATENATE(VLOOKUP(L706,PARAM!D:E,2,0),VLOOKUP(M706,PARAM!J:K,2,0),VLOOKUP(N706,PARAM!G:H,2,0),VLOOKUP(O706,PARAM!M:N,2,0),VLOOKUP(P706,PARAM!P:Q,2,0)),"")</f>
        <v/>
      </c>
      <c r="T706" s="18">
        <f t="shared" si="4"/>
        <v>0</v>
      </c>
      <c r="U706" s="18" t="str">
        <f t="shared" si="5"/>
        <v>   </v>
      </c>
    </row>
    <row r="707">
      <c r="A707" s="1"/>
      <c r="B707" s="1"/>
      <c r="C707" s="1"/>
      <c r="D707" s="1"/>
      <c r="E707" s="2"/>
      <c r="F707" s="1"/>
      <c r="G707" s="65">
        <f t="shared" si="7"/>
        <v>0</v>
      </c>
      <c r="H707" s="1"/>
      <c r="I707" s="1"/>
      <c r="J707" s="1"/>
      <c r="K707" s="18"/>
      <c r="L707" s="18"/>
      <c r="M707" s="18"/>
      <c r="N707" s="18"/>
      <c r="O707" s="18"/>
      <c r="P707" s="67" t="s">
        <v>503</v>
      </c>
      <c r="Q707" s="18" t="s">
        <v>476</v>
      </c>
      <c r="R707" s="68" t="str">
        <f>IFERROR(CONCATENATE("*",VLOOKUP(L707,PARAM!D:E,2,0),VLOOKUP(M707,PARAM!J:K,2,0),VLOOKUP(N707,PARAM!G:H,2,0),VLOOKUP(P707,PARAM!P:Q,2,0),"*"),"")</f>
        <v/>
      </c>
      <c r="S707" s="18" t="str">
        <f>IFERROR(CONCATENATE(VLOOKUP(L707,PARAM!D:E,2,0),VLOOKUP(M707,PARAM!J:K,2,0),VLOOKUP(N707,PARAM!G:H,2,0),VLOOKUP(O707,PARAM!M:N,2,0),VLOOKUP(P707,PARAM!P:Q,2,0)),"")</f>
        <v/>
      </c>
      <c r="T707" s="18">
        <f t="shared" si="4"/>
        <v>0</v>
      </c>
      <c r="U707" s="18" t="str">
        <f t="shared" si="5"/>
        <v>   </v>
      </c>
    </row>
    <row r="708">
      <c r="A708" s="1"/>
      <c r="B708" s="1"/>
      <c r="C708" s="1"/>
      <c r="D708" s="1"/>
      <c r="E708" s="2"/>
      <c r="F708" s="1"/>
      <c r="G708" s="65">
        <f t="shared" si="7"/>
        <v>0</v>
      </c>
      <c r="H708" s="1"/>
      <c r="I708" s="1"/>
      <c r="J708" s="1"/>
      <c r="K708" s="18"/>
      <c r="L708" s="18"/>
      <c r="M708" s="18"/>
      <c r="N708" s="18"/>
      <c r="O708" s="18"/>
      <c r="P708" s="67" t="s">
        <v>503</v>
      </c>
      <c r="Q708" s="18" t="s">
        <v>476</v>
      </c>
      <c r="R708" s="68" t="str">
        <f>IFERROR(CONCATENATE("*",VLOOKUP(L708,PARAM!D:E,2,0),VLOOKUP(M708,PARAM!J:K,2,0),VLOOKUP(N708,PARAM!G:H,2,0),VLOOKUP(P708,PARAM!P:Q,2,0),"*"),"")</f>
        <v/>
      </c>
      <c r="S708" s="18" t="str">
        <f>IFERROR(CONCATENATE(VLOOKUP(L708,PARAM!D:E,2,0),VLOOKUP(M708,PARAM!J:K,2,0),VLOOKUP(N708,PARAM!G:H,2,0),VLOOKUP(O708,PARAM!M:N,2,0),VLOOKUP(P708,PARAM!P:Q,2,0)),"")</f>
        <v/>
      </c>
      <c r="T708" s="18">
        <f t="shared" si="4"/>
        <v>0</v>
      </c>
      <c r="U708" s="18" t="str">
        <f t="shared" si="5"/>
        <v>   </v>
      </c>
    </row>
    <row r="709">
      <c r="A709" s="1"/>
      <c r="B709" s="1"/>
      <c r="C709" s="1"/>
      <c r="D709" s="1"/>
      <c r="E709" s="2"/>
      <c r="F709" s="1"/>
      <c r="G709" s="65">
        <f t="shared" si="7"/>
        <v>0</v>
      </c>
      <c r="H709" s="1"/>
      <c r="I709" s="1"/>
      <c r="J709" s="1"/>
      <c r="K709" s="18"/>
      <c r="L709" s="18"/>
      <c r="M709" s="18"/>
      <c r="N709" s="18"/>
      <c r="O709" s="18"/>
      <c r="P709" s="67" t="s">
        <v>503</v>
      </c>
      <c r="Q709" s="18" t="s">
        <v>476</v>
      </c>
      <c r="R709" s="68" t="str">
        <f>IFERROR(CONCATENATE("*",VLOOKUP(L709,PARAM!D:E,2,0),VLOOKUP(M709,PARAM!J:K,2,0),VLOOKUP(N709,PARAM!G:H,2,0),VLOOKUP(P709,PARAM!P:Q,2,0),"*"),"")</f>
        <v/>
      </c>
      <c r="S709" s="18" t="str">
        <f>IFERROR(CONCATENATE(VLOOKUP(L709,PARAM!D:E,2,0),VLOOKUP(M709,PARAM!J:K,2,0),VLOOKUP(N709,PARAM!G:H,2,0),VLOOKUP(O709,PARAM!M:N,2,0),VLOOKUP(P709,PARAM!P:Q,2,0)),"")</f>
        <v/>
      </c>
      <c r="T709" s="18">
        <f t="shared" si="4"/>
        <v>0</v>
      </c>
      <c r="U709" s="18" t="str">
        <f t="shared" si="5"/>
        <v>   </v>
      </c>
    </row>
    <row r="710">
      <c r="A710" s="1"/>
      <c r="B710" s="1"/>
      <c r="C710" s="1"/>
      <c r="D710" s="1"/>
      <c r="E710" s="2"/>
      <c r="F710" s="1"/>
      <c r="G710" s="65">
        <f t="shared" si="7"/>
        <v>0</v>
      </c>
      <c r="H710" s="1"/>
      <c r="I710" s="1"/>
      <c r="J710" s="1"/>
      <c r="K710" s="18"/>
      <c r="L710" s="18"/>
      <c r="M710" s="18"/>
      <c r="N710" s="18"/>
      <c r="O710" s="18"/>
      <c r="P710" s="67" t="s">
        <v>503</v>
      </c>
      <c r="Q710" s="18" t="s">
        <v>476</v>
      </c>
      <c r="R710" s="68" t="str">
        <f>IFERROR(CONCATENATE("*",VLOOKUP(L710,PARAM!D:E,2,0),VLOOKUP(M710,PARAM!J:K,2,0),VLOOKUP(N710,PARAM!G:H,2,0),VLOOKUP(P710,PARAM!P:Q,2,0),"*"),"")</f>
        <v/>
      </c>
      <c r="S710" s="18" t="str">
        <f>IFERROR(CONCATENATE(VLOOKUP(L710,PARAM!D:E,2,0),VLOOKUP(M710,PARAM!J:K,2,0),VLOOKUP(N710,PARAM!G:H,2,0),VLOOKUP(O710,PARAM!M:N,2,0),VLOOKUP(P710,PARAM!P:Q,2,0)),"")</f>
        <v/>
      </c>
      <c r="T710" s="18">
        <f t="shared" si="4"/>
        <v>0</v>
      </c>
      <c r="U710" s="18" t="str">
        <f t="shared" si="5"/>
        <v>   </v>
      </c>
    </row>
    <row r="711">
      <c r="A711" s="1"/>
      <c r="B711" s="1"/>
      <c r="C711" s="1"/>
      <c r="D711" s="1"/>
      <c r="E711" s="2"/>
      <c r="F711" s="1"/>
      <c r="G711" s="65">
        <f t="shared" si="7"/>
        <v>0</v>
      </c>
      <c r="H711" s="1"/>
      <c r="I711" s="1"/>
      <c r="J711" s="1"/>
      <c r="K711" s="18"/>
      <c r="L711" s="18"/>
      <c r="M711" s="18"/>
      <c r="N711" s="18"/>
      <c r="O711" s="18"/>
      <c r="P711" s="67" t="s">
        <v>503</v>
      </c>
      <c r="Q711" s="18" t="s">
        <v>476</v>
      </c>
      <c r="R711" s="68" t="str">
        <f>IFERROR(CONCATENATE("*",VLOOKUP(L711,PARAM!D:E,2,0),VLOOKUP(M711,PARAM!J:K,2,0),VLOOKUP(N711,PARAM!G:H,2,0),VLOOKUP(P711,PARAM!P:Q,2,0),"*"),"")</f>
        <v/>
      </c>
      <c r="S711" s="18" t="str">
        <f>IFERROR(CONCATENATE(VLOOKUP(L711,PARAM!D:E,2,0),VLOOKUP(M711,PARAM!J:K,2,0),VLOOKUP(N711,PARAM!G:H,2,0),VLOOKUP(O711,PARAM!M:N,2,0),VLOOKUP(P711,PARAM!P:Q,2,0)),"")</f>
        <v/>
      </c>
      <c r="T711" s="18">
        <f t="shared" si="4"/>
        <v>0</v>
      </c>
      <c r="U711" s="18" t="str">
        <f t="shared" si="5"/>
        <v>   </v>
      </c>
    </row>
    <row r="712">
      <c r="A712" s="1"/>
      <c r="B712" s="1"/>
      <c r="C712" s="1"/>
      <c r="D712" s="1"/>
      <c r="E712" s="2"/>
      <c r="F712" s="1"/>
      <c r="G712" s="65">
        <f t="shared" si="7"/>
        <v>0</v>
      </c>
      <c r="H712" s="1"/>
      <c r="I712" s="1"/>
      <c r="J712" s="1"/>
      <c r="K712" s="18"/>
      <c r="L712" s="18"/>
      <c r="M712" s="18"/>
      <c r="N712" s="18"/>
      <c r="O712" s="18"/>
      <c r="P712" s="67" t="s">
        <v>503</v>
      </c>
      <c r="Q712" s="18" t="s">
        <v>476</v>
      </c>
      <c r="R712" s="68" t="str">
        <f>IFERROR(CONCATENATE("*",VLOOKUP(L712,PARAM!D:E,2,0),VLOOKUP(M712,PARAM!J:K,2,0),VLOOKUP(N712,PARAM!G:H,2,0),VLOOKUP(P712,PARAM!P:Q,2,0),"*"),"")</f>
        <v/>
      </c>
      <c r="S712" s="18" t="str">
        <f>IFERROR(CONCATENATE(VLOOKUP(L712,PARAM!D:E,2,0),VLOOKUP(M712,PARAM!J:K,2,0),VLOOKUP(N712,PARAM!G:H,2,0),VLOOKUP(O712,PARAM!M:N,2,0),VLOOKUP(P712,PARAM!P:Q,2,0)),"")</f>
        <v/>
      </c>
      <c r="T712" s="18">
        <f t="shared" si="4"/>
        <v>0</v>
      </c>
      <c r="U712" s="18" t="str">
        <f t="shared" si="5"/>
        <v>   </v>
      </c>
    </row>
    <row r="713">
      <c r="A713" s="1"/>
      <c r="B713" s="1"/>
      <c r="C713" s="1"/>
      <c r="D713" s="1"/>
      <c r="E713" s="2"/>
      <c r="F713" s="1"/>
      <c r="G713" s="65">
        <f t="shared" si="7"/>
        <v>0</v>
      </c>
      <c r="H713" s="1"/>
      <c r="I713" s="1"/>
      <c r="J713" s="1"/>
      <c r="K713" s="18"/>
      <c r="L713" s="18"/>
      <c r="M713" s="18"/>
      <c r="N713" s="18"/>
      <c r="O713" s="18"/>
      <c r="P713" s="67" t="s">
        <v>503</v>
      </c>
      <c r="Q713" s="18" t="s">
        <v>476</v>
      </c>
      <c r="R713" s="68" t="str">
        <f>IFERROR(CONCATENATE("*",VLOOKUP(L713,PARAM!D:E,2,0),VLOOKUP(M713,PARAM!J:K,2,0),VLOOKUP(N713,PARAM!G:H,2,0),VLOOKUP(P713,PARAM!P:Q,2,0),"*"),"")</f>
        <v/>
      </c>
      <c r="S713" s="18" t="str">
        <f>IFERROR(CONCATENATE(VLOOKUP(L713,PARAM!D:E,2,0),VLOOKUP(M713,PARAM!J:K,2,0),VLOOKUP(N713,PARAM!G:H,2,0),VLOOKUP(O713,PARAM!M:N,2,0),VLOOKUP(P713,PARAM!P:Q,2,0)),"")</f>
        <v/>
      </c>
      <c r="T713" s="18">
        <f t="shared" si="4"/>
        <v>0</v>
      </c>
      <c r="U713" s="18" t="str">
        <f t="shared" si="5"/>
        <v>   </v>
      </c>
    </row>
    <row r="714">
      <c r="A714" s="1"/>
      <c r="B714" s="1"/>
      <c r="C714" s="1"/>
      <c r="D714" s="1"/>
      <c r="E714" s="2"/>
      <c r="F714" s="1"/>
      <c r="G714" s="65">
        <f t="shared" si="7"/>
        <v>0</v>
      </c>
      <c r="H714" s="1"/>
      <c r="I714" s="1"/>
      <c r="J714" s="1"/>
      <c r="K714" s="18"/>
      <c r="L714" s="18"/>
      <c r="M714" s="18"/>
      <c r="N714" s="18"/>
      <c r="O714" s="18"/>
      <c r="P714" s="67" t="s">
        <v>503</v>
      </c>
      <c r="Q714" s="18" t="s">
        <v>476</v>
      </c>
      <c r="R714" s="68" t="str">
        <f>IFERROR(CONCATENATE("*",VLOOKUP(L714,PARAM!D:E,2,0),VLOOKUP(M714,PARAM!J:K,2,0),VLOOKUP(N714,PARAM!G:H,2,0),VLOOKUP(P714,PARAM!P:Q,2,0),"*"),"")</f>
        <v/>
      </c>
      <c r="S714" s="18" t="str">
        <f>IFERROR(CONCATENATE(VLOOKUP(L714,PARAM!D:E,2,0),VLOOKUP(M714,PARAM!J:K,2,0),VLOOKUP(N714,PARAM!G:H,2,0),VLOOKUP(O714,PARAM!M:N,2,0),VLOOKUP(P714,PARAM!P:Q,2,0)),"")</f>
        <v/>
      </c>
      <c r="T714" s="18">
        <f t="shared" si="4"/>
        <v>0</v>
      </c>
      <c r="U714" s="18" t="str">
        <f t="shared" si="5"/>
        <v>   </v>
      </c>
    </row>
    <row r="715">
      <c r="A715" s="1"/>
      <c r="B715" s="1"/>
      <c r="C715" s="1"/>
      <c r="D715" s="1"/>
      <c r="E715" s="2"/>
      <c r="F715" s="1"/>
      <c r="G715" s="65">
        <f t="shared" si="7"/>
        <v>0</v>
      </c>
      <c r="H715" s="1"/>
      <c r="I715" s="1"/>
      <c r="J715" s="1"/>
      <c r="K715" s="18"/>
      <c r="L715" s="18"/>
      <c r="M715" s="18"/>
      <c r="N715" s="18"/>
      <c r="O715" s="18"/>
      <c r="P715" s="67" t="s">
        <v>503</v>
      </c>
      <c r="Q715" s="18" t="s">
        <v>476</v>
      </c>
      <c r="R715" s="68" t="str">
        <f>IFERROR(CONCATENATE("*",VLOOKUP(L715,PARAM!D:E,2,0),VLOOKUP(M715,PARAM!J:K,2,0),VLOOKUP(N715,PARAM!G:H,2,0),VLOOKUP(P715,PARAM!P:Q,2,0),"*"),"")</f>
        <v/>
      </c>
      <c r="S715" s="18" t="str">
        <f>IFERROR(CONCATENATE(VLOOKUP(L715,PARAM!D:E,2,0),VLOOKUP(M715,PARAM!J:K,2,0),VLOOKUP(N715,PARAM!G:H,2,0),VLOOKUP(O715,PARAM!M:N,2,0),VLOOKUP(P715,PARAM!P:Q,2,0)),"")</f>
        <v/>
      </c>
      <c r="T715" s="18">
        <f t="shared" si="4"/>
        <v>0</v>
      </c>
      <c r="U715" s="18" t="str">
        <f t="shared" si="5"/>
        <v>   </v>
      </c>
    </row>
    <row r="716">
      <c r="A716" s="1"/>
      <c r="B716" s="1"/>
      <c r="C716" s="1"/>
      <c r="D716" s="1"/>
      <c r="E716" s="2"/>
      <c r="F716" s="1"/>
      <c r="G716" s="65">
        <f t="shared" si="7"/>
        <v>0</v>
      </c>
      <c r="H716" s="1"/>
      <c r="I716" s="1"/>
      <c r="J716" s="1"/>
      <c r="K716" s="18"/>
      <c r="L716" s="18"/>
      <c r="M716" s="18"/>
      <c r="N716" s="18"/>
      <c r="O716" s="18"/>
      <c r="P716" s="67" t="s">
        <v>503</v>
      </c>
      <c r="Q716" s="18" t="s">
        <v>476</v>
      </c>
      <c r="R716" s="68" t="str">
        <f>IFERROR(CONCATENATE("*",VLOOKUP(L716,PARAM!D:E,2,0),VLOOKUP(M716,PARAM!J:K,2,0),VLOOKUP(N716,PARAM!G:H,2,0),VLOOKUP(P716,PARAM!P:Q,2,0),"*"),"")</f>
        <v/>
      </c>
      <c r="S716" s="18" t="str">
        <f>IFERROR(CONCATENATE(VLOOKUP(L716,PARAM!D:E,2,0),VLOOKUP(M716,PARAM!J:K,2,0),VLOOKUP(N716,PARAM!G:H,2,0),VLOOKUP(O716,PARAM!M:N,2,0),VLOOKUP(P716,PARAM!P:Q,2,0)),"")</f>
        <v/>
      </c>
      <c r="T716" s="18">
        <f t="shared" si="4"/>
        <v>0</v>
      </c>
      <c r="U716" s="18" t="str">
        <f t="shared" si="5"/>
        <v>   </v>
      </c>
    </row>
    <row r="717">
      <c r="A717" s="1"/>
      <c r="B717" s="1"/>
      <c r="C717" s="1"/>
      <c r="D717" s="1"/>
      <c r="E717" s="2"/>
      <c r="F717" s="1"/>
      <c r="G717" s="65">
        <f t="shared" si="7"/>
        <v>0</v>
      </c>
      <c r="H717" s="1"/>
      <c r="I717" s="1"/>
      <c r="J717" s="1"/>
      <c r="K717" s="18"/>
      <c r="L717" s="18"/>
      <c r="M717" s="18"/>
      <c r="N717" s="18"/>
      <c r="O717" s="18"/>
      <c r="P717" s="67" t="s">
        <v>503</v>
      </c>
      <c r="Q717" s="18" t="s">
        <v>476</v>
      </c>
      <c r="R717" s="68" t="str">
        <f>IFERROR(CONCATENATE("*",VLOOKUP(L717,PARAM!D:E,2,0),VLOOKUP(M717,PARAM!J:K,2,0),VLOOKUP(N717,PARAM!G:H,2,0),VLOOKUP(P717,PARAM!P:Q,2,0),"*"),"")</f>
        <v/>
      </c>
      <c r="S717" s="18" t="str">
        <f>IFERROR(CONCATENATE(VLOOKUP(L717,PARAM!D:E,2,0),VLOOKUP(M717,PARAM!J:K,2,0),VLOOKUP(N717,PARAM!G:H,2,0),VLOOKUP(O717,PARAM!M:N,2,0),VLOOKUP(P717,PARAM!P:Q,2,0)),"")</f>
        <v/>
      </c>
      <c r="T717" s="18">
        <f t="shared" si="4"/>
        <v>0</v>
      </c>
      <c r="U717" s="18" t="str">
        <f t="shared" si="5"/>
        <v>   </v>
      </c>
    </row>
    <row r="718">
      <c r="A718" s="1"/>
      <c r="B718" s="1"/>
      <c r="C718" s="1"/>
      <c r="D718" s="1"/>
      <c r="E718" s="2"/>
      <c r="F718" s="1"/>
      <c r="G718" s="65">
        <f t="shared" si="7"/>
        <v>0</v>
      </c>
      <c r="H718" s="1"/>
      <c r="I718" s="1"/>
      <c r="J718" s="1"/>
      <c r="K718" s="18"/>
      <c r="L718" s="18"/>
      <c r="M718" s="18"/>
      <c r="N718" s="18"/>
      <c r="O718" s="18"/>
      <c r="P718" s="67" t="s">
        <v>503</v>
      </c>
      <c r="Q718" s="18" t="s">
        <v>476</v>
      </c>
      <c r="R718" s="68" t="str">
        <f>IFERROR(CONCATENATE("*",VLOOKUP(L718,PARAM!D:E,2,0),VLOOKUP(M718,PARAM!J:K,2,0),VLOOKUP(N718,PARAM!G:H,2,0),VLOOKUP(P718,PARAM!P:Q,2,0),"*"),"")</f>
        <v/>
      </c>
      <c r="S718" s="18" t="str">
        <f>IFERROR(CONCATENATE(VLOOKUP(L718,PARAM!D:E,2,0),VLOOKUP(M718,PARAM!J:K,2,0),VLOOKUP(N718,PARAM!G:H,2,0),VLOOKUP(O718,PARAM!M:N,2,0),VLOOKUP(P718,PARAM!P:Q,2,0)),"")</f>
        <v/>
      </c>
      <c r="T718" s="18">
        <f t="shared" si="4"/>
        <v>0</v>
      </c>
      <c r="U718" s="18" t="str">
        <f t="shared" si="5"/>
        <v>   </v>
      </c>
    </row>
    <row r="719">
      <c r="A719" s="1"/>
      <c r="B719" s="1"/>
      <c r="C719" s="1"/>
      <c r="D719" s="1"/>
      <c r="E719" s="2"/>
      <c r="F719" s="1"/>
      <c r="G719" s="65">
        <f t="shared" si="7"/>
        <v>0</v>
      </c>
      <c r="H719" s="1"/>
      <c r="I719" s="1"/>
      <c r="J719" s="1"/>
      <c r="K719" s="18"/>
      <c r="L719" s="18"/>
      <c r="M719" s="18"/>
      <c r="N719" s="18"/>
      <c r="O719" s="18"/>
      <c r="P719" s="67" t="s">
        <v>503</v>
      </c>
      <c r="Q719" s="18" t="s">
        <v>476</v>
      </c>
      <c r="R719" s="68" t="str">
        <f>IFERROR(CONCATENATE("*",VLOOKUP(L719,PARAM!D:E,2,0),VLOOKUP(M719,PARAM!J:K,2,0),VLOOKUP(N719,PARAM!G:H,2,0),VLOOKUP(P719,PARAM!P:Q,2,0),"*"),"")</f>
        <v/>
      </c>
      <c r="S719" s="18" t="str">
        <f>IFERROR(CONCATENATE(VLOOKUP(L719,PARAM!D:E,2,0),VLOOKUP(M719,PARAM!J:K,2,0),VLOOKUP(N719,PARAM!G:H,2,0),VLOOKUP(O719,PARAM!M:N,2,0),VLOOKUP(P719,PARAM!P:Q,2,0)),"")</f>
        <v/>
      </c>
      <c r="T719" s="18">
        <f t="shared" si="4"/>
        <v>0</v>
      </c>
      <c r="U719" s="18" t="str">
        <f t="shared" si="5"/>
        <v>   </v>
      </c>
    </row>
    <row r="720">
      <c r="A720" s="1"/>
      <c r="B720" s="1"/>
      <c r="C720" s="1"/>
      <c r="D720" s="1"/>
      <c r="E720" s="2"/>
      <c r="F720" s="1"/>
      <c r="G720" s="65">
        <f t="shared" si="7"/>
        <v>0</v>
      </c>
      <c r="H720" s="1"/>
      <c r="I720" s="1"/>
      <c r="J720" s="1"/>
      <c r="K720" s="18"/>
      <c r="L720" s="18"/>
      <c r="M720" s="18"/>
      <c r="N720" s="18"/>
      <c r="O720" s="18"/>
      <c r="P720" s="67" t="s">
        <v>503</v>
      </c>
      <c r="Q720" s="18" t="s">
        <v>476</v>
      </c>
      <c r="R720" s="68" t="str">
        <f>IFERROR(CONCATENATE("*",VLOOKUP(L720,PARAM!D:E,2,0),VLOOKUP(M720,PARAM!J:K,2,0),VLOOKUP(N720,PARAM!G:H,2,0),VLOOKUP(P720,PARAM!P:Q,2,0),"*"),"")</f>
        <v/>
      </c>
      <c r="S720" s="18" t="str">
        <f>IFERROR(CONCATENATE(VLOOKUP(L720,PARAM!D:E,2,0),VLOOKUP(M720,PARAM!J:K,2,0),VLOOKUP(N720,PARAM!G:H,2,0),VLOOKUP(O720,PARAM!M:N,2,0),VLOOKUP(P720,PARAM!P:Q,2,0)),"")</f>
        <v/>
      </c>
      <c r="T720" s="18">
        <f t="shared" si="4"/>
        <v>0</v>
      </c>
      <c r="U720" s="18" t="str">
        <f t="shared" si="5"/>
        <v>   </v>
      </c>
    </row>
    <row r="721">
      <c r="A721" s="1"/>
      <c r="B721" s="1"/>
      <c r="C721" s="1"/>
      <c r="D721" s="1"/>
      <c r="E721" s="2"/>
      <c r="F721" s="1"/>
      <c r="G721" s="65">
        <f t="shared" si="7"/>
        <v>0</v>
      </c>
      <c r="H721" s="1"/>
      <c r="I721" s="1"/>
      <c r="J721" s="1"/>
      <c r="K721" s="18"/>
      <c r="L721" s="18"/>
      <c r="M721" s="18"/>
      <c r="N721" s="18"/>
      <c r="O721" s="18"/>
      <c r="P721" s="67" t="s">
        <v>503</v>
      </c>
      <c r="Q721" s="18" t="s">
        <v>476</v>
      </c>
      <c r="R721" s="68" t="str">
        <f>IFERROR(CONCATENATE("*",VLOOKUP(L721,PARAM!D:E,2,0),VLOOKUP(M721,PARAM!J:K,2,0),VLOOKUP(N721,PARAM!G:H,2,0),VLOOKUP(P721,PARAM!P:Q,2,0),"*"),"")</f>
        <v/>
      </c>
      <c r="S721" s="18" t="str">
        <f>IFERROR(CONCATENATE(VLOOKUP(L721,PARAM!D:E,2,0),VLOOKUP(M721,PARAM!J:K,2,0),VLOOKUP(N721,PARAM!G:H,2,0),VLOOKUP(O721,PARAM!M:N,2,0),VLOOKUP(P721,PARAM!P:Q,2,0)),"")</f>
        <v/>
      </c>
      <c r="T721" s="18">
        <f t="shared" si="4"/>
        <v>0</v>
      </c>
      <c r="U721" s="18" t="str">
        <f t="shared" si="5"/>
        <v>   </v>
      </c>
    </row>
    <row r="722">
      <c r="A722" s="1"/>
      <c r="B722" s="1"/>
      <c r="C722" s="1"/>
      <c r="D722" s="1"/>
      <c r="E722" s="2"/>
      <c r="F722" s="1"/>
      <c r="G722" s="65">
        <f t="shared" si="7"/>
        <v>0</v>
      </c>
      <c r="H722" s="1"/>
      <c r="I722" s="1"/>
      <c r="J722" s="1"/>
      <c r="K722" s="18"/>
      <c r="L722" s="18"/>
      <c r="M722" s="18"/>
      <c r="N722" s="18"/>
      <c r="O722" s="18"/>
      <c r="P722" s="67" t="s">
        <v>503</v>
      </c>
      <c r="Q722" s="18" t="s">
        <v>476</v>
      </c>
      <c r="R722" s="68" t="str">
        <f>IFERROR(CONCATENATE("*",VLOOKUP(L722,PARAM!D:E,2,0),VLOOKUP(M722,PARAM!J:K,2,0),VLOOKUP(N722,PARAM!G:H,2,0),VLOOKUP(P722,PARAM!P:Q,2,0),"*"),"")</f>
        <v/>
      </c>
      <c r="S722" s="18" t="str">
        <f>IFERROR(CONCATENATE(VLOOKUP(L722,PARAM!D:E,2,0),VLOOKUP(M722,PARAM!J:K,2,0),VLOOKUP(N722,PARAM!G:H,2,0),VLOOKUP(O722,PARAM!M:N,2,0),VLOOKUP(P722,PARAM!P:Q,2,0)),"")</f>
        <v/>
      </c>
      <c r="T722" s="18">
        <f t="shared" si="4"/>
        <v>0</v>
      </c>
      <c r="U722" s="18" t="str">
        <f t="shared" si="5"/>
        <v>   </v>
      </c>
    </row>
    <row r="723">
      <c r="A723" s="1"/>
      <c r="B723" s="1"/>
      <c r="C723" s="1"/>
      <c r="D723" s="1"/>
      <c r="E723" s="2"/>
      <c r="F723" s="1"/>
      <c r="G723" s="65">
        <f t="shared" si="7"/>
        <v>0</v>
      </c>
      <c r="H723" s="1"/>
      <c r="I723" s="1"/>
      <c r="J723" s="1"/>
      <c r="K723" s="18"/>
      <c r="L723" s="18"/>
      <c r="M723" s="18"/>
      <c r="N723" s="18"/>
      <c r="O723" s="18"/>
      <c r="P723" s="67" t="s">
        <v>503</v>
      </c>
      <c r="Q723" s="18" t="s">
        <v>476</v>
      </c>
      <c r="R723" s="68" t="str">
        <f>IFERROR(CONCATENATE("*",VLOOKUP(L723,PARAM!D:E,2,0),VLOOKUP(M723,PARAM!J:K,2,0),VLOOKUP(N723,PARAM!G:H,2,0),VLOOKUP(P723,PARAM!P:Q,2,0),"*"),"")</f>
        <v/>
      </c>
      <c r="S723" s="18" t="str">
        <f>IFERROR(CONCATENATE(VLOOKUP(L723,PARAM!D:E,2,0),VLOOKUP(M723,PARAM!J:K,2,0),VLOOKUP(N723,PARAM!G:H,2,0),VLOOKUP(O723,PARAM!M:N,2,0),VLOOKUP(P723,PARAM!P:Q,2,0)),"")</f>
        <v/>
      </c>
      <c r="T723" s="18">
        <f t="shared" si="4"/>
        <v>0</v>
      </c>
      <c r="U723" s="18" t="str">
        <f t="shared" si="5"/>
        <v>   </v>
      </c>
    </row>
    <row r="724">
      <c r="A724" s="1"/>
      <c r="B724" s="1"/>
      <c r="C724" s="1"/>
      <c r="D724" s="1"/>
      <c r="E724" s="2"/>
      <c r="F724" s="1"/>
      <c r="G724" s="65">
        <f t="shared" si="7"/>
        <v>0</v>
      </c>
      <c r="H724" s="1"/>
      <c r="I724" s="1"/>
      <c r="J724" s="1"/>
      <c r="K724" s="18"/>
      <c r="L724" s="18"/>
      <c r="M724" s="18"/>
      <c r="N724" s="18"/>
      <c r="O724" s="18"/>
      <c r="P724" s="67" t="s">
        <v>503</v>
      </c>
      <c r="Q724" s="18" t="s">
        <v>476</v>
      </c>
      <c r="R724" s="68" t="str">
        <f>IFERROR(CONCATENATE("*",VLOOKUP(L724,PARAM!D:E,2,0),VLOOKUP(M724,PARAM!J:K,2,0),VLOOKUP(N724,PARAM!G:H,2,0),VLOOKUP(P724,PARAM!P:Q,2,0),"*"),"")</f>
        <v/>
      </c>
      <c r="S724" s="18" t="str">
        <f>IFERROR(CONCATENATE(VLOOKUP(L724,PARAM!D:E,2,0),VLOOKUP(M724,PARAM!J:K,2,0),VLOOKUP(N724,PARAM!G:H,2,0),VLOOKUP(O724,PARAM!M:N,2,0),VLOOKUP(P724,PARAM!P:Q,2,0)),"")</f>
        <v/>
      </c>
      <c r="T724" s="18">
        <f t="shared" si="4"/>
        <v>0</v>
      </c>
      <c r="U724" s="18" t="str">
        <f t="shared" si="5"/>
        <v>   </v>
      </c>
    </row>
    <row r="725">
      <c r="A725" s="1"/>
      <c r="B725" s="1"/>
      <c r="C725" s="1"/>
      <c r="D725" s="1"/>
      <c r="E725" s="2"/>
      <c r="F725" s="1"/>
      <c r="G725" s="65">
        <f t="shared" si="7"/>
        <v>0</v>
      </c>
      <c r="H725" s="1"/>
      <c r="I725" s="1"/>
      <c r="J725" s="1"/>
      <c r="K725" s="18"/>
      <c r="L725" s="18"/>
      <c r="M725" s="18"/>
      <c r="N725" s="18"/>
      <c r="O725" s="18"/>
      <c r="P725" s="67" t="s">
        <v>503</v>
      </c>
      <c r="Q725" s="18" t="s">
        <v>476</v>
      </c>
      <c r="R725" s="68" t="str">
        <f>IFERROR(CONCATENATE("*",VLOOKUP(L725,PARAM!D:E,2,0),VLOOKUP(M725,PARAM!J:K,2,0),VLOOKUP(N725,PARAM!G:H,2,0),VLOOKUP(P725,PARAM!P:Q,2,0),"*"),"")</f>
        <v/>
      </c>
      <c r="S725" s="18" t="str">
        <f>IFERROR(CONCATENATE(VLOOKUP(L725,PARAM!D:E,2,0),VLOOKUP(M725,PARAM!J:K,2,0),VLOOKUP(N725,PARAM!G:H,2,0),VLOOKUP(O725,PARAM!M:N,2,0),VLOOKUP(P725,PARAM!P:Q,2,0)),"")</f>
        <v/>
      </c>
      <c r="T725" s="18">
        <f t="shared" si="4"/>
        <v>0</v>
      </c>
      <c r="U725" s="18" t="str">
        <f t="shared" si="5"/>
        <v>   </v>
      </c>
    </row>
    <row r="726">
      <c r="A726" s="1"/>
      <c r="B726" s="1"/>
      <c r="C726" s="1"/>
      <c r="D726" s="1"/>
      <c r="E726" s="2"/>
      <c r="F726" s="1"/>
      <c r="G726" s="65">
        <f t="shared" si="7"/>
        <v>0</v>
      </c>
      <c r="H726" s="1"/>
      <c r="I726" s="1"/>
      <c r="J726" s="1"/>
      <c r="K726" s="18"/>
      <c r="L726" s="18"/>
      <c r="M726" s="18"/>
      <c r="N726" s="18"/>
      <c r="O726" s="18"/>
      <c r="P726" s="67" t="s">
        <v>503</v>
      </c>
      <c r="Q726" s="18" t="s">
        <v>476</v>
      </c>
      <c r="R726" s="68" t="str">
        <f>IFERROR(CONCATENATE("*",VLOOKUP(L726,PARAM!D:E,2,0),VLOOKUP(M726,PARAM!J:K,2,0),VLOOKUP(N726,PARAM!G:H,2,0),VLOOKUP(P726,PARAM!P:Q,2,0),"*"),"")</f>
        <v/>
      </c>
      <c r="S726" s="18" t="str">
        <f>IFERROR(CONCATENATE(VLOOKUP(L726,PARAM!D:E,2,0),VLOOKUP(M726,PARAM!J:K,2,0),VLOOKUP(N726,PARAM!G:H,2,0),VLOOKUP(O726,PARAM!M:N,2,0),VLOOKUP(P726,PARAM!P:Q,2,0)),"")</f>
        <v/>
      </c>
      <c r="T726" s="18">
        <f t="shared" si="4"/>
        <v>0</v>
      </c>
      <c r="U726" s="18" t="str">
        <f t="shared" si="5"/>
        <v>   </v>
      </c>
    </row>
    <row r="727">
      <c r="A727" s="1"/>
      <c r="B727" s="1"/>
      <c r="C727" s="1"/>
      <c r="D727" s="1"/>
      <c r="E727" s="2"/>
      <c r="F727" s="1"/>
      <c r="G727" s="65">
        <f t="shared" si="7"/>
        <v>0</v>
      </c>
      <c r="H727" s="1"/>
      <c r="I727" s="1"/>
      <c r="J727" s="1"/>
      <c r="K727" s="18"/>
      <c r="L727" s="18"/>
      <c r="M727" s="18"/>
      <c r="N727" s="18"/>
      <c r="O727" s="18"/>
      <c r="P727" s="67" t="s">
        <v>503</v>
      </c>
      <c r="Q727" s="18" t="s">
        <v>476</v>
      </c>
      <c r="R727" s="68" t="str">
        <f>IFERROR(CONCATENATE("*",VLOOKUP(L727,PARAM!D:E,2,0),VLOOKUP(M727,PARAM!J:K,2,0),VLOOKUP(N727,PARAM!G:H,2,0),VLOOKUP(P727,PARAM!P:Q,2,0),"*"),"")</f>
        <v/>
      </c>
      <c r="S727" s="18" t="str">
        <f>IFERROR(CONCATENATE(VLOOKUP(L727,PARAM!D:E,2,0),VLOOKUP(M727,PARAM!J:K,2,0),VLOOKUP(N727,PARAM!G:H,2,0),VLOOKUP(O727,PARAM!M:N,2,0),VLOOKUP(P727,PARAM!P:Q,2,0)),"")</f>
        <v/>
      </c>
      <c r="T727" s="18">
        <f t="shared" si="4"/>
        <v>0</v>
      </c>
      <c r="U727" s="18" t="str">
        <f t="shared" si="5"/>
        <v>   </v>
      </c>
    </row>
    <row r="728">
      <c r="A728" s="1"/>
      <c r="B728" s="1"/>
      <c r="C728" s="1"/>
      <c r="D728" s="1"/>
      <c r="E728" s="2"/>
      <c r="F728" s="1"/>
      <c r="G728" s="65">
        <f t="shared" si="7"/>
        <v>0</v>
      </c>
      <c r="H728" s="1"/>
      <c r="I728" s="1"/>
      <c r="J728" s="1"/>
      <c r="K728" s="18"/>
      <c r="L728" s="18"/>
      <c r="M728" s="18"/>
      <c r="N728" s="18"/>
      <c r="O728" s="18"/>
      <c r="P728" s="67" t="s">
        <v>503</v>
      </c>
      <c r="Q728" s="18" t="s">
        <v>476</v>
      </c>
      <c r="R728" s="68" t="str">
        <f>IFERROR(CONCATENATE("*",VLOOKUP(L728,PARAM!D:E,2,0),VLOOKUP(M728,PARAM!J:K,2,0),VLOOKUP(N728,PARAM!G:H,2,0),VLOOKUP(P728,PARAM!P:Q,2,0),"*"),"")</f>
        <v/>
      </c>
      <c r="S728" s="18" t="str">
        <f>IFERROR(CONCATENATE(VLOOKUP(L728,PARAM!D:E,2,0),VLOOKUP(M728,PARAM!J:K,2,0),VLOOKUP(N728,PARAM!G:H,2,0),VLOOKUP(O728,PARAM!M:N,2,0),VLOOKUP(P728,PARAM!P:Q,2,0)),"")</f>
        <v/>
      </c>
      <c r="T728" s="18">
        <f t="shared" si="4"/>
        <v>0</v>
      </c>
      <c r="U728" s="18" t="str">
        <f t="shared" si="5"/>
        <v>   </v>
      </c>
    </row>
    <row r="729">
      <c r="A729" s="1"/>
      <c r="B729" s="1"/>
      <c r="C729" s="1"/>
      <c r="D729" s="1"/>
      <c r="E729" s="2"/>
      <c r="F729" s="1"/>
      <c r="G729" s="65">
        <f t="shared" si="7"/>
        <v>0</v>
      </c>
      <c r="H729" s="1"/>
      <c r="I729" s="1"/>
      <c r="J729" s="1"/>
      <c r="K729" s="18"/>
      <c r="L729" s="18"/>
      <c r="M729" s="18"/>
      <c r="N729" s="18"/>
      <c r="O729" s="18"/>
      <c r="P729" s="67" t="s">
        <v>503</v>
      </c>
      <c r="Q729" s="18" t="s">
        <v>476</v>
      </c>
      <c r="R729" s="68" t="str">
        <f>IFERROR(CONCATENATE("*",VLOOKUP(L729,PARAM!D:E,2,0),VLOOKUP(M729,PARAM!J:K,2,0),VLOOKUP(N729,PARAM!G:H,2,0),VLOOKUP(P729,PARAM!P:Q,2,0),"*"),"")</f>
        <v/>
      </c>
      <c r="S729" s="18" t="str">
        <f>IFERROR(CONCATENATE(VLOOKUP(L729,PARAM!D:E,2,0),VLOOKUP(M729,PARAM!J:K,2,0),VLOOKUP(N729,PARAM!G:H,2,0),VLOOKUP(O729,PARAM!M:N,2,0),VLOOKUP(P729,PARAM!P:Q,2,0)),"")</f>
        <v/>
      </c>
      <c r="T729" s="18">
        <f t="shared" si="4"/>
        <v>0</v>
      </c>
      <c r="U729" s="18" t="str">
        <f t="shared" si="5"/>
        <v>   </v>
      </c>
    </row>
    <row r="730">
      <c r="A730" s="1"/>
      <c r="B730" s="1"/>
      <c r="C730" s="1"/>
      <c r="D730" s="1"/>
      <c r="E730" s="2"/>
      <c r="F730" s="1"/>
      <c r="G730" s="65">
        <f t="shared" si="7"/>
        <v>0</v>
      </c>
      <c r="H730" s="1"/>
      <c r="I730" s="1"/>
      <c r="J730" s="1"/>
      <c r="K730" s="18"/>
      <c r="L730" s="18"/>
      <c r="M730" s="18"/>
      <c r="N730" s="18"/>
      <c r="O730" s="18"/>
      <c r="P730" s="67" t="s">
        <v>503</v>
      </c>
      <c r="Q730" s="18" t="s">
        <v>476</v>
      </c>
      <c r="R730" s="68" t="str">
        <f>IFERROR(CONCATENATE("*",VLOOKUP(L730,PARAM!D:E,2,0),VLOOKUP(M730,PARAM!J:K,2,0),VLOOKUP(N730,PARAM!G:H,2,0),VLOOKUP(P730,PARAM!P:Q,2,0),"*"),"")</f>
        <v/>
      </c>
      <c r="S730" s="18" t="str">
        <f>IFERROR(CONCATENATE(VLOOKUP(L730,PARAM!D:E,2,0),VLOOKUP(M730,PARAM!J:K,2,0),VLOOKUP(N730,PARAM!G:H,2,0),VLOOKUP(O730,PARAM!M:N,2,0),VLOOKUP(P730,PARAM!P:Q,2,0)),"")</f>
        <v/>
      </c>
      <c r="T730" s="18">
        <f t="shared" si="4"/>
        <v>0</v>
      </c>
      <c r="U730" s="18" t="str">
        <f t="shared" si="5"/>
        <v>   </v>
      </c>
    </row>
    <row r="731">
      <c r="A731" s="1"/>
      <c r="B731" s="1"/>
      <c r="C731" s="1"/>
      <c r="D731" s="1"/>
      <c r="E731" s="2"/>
      <c r="F731" s="1"/>
      <c r="G731" s="65">
        <f t="shared" si="7"/>
        <v>0</v>
      </c>
      <c r="H731" s="1"/>
      <c r="I731" s="1"/>
      <c r="J731" s="1"/>
      <c r="K731" s="18"/>
      <c r="L731" s="18"/>
      <c r="M731" s="18"/>
      <c r="N731" s="18"/>
      <c r="O731" s="18"/>
      <c r="P731" s="67" t="s">
        <v>503</v>
      </c>
      <c r="Q731" s="18" t="s">
        <v>476</v>
      </c>
      <c r="R731" s="68" t="str">
        <f>IFERROR(CONCATENATE("*",VLOOKUP(L731,PARAM!D:E,2,0),VLOOKUP(M731,PARAM!J:K,2,0),VLOOKUP(N731,PARAM!G:H,2,0),VLOOKUP(P731,PARAM!P:Q,2,0),"*"),"")</f>
        <v/>
      </c>
      <c r="S731" s="18" t="str">
        <f>IFERROR(CONCATENATE(VLOOKUP(L731,PARAM!D:E,2,0),VLOOKUP(M731,PARAM!J:K,2,0),VLOOKUP(N731,PARAM!G:H,2,0),VLOOKUP(O731,PARAM!M:N,2,0),VLOOKUP(P731,PARAM!P:Q,2,0)),"")</f>
        <v/>
      </c>
      <c r="T731" s="18">
        <f t="shared" si="4"/>
        <v>0</v>
      </c>
      <c r="U731" s="18" t="str">
        <f t="shared" si="5"/>
        <v>   </v>
      </c>
    </row>
    <row r="732">
      <c r="A732" s="1"/>
      <c r="B732" s="1"/>
      <c r="C732" s="1"/>
      <c r="D732" s="1"/>
      <c r="E732" s="2"/>
      <c r="F732" s="1"/>
      <c r="G732" s="65">
        <f t="shared" si="7"/>
        <v>0</v>
      </c>
      <c r="H732" s="1"/>
      <c r="I732" s="1"/>
      <c r="J732" s="1"/>
      <c r="K732" s="18"/>
      <c r="L732" s="18"/>
      <c r="M732" s="18"/>
      <c r="N732" s="18"/>
      <c r="O732" s="18"/>
      <c r="P732" s="67" t="s">
        <v>503</v>
      </c>
      <c r="Q732" s="18" t="s">
        <v>476</v>
      </c>
      <c r="R732" s="68" t="str">
        <f>IFERROR(CONCATENATE("*",VLOOKUP(L732,PARAM!D:E,2,0),VLOOKUP(M732,PARAM!J:K,2,0),VLOOKUP(N732,PARAM!G:H,2,0),VLOOKUP(P732,PARAM!P:Q,2,0),"*"),"")</f>
        <v/>
      </c>
      <c r="S732" s="18" t="str">
        <f>IFERROR(CONCATENATE(VLOOKUP(L732,PARAM!D:E,2,0),VLOOKUP(M732,PARAM!J:K,2,0),VLOOKUP(N732,PARAM!G:H,2,0),VLOOKUP(O732,PARAM!M:N,2,0),VLOOKUP(P732,PARAM!P:Q,2,0)),"")</f>
        <v/>
      </c>
      <c r="T732" s="18">
        <f t="shared" si="4"/>
        <v>0</v>
      </c>
      <c r="U732" s="18" t="str">
        <f t="shared" si="5"/>
        <v>   </v>
      </c>
    </row>
    <row r="733">
      <c r="A733" s="1"/>
      <c r="B733" s="1"/>
      <c r="C733" s="1"/>
      <c r="D733" s="1"/>
      <c r="E733" s="2"/>
      <c r="F733" s="1"/>
      <c r="G733" s="65">
        <f t="shared" si="7"/>
        <v>0</v>
      </c>
      <c r="H733" s="1"/>
      <c r="I733" s="1"/>
      <c r="J733" s="1"/>
      <c r="K733" s="18"/>
      <c r="L733" s="18"/>
      <c r="M733" s="18"/>
      <c r="N733" s="18"/>
      <c r="O733" s="18"/>
      <c r="P733" s="67" t="s">
        <v>503</v>
      </c>
      <c r="Q733" s="18" t="s">
        <v>476</v>
      </c>
      <c r="R733" s="68" t="str">
        <f>IFERROR(CONCATENATE("*",VLOOKUP(L733,PARAM!D:E,2,0),VLOOKUP(M733,PARAM!J:K,2,0),VLOOKUP(N733,PARAM!G:H,2,0),VLOOKUP(P733,PARAM!P:Q,2,0),"*"),"")</f>
        <v/>
      </c>
      <c r="S733" s="18" t="str">
        <f>IFERROR(CONCATENATE(VLOOKUP(L733,PARAM!D:E,2,0),VLOOKUP(M733,PARAM!J:K,2,0),VLOOKUP(N733,PARAM!G:H,2,0),VLOOKUP(O733,PARAM!M:N,2,0),VLOOKUP(P733,PARAM!P:Q,2,0)),"")</f>
        <v/>
      </c>
      <c r="T733" s="18">
        <f t="shared" si="4"/>
        <v>0</v>
      </c>
      <c r="U733" s="18" t="str">
        <f t="shared" si="5"/>
        <v>   </v>
      </c>
    </row>
    <row r="734">
      <c r="A734" s="1"/>
      <c r="B734" s="1"/>
      <c r="C734" s="1"/>
      <c r="D734" s="1"/>
      <c r="E734" s="2"/>
      <c r="F734" s="1"/>
      <c r="G734" s="65">
        <f t="shared" si="7"/>
        <v>0</v>
      </c>
      <c r="H734" s="1"/>
      <c r="I734" s="1"/>
      <c r="J734" s="1"/>
      <c r="K734" s="18"/>
      <c r="L734" s="18"/>
      <c r="M734" s="18"/>
      <c r="N734" s="18"/>
      <c r="O734" s="18"/>
      <c r="P734" s="67" t="s">
        <v>503</v>
      </c>
      <c r="Q734" s="18" t="s">
        <v>476</v>
      </c>
      <c r="R734" s="68" t="str">
        <f>IFERROR(CONCATENATE("*",VLOOKUP(L734,PARAM!D:E,2,0),VLOOKUP(M734,PARAM!J:K,2,0),VLOOKUP(N734,PARAM!G:H,2,0),VLOOKUP(P734,PARAM!P:Q,2,0),"*"),"")</f>
        <v/>
      </c>
      <c r="S734" s="18" t="str">
        <f>IFERROR(CONCATENATE(VLOOKUP(L734,PARAM!D:E,2,0),VLOOKUP(M734,PARAM!J:K,2,0),VLOOKUP(N734,PARAM!G:H,2,0),VLOOKUP(O734,PARAM!M:N,2,0),VLOOKUP(P734,PARAM!P:Q,2,0)),"")</f>
        <v/>
      </c>
      <c r="T734" s="18">
        <f t="shared" si="4"/>
        <v>0</v>
      </c>
      <c r="U734" s="18" t="str">
        <f t="shared" si="5"/>
        <v>   </v>
      </c>
    </row>
    <row r="735">
      <c r="A735" s="1"/>
      <c r="B735" s="1"/>
      <c r="C735" s="1"/>
      <c r="D735" s="1"/>
      <c r="E735" s="2"/>
      <c r="F735" s="1"/>
      <c r="G735" s="65">
        <f t="shared" si="7"/>
        <v>0</v>
      </c>
      <c r="H735" s="1"/>
      <c r="I735" s="1"/>
      <c r="J735" s="1"/>
      <c r="K735" s="18"/>
      <c r="L735" s="18"/>
      <c r="M735" s="18"/>
      <c r="N735" s="18"/>
      <c r="O735" s="18"/>
      <c r="P735" s="67" t="s">
        <v>503</v>
      </c>
      <c r="Q735" s="18" t="s">
        <v>476</v>
      </c>
      <c r="R735" s="68" t="str">
        <f>IFERROR(CONCATENATE("*",VLOOKUP(L735,PARAM!D:E,2,0),VLOOKUP(M735,PARAM!J:K,2,0),VLOOKUP(N735,PARAM!G:H,2,0),VLOOKUP(P735,PARAM!P:Q,2,0),"*"),"")</f>
        <v/>
      </c>
      <c r="S735" s="18" t="str">
        <f>IFERROR(CONCATENATE(VLOOKUP(L735,PARAM!D:E,2,0),VLOOKUP(M735,PARAM!J:K,2,0),VLOOKUP(N735,PARAM!G:H,2,0),VLOOKUP(O735,PARAM!M:N,2,0),VLOOKUP(P735,PARAM!P:Q,2,0)),"")</f>
        <v/>
      </c>
      <c r="T735" s="18">
        <f t="shared" si="4"/>
        <v>0</v>
      </c>
      <c r="U735" s="18" t="str">
        <f t="shared" si="5"/>
        <v>   </v>
      </c>
    </row>
    <row r="736">
      <c r="A736" s="1"/>
      <c r="B736" s="1"/>
      <c r="C736" s="1"/>
      <c r="D736" s="1"/>
      <c r="E736" s="2"/>
      <c r="F736" s="1"/>
      <c r="G736" s="65">
        <f t="shared" si="7"/>
        <v>0</v>
      </c>
      <c r="H736" s="1"/>
      <c r="I736" s="1"/>
      <c r="J736" s="1"/>
      <c r="K736" s="18"/>
      <c r="L736" s="18"/>
      <c r="M736" s="18"/>
      <c r="N736" s="18"/>
      <c r="O736" s="18"/>
      <c r="P736" s="67" t="s">
        <v>503</v>
      </c>
      <c r="Q736" s="18" t="s">
        <v>476</v>
      </c>
      <c r="R736" s="68" t="str">
        <f>IFERROR(CONCATENATE("*",VLOOKUP(L736,PARAM!D:E,2,0),VLOOKUP(M736,PARAM!J:K,2,0),VLOOKUP(N736,PARAM!G:H,2,0),VLOOKUP(P736,PARAM!P:Q,2,0),"*"),"")</f>
        <v/>
      </c>
      <c r="S736" s="18" t="str">
        <f>IFERROR(CONCATENATE(VLOOKUP(L736,PARAM!D:E,2,0),VLOOKUP(M736,PARAM!J:K,2,0),VLOOKUP(N736,PARAM!G:H,2,0),VLOOKUP(O736,PARAM!M:N,2,0),VLOOKUP(P736,PARAM!P:Q,2,0)),"")</f>
        <v/>
      </c>
      <c r="T736" s="18">
        <f t="shared" si="4"/>
        <v>0</v>
      </c>
      <c r="U736" s="18" t="str">
        <f t="shared" si="5"/>
        <v>   </v>
      </c>
    </row>
    <row r="737">
      <c r="A737" s="1"/>
      <c r="B737" s="1"/>
      <c r="C737" s="1"/>
      <c r="D737" s="1"/>
      <c r="E737" s="2"/>
      <c r="F737" s="1"/>
      <c r="G737" s="65">
        <f t="shared" si="7"/>
        <v>0</v>
      </c>
      <c r="H737" s="1"/>
      <c r="I737" s="1"/>
      <c r="J737" s="1"/>
      <c r="K737" s="18"/>
      <c r="L737" s="18"/>
      <c r="M737" s="18"/>
      <c r="N737" s="18"/>
      <c r="O737" s="18"/>
      <c r="P737" s="67" t="s">
        <v>503</v>
      </c>
      <c r="Q737" s="18" t="s">
        <v>476</v>
      </c>
      <c r="R737" s="68" t="str">
        <f>IFERROR(CONCATENATE("*",VLOOKUP(L737,PARAM!D:E,2,0),VLOOKUP(M737,PARAM!J:K,2,0),VLOOKUP(N737,PARAM!G:H,2,0),VLOOKUP(P737,PARAM!P:Q,2,0),"*"),"")</f>
        <v/>
      </c>
      <c r="S737" s="18" t="str">
        <f>IFERROR(CONCATENATE(VLOOKUP(L737,PARAM!D:E,2,0),VLOOKUP(M737,PARAM!J:K,2,0),VLOOKUP(N737,PARAM!G:H,2,0),VLOOKUP(O737,PARAM!M:N,2,0),VLOOKUP(P737,PARAM!P:Q,2,0)),"")</f>
        <v/>
      </c>
      <c r="T737" s="18">
        <f t="shared" si="4"/>
        <v>0</v>
      </c>
      <c r="U737" s="18" t="str">
        <f t="shared" si="5"/>
        <v>   </v>
      </c>
    </row>
    <row r="738">
      <c r="A738" s="1"/>
      <c r="B738" s="1"/>
      <c r="C738" s="1"/>
      <c r="D738" s="1"/>
      <c r="E738" s="2"/>
      <c r="F738" s="1"/>
      <c r="G738" s="65">
        <f t="shared" si="7"/>
        <v>0</v>
      </c>
      <c r="H738" s="1"/>
      <c r="I738" s="1"/>
      <c r="J738" s="1"/>
      <c r="K738" s="18"/>
      <c r="L738" s="18"/>
      <c r="M738" s="18"/>
      <c r="N738" s="18"/>
      <c r="O738" s="18"/>
      <c r="P738" s="67" t="s">
        <v>503</v>
      </c>
      <c r="Q738" s="18" t="s">
        <v>476</v>
      </c>
      <c r="R738" s="68" t="str">
        <f>IFERROR(CONCATENATE("*",VLOOKUP(L738,PARAM!D:E,2,0),VLOOKUP(M738,PARAM!J:K,2,0),VLOOKUP(N738,PARAM!G:H,2,0),VLOOKUP(P738,PARAM!P:Q,2,0),"*"),"")</f>
        <v/>
      </c>
      <c r="S738" s="18" t="str">
        <f>IFERROR(CONCATENATE(VLOOKUP(L738,PARAM!D:E,2,0),VLOOKUP(M738,PARAM!J:K,2,0),VLOOKUP(N738,PARAM!G:H,2,0),VLOOKUP(O738,PARAM!M:N,2,0),VLOOKUP(P738,PARAM!P:Q,2,0)),"")</f>
        <v/>
      </c>
      <c r="T738" s="18">
        <f t="shared" si="4"/>
        <v>0</v>
      </c>
      <c r="U738" s="18" t="str">
        <f t="shared" si="5"/>
        <v>   </v>
      </c>
    </row>
    <row r="739">
      <c r="A739" s="1"/>
      <c r="B739" s="1"/>
      <c r="C739" s="1"/>
      <c r="D739" s="1"/>
      <c r="E739" s="2"/>
      <c r="F739" s="1"/>
      <c r="G739" s="65">
        <f t="shared" si="7"/>
        <v>0</v>
      </c>
      <c r="H739" s="1"/>
      <c r="I739" s="1"/>
      <c r="J739" s="1"/>
      <c r="K739" s="18"/>
      <c r="L739" s="18"/>
      <c r="M739" s="18"/>
      <c r="N739" s="18"/>
      <c r="O739" s="18"/>
      <c r="P739" s="67" t="s">
        <v>503</v>
      </c>
      <c r="Q739" s="18" t="s">
        <v>476</v>
      </c>
      <c r="R739" s="68" t="str">
        <f>IFERROR(CONCATENATE("*",VLOOKUP(L739,PARAM!D:E,2,0),VLOOKUP(M739,PARAM!J:K,2,0),VLOOKUP(N739,PARAM!G:H,2,0),VLOOKUP(P739,PARAM!P:Q,2,0),"*"),"")</f>
        <v/>
      </c>
      <c r="S739" s="18" t="str">
        <f>IFERROR(CONCATENATE(VLOOKUP(L739,PARAM!D:E,2,0),VLOOKUP(M739,PARAM!J:K,2,0),VLOOKUP(N739,PARAM!G:H,2,0),VLOOKUP(O739,PARAM!M:N,2,0),VLOOKUP(P739,PARAM!P:Q,2,0)),"")</f>
        <v/>
      </c>
      <c r="T739" s="18">
        <f t="shared" si="4"/>
        <v>0</v>
      </c>
      <c r="U739" s="18" t="str">
        <f t="shared" si="5"/>
        <v>   </v>
      </c>
    </row>
    <row r="740">
      <c r="A740" s="1"/>
      <c r="B740" s="1"/>
      <c r="C740" s="1"/>
      <c r="D740" s="1"/>
      <c r="E740" s="2"/>
      <c r="F740" s="1"/>
      <c r="G740" s="65">
        <f t="shared" si="7"/>
        <v>0</v>
      </c>
      <c r="H740" s="1"/>
      <c r="I740" s="1"/>
      <c r="J740" s="1"/>
      <c r="K740" s="18"/>
      <c r="L740" s="18"/>
      <c r="M740" s="18"/>
      <c r="N740" s="18"/>
      <c r="O740" s="18"/>
      <c r="P740" s="67" t="s">
        <v>503</v>
      </c>
      <c r="Q740" s="18" t="s">
        <v>476</v>
      </c>
      <c r="R740" s="68" t="str">
        <f>IFERROR(CONCATENATE("*",VLOOKUP(L740,PARAM!D:E,2,0),VLOOKUP(M740,PARAM!J:K,2,0),VLOOKUP(N740,PARAM!G:H,2,0),VLOOKUP(P740,PARAM!P:Q,2,0),"*"),"")</f>
        <v/>
      </c>
      <c r="S740" s="18" t="str">
        <f>IFERROR(CONCATENATE(VLOOKUP(L740,PARAM!D:E,2,0),VLOOKUP(M740,PARAM!J:K,2,0),VLOOKUP(N740,PARAM!G:H,2,0),VLOOKUP(O740,PARAM!M:N,2,0),VLOOKUP(P740,PARAM!P:Q,2,0)),"")</f>
        <v/>
      </c>
      <c r="T740" s="18">
        <f t="shared" si="4"/>
        <v>0</v>
      </c>
      <c r="U740" s="18" t="str">
        <f t="shared" si="5"/>
        <v>   </v>
      </c>
    </row>
    <row r="741">
      <c r="A741" s="1"/>
      <c r="B741" s="1"/>
      <c r="C741" s="1"/>
      <c r="D741" s="1"/>
      <c r="E741" s="2"/>
      <c r="F741" s="1"/>
      <c r="G741" s="65">
        <f t="shared" si="7"/>
        <v>0</v>
      </c>
      <c r="H741" s="1"/>
      <c r="I741" s="1"/>
      <c r="J741" s="1"/>
      <c r="K741" s="18"/>
      <c r="L741" s="18"/>
      <c r="M741" s="18"/>
      <c r="N741" s="18"/>
      <c r="O741" s="18"/>
      <c r="P741" s="67" t="s">
        <v>503</v>
      </c>
      <c r="Q741" s="18" t="s">
        <v>476</v>
      </c>
      <c r="R741" s="68" t="str">
        <f>IFERROR(CONCATENATE("*",VLOOKUP(L741,PARAM!D:E,2,0),VLOOKUP(M741,PARAM!J:K,2,0),VLOOKUP(N741,PARAM!G:H,2,0),VLOOKUP(P741,PARAM!P:Q,2,0),"*"),"")</f>
        <v/>
      </c>
      <c r="S741" s="18" t="str">
        <f>IFERROR(CONCATENATE(VLOOKUP(L741,PARAM!D:E,2,0),VLOOKUP(M741,PARAM!J:K,2,0),VLOOKUP(N741,PARAM!G:H,2,0),VLOOKUP(O741,PARAM!M:N,2,0),VLOOKUP(P741,PARAM!P:Q,2,0)),"")</f>
        <v/>
      </c>
      <c r="T741" s="18">
        <f t="shared" si="4"/>
        <v>0</v>
      </c>
      <c r="U741" s="18" t="str">
        <f t="shared" si="5"/>
        <v>   </v>
      </c>
    </row>
    <row r="742">
      <c r="A742" s="1"/>
      <c r="B742" s="1"/>
      <c r="C742" s="1"/>
      <c r="D742" s="1"/>
      <c r="E742" s="2"/>
      <c r="F742" s="1"/>
      <c r="G742" s="65">
        <f t="shared" si="7"/>
        <v>0</v>
      </c>
      <c r="H742" s="1"/>
      <c r="I742" s="1"/>
      <c r="J742" s="1"/>
      <c r="K742" s="18"/>
      <c r="L742" s="18"/>
      <c r="M742" s="18"/>
      <c r="N742" s="18"/>
      <c r="O742" s="18"/>
      <c r="P742" s="67" t="s">
        <v>503</v>
      </c>
      <c r="Q742" s="18" t="s">
        <v>476</v>
      </c>
      <c r="R742" s="68" t="str">
        <f>IFERROR(CONCATENATE("*",VLOOKUP(L742,PARAM!D:E,2,0),VLOOKUP(M742,PARAM!J:K,2,0),VLOOKUP(N742,PARAM!G:H,2,0),VLOOKUP(P742,PARAM!P:Q,2,0),"*"),"")</f>
        <v/>
      </c>
      <c r="S742" s="18" t="str">
        <f>IFERROR(CONCATENATE(VLOOKUP(L742,PARAM!D:E,2,0),VLOOKUP(M742,PARAM!J:K,2,0),VLOOKUP(N742,PARAM!G:H,2,0),VLOOKUP(O742,PARAM!M:N,2,0),VLOOKUP(P742,PARAM!P:Q,2,0)),"")</f>
        <v/>
      </c>
      <c r="T742" s="18">
        <f t="shared" si="4"/>
        <v>0</v>
      </c>
      <c r="U742" s="18" t="str">
        <f t="shared" si="5"/>
        <v>   </v>
      </c>
    </row>
    <row r="743">
      <c r="A743" s="1"/>
      <c r="B743" s="1"/>
      <c r="C743" s="1"/>
      <c r="D743" s="1"/>
      <c r="E743" s="2"/>
      <c r="F743" s="1"/>
      <c r="G743" s="65">
        <f t="shared" si="7"/>
        <v>0</v>
      </c>
      <c r="H743" s="1"/>
      <c r="I743" s="1"/>
      <c r="J743" s="1"/>
      <c r="K743" s="18"/>
      <c r="L743" s="18"/>
      <c r="M743" s="18"/>
      <c r="N743" s="18"/>
      <c r="O743" s="18"/>
      <c r="P743" s="67" t="s">
        <v>503</v>
      </c>
      <c r="Q743" s="18" t="s">
        <v>476</v>
      </c>
      <c r="R743" s="68" t="str">
        <f>IFERROR(CONCATENATE("*",VLOOKUP(L743,PARAM!D:E,2,0),VLOOKUP(M743,PARAM!J:K,2,0),VLOOKUP(N743,PARAM!G:H,2,0),VLOOKUP(P743,PARAM!P:Q,2,0),"*"),"")</f>
        <v/>
      </c>
      <c r="S743" s="18" t="str">
        <f>IFERROR(CONCATENATE(VLOOKUP(L743,PARAM!D:E,2,0),VLOOKUP(M743,PARAM!J:K,2,0),VLOOKUP(N743,PARAM!G:H,2,0),VLOOKUP(O743,PARAM!M:N,2,0),VLOOKUP(P743,PARAM!P:Q,2,0)),"")</f>
        <v/>
      </c>
      <c r="T743" s="18">
        <f t="shared" si="4"/>
        <v>0</v>
      </c>
      <c r="U743" s="18" t="str">
        <f t="shared" si="5"/>
        <v>   </v>
      </c>
    </row>
    <row r="744">
      <c r="A744" s="1"/>
      <c r="B744" s="1"/>
      <c r="C744" s="1"/>
      <c r="D744" s="1"/>
      <c r="E744" s="2"/>
      <c r="F744" s="1"/>
      <c r="G744" s="65">
        <f t="shared" si="7"/>
        <v>0</v>
      </c>
      <c r="H744" s="1"/>
      <c r="I744" s="1"/>
      <c r="J744" s="1"/>
      <c r="K744" s="18"/>
      <c r="L744" s="18"/>
      <c r="M744" s="18"/>
      <c r="N744" s="18"/>
      <c r="O744" s="18"/>
      <c r="P744" s="67" t="s">
        <v>503</v>
      </c>
      <c r="Q744" s="18" t="s">
        <v>476</v>
      </c>
      <c r="R744" s="68" t="str">
        <f>IFERROR(CONCATENATE("*",VLOOKUP(L744,PARAM!D:E,2,0),VLOOKUP(M744,PARAM!J:K,2,0),VLOOKUP(N744,PARAM!G:H,2,0),VLOOKUP(P744,PARAM!P:Q,2,0),"*"),"")</f>
        <v/>
      </c>
      <c r="S744" s="18" t="str">
        <f>IFERROR(CONCATENATE(VLOOKUP(L744,PARAM!D:E,2,0),VLOOKUP(M744,PARAM!J:K,2,0),VLOOKUP(N744,PARAM!G:H,2,0),VLOOKUP(O744,PARAM!M:N,2,0),VLOOKUP(P744,PARAM!P:Q,2,0)),"")</f>
        <v/>
      </c>
      <c r="T744" s="18">
        <f t="shared" si="4"/>
        <v>0</v>
      </c>
      <c r="U744" s="18" t="str">
        <f t="shared" si="5"/>
        <v>   </v>
      </c>
    </row>
    <row r="745">
      <c r="A745" s="1"/>
      <c r="B745" s="1"/>
      <c r="C745" s="1"/>
      <c r="D745" s="1"/>
      <c r="E745" s="2"/>
      <c r="F745" s="1"/>
      <c r="G745" s="65">
        <f t="shared" si="7"/>
        <v>0</v>
      </c>
      <c r="H745" s="1"/>
      <c r="I745" s="1"/>
      <c r="J745" s="1"/>
      <c r="K745" s="18"/>
      <c r="L745" s="18"/>
      <c r="M745" s="18"/>
      <c r="N745" s="18"/>
      <c r="O745" s="18"/>
      <c r="P745" s="67" t="s">
        <v>503</v>
      </c>
      <c r="Q745" s="18" t="s">
        <v>476</v>
      </c>
      <c r="R745" s="68" t="str">
        <f>IFERROR(CONCATENATE("*",VLOOKUP(L745,PARAM!D:E,2,0),VLOOKUP(M745,PARAM!J:K,2,0),VLOOKUP(N745,PARAM!G:H,2,0),VLOOKUP(P745,PARAM!P:Q,2,0),"*"),"")</f>
        <v/>
      </c>
      <c r="S745" s="18" t="str">
        <f>IFERROR(CONCATENATE(VLOOKUP(L745,PARAM!D:E,2,0),VLOOKUP(M745,PARAM!J:K,2,0),VLOOKUP(N745,PARAM!G:H,2,0),VLOOKUP(O745,PARAM!M:N,2,0),VLOOKUP(P745,PARAM!P:Q,2,0)),"")</f>
        <v/>
      </c>
      <c r="T745" s="18">
        <f t="shared" si="4"/>
        <v>0</v>
      </c>
      <c r="U745" s="18" t="str">
        <f t="shared" si="5"/>
        <v>   </v>
      </c>
    </row>
    <row r="746">
      <c r="A746" s="1"/>
      <c r="B746" s="1"/>
      <c r="C746" s="1"/>
      <c r="D746" s="1"/>
      <c r="E746" s="2"/>
      <c r="F746" s="1"/>
      <c r="G746" s="65">
        <f t="shared" si="7"/>
        <v>0</v>
      </c>
      <c r="H746" s="1"/>
      <c r="I746" s="1"/>
      <c r="J746" s="1"/>
      <c r="K746" s="18"/>
      <c r="L746" s="18"/>
      <c r="M746" s="18"/>
      <c r="N746" s="18"/>
      <c r="O746" s="18"/>
      <c r="P746" s="67" t="s">
        <v>503</v>
      </c>
      <c r="Q746" s="18" t="s">
        <v>476</v>
      </c>
      <c r="R746" s="68" t="str">
        <f>IFERROR(CONCATENATE("*",VLOOKUP(L746,PARAM!D:E,2,0),VLOOKUP(M746,PARAM!J:K,2,0),VLOOKUP(N746,PARAM!G:H,2,0),VLOOKUP(P746,PARAM!P:Q,2,0),"*"),"")</f>
        <v/>
      </c>
      <c r="S746" s="18" t="str">
        <f>IFERROR(CONCATENATE(VLOOKUP(L746,PARAM!D:E,2,0),VLOOKUP(M746,PARAM!J:K,2,0),VLOOKUP(N746,PARAM!G:H,2,0),VLOOKUP(O746,PARAM!M:N,2,0),VLOOKUP(P746,PARAM!P:Q,2,0)),"")</f>
        <v/>
      </c>
      <c r="T746" s="18">
        <f t="shared" si="4"/>
        <v>0</v>
      </c>
      <c r="U746" s="18" t="str">
        <f t="shared" si="5"/>
        <v>   </v>
      </c>
    </row>
    <row r="747">
      <c r="A747" s="1"/>
      <c r="B747" s="1"/>
      <c r="C747" s="1"/>
      <c r="D747" s="1"/>
      <c r="E747" s="2"/>
      <c r="F747" s="1"/>
      <c r="G747" s="65">
        <f t="shared" si="7"/>
        <v>0</v>
      </c>
      <c r="H747" s="1"/>
      <c r="I747" s="1"/>
      <c r="J747" s="1"/>
      <c r="K747" s="18"/>
      <c r="L747" s="18"/>
      <c r="M747" s="18"/>
      <c r="N747" s="18"/>
      <c r="O747" s="18"/>
      <c r="P747" s="67" t="s">
        <v>503</v>
      </c>
      <c r="Q747" s="18" t="s">
        <v>476</v>
      </c>
      <c r="R747" s="68" t="str">
        <f>IFERROR(CONCATENATE("*",VLOOKUP(L747,PARAM!D:E,2,0),VLOOKUP(M747,PARAM!J:K,2,0),VLOOKUP(N747,PARAM!G:H,2,0),VLOOKUP(P747,PARAM!P:Q,2,0),"*"),"")</f>
        <v/>
      </c>
      <c r="S747" s="18" t="str">
        <f>IFERROR(CONCATENATE(VLOOKUP(L747,PARAM!D:E,2,0),VLOOKUP(M747,PARAM!J:K,2,0),VLOOKUP(N747,PARAM!G:H,2,0),VLOOKUP(O747,PARAM!M:N,2,0),VLOOKUP(P747,PARAM!P:Q,2,0)),"")</f>
        <v/>
      </c>
      <c r="T747" s="18">
        <f t="shared" si="4"/>
        <v>0</v>
      </c>
      <c r="U747" s="18" t="str">
        <f t="shared" si="5"/>
        <v>   </v>
      </c>
    </row>
    <row r="748">
      <c r="A748" s="1"/>
      <c r="B748" s="1"/>
      <c r="C748" s="1"/>
      <c r="D748" s="1"/>
      <c r="E748" s="2"/>
      <c r="F748" s="1"/>
      <c r="G748" s="65">
        <f t="shared" si="7"/>
        <v>0</v>
      </c>
      <c r="H748" s="1"/>
      <c r="I748" s="1"/>
      <c r="J748" s="1"/>
      <c r="K748" s="18"/>
      <c r="L748" s="18"/>
      <c r="M748" s="18"/>
      <c r="N748" s="18"/>
      <c r="O748" s="18"/>
      <c r="P748" s="67" t="s">
        <v>503</v>
      </c>
      <c r="Q748" s="18" t="s">
        <v>476</v>
      </c>
      <c r="R748" s="68" t="str">
        <f>IFERROR(CONCATENATE("*",VLOOKUP(L748,PARAM!D:E,2,0),VLOOKUP(M748,PARAM!J:K,2,0),VLOOKUP(N748,PARAM!G:H,2,0),VLOOKUP(P748,PARAM!P:Q,2,0),"*"),"")</f>
        <v/>
      </c>
      <c r="S748" s="18" t="str">
        <f>IFERROR(CONCATENATE(VLOOKUP(L748,PARAM!D:E,2,0),VLOOKUP(M748,PARAM!J:K,2,0),VLOOKUP(N748,PARAM!G:H,2,0),VLOOKUP(O748,PARAM!M:N,2,0),VLOOKUP(P748,PARAM!P:Q,2,0)),"")</f>
        <v/>
      </c>
      <c r="T748" s="18">
        <f t="shared" si="4"/>
        <v>0</v>
      </c>
      <c r="U748" s="18" t="str">
        <f t="shared" si="5"/>
        <v>   </v>
      </c>
    </row>
    <row r="749">
      <c r="A749" s="1"/>
      <c r="B749" s="1"/>
      <c r="C749" s="1"/>
      <c r="D749" s="1"/>
      <c r="E749" s="2"/>
      <c r="F749" s="1"/>
      <c r="G749" s="65">
        <f t="shared" si="7"/>
        <v>0</v>
      </c>
      <c r="H749" s="1"/>
      <c r="I749" s="1"/>
      <c r="J749" s="1"/>
      <c r="K749" s="18"/>
      <c r="L749" s="18"/>
      <c r="M749" s="18"/>
      <c r="N749" s="18"/>
      <c r="O749" s="18"/>
      <c r="P749" s="67" t="s">
        <v>503</v>
      </c>
      <c r="Q749" s="18" t="s">
        <v>476</v>
      </c>
      <c r="R749" s="68" t="str">
        <f>IFERROR(CONCATENATE("*",VLOOKUP(L749,PARAM!D:E,2,0),VLOOKUP(M749,PARAM!J:K,2,0),VLOOKUP(N749,PARAM!G:H,2,0),VLOOKUP(P749,PARAM!P:Q,2,0),"*"),"")</f>
        <v/>
      </c>
      <c r="S749" s="18" t="str">
        <f>IFERROR(CONCATENATE(VLOOKUP(L749,PARAM!D:E,2,0),VLOOKUP(M749,PARAM!J:K,2,0),VLOOKUP(N749,PARAM!G:H,2,0),VLOOKUP(O749,PARAM!M:N,2,0),VLOOKUP(P749,PARAM!P:Q,2,0)),"")</f>
        <v/>
      </c>
      <c r="T749" s="18">
        <f t="shared" si="4"/>
        <v>0</v>
      </c>
      <c r="U749" s="18" t="str">
        <f t="shared" si="5"/>
        <v>   </v>
      </c>
    </row>
    <row r="750">
      <c r="A750" s="1"/>
      <c r="B750" s="1"/>
      <c r="C750" s="1"/>
      <c r="D750" s="1"/>
      <c r="E750" s="2"/>
      <c r="F750" s="1"/>
      <c r="G750" s="65">
        <f t="shared" si="7"/>
        <v>0</v>
      </c>
      <c r="H750" s="1"/>
      <c r="I750" s="1"/>
      <c r="J750" s="1"/>
      <c r="K750" s="18"/>
      <c r="L750" s="18"/>
      <c r="M750" s="18"/>
      <c r="N750" s="18"/>
      <c r="O750" s="18"/>
      <c r="P750" s="67" t="s">
        <v>503</v>
      </c>
      <c r="Q750" s="18" t="s">
        <v>476</v>
      </c>
      <c r="R750" s="68" t="str">
        <f>IFERROR(CONCATENATE("*",VLOOKUP(L750,PARAM!D:E,2,0),VLOOKUP(M750,PARAM!J:K,2,0),VLOOKUP(N750,PARAM!G:H,2,0),VLOOKUP(P750,PARAM!P:Q,2,0),"*"),"")</f>
        <v/>
      </c>
      <c r="S750" s="18" t="str">
        <f>IFERROR(CONCATENATE(VLOOKUP(L750,PARAM!D:E,2,0),VLOOKUP(M750,PARAM!J:K,2,0),VLOOKUP(N750,PARAM!G:H,2,0),VLOOKUP(O750,PARAM!M:N,2,0),VLOOKUP(P750,PARAM!P:Q,2,0)),"")</f>
        <v/>
      </c>
      <c r="T750" s="18">
        <f t="shared" si="4"/>
        <v>0</v>
      </c>
      <c r="U750" s="18" t="str">
        <f t="shared" si="5"/>
        <v>   </v>
      </c>
    </row>
    <row r="751">
      <c r="A751" s="1"/>
      <c r="B751" s="1"/>
      <c r="C751" s="1"/>
      <c r="D751" s="1"/>
      <c r="E751" s="2"/>
      <c r="F751" s="1"/>
      <c r="G751" s="65">
        <f t="shared" si="7"/>
        <v>0</v>
      </c>
      <c r="H751" s="1"/>
      <c r="I751" s="1"/>
      <c r="J751" s="1"/>
      <c r="K751" s="18"/>
      <c r="L751" s="18"/>
      <c r="M751" s="18"/>
      <c r="N751" s="18"/>
      <c r="O751" s="18"/>
      <c r="P751" s="67" t="s">
        <v>503</v>
      </c>
      <c r="Q751" s="18" t="s">
        <v>476</v>
      </c>
      <c r="R751" s="68" t="str">
        <f>IFERROR(CONCATENATE("*",VLOOKUP(L751,PARAM!D:E,2,0),VLOOKUP(M751,PARAM!J:K,2,0),VLOOKUP(N751,PARAM!G:H,2,0),VLOOKUP(P751,PARAM!P:Q,2,0),"*"),"")</f>
        <v/>
      </c>
      <c r="S751" s="18" t="str">
        <f>IFERROR(CONCATENATE(VLOOKUP(L751,PARAM!D:E,2,0),VLOOKUP(M751,PARAM!J:K,2,0),VLOOKUP(N751,PARAM!G:H,2,0),VLOOKUP(O751,PARAM!M:N,2,0),VLOOKUP(P751,PARAM!P:Q,2,0)),"")</f>
        <v/>
      </c>
      <c r="T751" s="18">
        <f t="shared" si="4"/>
        <v>0</v>
      </c>
      <c r="U751" s="18" t="str">
        <f t="shared" si="5"/>
        <v>   </v>
      </c>
    </row>
    <row r="752">
      <c r="A752" s="1"/>
      <c r="B752" s="1"/>
      <c r="C752" s="1"/>
      <c r="D752" s="1"/>
      <c r="E752" s="2"/>
      <c r="F752" s="1"/>
      <c r="G752" s="65">
        <f t="shared" si="7"/>
        <v>0</v>
      </c>
      <c r="H752" s="1"/>
      <c r="I752" s="1"/>
      <c r="J752" s="1"/>
      <c r="K752" s="18"/>
      <c r="L752" s="18"/>
      <c r="M752" s="18"/>
      <c r="N752" s="18"/>
      <c r="O752" s="18"/>
      <c r="P752" s="67" t="s">
        <v>503</v>
      </c>
      <c r="Q752" s="18" t="s">
        <v>476</v>
      </c>
      <c r="R752" s="68" t="str">
        <f>IFERROR(CONCATENATE("*",VLOOKUP(L752,PARAM!D:E,2,0),VLOOKUP(M752,PARAM!J:K,2,0),VLOOKUP(N752,PARAM!G:H,2,0),VLOOKUP(P752,PARAM!P:Q,2,0),"*"),"")</f>
        <v/>
      </c>
      <c r="S752" s="18" t="str">
        <f>IFERROR(CONCATENATE(VLOOKUP(L752,PARAM!D:E,2,0),VLOOKUP(M752,PARAM!J:K,2,0),VLOOKUP(N752,PARAM!G:H,2,0),VLOOKUP(O752,PARAM!M:N,2,0),VLOOKUP(P752,PARAM!P:Q,2,0)),"")</f>
        <v/>
      </c>
      <c r="T752" s="18">
        <f t="shared" si="4"/>
        <v>0</v>
      </c>
      <c r="U752" s="18" t="str">
        <f t="shared" si="5"/>
        <v>   </v>
      </c>
    </row>
    <row r="753">
      <c r="A753" s="1"/>
      <c r="B753" s="1"/>
      <c r="C753" s="1"/>
      <c r="D753" s="1"/>
      <c r="E753" s="2"/>
      <c r="F753" s="1"/>
      <c r="G753" s="65">
        <f t="shared" si="7"/>
        <v>0</v>
      </c>
      <c r="H753" s="1"/>
      <c r="I753" s="1"/>
      <c r="J753" s="1"/>
      <c r="K753" s="18"/>
      <c r="L753" s="18"/>
      <c r="M753" s="18"/>
      <c r="N753" s="18"/>
      <c r="O753" s="18"/>
      <c r="P753" s="67" t="s">
        <v>503</v>
      </c>
      <c r="Q753" s="18" t="s">
        <v>476</v>
      </c>
      <c r="R753" s="68" t="str">
        <f>IFERROR(CONCATENATE("*",VLOOKUP(L753,PARAM!D:E,2,0),VLOOKUP(M753,PARAM!J:K,2,0),VLOOKUP(N753,PARAM!G:H,2,0),VLOOKUP(P753,PARAM!P:Q,2,0),"*"),"")</f>
        <v/>
      </c>
      <c r="S753" s="18" t="str">
        <f>IFERROR(CONCATENATE(VLOOKUP(L753,PARAM!D:E,2,0),VLOOKUP(M753,PARAM!J:K,2,0),VLOOKUP(N753,PARAM!G:H,2,0),VLOOKUP(O753,PARAM!M:N,2,0),VLOOKUP(P753,PARAM!P:Q,2,0)),"")</f>
        <v/>
      </c>
      <c r="T753" s="18">
        <f t="shared" si="4"/>
        <v>0</v>
      </c>
      <c r="U753" s="18" t="str">
        <f t="shared" si="5"/>
        <v>   </v>
      </c>
    </row>
    <row r="754">
      <c r="A754" s="1"/>
      <c r="B754" s="1"/>
      <c r="C754" s="1"/>
      <c r="D754" s="1"/>
      <c r="E754" s="2"/>
      <c r="F754" s="1"/>
      <c r="G754" s="65">
        <f t="shared" si="7"/>
        <v>0</v>
      </c>
      <c r="H754" s="1"/>
      <c r="I754" s="1"/>
      <c r="J754" s="1"/>
      <c r="K754" s="18"/>
      <c r="L754" s="18"/>
      <c r="M754" s="18"/>
      <c r="N754" s="18"/>
      <c r="O754" s="18"/>
      <c r="P754" s="67" t="s">
        <v>503</v>
      </c>
      <c r="Q754" s="18" t="s">
        <v>476</v>
      </c>
      <c r="R754" s="68" t="str">
        <f>IFERROR(CONCATENATE("*",VLOOKUP(L754,PARAM!D:E,2,0),VLOOKUP(M754,PARAM!J:K,2,0),VLOOKUP(N754,PARAM!G:H,2,0),VLOOKUP(P754,PARAM!P:Q,2,0),"*"),"")</f>
        <v/>
      </c>
      <c r="S754" s="18" t="str">
        <f>IFERROR(CONCATENATE(VLOOKUP(L754,PARAM!D:E,2,0),VLOOKUP(M754,PARAM!J:K,2,0),VLOOKUP(N754,PARAM!G:H,2,0),VLOOKUP(O754,PARAM!M:N,2,0),VLOOKUP(P754,PARAM!P:Q,2,0)),"")</f>
        <v/>
      </c>
      <c r="T754" s="18">
        <f t="shared" si="4"/>
        <v>0</v>
      </c>
      <c r="U754" s="18" t="str">
        <f t="shared" si="5"/>
        <v>   </v>
      </c>
    </row>
    <row r="755">
      <c r="A755" s="1"/>
      <c r="B755" s="1"/>
      <c r="C755" s="1"/>
      <c r="D755" s="1"/>
      <c r="E755" s="2"/>
      <c r="F755" s="1"/>
      <c r="G755" s="65">
        <f t="shared" si="7"/>
        <v>0</v>
      </c>
      <c r="H755" s="1"/>
      <c r="I755" s="1"/>
      <c r="J755" s="1"/>
      <c r="K755" s="18"/>
      <c r="L755" s="18"/>
      <c r="M755" s="18"/>
      <c r="N755" s="18"/>
      <c r="O755" s="18"/>
      <c r="P755" s="67" t="s">
        <v>503</v>
      </c>
      <c r="Q755" s="18" t="s">
        <v>476</v>
      </c>
      <c r="R755" s="68" t="str">
        <f>IFERROR(CONCATENATE("*",VLOOKUP(L755,PARAM!D:E,2,0),VLOOKUP(M755,PARAM!J:K,2,0),VLOOKUP(N755,PARAM!G:H,2,0),VLOOKUP(P755,PARAM!P:Q,2,0),"*"),"")</f>
        <v/>
      </c>
      <c r="S755" s="18" t="str">
        <f>IFERROR(CONCATENATE(VLOOKUP(L755,PARAM!D:E,2,0),VLOOKUP(M755,PARAM!J:K,2,0),VLOOKUP(N755,PARAM!G:H,2,0),VLOOKUP(O755,PARAM!M:N,2,0),VLOOKUP(P755,PARAM!P:Q,2,0)),"")</f>
        <v/>
      </c>
      <c r="T755" s="18">
        <f t="shared" si="4"/>
        <v>0</v>
      </c>
      <c r="U755" s="18" t="str">
        <f t="shared" si="5"/>
        <v>   </v>
      </c>
    </row>
    <row r="756">
      <c r="A756" s="1"/>
      <c r="B756" s="1"/>
      <c r="C756" s="1"/>
      <c r="D756" s="1"/>
      <c r="E756" s="2"/>
      <c r="F756" s="1"/>
      <c r="G756" s="65">
        <f t="shared" si="7"/>
        <v>0</v>
      </c>
      <c r="H756" s="1"/>
      <c r="I756" s="1"/>
      <c r="J756" s="1"/>
      <c r="K756" s="18"/>
      <c r="L756" s="18"/>
      <c r="M756" s="18"/>
      <c r="N756" s="18"/>
      <c r="O756" s="18"/>
      <c r="P756" s="67" t="s">
        <v>503</v>
      </c>
      <c r="Q756" s="18" t="s">
        <v>476</v>
      </c>
      <c r="R756" s="68" t="str">
        <f>IFERROR(CONCATENATE("*",VLOOKUP(L756,PARAM!D:E,2,0),VLOOKUP(M756,PARAM!J:K,2,0),VLOOKUP(N756,PARAM!G:H,2,0),VLOOKUP(P756,PARAM!P:Q,2,0),"*"),"")</f>
        <v/>
      </c>
      <c r="S756" s="18" t="str">
        <f>IFERROR(CONCATENATE(VLOOKUP(L756,PARAM!D:E,2,0),VLOOKUP(M756,PARAM!J:K,2,0),VLOOKUP(N756,PARAM!G:H,2,0),VLOOKUP(O756,PARAM!M:N,2,0),VLOOKUP(P756,PARAM!P:Q,2,0)),"")</f>
        <v/>
      </c>
      <c r="T756" s="18">
        <f t="shared" si="4"/>
        <v>0</v>
      </c>
      <c r="U756" s="18" t="str">
        <f t="shared" si="5"/>
        <v>   </v>
      </c>
    </row>
    <row r="757">
      <c r="A757" s="1"/>
      <c r="B757" s="1"/>
      <c r="C757" s="1"/>
      <c r="D757" s="1"/>
      <c r="E757" s="2"/>
      <c r="F757" s="1"/>
      <c r="G757" s="65">
        <f t="shared" si="7"/>
        <v>0</v>
      </c>
      <c r="H757" s="1"/>
      <c r="I757" s="1"/>
      <c r="J757" s="1"/>
      <c r="K757" s="18"/>
      <c r="L757" s="18"/>
      <c r="M757" s="18"/>
      <c r="N757" s="18"/>
      <c r="O757" s="18"/>
      <c r="P757" s="67" t="s">
        <v>503</v>
      </c>
      <c r="Q757" s="18" t="s">
        <v>476</v>
      </c>
      <c r="R757" s="68" t="str">
        <f>IFERROR(CONCATENATE("*",VLOOKUP(L757,PARAM!D:E,2,0),VLOOKUP(M757,PARAM!J:K,2,0),VLOOKUP(N757,PARAM!G:H,2,0),VLOOKUP(P757,PARAM!P:Q,2,0),"*"),"")</f>
        <v/>
      </c>
      <c r="S757" s="18" t="str">
        <f>IFERROR(CONCATENATE(VLOOKUP(L757,PARAM!D:E,2,0),VLOOKUP(M757,PARAM!J:K,2,0),VLOOKUP(N757,PARAM!G:H,2,0),VLOOKUP(O757,PARAM!M:N,2,0),VLOOKUP(P757,PARAM!P:Q,2,0)),"")</f>
        <v/>
      </c>
      <c r="T757" s="18">
        <f t="shared" si="4"/>
        <v>0</v>
      </c>
      <c r="U757" s="18" t="str">
        <f t="shared" si="5"/>
        <v>   </v>
      </c>
    </row>
    <row r="758">
      <c r="A758" s="1"/>
      <c r="B758" s="1"/>
      <c r="C758" s="1"/>
      <c r="D758" s="1"/>
      <c r="E758" s="2"/>
      <c r="F758" s="1"/>
      <c r="G758" s="65">
        <f t="shared" si="7"/>
        <v>0</v>
      </c>
      <c r="H758" s="1"/>
      <c r="I758" s="1"/>
      <c r="J758" s="1"/>
      <c r="K758" s="18"/>
      <c r="L758" s="18"/>
      <c r="M758" s="18"/>
      <c r="N758" s="18"/>
      <c r="O758" s="18"/>
      <c r="P758" s="67" t="s">
        <v>503</v>
      </c>
      <c r="Q758" s="18" t="s">
        <v>476</v>
      </c>
      <c r="R758" s="68" t="str">
        <f>IFERROR(CONCATENATE("*",VLOOKUP(L758,PARAM!D:E,2,0),VLOOKUP(M758,PARAM!J:K,2,0),VLOOKUP(N758,PARAM!G:H,2,0),VLOOKUP(P758,PARAM!P:Q,2,0),"*"),"")</f>
        <v/>
      </c>
      <c r="S758" s="18" t="str">
        <f>IFERROR(CONCATENATE(VLOOKUP(L758,PARAM!D:E,2,0),VLOOKUP(M758,PARAM!J:K,2,0),VLOOKUP(N758,PARAM!G:H,2,0),VLOOKUP(O758,PARAM!M:N,2,0),VLOOKUP(P758,PARAM!P:Q,2,0)),"")</f>
        <v/>
      </c>
      <c r="T758" s="18">
        <f t="shared" si="4"/>
        <v>0</v>
      </c>
      <c r="U758" s="18" t="str">
        <f t="shared" si="5"/>
        <v>   </v>
      </c>
    </row>
    <row r="759">
      <c r="A759" s="1"/>
      <c r="B759" s="1"/>
      <c r="C759" s="1"/>
      <c r="D759" s="1"/>
      <c r="E759" s="2"/>
      <c r="F759" s="1"/>
      <c r="G759" s="65">
        <f t="shared" si="7"/>
        <v>0</v>
      </c>
      <c r="H759" s="1"/>
      <c r="I759" s="1"/>
      <c r="J759" s="1"/>
      <c r="K759" s="18"/>
      <c r="L759" s="18"/>
      <c r="M759" s="18"/>
      <c r="N759" s="18"/>
      <c r="O759" s="18"/>
      <c r="P759" s="67" t="s">
        <v>503</v>
      </c>
      <c r="Q759" s="18" t="s">
        <v>476</v>
      </c>
      <c r="R759" s="68" t="str">
        <f>IFERROR(CONCATENATE("*",VLOOKUP(L759,PARAM!D:E,2,0),VLOOKUP(M759,PARAM!J:K,2,0),VLOOKUP(N759,PARAM!G:H,2,0),VLOOKUP(P759,PARAM!P:Q,2,0),"*"),"")</f>
        <v/>
      </c>
      <c r="S759" s="18" t="str">
        <f>IFERROR(CONCATENATE(VLOOKUP(L759,PARAM!D:E,2,0),VLOOKUP(M759,PARAM!J:K,2,0),VLOOKUP(N759,PARAM!G:H,2,0),VLOOKUP(O759,PARAM!M:N,2,0),VLOOKUP(P759,PARAM!P:Q,2,0)),"")</f>
        <v/>
      </c>
      <c r="T759" s="18">
        <f t="shared" si="4"/>
        <v>0</v>
      </c>
      <c r="U759" s="18" t="str">
        <f t="shared" si="5"/>
        <v>   </v>
      </c>
    </row>
    <row r="760">
      <c r="A760" s="1"/>
      <c r="B760" s="1"/>
      <c r="C760" s="1"/>
      <c r="D760" s="1"/>
      <c r="E760" s="2"/>
      <c r="F760" s="1"/>
      <c r="G760" s="65">
        <f t="shared" si="7"/>
        <v>0</v>
      </c>
      <c r="H760" s="1"/>
      <c r="I760" s="1"/>
      <c r="J760" s="1"/>
      <c r="K760" s="18"/>
      <c r="L760" s="18"/>
      <c r="M760" s="18"/>
      <c r="N760" s="18"/>
      <c r="O760" s="18"/>
      <c r="P760" s="67" t="s">
        <v>503</v>
      </c>
      <c r="Q760" s="18" t="s">
        <v>476</v>
      </c>
      <c r="R760" s="68" t="str">
        <f>IFERROR(CONCATENATE("*",VLOOKUP(L760,PARAM!D:E,2,0),VLOOKUP(M760,PARAM!J:K,2,0),VLOOKUP(N760,PARAM!G:H,2,0),VLOOKUP(P760,PARAM!P:Q,2,0),"*"),"")</f>
        <v/>
      </c>
      <c r="S760" s="18" t="str">
        <f>IFERROR(CONCATENATE(VLOOKUP(L760,PARAM!D:E,2,0),VLOOKUP(M760,PARAM!J:K,2,0),VLOOKUP(N760,PARAM!G:H,2,0),VLOOKUP(O760,PARAM!M:N,2,0),VLOOKUP(P760,PARAM!P:Q,2,0)),"")</f>
        <v/>
      </c>
      <c r="T760" s="18">
        <f t="shared" si="4"/>
        <v>0</v>
      </c>
      <c r="U760" s="18" t="str">
        <f t="shared" si="5"/>
        <v>   </v>
      </c>
    </row>
    <row r="761">
      <c r="A761" s="1"/>
      <c r="B761" s="1"/>
      <c r="C761" s="1"/>
      <c r="D761" s="1"/>
      <c r="E761" s="2"/>
      <c r="F761" s="1"/>
      <c r="G761" s="65">
        <f t="shared" si="7"/>
        <v>0</v>
      </c>
      <c r="H761" s="1"/>
      <c r="I761" s="1"/>
      <c r="J761" s="1"/>
      <c r="K761" s="18"/>
      <c r="L761" s="18"/>
      <c r="M761" s="18"/>
      <c r="N761" s="18"/>
      <c r="O761" s="18"/>
      <c r="P761" s="67" t="s">
        <v>503</v>
      </c>
      <c r="Q761" s="18" t="s">
        <v>476</v>
      </c>
      <c r="R761" s="68" t="str">
        <f>IFERROR(CONCATENATE("*",VLOOKUP(L761,PARAM!D:E,2,0),VLOOKUP(M761,PARAM!J:K,2,0),VLOOKUP(N761,PARAM!G:H,2,0),VLOOKUP(P761,PARAM!P:Q,2,0),"*"),"")</f>
        <v/>
      </c>
      <c r="S761" s="18" t="str">
        <f>IFERROR(CONCATENATE(VLOOKUP(L761,PARAM!D:E,2,0),VLOOKUP(M761,PARAM!J:K,2,0),VLOOKUP(N761,PARAM!G:H,2,0),VLOOKUP(O761,PARAM!M:N,2,0),VLOOKUP(P761,PARAM!P:Q,2,0)),"")</f>
        <v/>
      </c>
      <c r="T761" s="18">
        <f t="shared" si="4"/>
        <v>0</v>
      </c>
      <c r="U761" s="18" t="str">
        <f t="shared" si="5"/>
        <v>   </v>
      </c>
    </row>
    <row r="762">
      <c r="A762" s="1"/>
      <c r="B762" s="1"/>
      <c r="C762" s="1"/>
      <c r="D762" s="1"/>
      <c r="E762" s="2"/>
      <c r="F762" s="1"/>
      <c r="G762" s="65">
        <f t="shared" si="7"/>
        <v>0</v>
      </c>
      <c r="H762" s="1"/>
      <c r="I762" s="1"/>
      <c r="J762" s="1"/>
      <c r="K762" s="18"/>
      <c r="L762" s="18"/>
      <c r="M762" s="18"/>
      <c r="N762" s="18"/>
      <c r="O762" s="18"/>
      <c r="P762" s="67" t="s">
        <v>503</v>
      </c>
      <c r="Q762" s="18" t="s">
        <v>476</v>
      </c>
      <c r="R762" s="68" t="str">
        <f>IFERROR(CONCATENATE("*",VLOOKUP(L762,PARAM!D:E,2,0),VLOOKUP(M762,PARAM!J:K,2,0),VLOOKUP(N762,PARAM!G:H,2,0),VLOOKUP(P762,PARAM!P:Q,2,0),"*"),"")</f>
        <v/>
      </c>
      <c r="S762" s="18" t="str">
        <f>IFERROR(CONCATENATE(VLOOKUP(L762,PARAM!D:E,2,0),VLOOKUP(M762,PARAM!J:K,2,0),VLOOKUP(N762,PARAM!G:H,2,0),VLOOKUP(O762,PARAM!M:N,2,0),VLOOKUP(P762,PARAM!P:Q,2,0)),"")</f>
        <v/>
      </c>
      <c r="T762" s="18">
        <f t="shared" si="4"/>
        <v>0</v>
      </c>
      <c r="U762" s="18" t="str">
        <f t="shared" si="5"/>
        <v>   </v>
      </c>
    </row>
    <row r="763">
      <c r="A763" s="1"/>
      <c r="B763" s="1"/>
      <c r="C763" s="1"/>
      <c r="D763" s="1"/>
      <c r="E763" s="2"/>
      <c r="F763" s="1"/>
      <c r="G763" s="65">
        <f t="shared" si="7"/>
        <v>0</v>
      </c>
      <c r="H763" s="1"/>
      <c r="I763" s="1"/>
      <c r="J763" s="1"/>
      <c r="K763" s="18"/>
      <c r="L763" s="18"/>
      <c r="M763" s="18"/>
      <c r="N763" s="18"/>
      <c r="O763" s="18"/>
      <c r="P763" s="67" t="s">
        <v>503</v>
      </c>
      <c r="Q763" s="18" t="s">
        <v>476</v>
      </c>
      <c r="R763" s="68" t="str">
        <f>IFERROR(CONCATENATE("*",VLOOKUP(L763,PARAM!D:E,2,0),VLOOKUP(M763,PARAM!J:K,2,0),VLOOKUP(N763,PARAM!G:H,2,0),VLOOKUP(P763,PARAM!P:Q,2,0),"*"),"")</f>
        <v/>
      </c>
      <c r="S763" s="18" t="str">
        <f>IFERROR(CONCATENATE(VLOOKUP(L763,PARAM!D:E,2,0),VLOOKUP(M763,PARAM!J:K,2,0),VLOOKUP(N763,PARAM!G:H,2,0),VLOOKUP(O763,PARAM!M:N,2,0),VLOOKUP(P763,PARAM!P:Q,2,0)),"")</f>
        <v/>
      </c>
      <c r="T763" s="18">
        <f t="shared" si="4"/>
        <v>0</v>
      </c>
      <c r="U763" s="18" t="str">
        <f t="shared" si="5"/>
        <v>   </v>
      </c>
    </row>
    <row r="764">
      <c r="A764" s="1"/>
      <c r="B764" s="1"/>
      <c r="C764" s="1"/>
      <c r="D764" s="1"/>
      <c r="E764" s="2"/>
      <c r="F764" s="1"/>
      <c r="G764" s="65">
        <f t="shared" si="7"/>
        <v>0</v>
      </c>
      <c r="H764" s="1"/>
      <c r="I764" s="1"/>
      <c r="J764" s="1"/>
      <c r="K764" s="18"/>
      <c r="L764" s="18"/>
      <c r="M764" s="18"/>
      <c r="N764" s="18"/>
      <c r="O764" s="18"/>
      <c r="P764" s="67" t="s">
        <v>503</v>
      </c>
      <c r="Q764" s="18" t="s">
        <v>476</v>
      </c>
      <c r="R764" s="68" t="str">
        <f>IFERROR(CONCATENATE("*",VLOOKUP(L764,PARAM!D:E,2,0),VLOOKUP(M764,PARAM!J:K,2,0),VLOOKUP(N764,PARAM!G:H,2,0),VLOOKUP(P764,PARAM!P:Q,2,0),"*"),"")</f>
        <v/>
      </c>
      <c r="S764" s="18" t="str">
        <f>IFERROR(CONCATENATE(VLOOKUP(L764,PARAM!D:E,2,0),VLOOKUP(M764,PARAM!J:K,2,0),VLOOKUP(N764,PARAM!G:H,2,0),VLOOKUP(O764,PARAM!M:N,2,0),VLOOKUP(P764,PARAM!P:Q,2,0)),"")</f>
        <v/>
      </c>
      <c r="T764" s="18">
        <f t="shared" si="4"/>
        <v>0</v>
      </c>
      <c r="U764" s="18" t="str">
        <f t="shared" si="5"/>
        <v>   </v>
      </c>
    </row>
    <row r="765">
      <c r="A765" s="1"/>
      <c r="B765" s="1"/>
      <c r="C765" s="1"/>
      <c r="D765" s="1"/>
      <c r="E765" s="2"/>
      <c r="F765" s="1"/>
      <c r="G765" s="65">
        <f t="shared" si="7"/>
        <v>0</v>
      </c>
      <c r="H765" s="1"/>
      <c r="I765" s="1"/>
      <c r="J765" s="1"/>
      <c r="K765" s="18"/>
      <c r="L765" s="18"/>
      <c r="M765" s="18"/>
      <c r="N765" s="18"/>
      <c r="O765" s="18"/>
      <c r="P765" s="67" t="s">
        <v>503</v>
      </c>
      <c r="Q765" s="18" t="s">
        <v>476</v>
      </c>
      <c r="R765" s="68" t="str">
        <f>IFERROR(CONCATENATE("*",VLOOKUP(L765,PARAM!D:E,2,0),VLOOKUP(M765,PARAM!J:K,2,0),VLOOKUP(N765,PARAM!G:H,2,0),VLOOKUP(P765,PARAM!P:Q,2,0),"*"),"")</f>
        <v/>
      </c>
      <c r="S765" s="18" t="str">
        <f>IFERROR(CONCATENATE(VLOOKUP(L765,PARAM!D:E,2,0),VLOOKUP(M765,PARAM!J:K,2,0),VLOOKUP(N765,PARAM!G:H,2,0),VLOOKUP(O765,PARAM!M:N,2,0),VLOOKUP(P765,PARAM!P:Q,2,0)),"")</f>
        <v/>
      </c>
      <c r="T765" s="18">
        <f t="shared" si="4"/>
        <v>0</v>
      </c>
      <c r="U765" s="18" t="str">
        <f t="shared" si="5"/>
        <v>   </v>
      </c>
    </row>
    <row r="766">
      <c r="A766" s="1"/>
      <c r="B766" s="1"/>
      <c r="C766" s="1"/>
      <c r="D766" s="1"/>
      <c r="E766" s="2"/>
      <c r="F766" s="1"/>
      <c r="G766" s="65">
        <f t="shared" si="7"/>
        <v>0</v>
      </c>
      <c r="H766" s="1"/>
      <c r="I766" s="1"/>
      <c r="J766" s="1"/>
      <c r="K766" s="18"/>
      <c r="L766" s="18"/>
      <c r="M766" s="18"/>
      <c r="N766" s="18"/>
      <c r="O766" s="18"/>
      <c r="P766" s="67" t="s">
        <v>503</v>
      </c>
      <c r="Q766" s="18" t="s">
        <v>476</v>
      </c>
      <c r="R766" s="68" t="str">
        <f>IFERROR(CONCATENATE("*",VLOOKUP(L766,PARAM!D:E,2,0),VLOOKUP(M766,PARAM!J:K,2,0),VLOOKUP(N766,PARAM!G:H,2,0),VLOOKUP(P766,PARAM!P:Q,2,0),"*"),"")</f>
        <v/>
      </c>
      <c r="S766" s="18" t="str">
        <f>IFERROR(CONCATENATE(VLOOKUP(L766,PARAM!D:E,2,0),VLOOKUP(M766,PARAM!J:K,2,0),VLOOKUP(N766,PARAM!G:H,2,0),VLOOKUP(O766,PARAM!M:N,2,0),VLOOKUP(P766,PARAM!P:Q,2,0)),"")</f>
        <v/>
      </c>
      <c r="T766" s="18">
        <f t="shared" si="4"/>
        <v>0</v>
      </c>
      <c r="U766" s="18" t="str">
        <f t="shared" si="5"/>
        <v>   </v>
      </c>
    </row>
    <row r="767">
      <c r="A767" s="1"/>
      <c r="B767" s="1"/>
      <c r="C767" s="1"/>
      <c r="D767" s="1"/>
      <c r="E767" s="2"/>
      <c r="F767" s="1"/>
      <c r="G767" s="65">
        <f t="shared" si="7"/>
        <v>0</v>
      </c>
      <c r="H767" s="1"/>
      <c r="I767" s="1"/>
      <c r="J767" s="1"/>
      <c r="K767" s="18"/>
      <c r="L767" s="18"/>
      <c r="M767" s="18"/>
      <c r="N767" s="18"/>
      <c r="O767" s="18"/>
      <c r="P767" s="67" t="s">
        <v>503</v>
      </c>
      <c r="Q767" s="18" t="s">
        <v>476</v>
      </c>
      <c r="R767" s="68" t="str">
        <f>IFERROR(CONCATENATE("*",VLOOKUP(L767,PARAM!D:E,2,0),VLOOKUP(M767,PARAM!J:K,2,0),VLOOKUP(N767,PARAM!G:H,2,0),VLOOKUP(P767,PARAM!P:Q,2,0),"*"),"")</f>
        <v/>
      </c>
      <c r="S767" s="18" t="str">
        <f>IFERROR(CONCATENATE(VLOOKUP(L767,PARAM!D:E,2,0),VLOOKUP(M767,PARAM!J:K,2,0),VLOOKUP(N767,PARAM!G:H,2,0),VLOOKUP(O767,PARAM!M:N,2,0),VLOOKUP(P767,PARAM!P:Q,2,0)),"")</f>
        <v/>
      </c>
      <c r="T767" s="18">
        <f t="shared" si="4"/>
        <v>0</v>
      </c>
      <c r="U767" s="18" t="str">
        <f t="shared" si="5"/>
        <v>   </v>
      </c>
    </row>
    <row r="768">
      <c r="A768" s="1"/>
      <c r="B768" s="1"/>
      <c r="C768" s="1"/>
      <c r="D768" s="1"/>
      <c r="E768" s="2"/>
      <c r="F768" s="1"/>
      <c r="G768" s="65">
        <f t="shared" si="7"/>
        <v>0</v>
      </c>
      <c r="H768" s="1"/>
      <c r="I768" s="1"/>
      <c r="J768" s="1"/>
      <c r="K768" s="18"/>
      <c r="L768" s="18"/>
      <c r="M768" s="18"/>
      <c r="N768" s="18"/>
      <c r="O768" s="18"/>
      <c r="P768" s="67" t="s">
        <v>503</v>
      </c>
      <c r="Q768" s="18" t="s">
        <v>476</v>
      </c>
      <c r="R768" s="68" t="str">
        <f>IFERROR(CONCATENATE("*",VLOOKUP(L768,PARAM!D:E,2,0),VLOOKUP(M768,PARAM!J:K,2,0),VLOOKUP(N768,PARAM!G:H,2,0),VLOOKUP(P768,PARAM!P:Q,2,0),"*"),"")</f>
        <v/>
      </c>
      <c r="S768" s="18" t="str">
        <f>IFERROR(CONCATENATE(VLOOKUP(L768,PARAM!D:E,2,0),VLOOKUP(M768,PARAM!J:K,2,0),VLOOKUP(N768,PARAM!G:H,2,0),VLOOKUP(O768,PARAM!M:N,2,0),VLOOKUP(P768,PARAM!P:Q,2,0)),"")</f>
        <v/>
      </c>
      <c r="T768" s="18">
        <f t="shared" si="4"/>
        <v>0</v>
      </c>
      <c r="U768" s="18" t="str">
        <f t="shared" si="5"/>
        <v>   </v>
      </c>
    </row>
    <row r="769">
      <c r="A769" s="1"/>
      <c r="B769" s="1"/>
      <c r="C769" s="1"/>
      <c r="D769" s="1"/>
      <c r="E769" s="2"/>
      <c r="F769" s="1"/>
      <c r="G769" s="65">
        <f t="shared" si="7"/>
        <v>0</v>
      </c>
      <c r="H769" s="1"/>
      <c r="I769" s="1"/>
      <c r="J769" s="1"/>
      <c r="K769" s="18"/>
      <c r="L769" s="18"/>
      <c r="M769" s="18"/>
      <c r="N769" s="18"/>
      <c r="O769" s="18"/>
      <c r="P769" s="67" t="s">
        <v>503</v>
      </c>
      <c r="Q769" s="18" t="s">
        <v>476</v>
      </c>
      <c r="R769" s="68" t="str">
        <f>IFERROR(CONCATENATE("*",VLOOKUP(L769,PARAM!D:E,2,0),VLOOKUP(M769,PARAM!J:K,2,0),VLOOKUP(N769,PARAM!G:H,2,0),VLOOKUP(P769,PARAM!P:Q,2,0),"*"),"")</f>
        <v/>
      </c>
      <c r="S769" s="18" t="str">
        <f>IFERROR(CONCATENATE(VLOOKUP(L769,PARAM!D:E,2,0),VLOOKUP(M769,PARAM!J:K,2,0),VLOOKUP(N769,PARAM!G:H,2,0),VLOOKUP(O769,PARAM!M:N,2,0),VLOOKUP(P769,PARAM!P:Q,2,0)),"")</f>
        <v/>
      </c>
      <c r="T769" s="18">
        <f t="shared" si="4"/>
        <v>0</v>
      </c>
      <c r="U769" s="18" t="str">
        <f t="shared" si="5"/>
        <v>   </v>
      </c>
    </row>
    <row r="770">
      <c r="A770" s="1"/>
      <c r="B770" s="1"/>
      <c r="C770" s="1"/>
      <c r="D770" s="1"/>
      <c r="E770" s="2"/>
      <c r="F770" s="1"/>
      <c r="G770" s="65">
        <f t="shared" si="7"/>
        <v>0</v>
      </c>
      <c r="H770" s="1"/>
      <c r="I770" s="1"/>
      <c r="J770" s="1"/>
      <c r="K770" s="18"/>
      <c r="L770" s="18"/>
      <c r="M770" s="18"/>
      <c r="N770" s="18"/>
      <c r="O770" s="18"/>
      <c r="P770" s="67" t="s">
        <v>503</v>
      </c>
      <c r="Q770" s="18" t="s">
        <v>476</v>
      </c>
      <c r="R770" s="68" t="str">
        <f>IFERROR(CONCATENATE("*",VLOOKUP(L770,PARAM!D:E,2,0),VLOOKUP(M770,PARAM!J:K,2,0),VLOOKUP(N770,PARAM!G:H,2,0),VLOOKUP(P770,PARAM!P:Q,2,0),"*"),"")</f>
        <v/>
      </c>
      <c r="S770" s="18" t="str">
        <f>IFERROR(CONCATENATE(VLOOKUP(L770,PARAM!D:E,2,0),VLOOKUP(M770,PARAM!J:K,2,0),VLOOKUP(N770,PARAM!G:H,2,0),VLOOKUP(O770,PARAM!M:N,2,0),VLOOKUP(P770,PARAM!P:Q,2,0)),"")</f>
        <v/>
      </c>
      <c r="T770" s="18">
        <f t="shared" si="4"/>
        <v>0</v>
      </c>
      <c r="U770" s="18" t="str">
        <f t="shared" si="5"/>
        <v>   </v>
      </c>
    </row>
    <row r="771">
      <c r="A771" s="1"/>
      <c r="B771" s="1"/>
      <c r="C771" s="1"/>
      <c r="D771" s="1"/>
      <c r="E771" s="2"/>
      <c r="F771" s="1"/>
      <c r="G771" s="65">
        <f t="shared" si="7"/>
        <v>0</v>
      </c>
      <c r="H771" s="1"/>
      <c r="I771" s="1"/>
      <c r="J771" s="1"/>
      <c r="K771" s="18"/>
      <c r="L771" s="18"/>
      <c r="M771" s="18"/>
      <c r="N771" s="18"/>
      <c r="O771" s="18"/>
      <c r="P771" s="67" t="s">
        <v>503</v>
      </c>
      <c r="Q771" s="18" t="s">
        <v>476</v>
      </c>
      <c r="R771" s="68" t="str">
        <f>IFERROR(CONCATENATE("*",VLOOKUP(L771,PARAM!D:E,2,0),VLOOKUP(M771,PARAM!J:K,2,0),VLOOKUP(N771,PARAM!G:H,2,0),VLOOKUP(P771,PARAM!P:Q,2,0),"*"),"")</f>
        <v/>
      </c>
      <c r="S771" s="18" t="str">
        <f>IFERROR(CONCATENATE(VLOOKUP(L771,PARAM!D:E,2,0),VLOOKUP(M771,PARAM!J:K,2,0),VLOOKUP(N771,PARAM!G:H,2,0),VLOOKUP(O771,PARAM!M:N,2,0),VLOOKUP(P771,PARAM!P:Q,2,0)),"")</f>
        <v/>
      </c>
      <c r="T771" s="18">
        <f t="shared" si="4"/>
        <v>0</v>
      </c>
      <c r="U771" s="18" t="str">
        <f t="shared" si="5"/>
        <v>   </v>
      </c>
    </row>
    <row r="772">
      <c r="A772" s="1"/>
      <c r="B772" s="1"/>
      <c r="C772" s="1"/>
      <c r="D772" s="1"/>
      <c r="E772" s="2"/>
      <c r="F772" s="1"/>
      <c r="G772" s="65">
        <f t="shared" si="7"/>
        <v>0</v>
      </c>
      <c r="H772" s="1"/>
      <c r="I772" s="1"/>
      <c r="J772" s="1"/>
      <c r="K772" s="18"/>
      <c r="L772" s="18"/>
      <c r="M772" s="18"/>
      <c r="N772" s="18"/>
      <c r="O772" s="18"/>
      <c r="P772" s="67" t="s">
        <v>503</v>
      </c>
      <c r="Q772" s="18" t="s">
        <v>476</v>
      </c>
      <c r="R772" s="68" t="str">
        <f>IFERROR(CONCATENATE("*",VLOOKUP(L772,PARAM!D:E,2,0),VLOOKUP(M772,PARAM!J:K,2,0),VLOOKUP(N772,PARAM!G:H,2,0),VLOOKUP(P772,PARAM!P:Q,2,0),"*"),"")</f>
        <v/>
      </c>
      <c r="S772" s="18" t="str">
        <f>IFERROR(CONCATENATE(VLOOKUP(L772,PARAM!D:E,2,0),VLOOKUP(M772,PARAM!J:K,2,0),VLOOKUP(N772,PARAM!G:H,2,0),VLOOKUP(O772,PARAM!M:N,2,0),VLOOKUP(P772,PARAM!P:Q,2,0)),"")</f>
        <v/>
      </c>
      <c r="T772" s="18">
        <f t="shared" si="4"/>
        <v>0</v>
      </c>
      <c r="U772" s="18" t="str">
        <f t="shared" si="5"/>
        <v>   </v>
      </c>
    </row>
    <row r="773">
      <c r="A773" s="1"/>
      <c r="B773" s="1"/>
      <c r="C773" s="1"/>
      <c r="D773" s="1"/>
      <c r="E773" s="2"/>
      <c r="F773" s="1"/>
      <c r="G773" s="65">
        <f t="shared" si="7"/>
        <v>0</v>
      </c>
      <c r="H773" s="1"/>
      <c r="I773" s="1"/>
      <c r="J773" s="1"/>
      <c r="K773" s="18"/>
      <c r="L773" s="18"/>
      <c r="M773" s="18"/>
      <c r="N773" s="18"/>
      <c r="O773" s="18"/>
      <c r="P773" s="67" t="s">
        <v>503</v>
      </c>
      <c r="Q773" s="18" t="s">
        <v>476</v>
      </c>
      <c r="R773" s="68" t="str">
        <f>IFERROR(CONCATENATE("*",VLOOKUP(L773,PARAM!D:E,2,0),VLOOKUP(M773,PARAM!J:K,2,0),VLOOKUP(N773,PARAM!G:H,2,0),VLOOKUP(P773,PARAM!P:Q,2,0),"*"),"")</f>
        <v/>
      </c>
      <c r="S773" s="18" t="str">
        <f>IFERROR(CONCATENATE(VLOOKUP(L773,PARAM!D:E,2,0),VLOOKUP(M773,PARAM!J:K,2,0),VLOOKUP(N773,PARAM!G:H,2,0),VLOOKUP(O773,PARAM!M:N,2,0),VLOOKUP(P773,PARAM!P:Q,2,0)),"")</f>
        <v/>
      </c>
      <c r="T773" s="18">
        <f t="shared" si="4"/>
        <v>0</v>
      </c>
      <c r="U773" s="18" t="str">
        <f t="shared" si="5"/>
        <v>   </v>
      </c>
    </row>
    <row r="774">
      <c r="A774" s="1"/>
      <c r="B774" s="1"/>
      <c r="C774" s="1"/>
      <c r="D774" s="1"/>
      <c r="E774" s="2"/>
      <c r="F774" s="1"/>
      <c r="G774" s="65">
        <f t="shared" si="7"/>
        <v>0</v>
      </c>
      <c r="H774" s="1"/>
      <c r="I774" s="1"/>
      <c r="J774" s="1"/>
      <c r="K774" s="18"/>
      <c r="L774" s="18"/>
      <c r="M774" s="18"/>
      <c r="N774" s="18"/>
      <c r="O774" s="18"/>
      <c r="P774" s="67" t="s">
        <v>503</v>
      </c>
      <c r="Q774" s="18" t="s">
        <v>476</v>
      </c>
      <c r="R774" s="68" t="str">
        <f>IFERROR(CONCATENATE("*",VLOOKUP(L774,PARAM!D:E,2,0),VLOOKUP(M774,PARAM!J:K,2,0),VLOOKUP(N774,PARAM!G:H,2,0),VLOOKUP(P774,PARAM!P:Q,2,0),"*"),"")</f>
        <v/>
      </c>
      <c r="S774" s="18" t="str">
        <f>IFERROR(CONCATENATE(VLOOKUP(L774,PARAM!D:E,2,0),VLOOKUP(M774,PARAM!J:K,2,0),VLOOKUP(N774,PARAM!G:H,2,0),VLOOKUP(O774,PARAM!M:N,2,0),VLOOKUP(P774,PARAM!P:Q,2,0)),"")</f>
        <v/>
      </c>
      <c r="T774" s="18">
        <f t="shared" si="4"/>
        <v>0</v>
      </c>
      <c r="U774" s="18" t="str">
        <f t="shared" si="5"/>
        <v>   </v>
      </c>
    </row>
    <row r="775">
      <c r="A775" s="1"/>
      <c r="B775" s="1"/>
      <c r="C775" s="1"/>
      <c r="D775" s="1"/>
      <c r="E775" s="2"/>
      <c r="F775" s="1"/>
      <c r="G775" s="65">
        <f t="shared" si="7"/>
        <v>0</v>
      </c>
      <c r="H775" s="1"/>
      <c r="I775" s="1"/>
      <c r="J775" s="1"/>
      <c r="K775" s="18"/>
      <c r="L775" s="18"/>
      <c r="M775" s="18"/>
      <c r="N775" s="18"/>
      <c r="O775" s="18"/>
      <c r="P775" s="67" t="s">
        <v>503</v>
      </c>
      <c r="Q775" s="18" t="s">
        <v>476</v>
      </c>
      <c r="R775" s="68" t="str">
        <f>IFERROR(CONCATENATE("*",VLOOKUP(L775,PARAM!D:E,2,0),VLOOKUP(M775,PARAM!J:K,2,0),VLOOKUP(N775,PARAM!G:H,2,0),VLOOKUP(P775,PARAM!P:Q,2,0),"*"),"")</f>
        <v/>
      </c>
      <c r="S775" s="18" t="str">
        <f>IFERROR(CONCATENATE(VLOOKUP(L775,PARAM!D:E,2,0),VLOOKUP(M775,PARAM!J:K,2,0),VLOOKUP(N775,PARAM!G:H,2,0),VLOOKUP(O775,PARAM!M:N,2,0),VLOOKUP(P775,PARAM!P:Q,2,0)),"")</f>
        <v/>
      </c>
      <c r="T775" s="18">
        <f t="shared" si="4"/>
        <v>0</v>
      </c>
      <c r="U775" s="18" t="str">
        <f t="shared" si="5"/>
        <v>   </v>
      </c>
    </row>
    <row r="776">
      <c r="A776" s="1"/>
      <c r="B776" s="1"/>
      <c r="C776" s="1"/>
      <c r="D776" s="1"/>
      <c r="E776" s="2"/>
      <c r="F776" s="1"/>
      <c r="G776" s="65">
        <f t="shared" si="7"/>
        <v>0</v>
      </c>
      <c r="H776" s="1"/>
      <c r="I776" s="1"/>
      <c r="J776" s="1"/>
      <c r="K776" s="18"/>
      <c r="L776" s="18"/>
      <c r="M776" s="18"/>
      <c r="N776" s="18"/>
      <c r="O776" s="18"/>
      <c r="P776" s="67" t="s">
        <v>503</v>
      </c>
      <c r="Q776" s="18" t="s">
        <v>476</v>
      </c>
      <c r="R776" s="68" t="str">
        <f>IFERROR(CONCATENATE("*",VLOOKUP(L776,PARAM!D:E,2,0),VLOOKUP(M776,PARAM!J:K,2,0),VLOOKUP(N776,PARAM!G:H,2,0),VLOOKUP(P776,PARAM!P:Q,2,0),"*"),"")</f>
        <v/>
      </c>
      <c r="S776" s="18" t="str">
        <f>IFERROR(CONCATENATE(VLOOKUP(L776,PARAM!D:E,2,0),VLOOKUP(M776,PARAM!J:K,2,0),VLOOKUP(N776,PARAM!G:H,2,0),VLOOKUP(O776,PARAM!M:N,2,0),VLOOKUP(P776,PARAM!P:Q,2,0)),"")</f>
        <v/>
      </c>
      <c r="T776" s="18">
        <f t="shared" si="4"/>
        <v>0</v>
      </c>
      <c r="U776" s="18" t="str">
        <f t="shared" si="5"/>
        <v>   </v>
      </c>
    </row>
    <row r="777">
      <c r="A777" s="1"/>
      <c r="B777" s="1"/>
      <c r="C777" s="1"/>
      <c r="D777" s="1"/>
      <c r="E777" s="2"/>
      <c r="F777" s="1"/>
      <c r="G777" s="65">
        <f t="shared" si="7"/>
        <v>0</v>
      </c>
      <c r="H777" s="1"/>
      <c r="I777" s="1"/>
      <c r="J777" s="1"/>
      <c r="K777" s="18"/>
      <c r="L777" s="18"/>
      <c r="M777" s="18"/>
      <c r="N777" s="18"/>
      <c r="O777" s="18"/>
      <c r="P777" s="67" t="s">
        <v>503</v>
      </c>
      <c r="Q777" s="18" t="s">
        <v>476</v>
      </c>
      <c r="R777" s="68" t="str">
        <f>IFERROR(CONCATENATE("*",VLOOKUP(L777,PARAM!D:E,2,0),VLOOKUP(M777,PARAM!J:K,2,0),VLOOKUP(N777,PARAM!G:H,2,0),VLOOKUP(P777,PARAM!P:Q,2,0),"*"),"")</f>
        <v/>
      </c>
      <c r="S777" s="18" t="str">
        <f>IFERROR(CONCATENATE(VLOOKUP(L777,PARAM!D:E,2,0),VLOOKUP(M777,PARAM!J:K,2,0),VLOOKUP(N777,PARAM!G:H,2,0),VLOOKUP(O777,PARAM!M:N,2,0),VLOOKUP(P777,PARAM!P:Q,2,0)),"")</f>
        <v/>
      </c>
      <c r="T777" s="18">
        <f t="shared" si="4"/>
        <v>0</v>
      </c>
      <c r="U777" s="18" t="str">
        <f t="shared" si="5"/>
        <v>   </v>
      </c>
    </row>
    <row r="778">
      <c r="A778" s="1"/>
      <c r="B778" s="1"/>
      <c r="C778" s="1"/>
      <c r="D778" s="1"/>
      <c r="E778" s="2"/>
      <c r="F778" s="1"/>
      <c r="G778" s="65">
        <f t="shared" si="7"/>
        <v>0</v>
      </c>
      <c r="H778" s="1"/>
      <c r="I778" s="1"/>
      <c r="J778" s="1"/>
      <c r="K778" s="18"/>
      <c r="L778" s="18"/>
      <c r="M778" s="18"/>
      <c r="N778" s="18"/>
      <c r="O778" s="18"/>
      <c r="P778" s="67" t="s">
        <v>503</v>
      </c>
      <c r="Q778" s="18" t="s">
        <v>476</v>
      </c>
      <c r="R778" s="68" t="str">
        <f>IFERROR(CONCATENATE("*",VLOOKUP(L778,PARAM!D:E,2,0),VLOOKUP(M778,PARAM!J:K,2,0),VLOOKUP(N778,PARAM!G:H,2,0),VLOOKUP(P778,PARAM!P:Q,2,0),"*"),"")</f>
        <v/>
      </c>
      <c r="S778" s="18" t="str">
        <f>IFERROR(CONCATENATE(VLOOKUP(L778,PARAM!D:E,2,0),VLOOKUP(M778,PARAM!J:K,2,0),VLOOKUP(N778,PARAM!G:H,2,0),VLOOKUP(O778,PARAM!M:N,2,0),VLOOKUP(P778,PARAM!P:Q,2,0)),"")</f>
        <v/>
      </c>
      <c r="T778" s="18">
        <f t="shared" si="4"/>
        <v>0</v>
      </c>
      <c r="U778" s="18" t="str">
        <f t="shared" si="5"/>
        <v>   </v>
      </c>
    </row>
    <row r="779">
      <c r="A779" s="1"/>
      <c r="B779" s="1"/>
      <c r="C779" s="1"/>
      <c r="D779" s="1"/>
      <c r="E779" s="2"/>
      <c r="F779" s="1"/>
      <c r="G779" s="65">
        <f t="shared" si="7"/>
        <v>0</v>
      </c>
      <c r="H779" s="1"/>
      <c r="I779" s="1"/>
      <c r="J779" s="1"/>
      <c r="K779" s="18"/>
      <c r="L779" s="18"/>
      <c r="M779" s="18"/>
      <c r="N779" s="18"/>
      <c r="O779" s="18"/>
      <c r="P779" s="67" t="s">
        <v>503</v>
      </c>
      <c r="Q779" s="18" t="s">
        <v>476</v>
      </c>
      <c r="R779" s="68" t="str">
        <f>IFERROR(CONCATENATE("*",VLOOKUP(L779,PARAM!D:E,2,0),VLOOKUP(M779,PARAM!J:K,2,0),VLOOKUP(N779,PARAM!G:H,2,0),VLOOKUP(P779,PARAM!P:Q,2,0),"*"),"")</f>
        <v/>
      </c>
      <c r="S779" s="18" t="str">
        <f>IFERROR(CONCATENATE(VLOOKUP(L779,PARAM!D:E,2,0),VLOOKUP(M779,PARAM!J:K,2,0),VLOOKUP(N779,PARAM!G:H,2,0),VLOOKUP(O779,PARAM!M:N,2,0),VLOOKUP(P779,PARAM!P:Q,2,0)),"")</f>
        <v/>
      </c>
      <c r="T779" s="18">
        <f t="shared" si="4"/>
        <v>0</v>
      </c>
      <c r="U779" s="18" t="str">
        <f t="shared" si="5"/>
        <v>   </v>
      </c>
    </row>
    <row r="780">
      <c r="A780" s="1"/>
      <c r="B780" s="1"/>
      <c r="C780" s="1"/>
      <c r="D780" s="1"/>
      <c r="E780" s="2"/>
      <c r="F780" s="1"/>
      <c r="G780" s="65">
        <f t="shared" si="7"/>
        <v>0</v>
      </c>
      <c r="H780" s="1"/>
      <c r="I780" s="1"/>
      <c r="J780" s="1"/>
      <c r="K780" s="18"/>
      <c r="L780" s="18"/>
      <c r="M780" s="18"/>
      <c r="N780" s="18"/>
      <c r="O780" s="18"/>
      <c r="P780" s="67" t="s">
        <v>503</v>
      </c>
      <c r="Q780" s="18" t="s">
        <v>476</v>
      </c>
      <c r="R780" s="68" t="str">
        <f>IFERROR(CONCATENATE("*",VLOOKUP(L780,PARAM!D:E,2,0),VLOOKUP(M780,PARAM!J:K,2,0),VLOOKUP(N780,PARAM!G:H,2,0),VLOOKUP(P780,PARAM!P:Q,2,0),"*"),"")</f>
        <v/>
      </c>
      <c r="S780" s="18" t="str">
        <f>IFERROR(CONCATENATE(VLOOKUP(L780,PARAM!D:E,2,0),VLOOKUP(M780,PARAM!J:K,2,0),VLOOKUP(N780,PARAM!G:H,2,0),VLOOKUP(O780,PARAM!M:N,2,0),VLOOKUP(P780,PARAM!P:Q,2,0)),"")</f>
        <v/>
      </c>
      <c r="T780" s="18">
        <f t="shared" si="4"/>
        <v>0</v>
      </c>
      <c r="U780" s="18" t="str">
        <f t="shared" si="5"/>
        <v>   </v>
      </c>
    </row>
    <row r="781">
      <c r="A781" s="1"/>
      <c r="B781" s="1"/>
      <c r="C781" s="1"/>
      <c r="D781" s="1"/>
      <c r="E781" s="2"/>
      <c r="F781" s="1"/>
      <c r="G781" s="65">
        <f t="shared" si="7"/>
        <v>0</v>
      </c>
      <c r="H781" s="1"/>
      <c r="I781" s="1"/>
      <c r="J781" s="1"/>
      <c r="K781" s="18"/>
      <c r="L781" s="18"/>
      <c r="M781" s="18"/>
      <c r="N781" s="18"/>
      <c r="O781" s="18"/>
      <c r="P781" s="67" t="s">
        <v>503</v>
      </c>
      <c r="Q781" s="18" t="s">
        <v>476</v>
      </c>
      <c r="R781" s="68" t="str">
        <f>IFERROR(CONCATENATE("*",VLOOKUP(L781,PARAM!D:E,2,0),VLOOKUP(M781,PARAM!J:K,2,0),VLOOKUP(N781,PARAM!G:H,2,0),VLOOKUP(P781,PARAM!P:Q,2,0),"*"),"")</f>
        <v/>
      </c>
      <c r="S781" s="18" t="str">
        <f>IFERROR(CONCATENATE(VLOOKUP(L781,PARAM!D:E,2,0),VLOOKUP(M781,PARAM!J:K,2,0),VLOOKUP(N781,PARAM!G:H,2,0),VLOOKUP(O781,PARAM!M:N,2,0),VLOOKUP(P781,PARAM!P:Q,2,0)),"")</f>
        <v/>
      </c>
      <c r="T781" s="18">
        <f t="shared" si="4"/>
        <v>0</v>
      </c>
      <c r="U781" s="18" t="str">
        <f t="shared" si="5"/>
        <v>   </v>
      </c>
    </row>
    <row r="782">
      <c r="A782" s="1"/>
      <c r="B782" s="1"/>
      <c r="C782" s="1"/>
      <c r="D782" s="1"/>
      <c r="E782" s="2"/>
      <c r="F782" s="1"/>
      <c r="G782" s="65">
        <f t="shared" si="7"/>
        <v>0</v>
      </c>
      <c r="H782" s="1"/>
      <c r="I782" s="1"/>
      <c r="J782" s="1"/>
      <c r="K782" s="18"/>
      <c r="L782" s="18"/>
      <c r="M782" s="18"/>
      <c r="N782" s="18"/>
      <c r="O782" s="18"/>
      <c r="P782" s="67" t="s">
        <v>503</v>
      </c>
      <c r="Q782" s="18" t="s">
        <v>476</v>
      </c>
      <c r="R782" s="68" t="str">
        <f>IFERROR(CONCATENATE("*",VLOOKUP(L782,PARAM!D:E,2,0),VLOOKUP(M782,PARAM!J:K,2,0),VLOOKUP(N782,PARAM!G:H,2,0),VLOOKUP(P782,PARAM!P:Q,2,0),"*"),"")</f>
        <v/>
      </c>
      <c r="S782" s="18" t="str">
        <f>IFERROR(CONCATENATE(VLOOKUP(L782,PARAM!D:E,2,0),VLOOKUP(M782,PARAM!J:K,2,0),VLOOKUP(N782,PARAM!G:H,2,0),VLOOKUP(O782,PARAM!M:N,2,0),VLOOKUP(P782,PARAM!P:Q,2,0)),"")</f>
        <v/>
      </c>
      <c r="T782" s="18">
        <f t="shared" si="4"/>
        <v>0</v>
      </c>
      <c r="U782" s="18" t="str">
        <f t="shared" si="5"/>
        <v>   </v>
      </c>
    </row>
    <row r="783">
      <c r="A783" s="1"/>
      <c r="B783" s="1"/>
      <c r="C783" s="1"/>
      <c r="D783" s="1"/>
      <c r="E783" s="2"/>
      <c r="F783" s="1"/>
      <c r="G783" s="65">
        <f t="shared" si="7"/>
        <v>0</v>
      </c>
      <c r="H783" s="1"/>
      <c r="I783" s="1"/>
      <c r="J783" s="1"/>
      <c r="K783" s="18"/>
      <c r="L783" s="18"/>
      <c r="M783" s="18"/>
      <c r="N783" s="18"/>
      <c r="O783" s="18"/>
      <c r="P783" s="67" t="s">
        <v>503</v>
      </c>
      <c r="Q783" s="18" t="s">
        <v>476</v>
      </c>
      <c r="R783" s="68" t="str">
        <f>IFERROR(CONCATENATE("*",VLOOKUP(L783,PARAM!D:E,2,0),VLOOKUP(M783,PARAM!J:K,2,0),VLOOKUP(N783,PARAM!G:H,2,0),VLOOKUP(P783,PARAM!P:Q,2,0),"*"),"")</f>
        <v/>
      </c>
      <c r="S783" s="18" t="str">
        <f>IFERROR(CONCATENATE(VLOOKUP(L783,PARAM!D:E,2,0),VLOOKUP(M783,PARAM!J:K,2,0),VLOOKUP(N783,PARAM!G:H,2,0),VLOOKUP(O783,PARAM!M:N,2,0),VLOOKUP(P783,PARAM!P:Q,2,0)),"")</f>
        <v/>
      </c>
      <c r="T783" s="18">
        <f t="shared" si="4"/>
        <v>0</v>
      </c>
      <c r="U783" s="18" t="str">
        <f t="shared" si="5"/>
        <v>   </v>
      </c>
    </row>
    <row r="784">
      <c r="A784" s="1"/>
      <c r="B784" s="1"/>
      <c r="C784" s="1"/>
      <c r="D784" s="1"/>
      <c r="E784" s="2"/>
      <c r="F784" s="1"/>
      <c r="G784" s="65">
        <f t="shared" si="7"/>
        <v>0</v>
      </c>
      <c r="H784" s="1"/>
      <c r="I784" s="1"/>
      <c r="J784" s="1"/>
      <c r="K784" s="18"/>
      <c r="L784" s="18"/>
      <c r="M784" s="18"/>
      <c r="N784" s="18"/>
      <c r="O784" s="18"/>
      <c r="P784" s="67" t="s">
        <v>503</v>
      </c>
      <c r="Q784" s="18" t="s">
        <v>476</v>
      </c>
      <c r="R784" s="68" t="str">
        <f>IFERROR(CONCATENATE("*",VLOOKUP(L784,PARAM!D:E,2,0),VLOOKUP(M784,PARAM!J:K,2,0),VLOOKUP(N784,PARAM!G:H,2,0),VLOOKUP(P784,PARAM!P:Q,2,0),"*"),"")</f>
        <v/>
      </c>
      <c r="S784" s="18" t="str">
        <f>IFERROR(CONCATENATE(VLOOKUP(L784,PARAM!D:E,2,0),VLOOKUP(M784,PARAM!J:K,2,0),VLOOKUP(N784,PARAM!G:H,2,0),VLOOKUP(O784,PARAM!M:N,2,0),VLOOKUP(P784,PARAM!P:Q,2,0)),"")</f>
        <v/>
      </c>
      <c r="T784" s="18">
        <f t="shared" si="4"/>
        <v>0</v>
      </c>
      <c r="U784" s="18" t="str">
        <f t="shared" si="5"/>
        <v>   </v>
      </c>
    </row>
    <row r="785">
      <c r="A785" s="1"/>
      <c r="B785" s="1"/>
      <c r="C785" s="1"/>
      <c r="D785" s="1"/>
      <c r="E785" s="2"/>
      <c r="F785" s="1"/>
      <c r="G785" s="65">
        <f t="shared" si="7"/>
        <v>0</v>
      </c>
      <c r="H785" s="1"/>
      <c r="I785" s="1"/>
      <c r="J785" s="1"/>
      <c r="K785" s="18"/>
      <c r="L785" s="18"/>
      <c r="M785" s="18"/>
      <c r="N785" s="18"/>
      <c r="O785" s="18"/>
      <c r="P785" s="67" t="s">
        <v>503</v>
      </c>
      <c r="Q785" s="18" t="s">
        <v>476</v>
      </c>
      <c r="R785" s="68" t="str">
        <f>IFERROR(CONCATENATE("*",VLOOKUP(L785,PARAM!D:E,2,0),VLOOKUP(M785,PARAM!J:K,2,0),VLOOKUP(N785,PARAM!G:H,2,0),VLOOKUP(P785,PARAM!P:Q,2,0),"*"),"")</f>
        <v/>
      </c>
      <c r="S785" s="18" t="str">
        <f>IFERROR(CONCATENATE(VLOOKUP(L785,PARAM!D:E,2,0),VLOOKUP(M785,PARAM!J:K,2,0),VLOOKUP(N785,PARAM!G:H,2,0),VLOOKUP(O785,PARAM!M:N,2,0),VLOOKUP(P785,PARAM!P:Q,2,0)),"")</f>
        <v/>
      </c>
      <c r="T785" s="18">
        <f t="shared" si="4"/>
        <v>0</v>
      </c>
      <c r="U785" s="18" t="str">
        <f t="shared" si="5"/>
        <v>   </v>
      </c>
    </row>
    <row r="786">
      <c r="A786" s="1"/>
      <c r="B786" s="1"/>
      <c r="C786" s="1"/>
      <c r="D786" s="1"/>
      <c r="E786" s="2"/>
      <c r="F786" s="1"/>
      <c r="G786" s="65">
        <f t="shared" si="7"/>
        <v>0</v>
      </c>
      <c r="H786" s="1"/>
      <c r="I786" s="1"/>
      <c r="J786" s="1"/>
      <c r="K786" s="18"/>
      <c r="L786" s="18"/>
      <c r="M786" s="18"/>
      <c r="N786" s="18"/>
      <c r="O786" s="18"/>
      <c r="P786" s="67" t="s">
        <v>503</v>
      </c>
      <c r="Q786" s="18" t="s">
        <v>476</v>
      </c>
      <c r="R786" s="68" t="str">
        <f>IFERROR(CONCATENATE("*",VLOOKUP(L786,PARAM!D:E,2,0),VLOOKUP(M786,PARAM!J:K,2,0),VLOOKUP(N786,PARAM!G:H,2,0),VLOOKUP(P786,PARAM!P:Q,2,0),"*"),"")</f>
        <v/>
      </c>
      <c r="S786" s="18" t="str">
        <f>IFERROR(CONCATENATE(VLOOKUP(L786,PARAM!D:E,2,0),VLOOKUP(M786,PARAM!J:K,2,0),VLOOKUP(N786,PARAM!G:H,2,0),VLOOKUP(O786,PARAM!M:N,2,0),VLOOKUP(P786,PARAM!P:Q,2,0)),"")</f>
        <v/>
      </c>
      <c r="T786" s="18">
        <f t="shared" si="4"/>
        <v>0</v>
      </c>
      <c r="U786" s="18" t="str">
        <f t="shared" si="5"/>
        <v>   </v>
      </c>
    </row>
    <row r="787">
      <c r="A787" s="1"/>
      <c r="B787" s="1"/>
      <c r="C787" s="1"/>
      <c r="D787" s="1"/>
      <c r="E787" s="2"/>
      <c r="F787" s="1"/>
      <c r="G787" s="65">
        <f t="shared" si="7"/>
        <v>0</v>
      </c>
      <c r="H787" s="1"/>
      <c r="I787" s="1"/>
      <c r="J787" s="1"/>
      <c r="K787" s="18"/>
      <c r="L787" s="18"/>
      <c r="M787" s="18"/>
      <c r="N787" s="18"/>
      <c r="O787" s="18"/>
      <c r="P787" s="67" t="s">
        <v>503</v>
      </c>
      <c r="Q787" s="18" t="s">
        <v>476</v>
      </c>
      <c r="R787" s="68" t="str">
        <f>IFERROR(CONCATENATE("*",VLOOKUP(L787,PARAM!D:E,2,0),VLOOKUP(M787,PARAM!J:K,2,0),VLOOKUP(N787,PARAM!G:H,2,0),VLOOKUP(P787,PARAM!P:Q,2,0),"*"),"")</f>
        <v/>
      </c>
      <c r="S787" s="18" t="str">
        <f>IFERROR(CONCATENATE(VLOOKUP(L787,PARAM!D:E,2,0),VLOOKUP(M787,PARAM!J:K,2,0),VLOOKUP(N787,PARAM!G:H,2,0),VLOOKUP(O787,PARAM!M:N,2,0),VLOOKUP(P787,PARAM!P:Q,2,0)),"")</f>
        <v/>
      </c>
      <c r="T787" s="18">
        <f t="shared" si="4"/>
        <v>0</v>
      </c>
      <c r="U787" s="18" t="str">
        <f t="shared" si="5"/>
        <v>   </v>
      </c>
    </row>
    <row r="788">
      <c r="A788" s="1"/>
      <c r="B788" s="1"/>
      <c r="C788" s="1"/>
      <c r="D788" s="1"/>
      <c r="E788" s="2"/>
      <c r="F788" s="1"/>
      <c r="G788" s="65">
        <f t="shared" si="7"/>
        <v>0</v>
      </c>
      <c r="H788" s="1"/>
      <c r="I788" s="1"/>
      <c r="J788" s="1"/>
      <c r="K788" s="18"/>
      <c r="L788" s="18"/>
      <c r="M788" s="18"/>
      <c r="N788" s="18"/>
      <c r="O788" s="18"/>
      <c r="P788" s="67" t="s">
        <v>503</v>
      </c>
      <c r="Q788" s="18" t="s">
        <v>476</v>
      </c>
      <c r="R788" s="68" t="str">
        <f>IFERROR(CONCATENATE("*",VLOOKUP(L788,PARAM!D:E,2,0),VLOOKUP(M788,PARAM!J:K,2,0),VLOOKUP(N788,PARAM!G:H,2,0),VLOOKUP(P788,PARAM!P:Q,2,0),"*"),"")</f>
        <v/>
      </c>
      <c r="S788" s="18" t="str">
        <f>IFERROR(CONCATENATE(VLOOKUP(L788,PARAM!D:E,2,0),VLOOKUP(M788,PARAM!J:K,2,0),VLOOKUP(N788,PARAM!G:H,2,0),VLOOKUP(O788,PARAM!M:N,2,0),VLOOKUP(P788,PARAM!P:Q,2,0)),"")</f>
        <v/>
      </c>
      <c r="T788" s="18">
        <f t="shared" si="4"/>
        <v>0</v>
      </c>
      <c r="U788" s="18" t="str">
        <f t="shared" si="5"/>
        <v>   </v>
      </c>
    </row>
    <row r="789">
      <c r="A789" s="1"/>
      <c r="B789" s="1"/>
      <c r="C789" s="1"/>
      <c r="D789" s="1"/>
      <c r="E789" s="2"/>
      <c r="F789" s="1"/>
      <c r="G789" s="65">
        <f t="shared" si="7"/>
        <v>0</v>
      </c>
      <c r="H789" s="1"/>
      <c r="I789" s="1"/>
      <c r="J789" s="1"/>
      <c r="K789" s="18"/>
      <c r="L789" s="18"/>
      <c r="M789" s="18"/>
      <c r="N789" s="18"/>
      <c r="O789" s="18"/>
      <c r="P789" s="67" t="s">
        <v>503</v>
      </c>
      <c r="Q789" s="18" t="s">
        <v>476</v>
      </c>
      <c r="R789" s="68" t="str">
        <f>IFERROR(CONCATENATE("*",VLOOKUP(L789,PARAM!D:E,2,0),VLOOKUP(M789,PARAM!J:K,2,0),VLOOKUP(N789,PARAM!G:H,2,0),VLOOKUP(P789,PARAM!P:Q,2,0),"*"),"")</f>
        <v/>
      </c>
      <c r="S789" s="18" t="str">
        <f>IFERROR(CONCATENATE(VLOOKUP(L789,PARAM!D:E,2,0),VLOOKUP(M789,PARAM!J:K,2,0),VLOOKUP(N789,PARAM!G:H,2,0),VLOOKUP(O789,PARAM!M:N,2,0),VLOOKUP(P789,PARAM!P:Q,2,0)),"")</f>
        <v/>
      </c>
      <c r="T789" s="18">
        <f t="shared" si="4"/>
        <v>0</v>
      </c>
      <c r="U789" s="18" t="str">
        <f t="shared" si="5"/>
        <v>   </v>
      </c>
    </row>
    <row r="790">
      <c r="A790" s="1"/>
      <c r="B790" s="1"/>
      <c r="C790" s="1"/>
      <c r="D790" s="1"/>
      <c r="E790" s="2"/>
      <c r="F790" s="1"/>
      <c r="G790" s="65">
        <f t="shared" si="7"/>
        <v>0</v>
      </c>
      <c r="H790" s="1"/>
      <c r="I790" s="1"/>
      <c r="J790" s="1"/>
      <c r="K790" s="18"/>
      <c r="L790" s="18"/>
      <c r="M790" s="18"/>
      <c r="N790" s="18"/>
      <c r="O790" s="18"/>
      <c r="P790" s="67" t="s">
        <v>503</v>
      </c>
      <c r="Q790" s="18" t="s">
        <v>476</v>
      </c>
      <c r="R790" s="68" t="str">
        <f>IFERROR(CONCATENATE("*",VLOOKUP(L790,PARAM!D:E,2,0),VLOOKUP(M790,PARAM!J:K,2,0),VLOOKUP(N790,PARAM!G:H,2,0),VLOOKUP(P790,PARAM!P:Q,2,0),"*"),"")</f>
        <v/>
      </c>
      <c r="S790" s="18" t="str">
        <f>IFERROR(CONCATENATE(VLOOKUP(L790,PARAM!D:E,2,0),VLOOKUP(M790,PARAM!J:K,2,0),VLOOKUP(N790,PARAM!G:H,2,0),VLOOKUP(O790,PARAM!M:N,2,0),VLOOKUP(P790,PARAM!P:Q,2,0)),"")</f>
        <v/>
      </c>
      <c r="T790" s="18">
        <f t="shared" si="4"/>
        <v>0</v>
      </c>
      <c r="U790" s="18" t="str">
        <f t="shared" si="5"/>
        <v>   </v>
      </c>
    </row>
    <row r="791">
      <c r="A791" s="1"/>
      <c r="B791" s="1"/>
      <c r="C791" s="1"/>
      <c r="D791" s="1"/>
      <c r="E791" s="2"/>
      <c r="F791" s="1"/>
      <c r="G791" s="65">
        <f t="shared" si="7"/>
        <v>0</v>
      </c>
      <c r="H791" s="1"/>
      <c r="I791" s="1"/>
      <c r="J791" s="1"/>
      <c r="K791" s="18"/>
      <c r="L791" s="18"/>
      <c r="M791" s="18"/>
      <c r="N791" s="18"/>
      <c r="O791" s="18"/>
      <c r="P791" s="67" t="s">
        <v>503</v>
      </c>
      <c r="Q791" s="18" t="s">
        <v>476</v>
      </c>
      <c r="R791" s="68" t="str">
        <f>IFERROR(CONCATENATE("*",VLOOKUP(L791,PARAM!D:E,2,0),VLOOKUP(M791,PARAM!J:K,2,0),VLOOKUP(N791,PARAM!G:H,2,0),VLOOKUP(P791,PARAM!P:Q,2,0),"*"),"")</f>
        <v/>
      </c>
      <c r="S791" s="18" t="str">
        <f>IFERROR(CONCATENATE(VLOOKUP(L791,PARAM!D:E,2,0),VLOOKUP(M791,PARAM!J:K,2,0),VLOOKUP(N791,PARAM!G:H,2,0),VLOOKUP(O791,PARAM!M:N,2,0),VLOOKUP(P791,PARAM!P:Q,2,0)),"")</f>
        <v/>
      </c>
      <c r="T791" s="18">
        <f t="shared" si="4"/>
        <v>0</v>
      </c>
      <c r="U791" s="18" t="str">
        <f t="shared" si="5"/>
        <v>   </v>
      </c>
    </row>
    <row r="792">
      <c r="A792" s="1"/>
      <c r="B792" s="1"/>
      <c r="C792" s="1"/>
      <c r="D792" s="1"/>
      <c r="E792" s="2"/>
      <c r="F792" s="1"/>
      <c r="G792" s="65">
        <f t="shared" si="7"/>
        <v>0</v>
      </c>
      <c r="H792" s="1"/>
      <c r="I792" s="1"/>
      <c r="J792" s="1"/>
      <c r="K792" s="18"/>
      <c r="L792" s="18"/>
      <c r="M792" s="18"/>
      <c r="N792" s="18"/>
      <c r="O792" s="18"/>
      <c r="P792" s="67" t="s">
        <v>503</v>
      </c>
      <c r="Q792" s="18" t="s">
        <v>476</v>
      </c>
      <c r="R792" s="68" t="str">
        <f>IFERROR(CONCATENATE("*",VLOOKUP(L792,PARAM!D:E,2,0),VLOOKUP(M792,PARAM!J:K,2,0),VLOOKUP(N792,PARAM!G:H,2,0),VLOOKUP(P792,PARAM!P:Q,2,0),"*"),"")</f>
        <v/>
      </c>
      <c r="S792" s="18" t="str">
        <f>IFERROR(CONCATENATE(VLOOKUP(L792,PARAM!D:E,2,0),VLOOKUP(M792,PARAM!J:K,2,0),VLOOKUP(N792,PARAM!G:H,2,0),VLOOKUP(O792,PARAM!M:N,2,0),VLOOKUP(P792,PARAM!P:Q,2,0)),"")</f>
        <v/>
      </c>
      <c r="T792" s="18">
        <f t="shared" si="4"/>
        <v>0</v>
      </c>
      <c r="U792" s="18" t="str">
        <f t="shared" si="5"/>
        <v>   </v>
      </c>
    </row>
    <row r="793">
      <c r="A793" s="1"/>
      <c r="B793" s="1"/>
      <c r="C793" s="1"/>
      <c r="D793" s="1"/>
      <c r="E793" s="2"/>
      <c r="F793" s="1"/>
      <c r="G793" s="65">
        <f t="shared" si="7"/>
        <v>0</v>
      </c>
      <c r="H793" s="1"/>
      <c r="I793" s="1"/>
      <c r="J793" s="1"/>
      <c r="K793" s="18"/>
      <c r="L793" s="18"/>
      <c r="M793" s="18"/>
      <c r="N793" s="18"/>
      <c r="O793" s="18"/>
      <c r="P793" s="67" t="s">
        <v>503</v>
      </c>
      <c r="Q793" s="18" t="s">
        <v>476</v>
      </c>
      <c r="R793" s="68" t="str">
        <f>IFERROR(CONCATENATE("*",VLOOKUP(L793,PARAM!D:E,2,0),VLOOKUP(M793,PARAM!J:K,2,0),VLOOKUP(N793,PARAM!G:H,2,0),VLOOKUP(P793,PARAM!P:Q,2,0),"*"),"")</f>
        <v/>
      </c>
      <c r="S793" s="18" t="str">
        <f>IFERROR(CONCATENATE(VLOOKUP(L793,PARAM!D:E,2,0),VLOOKUP(M793,PARAM!J:K,2,0),VLOOKUP(N793,PARAM!G:H,2,0),VLOOKUP(O793,PARAM!M:N,2,0),VLOOKUP(P793,PARAM!P:Q,2,0)),"")</f>
        <v/>
      </c>
      <c r="T793" s="18">
        <f t="shared" si="4"/>
        <v>0</v>
      </c>
      <c r="U793" s="18" t="str">
        <f t="shared" si="5"/>
        <v>   </v>
      </c>
    </row>
    <row r="794">
      <c r="A794" s="1"/>
      <c r="B794" s="1"/>
      <c r="C794" s="1"/>
      <c r="D794" s="1"/>
      <c r="E794" s="2"/>
      <c r="F794" s="1"/>
      <c r="G794" s="65">
        <f t="shared" si="7"/>
        <v>0</v>
      </c>
      <c r="H794" s="1"/>
      <c r="I794" s="1"/>
      <c r="J794" s="1"/>
      <c r="K794" s="18"/>
      <c r="L794" s="18"/>
      <c r="M794" s="18"/>
      <c r="N794" s="18"/>
      <c r="O794" s="18"/>
      <c r="P794" s="67" t="s">
        <v>503</v>
      </c>
      <c r="Q794" s="18" t="s">
        <v>476</v>
      </c>
      <c r="R794" s="68" t="str">
        <f>IFERROR(CONCATENATE("*",VLOOKUP(L794,PARAM!D:E,2,0),VLOOKUP(M794,PARAM!J:K,2,0),VLOOKUP(N794,PARAM!G:H,2,0),VLOOKUP(P794,PARAM!P:Q,2,0),"*"),"")</f>
        <v/>
      </c>
      <c r="S794" s="18" t="str">
        <f>IFERROR(CONCATENATE(VLOOKUP(L794,PARAM!D:E,2,0),VLOOKUP(M794,PARAM!J:K,2,0),VLOOKUP(N794,PARAM!G:H,2,0),VLOOKUP(O794,PARAM!M:N,2,0),VLOOKUP(P794,PARAM!P:Q,2,0)),"")</f>
        <v/>
      </c>
      <c r="T794" s="18">
        <f t="shared" si="4"/>
        <v>0</v>
      </c>
      <c r="U794" s="18" t="str">
        <f t="shared" si="5"/>
        <v>   </v>
      </c>
    </row>
    <row r="795">
      <c r="A795" s="1"/>
      <c r="B795" s="1"/>
      <c r="C795" s="1"/>
      <c r="D795" s="1"/>
      <c r="E795" s="2"/>
      <c r="F795" s="1"/>
      <c r="G795" s="65">
        <f t="shared" si="7"/>
        <v>0</v>
      </c>
      <c r="H795" s="1"/>
      <c r="I795" s="1"/>
      <c r="J795" s="1"/>
      <c r="K795" s="18"/>
      <c r="L795" s="18"/>
      <c r="M795" s="18"/>
      <c r="N795" s="18"/>
      <c r="O795" s="18"/>
      <c r="P795" s="67" t="s">
        <v>503</v>
      </c>
      <c r="Q795" s="18" t="s">
        <v>476</v>
      </c>
      <c r="R795" s="68" t="str">
        <f>IFERROR(CONCATENATE("*",VLOOKUP(L795,PARAM!D:E,2,0),VLOOKUP(M795,PARAM!J:K,2,0),VLOOKUP(N795,PARAM!G:H,2,0),VLOOKUP(P795,PARAM!P:Q,2,0),"*"),"")</f>
        <v/>
      </c>
      <c r="S795" s="18" t="str">
        <f>IFERROR(CONCATENATE(VLOOKUP(L795,PARAM!D:E,2,0),VLOOKUP(M795,PARAM!J:K,2,0),VLOOKUP(N795,PARAM!G:H,2,0),VLOOKUP(O795,PARAM!M:N,2,0),VLOOKUP(P795,PARAM!P:Q,2,0)),"")</f>
        <v/>
      </c>
      <c r="T795" s="18">
        <f t="shared" si="4"/>
        <v>0</v>
      </c>
      <c r="U795" s="18" t="str">
        <f t="shared" si="5"/>
        <v>   </v>
      </c>
    </row>
    <row r="796">
      <c r="A796" s="1"/>
      <c r="B796" s="1"/>
      <c r="C796" s="1"/>
      <c r="D796" s="1"/>
      <c r="E796" s="2"/>
      <c r="F796" s="1"/>
      <c r="G796" s="65">
        <f t="shared" si="7"/>
        <v>0</v>
      </c>
      <c r="H796" s="1"/>
      <c r="I796" s="1"/>
      <c r="J796" s="1"/>
      <c r="K796" s="18"/>
      <c r="L796" s="18"/>
      <c r="M796" s="18"/>
      <c r="N796" s="18"/>
      <c r="O796" s="18"/>
      <c r="P796" s="67" t="s">
        <v>503</v>
      </c>
      <c r="Q796" s="18" t="s">
        <v>476</v>
      </c>
      <c r="R796" s="68" t="str">
        <f>IFERROR(CONCATENATE("*",VLOOKUP(L796,PARAM!D:E,2,0),VLOOKUP(M796,PARAM!J:K,2,0),VLOOKUP(N796,PARAM!G:H,2,0),VLOOKUP(P796,PARAM!P:Q,2,0),"*"),"")</f>
        <v/>
      </c>
      <c r="S796" s="18" t="str">
        <f>IFERROR(CONCATENATE(VLOOKUP(L796,PARAM!D:E,2,0),VLOOKUP(M796,PARAM!J:K,2,0),VLOOKUP(N796,PARAM!G:H,2,0),VLOOKUP(O796,PARAM!M:N,2,0),VLOOKUP(P796,PARAM!P:Q,2,0)),"")</f>
        <v/>
      </c>
      <c r="T796" s="18">
        <f t="shared" si="4"/>
        <v>0</v>
      </c>
      <c r="U796" s="18" t="str">
        <f t="shared" si="5"/>
        <v>   </v>
      </c>
    </row>
    <row r="797">
      <c r="A797" s="1"/>
      <c r="B797" s="1"/>
      <c r="C797" s="1"/>
      <c r="D797" s="1"/>
      <c r="E797" s="2"/>
      <c r="F797" s="1"/>
      <c r="G797" s="65">
        <f t="shared" si="7"/>
        <v>0</v>
      </c>
      <c r="H797" s="1"/>
      <c r="I797" s="1"/>
      <c r="J797" s="1"/>
      <c r="K797" s="18"/>
      <c r="L797" s="18"/>
      <c r="M797" s="18"/>
      <c r="N797" s="18"/>
      <c r="O797" s="18"/>
      <c r="P797" s="67" t="s">
        <v>503</v>
      </c>
      <c r="Q797" s="18" t="s">
        <v>476</v>
      </c>
      <c r="R797" s="68" t="str">
        <f>IFERROR(CONCATENATE("*",VLOOKUP(L797,PARAM!D:E,2,0),VLOOKUP(M797,PARAM!J:K,2,0),VLOOKUP(N797,PARAM!G:H,2,0),VLOOKUP(P797,PARAM!P:Q,2,0),"*"),"")</f>
        <v/>
      </c>
      <c r="S797" s="18" t="str">
        <f>IFERROR(CONCATENATE(VLOOKUP(L797,PARAM!D:E,2,0),VLOOKUP(M797,PARAM!J:K,2,0),VLOOKUP(N797,PARAM!G:H,2,0),VLOOKUP(O797,PARAM!M:N,2,0),VLOOKUP(P797,PARAM!P:Q,2,0)),"")</f>
        <v/>
      </c>
      <c r="T797" s="18">
        <f t="shared" si="4"/>
        <v>0</v>
      </c>
      <c r="U797" s="18" t="str">
        <f t="shared" si="5"/>
        <v>   </v>
      </c>
    </row>
    <row r="798">
      <c r="A798" s="1"/>
      <c r="B798" s="1"/>
      <c r="C798" s="1"/>
      <c r="D798" s="1"/>
      <c r="E798" s="2"/>
      <c r="F798" s="1"/>
      <c r="G798" s="65">
        <f t="shared" si="7"/>
        <v>0</v>
      </c>
      <c r="H798" s="1"/>
      <c r="I798" s="1"/>
      <c r="J798" s="1"/>
      <c r="K798" s="18"/>
      <c r="L798" s="18"/>
      <c r="M798" s="18"/>
      <c r="N798" s="18"/>
      <c r="O798" s="18"/>
      <c r="P798" s="67" t="s">
        <v>503</v>
      </c>
      <c r="Q798" s="18" t="s">
        <v>476</v>
      </c>
      <c r="R798" s="68" t="str">
        <f>IFERROR(CONCATENATE("*",VLOOKUP(L798,PARAM!D:E,2,0),VLOOKUP(M798,PARAM!J:K,2,0),VLOOKUP(N798,PARAM!G:H,2,0),VLOOKUP(P798,PARAM!P:Q,2,0),"*"),"")</f>
        <v/>
      </c>
      <c r="S798" s="18" t="str">
        <f>IFERROR(CONCATENATE(VLOOKUP(L798,PARAM!D:E,2,0),VLOOKUP(M798,PARAM!J:K,2,0),VLOOKUP(N798,PARAM!G:H,2,0),VLOOKUP(O798,PARAM!M:N,2,0),VLOOKUP(P798,PARAM!P:Q,2,0)),"")</f>
        <v/>
      </c>
      <c r="T798" s="18">
        <f t="shared" si="4"/>
        <v>0</v>
      </c>
      <c r="U798" s="18" t="str">
        <f t="shared" si="5"/>
        <v>   </v>
      </c>
    </row>
    <row r="799">
      <c r="A799" s="1"/>
      <c r="B799" s="1"/>
      <c r="C799" s="1"/>
      <c r="D799" s="1"/>
      <c r="E799" s="2"/>
      <c r="F799" s="1"/>
      <c r="G799" s="65">
        <f t="shared" si="7"/>
        <v>0</v>
      </c>
      <c r="H799" s="1"/>
      <c r="I799" s="1"/>
      <c r="J799" s="1"/>
      <c r="K799" s="18"/>
      <c r="L799" s="18"/>
      <c r="M799" s="18"/>
      <c r="N799" s="18"/>
      <c r="O799" s="18"/>
      <c r="P799" s="67" t="s">
        <v>503</v>
      </c>
      <c r="Q799" s="18" t="s">
        <v>476</v>
      </c>
      <c r="R799" s="68" t="str">
        <f>IFERROR(CONCATENATE("*",VLOOKUP(L799,PARAM!D:E,2,0),VLOOKUP(M799,PARAM!J:K,2,0),VLOOKUP(N799,PARAM!G:H,2,0),VLOOKUP(P799,PARAM!P:Q,2,0),"*"),"")</f>
        <v/>
      </c>
      <c r="S799" s="18" t="str">
        <f>IFERROR(CONCATENATE(VLOOKUP(L799,PARAM!D:E,2,0),VLOOKUP(M799,PARAM!J:K,2,0),VLOOKUP(N799,PARAM!G:H,2,0),VLOOKUP(O799,PARAM!M:N,2,0),VLOOKUP(P799,PARAM!P:Q,2,0)),"")</f>
        <v/>
      </c>
      <c r="T799" s="18">
        <f t="shared" si="4"/>
        <v>0</v>
      </c>
      <c r="U799" s="18" t="str">
        <f t="shared" si="5"/>
        <v>   </v>
      </c>
    </row>
    <row r="800">
      <c r="A800" s="1"/>
      <c r="B800" s="1"/>
      <c r="C800" s="1"/>
      <c r="D800" s="1"/>
      <c r="E800" s="2"/>
      <c r="F800" s="1"/>
      <c r="G800" s="65">
        <f t="shared" si="7"/>
        <v>0</v>
      </c>
      <c r="H800" s="1"/>
      <c r="I800" s="1"/>
      <c r="J800" s="1"/>
      <c r="K800" s="18"/>
      <c r="L800" s="18"/>
      <c r="M800" s="18"/>
      <c r="N800" s="18"/>
      <c r="O800" s="18"/>
      <c r="P800" s="67" t="s">
        <v>503</v>
      </c>
      <c r="Q800" s="18" t="s">
        <v>476</v>
      </c>
      <c r="R800" s="68" t="str">
        <f>IFERROR(CONCATENATE("*",VLOOKUP(L800,PARAM!D:E,2,0),VLOOKUP(M800,PARAM!J:K,2,0),VLOOKUP(N800,PARAM!G:H,2,0),VLOOKUP(P800,PARAM!P:Q,2,0),"*"),"")</f>
        <v/>
      </c>
      <c r="S800" s="18" t="str">
        <f>IFERROR(CONCATENATE(VLOOKUP(L800,PARAM!D:E,2,0),VLOOKUP(M800,PARAM!J:K,2,0),VLOOKUP(N800,PARAM!G:H,2,0),VLOOKUP(O800,PARAM!M:N,2,0),VLOOKUP(P800,PARAM!P:Q,2,0)),"")</f>
        <v/>
      </c>
      <c r="T800" s="18">
        <f t="shared" si="4"/>
        <v>0</v>
      </c>
      <c r="U800" s="18" t="str">
        <f t="shared" si="5"/>
        <v>   </v>
      </c>
    </row>
    <row r="801">
      <c r="A801" s="1"/>
      <c r="B801" s="1"/>
      <c r="C801" s="1"/>
      <c r="D801" s="1"/>
      <c r="E801" s="2"/>
      <c r="F801" s="1"/>
      <c r="G801" s="65">
        <f t="shared" si="7"/>
        <v>0</v>
      </c>
      <c r="H801" s="1"/>
      <c r="I801" s="1"/>
      <c r="J801" s="1"/>
      <c r="K801" s="18"/>
      <c r="L801" s="18"/>
      <c r="M801" s="18"/>
      <c r="N801" s="18"/>
      <c r="O801" s="18"/>
      <c r="P801" s="67" t="s">
        <v>503</v>
      </c>
      <c r="Q801" s="18" t="s">
        <v>476</v>
      </c>
      <c r="R801" s="68" t="str">
        <f>IFERROR(CONCATENATE("*",VLOOKUP(L801,PARAM!D:E,2,0),VLOOKUP(M801,PARAM!J:K,2,0),VLOOKUP(N801,PARAM!G:H,2,0),VLOOKUP(P801,PARAM!P:Q,2,0),"*"),"")</f>
        <v/>
      </c>
      <c r="S801" s="18" t="str">
        <f>IFERROR(CONCATENATE(VLOOKUP(L801,PARAM!D:E,2,0),VLOOKUP(M801,PARAM!J:K,2,0),VLOOKUP(N801,PARAM!G:H,2,0),VLOOKUP(O801,PARAM!M:N,2,0),VLOOKUP(P801,PARAM!P:Q,2,0)),"")</f>
        <v/>
      </c>
      <c r="T801" s="18">
        <f t="shared" si="4"/>
        <v>0</v>
      </c>
      <c r="U801" s="18" t="str">
        <f t="shared" si="5"/>
        <v>   </v>
      </c>
    </row>
    <row r="802">
      <c r="A802" s="1"/>
      <c r="B802" s="1"/>
      <c r="C802" s="1"/>
      <c r="D802" s="1"/>
      <c r="E802" s="2"/>
      <c r="F802" s="1"/>
      <c r="G802" s="65">
        <f t="shared" si="7"/>
        <v>0</v>
      </c>
      <c r="H802" s="1"/>
      <c r="I802" s="1"/>
      <c r="J802" s="1"/>
      <c r="K802" s="18"/>
      <c r="L802" s="18"/>
      <c r="M802" s="18"/>
      <c r="N802" s="18"/>
      <c r="O802" s="18"/>
      <c r="P802" s="67" t="s">
        <v>503</v>
      </c>
      <c r="Q802" s="18" t="s">
        <v>476</v>
      </c>
      <c r="R802" s="68" t="str">
        <f>IFERROR(CONCATENATE("*",VLOOKUP(L802,PARAM!D:E,2,0),VLOOKUP(M802,PARAM!J:K,2,0),VLOOKUP(N802,PARAM!G:H,2,0),VLOOKUP(P802,PARAM!P:Q,2,0),"*"),"")</f>
        <v/>
      </c>
      <c r="S802" s="18" t="str">
        <f>IFERROR(CONCATENATE(VLOOKUP(L802,PARAM!D:E,2,0),VLOOKUP(M802,PARAM!J:K,2,0),VLOOKUP(N802,PARAM!G:H,2,0),VLOOKUP(O802,PARAM!M:N,2,0),VLOOKUP(P802,PARAM!P:Q,2,0)),"")</f>
        <v/>
      </c>
      <c r="T802" s="18">
        <f t="shared" si="4"/>
        <v>0</v>
      </c>
      <c r="U802" s="18" t="str">
        <f t="shared" si="5"/>
        <v>   </v>
      </c>
    </row>
    <row r="803">
      <c r="A803" s="1"/>
      <c r="B803" s="1"/>
      <c r="C803" s="1"/>
      <c r="D803" s="1"/>
      <c r="E803" s="2"/>
      <c r="F803" s="1"/>
      <c r="G803" s="65">
        <f t="shared" si="7"/>
        <v>0</v>
      </c>
      <c r="H803" s="1"/>
      <c r="I803" s="1"/>
      <c r="J803" s="1"/>
      <c r="K803" s="18"/>
      <c r="L803" s="18"/>
      <c r="M803" s="18"/>
      <c r="N803" s="18"/>
      <c r="O803" s="18"/>
      <c r="P803" s="67" t="s">
        <v>503</v>
      </c>
      <c r="Q803" s="18" t="s">
        <v>476</v>
      </c>
      <c r="R803" s="68" t="str">
        <f>IFERROR(CONCATENATE("*",VLOOKUP(L803,PARAM!D:E,2,0),VLOOKUP(M803,PARAM!J:K,2,0),VLOOKUP(N803,PARAM!G:H,2,0),VLOOKUP(P803,PARAM!P:Q,2,0),"*"),"")</f>
        <v/>
      </c>
      <c r="S803" s="18" t="str">
        <f>IFERROR(CONCATENATE(VLOOKUP(L803,PARAM!D:E,2,0),VLOOKUP(M803,PARAM!J:K,2,0),VLOOKUP(N803,PARAM!G:H,2,0),VLOOKUP(O803,PARAM!M:N,2,0),VLOOKUP(P803,PARAM!P:Q,2,0)),"")</f>
        <v/>
      </c>
      <c r="T803" s="18">
        <f t="shared" si="4"/>
        <v>0</v>
      </c>
      <c r="U803" s="18" t="str">
        <f t="shared" si="5"/>
        <v>   </v>
      </c>
    </row>
    <row r="804">
      <c r="A804" s="1"/>
      <c r="B804" s="1"/>
      <c r="C804" s="1"/>
      <c r="D804" s="1"/>
      <c r="E804" s="2"/>
      <c r="F804" s="1"/>
      <c r="G804" s="65">
        <f t="shared" si="7"/>
        <v>0</v>
      </c>
      <c r="H804" s="1"/>
      <c r="I804" s="1"/>
      <c r="J804" s="1"/>
      <c r="K804" s="18"/>
      <c r="L804" s="18"/>
      <c r="M804" s="18"/>
      <c r="N804" s="18"/>
      <c r="O804" s="18"/>
      <c r="P804" s="67" t="s">
        <v>503</v>
      </c>
      <c r="Q804" s="18" t="s">
        <v>476</v>
      </c>
      <c r="R804" s="68" t="str">
        <f>IFERROR(CONCATENATE("*",VLOOKUP(L804,PARAM!D:E,2,0),VLOOKUP(M804,PARAM!J:K,2,0),VLOOKUP(N804,PARAM!G:H,2,0),VLOOKUP(P804,PARAM!P:Q,2,0),"*"),"")</f>
        <v/>
      </c>
      <c r="S804" s="18" t="str">
        <f>IFERROR(CONCATENATE(VLOOKUP(L804,PARAM!D:E,2,0),VLOOKUP(M804,PARAM!J:K,2,0),VLOOKUP(N804,PARAM!G:H,2,0),VLOOKUP(O804,PARAM!M:N,2,0),VLOOKUP(P804,PARAM!P:Q,2,0)),"")</f>
        <v/>
      </c>
      <c r="T804" s="18">
        <f t="shared" si="4"/>
        <v>0</v>
      </c>
      <c r="U804" s="18" t="str">
        <f t="shared" si="5"/>
        <v>   </v>
      </c>
    </row>
    <row r="805">
      <c r="A805" s="1"/>
      <c r="B805" s="1"/>
      <c r="C805" s="1"/>
      <c r="D805" s="1"/>
      <c r="E805" s="2"/>
      <c r="F805" s="1"/>
      <c r="G805" s="65">
        <f t="shared" si="7"/>
        <v>0</v>
      </c>
      <c r="H805" s="1"/>
      <c r="I805" s="1"/>
      <c r="J805" s="1"/>
      <c r="K805" s="18"/>
      <c r="L805" s="18"/>
      <c r="M805" s="18"/>
      <c r="N805" s="18"/>
      <c r="O805" s="18"/>
      <c r="P805" s="67" t="s">
        <v>503</v>
      </c>
      <c r="Q805" s="18" t="s">
        <v>476</v>
      </c>
      <c r="R805" s="68" t="str">
        <f>IFERROR(CONCATENATE("*",VLOOKUP(L805,PARAM!D:E,2,0),VLOOKUP(M805,PARAM!J:K,2,0),VLOOKUP(N805,PARAM!G:H,2,0),VLOOKUP(P805,PARAM!P:Q,2,0),"*"),"")</f>
        <v/>
      </c>
      <c r="S805" s="18" t="str">
        <f>IFERROR(CONCATENATE(VLOOKUP(L805,PARAM!D:E,2,0),VLOOKUP(M805,PARAM!J:K,2,0),VLOOKUP(N805,PARAM!G:H,2,0),VLOOKUP(O805,PARAM!M:N,2,0),VLOOKUP(P805,PARAM!P:Q,2,0)),"")</f>
        <v/>
      </c>
      <c r="T805" s="18">
        <f t="shared" si="4"/>
        <v>0</v>
      </c>
      <c r="U805" s="18" t="str">
        <f t="shared" si="5"/>
        <v>   </v>
      </c>
    </row>
    <row r="806">
      <c r="A806" s="1"/>
      <c r="B806" s="1"/>
      <c r="C806" s="1"/>
      <c r="D806" s="1"/>
      <c r="E806" s="2"/>
      <c r="F806" s="1"/>
      <c r="G806" s="65">
        <f t="shared" si="7"/>
        <v>0</v>
      </c>
      <c r="H806" s="1"/>
      <c r="I806" s="1"/>
      <c r="J806" s="1"/>
      <c r="K806" s="18"/>
      <c r="L806" s="18"/>
      <c r="M806" s="18"/>
      <c r="N806" s="18"/>
      <c r="O806" s="18"/>
      <c r="P806" s="67" t="s">
        <v>503</v>
      </c>
      <c r="Q806" s="18" t="s">
        <v>476</v>
      </c>
      <c r="R806" s="68" t="str">
        <f>IFERROR(CONCATENATE("*",VLOOKUP(L806,PARAM!D:E,2,0),VLOOKUP(M806,PARAM!J:K,2,0),VLOOKUP(N806,PARAM!G:H,2,0),VLOOKUP(P806,PARAM!P:Q,2,0),"*"),"")</f>
        <v/>
      </c>
      <c r="S806" s="18" t="str">
        <f>IFERROR(CONCATENATE(VLOOKUP(L806,PARAM!D:E,2,0),VLOOKUP(M806,PARAM!J:K,2,0),VLOOKUP(N806,PARAM!G:H,2,0),VLOOKUP(O806,PARAM!M:N,2,0),VLOOKUP(P806,PARAM!P:Q,2,0)),"")</f>
        <v/>
      </c>
      <c r="T806" s="18">
        <f t="shared" si="4"/>
        <v>0</v>
      </c>
      <c r="U806" s="18" t="str">
        <f t="shared" si="5"/>
        <v>   </v>
      </c>
    </row>
    <row r="807">
      <c r="A807" s="1"/>
      <c r="B807" s="1"/>
      <c r="C807" s="1"/>
      <c r="D807" s="1"/>
      <c r="E807" s="2"/>
      <c r="F807" s="1"/>
      <c r="G807" s="65">
        <f t="shared" si="7"/>
        <v>0</v>
      </c>
      <c r="H807" s="1"/>
      <c r="I807" s="1"/>
      <c r="J807" s="1"/>
      <c r="K807" s="18"/>
      <c r="L807" s="18"/>
      <c r="M807" s="18"/>
      <c r="N807" s="18"/>
      <c r="O807" s="18"/>
      <c r="P807" s="67" t="s">
        <v>503</v>
      </c>
      <c r="Q807" s="18" t="s">
        <v>476</v>
      </c>
      <c r="R807" s="68" t="str">
        <f>IFERROR(CONCATENATE("*",VLOOKUP(L807,PARAM!D:E,2,0),VLOOKUP(M807,PARAM!J:K,2,0),VLOOKUP(N807,PARAM!G:H,2,0),VLOOKUP(P807,PARAM!P:Q,2,0),"*"),"")</f>
        <v/>
      </c>
      <c r="S807" s="18" t="str">
        <f>IFERROR(CONCATENATE(VLOOKUP(L807,PARAM!D:E,2,0),VLOOKUP(M807,PARAM!J:K,2,0),VLOOKUP(N807,PARAM!G:H,2,0),VLOOKUP(O807,PARAM!M:N,2,0),VLOOKUP(P807,PARAM!P:Q,2,0)),"")</f>
        <v/>
      </c>
      <c r="T807" s="18">
        <f t="shared" si="4"/>
        <v>0</v>
      </c>
      <c r="U807" s="18" t="str">
        <f t="shared" si="5"/>
        <v>   </v>
      </c>
    </row>
    <row r="808">
      <c r="A808" s="1"/>
      <c r="B808" s="1"/>
      <c r="C808" s="1"/>
      <c r="D808" s="1"/>
      <c r="E808" s="2"/>
      <c r="F808" s="1"/>
      <c r="G808" s="65">
        <f t="shared" si="7"/>
        <v>0</v>
      </c>
      <c r="H808" s="1"/>
      <c r="I808" s="1"/>
      <c r="J808" s="1"/>
      <c r="K808" s="18"/>
      <c r="L808" s="18"/>
      <c r="M808" s="18"/>
      <c r="N808" s="18"/>
      <c r="O808" s="18"/>
      <c r="P808" s="67" t="s">
        <v>503</v>
      </c>
      <c r="Q808" s="18" t="s">
        <v>476</v>
      </c>
      <c r="R808" s="68" t="str">
        <f>IFERROR(CONCATENATE("*",VLOOKUP(L808,PARAM!D:E,2,0),VLOOKUP(M808,PARAM!J:K,2,0),VLOOKUP(N808,PARAM!G:H,2,0),VLOOKUP(P808,PARAM!P:Q,2,0),"*"),"")</f>
        <v/>
      </c>
      <c r="S808" s="18" t="str">
        <f>IFERROR(CONCATENATE(VLOOKUP(L808,PARAM!D:E,2,0),VLOOKUP(M808,PARAM!J:K,2,0),VLOOKUP(N808,PARAM!G:H,2,0),VLOOKUP(O808,PARAM!M:N,2,0),VLOOKUP(P808,PARAM!P:Q,2,0)),"")</f>
        <v/>
      </c>
      <c r="T808" s="18">
        <f t="shared" si="4"/>
        <v>0</v>
      </c>
      <c r="U808" s="18" t="str">
        <f t="shared" si="5"/>
        <v>   </v>
      </c>
    </row>
    <row r="809">
      <c r="A809" s="1"/>
      <c r="B809" s="1"/>
      <c r="C809" s="1"/>
      <c r="D809" s="1"/>
      <c r="E809" s="2"/>
      <c r="F809" s="1"/>
      <c r="G809" s="65">
        <f t="shared" si="7"/>
        <v>0</v>
      </c>
      <c r="H809" s="1"/>
      <c r="I809" s="1"/>
      <c r="J809" s="1"/>
      <c r="K809" s="18"/>
      <c r="L809" s="18"/>
      <c r="M809" s="18"/>
      <c r="N809" s="18"/>
      <c r="O809" s="18"/>
      <c r="P809" s="67" t="s">
        <v>503</v>
      </c>
      <c r="Q809" s="18" t="s">
        <v>476</v>
      </c>
      <c r="R809" s="68" t="str">
        <f>IFERROR(CONCATENATE("*",VLOOKUP(L809,PARAM!D:E,2,0),VLOOKUP(M809,PARAM!J:K,2,0),VLOOKUP(N809,PARAM!G:H,2,0),VLOOKUP(P809,PARAM!P:Q,2,0),"*"),"")</f>
        <v/>
      </c>
      <c r="S809" s="18" t="str">
        <f>IFERROR(CONCATENATE(VLOOKUP(L809,PARAM!D:E,2,0),VLOOKUP(M809,PARAM!J:K,2,0),VLOOKUP(N809,PARAM!G:H,2,0),VLOOKUP(O809,PARAM!M:N,2,0),VLOOKUP(P809,PARAM!P:Q,2,0)),"")</f>
        <v/>
      </c>
      <c r="T809" s="18">
        <f t="shared" si="4"/>
        <v>0</v>
      </c>
      <c r="U809" s="18" t="str">
        <f t="shared" si="5"/>
        <v>   </v>
      </c>
    </row>
    <row r="810">
      <c r="A810" s="1"/>
      <c r="B810" s="1"/>
      <c r="C810" s="1"/>
      <c r="D810" s="1"/>
      <c r="E810" s="2"/>
      <c r="F810" s="1"/>
      <c r="G810" s="65">
        <f t="shared" si="7"/>
        <v>0</v>
      </c>
      <c r="H810" s="1"/>
      <c r="I810" s="1"/>
      <c r="J810" s="1"/>
      <c r="K810" s="18"/>
      <c r="L810" s="18"/>
      <c r="M810" s="18"/>
      <c r="N810" s="18"/>
      <c r="O810" s="18"/>
      <c r="P810" s="67" t="s">
        <v>503</v>
      </c>
      <c r="Q810" s="18" t="s">
        <v>476</v>
      </c>
      <c r="R810" s="68" t="str">
        <f>IFERROR(CONCATENATE("*",VLOOKUP(L810,PARAM!D:E,2,0),VLOOKUP(M810,PARAM!J:K,2,0),VLOOKUP(N810,PARAM!G:H,2,0),VLOOKUP(P810,PARAM!P:Q,2,0),"*"),"")</f>
        <v/>
      </c>
      <c r="S810" s="18" t="str">
        <f>IFERROR(CONCATENATE(VLOOKUP(L810,PARAM!D:E,2,0),VLOOKUP(M810,PARAM!J:K,2,0),VLOOKUP(N810,PARAM!G:H,2,0),VLOOKUP(O810,PARAM!M:N,2,0),VLOOKUP(P810,PARAM!P:Q,2,0)),"")</f>
        <v/>
      </c>
      <c r="T810" s="18">
        <f t="shared" si="4"/>
        <v>0</v>
      </c>
      <c r="U810" s="18" t="str">
        <f t="shared" si="5"/>
        <v>   </v>
      </c>
    </row>
    <row r="811">
      <c r="A811" s="1"/>
      <c r="B811" s="1"/>
      <c r="C811" s="1"/>
      <c r="D811" s="1"/>
      <c r="E811" s="2"/>
      <c r="F811" s="1"/>
      <c r="G811" s="65">
        <f t="shared" si="7"/>
        <v>0</v>
      </c>
      <c r="H811" s="1"/>
      <c r="I811" s="1"/>
      <c r="J811" s="1"/>
      <c r="K811" s="18"/>
      <c r="L811" s="18"/>
      <c r="M811" s="18"/>
      <c r="N811" s="18"/>
      <c r="O811" s="18"/>
      <c r="P811" s="67" t="s">
        <v>503</v>
      </c>
      <c r="Q811" s="18" t="s">
        <v>476</v>
      </c>
      <c r="R811" s="68" t="str">
        <f>IFERROR(CONCATENATE("*",VLOOKUP(L811,PARAM!D:E,2,0),VLOOKUP(M811,PARAM!J:K,2,0),VLOOKUP(N811,PARAM!G:H,2,0),VLOOKUP(P811,PARAM!P:Q,2,0),"*"),"")</f>
        <v/>
      </c>
      <c r="S811" s="18" t="str">
        <f>IFERROR(CONCATENATE(VLOOKUP(L811,PARAM!D:E,2,0),VLOOKUP(M811,PARAM!J:K,2,0),VLOOKUP(N811,PARAM!G:H,2,0),VLOOKUP(O811,PARAM!M:N,2,0),VLOOKUP(P811,PARAM!P:Q,2,0)),"")</f>
        <v/>
      </c>
      <c r="T811" s="18">
        <f t="shared" si="4"/>
        <v>0</v>
      </c>
      <c r="U811" s="18" t="str">
        <f t="shared" si="5"/>
        <v>   </v>
      </c>
    </row>
    <row r="812">
      <c r="A812" s="1"/>
      <c r="B812" s="1"/>
      <c r="C812" s="1"/>
      <c r="D812" s="1"/>
      <c r="E812" s="2"/>
      <c r="F812" s="1"/>
      <c r="G812" s="65">
        <f t="shared" si="7"/>
        <v>0</v>
      </c>
      <c r="H812" s="1"/>
      <c r="I812" s="1"/>
      <c r="J812" s="1"/>
      <c r="K812" s="18"/>
      <c r="L812" s="18"/>
      <c r="M812" s="18"/>
      <c r="N812" s="18"/>
      <c r="O812" s="18"/>
      <c r="P812" s="67" t="s">
        <v>503</v>
      </c>
      <c r="Q812" s="18" t="s">
        <v>476</v>
      </c>
      <c r="R812" s="68" t="str">
        <f>IFERROR(CONCATENATE("*",VLOOKUP(L812,PARAM!D:E,2,0),VLOOKUP(M812,PARAM!J:K,2,0),VLOOKUP(N812,PARAM!G:H,2,0),VLOOKUP(P812,PARAM!P:Q,2,0),"*"),"")</f>
        <v/>
      </c>
      <c r="S812" s="18" t="str">
        <f>IFERROR(CONCATENATE(VLOOKUP(L812,PARAM!D:E,2,0),VLOOKUP(M812,PARAM!J:K,2,0),VLOOKUP(N812,PARAM!G:H,2,0),VLOOKUP(O812,PARAM!M:N,2,0),VLOOKUP(P812,PARAM!P:Q,2,0)),"")</f>
        <v/>
      </c>
      <c r="T812" s="18">
        <f t="shared" si="4"/>
        <v>0</v>
      </c>
      <c r="U812" s="18" t="str">
        <f t="shared" si="5"/>
        <v>   </v>
      </c>
    </row>
    <row r="813">
      <c r="A813" s="1"/>
      <c r="B813" s="1"/>
      <c r="C813" s="1"/>
      <c r="D813" s="1"/>
      <c r="E813" s="2"/>
      <c r="F813" s="1"/>
      <c r="G813" s="65">
        <f t="shared" si="7"/>
        <v>0</v>
      </c>
      <c r="H813" s="1"/>
      <c r="I813" s="1"/>
      <c r="J813" s="1"/>
      <c r="K813" s="18"/>
      <c r="L813" s="18"/>
      <c r="M813" s="18"/>
      <c r="N813" s="18"/>
      <c r="O813" s="18"/>
      <c r="P813" s="67" t="s">
        <v>503</v>
      </c>
      <c r="Q813" s="18" t="s">
        <v>476</v>
      </c>
      <c r="R813" s="68" t="str">
        <f>IFERROR(CONCATENATE("*",VLOOKUP(L813,PARAM!D:E,2,0),VLOOKUP(M813,PARAM!J:K,2,0),VLOOKUP(N813,PARAM!G:H,2,0),VLOOKUP(P813,PARAM!P:Q,2,0),"*"),"")</f>
        <v/>
      </c>
      <c r="S813" s="18" t="str">
        <f>IFERROR(CONCATENATE(VLOOKUP(L813,PARAM!D:E,2,0),VLOOKUP(M813,PARAM!J:K,2,0),VLOOKUP(N813,PARAM!G:H,2,0),VLOOKUP(O813,PARAM!M:N,2,0),VLOOKUP(P813,PARAM!P:Q,2,0)),"")</f>
        <v/>
      </c>
      <c r="T813" s="18">
        <f t="shared" si="4"/>
        <v>0</v>
      </c>
      <c r="U813" s="18" t="str">
        <f t="shared" si="5"/>
        <v>   </v>
      </c>
    </row>
    <row r="814">
      <c r="A814" s="1"/>
      <c r="B814" s="1"/>
      <c r="C814" s="1"/>
      <c r="D814" s="1"/>
      <c r="E814" s="2"/>
      <c r="F814" s="1"/>
      <c r="G814" s="65">
        <f t="shared" si="7"/>
        <v>0</v>
      </c>
      <c r="H814" s="1"/>
      <c r="I814" s="1"/>
      <c r="J814" s="1"/>
      <c r="K814" s="18"/>
      <c r="L814" s="18"/>
      <c r="M814" s="18"/>
      <c r="N814" s="18"/>
      <c r="O814" s="18"/>
      <c r="P814" s="67" t="s">
        <v>503</v>
      </c>
      <c r="Q814" s="18" t="s">
        <v>476</v>
      </c>
      <c r="R814" s="68" t="str">
        <f>IFERROR(CONCATENATE("*",VLOOKUP(L814,PARAM!D:E,2,0),VLOOKUP(M814,PARAM!J:K,2,0),VLOOKUP(N814,PARAM!G:H,2,0),VLOOKUP(P814,PARAM!P:Q,2,0),"*"),"")</f>
        <v/>
      </c>
      <c r="S814" s="18" t="str">
        <f>IFERROR(CONCATENATE(VLOOKUP(L814,PARAM!D:E,2,0),VLOOKUP(M814,PARAM!J:K,2,0),VLOOKUP(N814,PARAM!G:H,2,0),VLOOKUP(O814,PARAM!M:N,2,0),VLOOKUP(P814,PARAM!P:Q,2,0)),"")</f>
        <v/>
      </c>
      <c r="T814" s="18">
        <f t="shared" si="4"/>
        <v>0</v>
      </c>
      <c r="U814" s="18" t="str">
        <f t="shared" si="5"/>
        <v>   </v>
      </c>
    </row>
    <row r="815">
      <c r="A815" s="1"/>
      <c r="B815" s="1"/>
      <c r="C815" s="1"/>
      <c r="D815" s="1"/>
      <c r="E815" s="2"/>
      <c r="F815" s="1"/>
      <c r="G815" s="65">
        <f t="shared" si="7"/>
        <v>0</v>
      </c>
      <c r="H815" s="1"/>
      <c r="I815" s="1"/>
      <c r="J815" s="1"/>
      <c r="K815" s="18"/>
      <c r="L815" s="18"/>
      <c r="M815" s="18"/>
      <c r="N815" s="18"/>
      <c r="O815" s="18"/>
      <c r="P815" s="67" t="s">
        <v>503</v>
      </c>
      <c r="Q815" s="18" t="s">
        <v>476</v>
      </c>
      <c r="R815" s="68" t="str">
        <f>IFERROR(CONCATENATE("*",VLOOKUP(L815,PARAM!D:E,2,0),VLOOKUP(M815,PARAM!J:K,2,0),VLOOKUP(N815,PARAM!G:H,2,0),VLOOKUP(P815,PARAM!P:Q,2,0),"*"),"")</f>
        <v/>
      </c>
      <c r="S815" s="18" t="str">
        <f>IFERROR(CONCATENATE(VLOOKUP(L815,PARAM!D:E,2,0),VLOOKUP(M815,PARAM!J:K,2,0),VLOOKUP(N815,PARAM!G:H,2,0),VLOOKUP(O815,PARAM!M:N,2,0),VLOOKUP(P815,PARAM!P:Q,2,0)),"")</f>
        <v/>
      </c>
      <c r="T815" s="18">
        <f t="shared" si="4"/>
        <v>0</v>
      </c>
      <c r="U815" s="18" t="str">
        <f t="shared" si="5"/>
        <v>   </v>
      </c>
    </row>
    <row r="816">
      <c r="A816" s="1"/>
      <c r="B816" s="1"/>
      <c r="C816" s="1"/>
      <c r="D816" s="1"/>
      <c r="E816" s="2"/>
      <c r="F816" s="1"/>
      <c r="G816" s="65">
        <f t="shared" si="7"/>
        <v>0</v>
      </c>
      <c r="H816" s="1"/>
      <c r="I816" s="1"/>
      <c r="J816" s="1"/>
      <c r="K816" s="18"/>
      <c r="L816" s="18"/>
      <c r="M816" s="18"/>
      <c r="N816" s="18"/>
      <c r="O816" s="18"/>
      <c r="P816" s="67" t="s">
        <v>503</v>
      </c>
      <c r="Q816" s="18" t="s">
        <v>476</v>
      </c>
      <c r="R816" s="68" t="str">
        <f>IFERROR(CONCATENATE("*",VLOOKUP(L816,PARAM!D:E,2,0),VLOOKUP(M816,PARAM!J:K,2,0),VLOOKUP(N816,PARAM!G:H,2,0),VLOOKUP(P816,PARAM!P:Q,2,0),"*"),"")</f>
        <v/>
      </c>
      <c r="S816" s="18" t="str">
        <f>IFERROR(CONCATENATE(VLOOKUP(L816,PARAM!D:E,2,0),VLOOKUP(M816,PARAM!J:K,2,0),VLOOKUP(N816,PARAM!G:H,2,0),VLOOKUP(O816,PARAM!M:N,2,0),VLOOKUP(P816,PARAM!P:Q,2,0)),"")</f>
        <v/>
      </c>
      <c r="T816" s="18">
        <f t="shared" si="4"/>
        <v>0</v>
      </c>
      <c r="U816" s="18" t="str">
        <f t="shared" si="5"/>
        <v>   </v>
      </c>
    </row>
    <row r="817">
      <c r="A817" s="1"/>
      <c r="B817" s="1"/>
      <c r="C817" s="1"/>
      <c r="D817" s="1"/>
      <c r="E817" s="2"/>
      <c r="F817" s="1"/>
      <c r="G817" s="65">
        <f t="shared" si="7"/>
        <v>0</v>
      </c>
      <c r="H817" s="1"/>
      <c r="I817" s="1"/>
      <c r="J817" s="1"/>
      <c r="K817" s="18"/>
      <c r="L817" s="18"/>
      <c r="M817" s="18"/>
      <c r="N817" s="18"/>
      <c r="O817" s="18"/>
      <c r="P817" s="67" t="s">
        <v>503</v>
      </c>
      <c r="Q817" s="18" t="s">
        <v>476</v>
      </c>
      <c r="R817" s="68" t="str">
        <f>IFERROR(CONCATENATE("*",VLOOKUP(L817,PARAM!D:E,2,0),VLOOKUP(M817,PARAM!J:K,2,0),VLOOKUP(N817,PARAM!G:H,2,0),VLOOKUP(P817,PARAM!P:Q,2,0),"*"),"")</f>
        <v/>
      </c>
      <c r="S817" s="18" t="str">
        <f>IFERROR(CONCATENATE(VLOOKUP(L817,PARAM!D:E,2,0),VLOOKUP(M817,PARAM!J:K,2,0),VLOOKUP(N817,PARAM!G:H,2,0),VLOOKUP(O817,PARAM!M:N,2,0),VLOOKUP(P817,PARAM!P:Q,2,0)),"")</f>
        <v/>
      </c>
      <c r="T817" s="18">
        <f t="shared" si="4"/>
        <v>0</v>
      </c>
      <c r="U817" s="18" t="str">
        <f t="shared" si="5"/>
        <v>   </v>
      </c>
    </row>
    <row r="818">
      <c r="A818" s="1"/>
      <c r="B818" s="1"/>
      <c r="C818" s="1"/>
      <c r="D818" s="1"/>
      <c r="E818" s="2"/>
      <c r="F818" s="1"/>
      <c r="G818" s="65">
        <f t="shared" si="7"/>
        <v>0</v>
      </c>
      <c r="H818" s="1"/>
      <c r="I818" s="1"/>
      <c r="J818" s="1"/>
      <c r="K818" s="18"/>
      <c r="L818" s="18"/>
      <c r="M818" s="18"/>
      <c r="N818" s="18"/>
      <c r="O818" s="18"/>
      <c r="P818" s="67" t="s">
        <v>503</v>
      </c>
      <c r="Q818" s="18" t="s">
        <v>476</v>
      </c>
      <c r="R818" s="68" t="str">
        <f>IFERROR(CONCATENATE("*",VLOOKUP(L818,PARAM!D:E,2,0),VLOOKUP(M818,PARAM!J:K,2,0),VLOOKUP(N818,PARAM!G:H,2,0),VLOOKUP(P818,PARAM!P:Q,2,0),"*"),"")</f>
        <v/>
      </c>
      <c r="S818" s="18" t="str">
        <f>IFERROR(CONCATENATE(VLOOKUP(L818,PARAM!D:E,2,0),VLOOKUP(M818,PARAM!J:K,2,0),VLOOKUP(N818,PARAM!G:H,2,0),VLOOKUP(O818,PARAM!M:N,2,0),VLOOKUP(P818,PARAM!P:Q,2,0)),"")</f>
        <v/>
      </c>
      <c r="T818" s="18">
        <f t="shared" si="4"/>
        <v>0</v>
      </c>
      <c r="U818" s="18" t="str">
        <f t="shared" si="5"/>
        <v>   </v>
      </c>
    </row>
    <row r="819">
      <c r="A819" s="1"/>
      <c r="B819" s="1"/>
      <c r="C819" s="1"/>
      <c r="D819" s="1"/>
      <c r="E819" s="2"/>
      <c r="F819" s="1"/>
      <c r="G819" s="65">
        <f t="shared" si="7"/>
        <v>0</v>
      </c>
      <c r="H819" s="1"/>
      <c r="I819" s="1"/>
      <c r="J819" s="1"/>
      <c r="K819" s="18"/>
      <c r="L819" s="18"/>
      <c r="M819" s="18"/>
      <c r="N819" s="18"/>
      <c r="O819" s="18"/>
      <c r="P819" s="67" t="s">
        <v>503</v>
      </c>
      <c r="Q819" s="18" t="s">
        <v>476</v>
      </c>
      <c r="R819" s="68" t="str">
        <f>IFERROR(CONCATENATE("*",VLOOKUP(L819,PARAM!D:E,2,0),VLOOKUP(M819,PARAM!J:K,2,0),VLOOKUP(N819,PARAM!G:H,2,0),VLOOKUP(P819,PARAM!P:Q,2,0),"*"),"")</f>
        <v/>
      </c>
      <c r="S819" s="18" t="str">
        <f>IFERROR(CONCATENATE(VLOOKUP(L819,PARAM!D:E,2,0),VLOOKUP(M819,PARAM!J:K,2,0),VLOOKUP(N819,PARAM!G:H,2,0),VLOOKUP(O819,PARAM!M:N,2,0),VLOOKUP(P819,PARAM!P:Q,2,0)),"")</f>
        <v/>
      </c>
      <c r="T819" s="18">
        <f t="shared" si="4"/>
        <v>0</v>
      </c>
      <c r="U819" s="18" t="str">
        <f t="shared" si="5"/>
        <v>   </v>
      </c>
    </row>
    <row r="820">
      <c r="A820" s="1"/>
      <c r="B820" s="1"/>
      <c r="C820" s="1"/>
      <c r="D820" s="1"/>
      <c r="E820" s="2"/>
      <c r="F820" s="1"/>
      <c r="G820" s="65">
        <f t="shared" si="7"/>
        <v>0</v>
      </c>
      <c r="H820" s="1"/>
      <c r="I820" s="1"/>
      <c r="J820" s="1"/>
      <c r="K820" s="18"/>
      <c r="L820" s="18"/>
      <c r="M820" s="18"/>
      <c r="N820" s="18"/>
      <c r="O820" s="18"/>
      <c r="P820" s="67" t="s">
        <v>503</v>
      </c>
      <c r="Q820" s="18" t="s">
        <v>476</v>
      </c>
      <c r="R820" s="68" t="str">
        <f>IFERROR(CONCATENATE("*",VLOOKUP(L820,PARAM!D:E,2,0),VLOOKUP(M820,PARAM!J:K,2,0),VLOOKUP(N820,PARAM!G:H,2,0),VLOOKUP(P820,PARAM!P:Q,2,0),"*"),"")</f>
        <v/>
      </c>
      <c r="S820" s="18" t="str">
        <f>IFERROR(CONCATENATE(VLOOKUP(L820,PARAM!D:E,2,0),VLOOKUP(M820,PARAM!J:K,2,0),VLOOKUP(N820,PARAM!G:H,2,0),VLOOKUP(O820,PARAM!M:N,2,0),VLOOKUP(P820,PARAM!P:Q,2,0)),"")</f>
        <v/>
      </c>
      <c r="T820" s="18">
        <f t="shared" si="4"/>
        <v>0</v>
      </c>
      <c r="U820" s="18" t="str">
        <f t="shared" si="5"/>
        <v>   </v>
      </c>
    </row>
    <row r="821">
      <c r="A821" s="1"/>
      <c r="B821" s="1"/>
      <c r="C821" s="1"/>
      <c r="D821" s="1"/>
      <c r="E821" s="2"/>
      <c r="F821" s="1"/>
      <c r="G821" s="65">
        <f t="shared" si="7"/>
        <v>0</v>
      </c>
      <c r="H821" s="1"/>
      <c r="I821" s="1"/>
      <c r="J821" s="1"/>
      <c r="K821" s="18"/>
      <c r="L821" s="18"/>
      <c r="M821" s="18"/>
      <c r="N821" s="18"/>
      <c r="O821" s="18"/>
      <c r="P821" s="67" t="s">
        <v>503</v>
      </c>
      <c r="Q821" s="18" t="s">
        <v>476</v>
      </c>
      <c r="R821" s="68" t="str">
        <f>IFERROR(CONCATENATE("*",VLOOKUP(L821,PARAM!D:E,2,0),VLOOKUP(M821,PARAM!J:K,2,0),VLOOKUP(N821,PARAM!G:H,2,0),VLOOKUP(P821,PARAM!P:Q,2,0),"*"),"")</f>
        <v/>
      </c>
      <c r="S821" s="18" t="str">
        <f>IFERROR(CONCATENATE(VLOOKUP(L821,PARAM!D:E,2,0),VLOOKUP(M821,PARAM!J:K,2,0),VLOOKUP(N821,PARAM!G:H,2,0),VLOOKUP(O821,PARAM!M:N,2,0),VLOOKUP(P821,PARAM!P:Q,2,0)),"")</f>
        <v/>
      </c>
      <c r="T821" s="18">
        <f t="shared" si="4"/>
        <v>0</v>
      </c>
      <c r="U821" s="18" t="str">
        <f t="shared" si="5"/>
        <v>   </v>
      </c>
    </row>
    <row r="822">
      <c r="A822" s="1"/>
      <c r="B822" s="1"/>
      <c r="C822" s="1"/>
      <c r="D822" s="1"/>
      <c r="E822" s="2"/>
      <c r="F822" s="1"/>
      <c r="G822" s="65">
        <f t="shared" si="7"/>
        <v>0</v>
      </c>
      <c r="H822" s="1"/>
      <c r="I822" s="1"/>
      <c r="J822" s="1"/>
      <c r="K822" s="18"/>
      <c r="L822" s="18"/>
      <c r="M822" s="18"/>
      <c r="N822" s="18"/>
      <c r="O822" s="18"/>
      <c r="P822" s="67" t="s">
        <v>503</v>
      </c>
      <c r="Q822" s="18" t="s">
        <v>476</v>
      </c>
      <c r="R822" s="68" t="str">
        <f>IFERROR(CONCATENATE("*",VLOOKUP(L822,PARAM!D:E,2,0),VLOOKUP(M822,PARAM!J:K,2,0),VLOOKUP(N822,PARAM!G:H,2,0),VLOOKUP(P822,PARAM!P:Q,2,0),"*"),"")</f>
        <v/>
      </c>
      <c r="S822" s="18" t="str">
        <f>IFERROR(CONCATENATE(VLOOKUP(L822,PARAM!D:E,2,0),VLOOKUP(M822,PARAM!J:K,2,0),VLOOKUP(N822,PARAM!G:H,2,0),VLOOKUP(O822,PARAM!M:N,2,0),VLOOKUP(P822,PARAM!P:Q,2,0)),"")</f>
        <v/>
      </c>
      <c r="T822" s="18">
        <f t="shared" si="4"/>
        <v>0</v>
      </c>
      <c r="U822" s="18" t="str">
        <f t="shared" si="5"/>
        <v>   </v>
      </c>
    </row>
    <row r="823">
      <c r="A823" s="1"/>
      <c r="B823" s="1"/>
      <c r="C823" s="1"/>
      <c r="D823" s="1"/>
      <c r="E823" s="2"/>
      <c r="F823" s="1"/>
      <c r="G823" s="65">
        <f t="shared" si="7"/>
        <v>0</v>
      </c>
      <c r="H823" s="1"/>
      <c r="I823" s="1"/>
      <c r="J823" s="1"/>
      <c r="K823" s="18"/>
      <c r="L823" s="18"/>
      <c r="M823" s="18"/>
      <c r="N823" s="18"/>
      <c r="O823" s="18"/>
      <c r="P823" s="67" t="s">
        <v>503</v>
      </c>
      <c r="Q823" s="18" t="s">
        <v>476</v>
      </c>
      <c r="R823" s="68" t="str">
        <f>IFERROR(CONCATENATE("*",VLOOKUP(L823,PARAM!D:E,2,0),VLOOKUP(M823,PARAM!J:K,2,0),VLOOKUP(N823,PARAM!G:H,2,0),VLOOKUP(P823,PARAM!P:Q,2,0),"*"),"")</f>
        <v/>
      </c>
      <c r="S823" s="18" t="str">
        <f>IFERROR(CONCATENATE(VLOOKUP(L823,PARAM!D:E,2,0),VLOOKUP(M823,PARAM!J:K,2,0),VLOOKUP(N823,PARAM!G:H,2,0),VLOOKUP(O823,PARAM!M:N,2,0),VLOOKUP(P823,PARAM!P:Q,2,0)),"")</f>
        <v/>
      </c>
      <c r="T823" s="18">
        <f t="shared" si="4"/>
        <v>0</v>
      </c>
      <c r="U823" s="18" t="str">
        <f t="shared" si="5"/>
        <v>   </v>
      </c>
    </row>
    <row r="824">
      <c r="A824" s="1"/>
      <c r="B824" s="1"/>
      <c r="C824" s="1"/>
      <c r="D824" s="1"/>
      <c r="E824" s="2"/>
      <c r="F824" s="1"/>
      <c r="G824" s="65">
        <f t="shared" si="7"/>
        <v>0</v>
      </c>
      <c r="H824" s="1"/>
      <c r="I824" s="1"/>
      <c r="J824" s="1"/>
      <c r="K824" s="18"/>
      <c r="L824" s="18"/>
      <c r="M824" s="18"/>
      <c r="N824" s="18"/>
      <c r="O824" s="18"/>
      <c r="P824" s="67" t="s">
        <v>503</v>
      </c>
      <c r="Q824" s="18" t="s">
        <v>476</v>
      </c>
      <c r="R824" s="68" t="str">
        <f>IFERROR(CONCATENATE("*",VLOOKUP(L824,PARAM!D:E,2,0),VLOOKUP(M824,PARAM!J:K,2,0),VLOOKUP(N824,PARAM!G:H,2,0),VLOOKUP(P824,PARAM!P:Q,2,0),"*"),"")</f>
        <v/>
      </c>
      <c r="S824" s="18" t="str">
        <f>IFERROR(CONCATENATE(VLOOKUP(L824,PARAM!D:E,2,0),VLOOKUP(M824,PARAM!J:K,2,0),VLOOKUP(N824,PARAM!G:H,2,0),VLOOKUP(O824,PARAM!M:N,2,0),VLOOKUP(P824,PARAM!P:Q,2,0)),"")</f>
        <v/>
      </c>
      <c r="T824" s="18">
        <f t="shared" si="4"/>
        <v>0</v>
      </c>
      <c r="U824" s="18" t="str">
        <f t="shared" si="5"/>
        <v>   </v>
      </c>
    </row>
    <row r="825">
      <c r="A825" s="1"/>
      <c r="B825" s="1"/>
      <c r="C825" s="1"/>
      <c r="D825" s="1"/>
      <c r="E825" s="2"/>
      <c r="F825" s="1"/>
      <c r="G825" s="65">
        <f t="shared" si="7"/>
        <v>0</v>
      </c>
      <c r="H825" s="1"/>
      <c r="I825" s="1"/>
      <c r="J825" s="1"/>
      <c r="K825" s="18"/>
      <c r="L825" s="18"/>
      <c r="M825" s="18"/>
      <c r="N825" s="18"/>
      <c r="O825" s="18"/>
      <c r="P825" s="67" t="s">
        <v>503</v>
      </c>
      <c r="Q825" s="18" t="s">
        <v>476</v>
      </c>
      <c r="R825" s="68" t="str">
        <f>IFERROR(CONCATENATE("*",VLOOKUP(L825,PARAM!D:E,2,0),VLOOKUP(M825,PARAM!J:K,2,0),VLOOKUP(N825,PARAM!G:H,2,0),VLOOKUP(P825,PARAM!P:Q,2,0),"*"),"")</f>
        <v/>
      </c>
      <c r="S825" s="18" t="str">
        <f>IFERROR(CONCATENATE(VLOOKUP(L825,PARAM!D:E,2,0),VLOOKUP(M825,PARAM!J:K,2,0),VLOOKUP(N825,PARAM!G:H,2,0),VLOOKUP(O825,PARAM!M:N,2,0),VLOOKUP(P825,PARAM!P:Q,2,0)),"")</f>
        <v/>
      </c>
      <c r="T825" s="18">
        <f t="shared" si="4"/>
        <v>0</v>
      </c>
      <c r="U825" s="18" t="str">
        <f t="shared" si="5"/>
        <v>   </v>
      </c>
    </row>
    <row r="826">
      <c r="A826" s="1"/>
      <c r="B826" s="1"/>
      <c r="C826" s="1"/>
      <c r="D826" s="1"/>
      <c r="E826" s="2"/>
      <c r="F826" s="1"/>
      <c r="G826" s="65">
        <f t="shared" si="7"/>
        <v>0</v>
      </c>
      <c r="H826" s="1"/>
      <c r="I826" s="1"/>
      <c r="J826" s="1"/>
      <c r="K826" s="18"/>
      <c r="L826" s="18"/>
      <c r="M826" s="18"/>
      <c r="N826" s="18"/>
      <c r="O826" s="18"/>
      <c r="P826" s="67" t="s">
        <v>503</v>
      </c>
      <c r="Q826" s="18" t="s">
        <v>476</v>
      </c>
      <c r="R826" s="68" t="str">
        <f>IFERROR(CONCATENATE("*",VLOOKUP(L826,PARAM!D:E,2,0),VLOOKUP(M826,PARAM!J:K,2,0),VLOOKUP(N826,PARAM!G:H,2,0),VLOOKUP(P826,PARAM!P:Q,2,0),"*"),"")</f>
        <v/>
      </c>
      <c r="S826" s="18" t="str">
        <f>IFERROR(CONCATENATE(VLOOKUP(L826,PARAM!D:E,2,0),VLOOKUP(M826,PARAM!J:K,2,0),VLOOKUP(N826,PARAM!G:H,2,0),VLOOKUP(O826,PARAM!M:N,2,0),VLOOKUP(P826,PARAM!P:Q,2,0)),"")</f>
        <v/>
      </c>
      <c r="T826" s="18">
        <f t="shared" si="4"/>
        <v>0</v>
      </c>
      <c r="U826" s="18" t="str">
        <f t="shared" si="5"/>
        <v>   </v>
      </c>
    </row>
    <row r="827">
      <c r="A827" s="1"/>
      <c r="B827" s="1"/>
      <c r="C827" s="1"/>
      <c r="D827" s="1"/>
      <c r="E827" s="2"/>
      <c r="F827" s="1"/>
      <c r="G827" s="65">
        <f t="shared" si="7"/>
        <v>0</v>
      </c>
      <c r="H827" s="1"/>
      <c r="I827" s="1"/>
      <c r="J827" s="1"/>
      <c r="K827" s="18"/>
      <c r="L827" s="18"/>
      <c r="M827" s="18"/>
      <c r="N827" s="18"/>
      <c r="O827" s="18"/>
      <c r="P827" s="67" t="s">
        <v>503</v>
      </c>
      <c r="Q827" s="18" t="s">
        <v>476</v>
      </c>
      <c r="R827" s="68" t="str">
        <f>IFERROR(CONCATENATE("*",VLOOKUP(L827,PARAM!D:E,2,0),VLOOKUP(M827,PARAM!J:K,2,0),VLOOKUP(N827,PARAM!G:H,2,0),VLOOKUP(P827,PARAM!P:Q,2,0),"*"),"")</f>
        <v/>
      </c>
      <c r="S827" s="18" t="str">
        <f>IFERROR(CONCATENATE(VLOOKUP(L827,PARAM!D:E,2,0),VLOOKUP(M827,PARAM!J:K,2,0),VLOOKUP(N827,PARAM!G:H,2,0),VLOOKUP(O827,PARAM!M:N,2,0),VLOOKUP(P827,PARAM!P:Q,2,0)),"")</f>
        <v/>
      </c>
      <c r="T827" s="18">
        <f t="shared" si="4"/>
        <v>0</v>
      </c>
      <c r="U827" s="18" t="str">
        <f t="shared" si="5"/>
        <v>   </v>
      </c>
    </row>
    <row r="828">
      <c r="A828" s="1"/>
      <c r="B828" s="1"/>
      <c r="C828" s="1"/>
      <c r="D828" s="1"/>
      <c r="E828" s="2"/>
      <c r="F828" s="1"/>
      <c r="G828" s="65">
        <f t="shared" si="7"/>
        <v>0</v>
      </c>
      <c r="H828" s="1"/>
      <c r="I828" s="1"/>
      <c r="J828" s="1"/>
      <c r="K828" s="18"/>
      <c r="L828" s="18"/>
      <c r="M828" s="18"/>
      <c r="N828" s="18"/>
      <c r="O828" s="18"/>
      <c r="P828" s="67" t="s">
        <v>503</v>
      </c>
      <c r="Q828" s="18" t="s">
        <v>476</v>
      </c>
      <c r="R828" s="68" t="str">
        <f>IFERROR(CONCATENATE("*",VLOOKUP(L828,PARAM!D:E,2,0),VLOOKUP(M828,PARAM!J:K,2,0),VLOOKUP(N828,PARAM!G:H,2,0),VLOOKUP(P828,PARAM!P:Q,2,0),"*"),"")</f>
        <v/>
      </c>
      <c r="S828" s="18" t="str">
        <f>IFERROR(CONCATENATE(VLOOKUP(L828,PARAM!D:E,2,0),VLOOKUP(M828,PARAM!J:K,2,0),VLOOKUP(N828,PARAM!G:H,2,0),VLOOKUP(O828,PARAM!M:N,2,0),VLOOKUP(P828,PARAM!P:Q,2,0)),"")</f>
        <v/>
      </c>
      <c r="T828" s="18">
        <f t="shared" si="4"/>
        <v>0</v>
      </c>
      <c r="U828" s="18" t="str">
        <f t="shared" si="5"/>
        <v>   </v>
      </c>
    </row>
    <row r="829">
      <c r="A829" s="1"/>
      <c r="B829" s="1"/>
      <c r="C829" s="1"/>
      <c r="D829" s="1"/>
      <c r="E829" s="2"/>
      <c r="F829" s="1"/>
      <c r="G829" s="65">
        <f t="shared" si="7"/>
        <v>0</v>
      </c>
      <c r="H829" s="1"/>
      <c r="I829" s="1"/>
      <c r="J829" s="1"/>
      <c r="K829" s="18"/>
      <c r="L829" s="18"/>
      <c r="M829" s="18"/>
      <c r="N829" s="18"/>
      <c r="O829" s="18"/>
      <c r="P829" s="67" t="s">
        <v>503</v>
      </c>
      <c r="Q829" s="18" t="s">
        <v>476</v>
      </c>
      <c r="R829" s="68" t="str">
        <f>IFERROR(CONCATENATE("*",VLOOKUP(L829,PARAM!D:E,2,0),VLOOKUP(M829,PARAM!J:K,2,0),VLOOKUP(N829,PARAM!G:H,2,0),VLOOKUP(P829,PARAM!P:Q,2,0),"*"),"")</f>
        <v/>
      </c>
      <c r="S829" s="18" t="str">
        <f>IFERROR(CONCATENATE(VLOOKUP(L829,PARAM!D:E,2,0),VLOOKUP(M829,PARAM!J:K,2,0),VLOOKUP(N829,PARAM!G:H,2,0),VLOOKUP(O829,PARAM!M:N,2,0),VLOOKUP(P829,PARAM!P:Q,2,0)),"")</f>
        <v/>
      </c>
      <c r="T829" s="18">
        <f t="shared" si="4"/>
        <v>0</v>
      </c>
      <c r="U829" s="18" t="str">
        <f t="shared" si="5"/>
        <v>   </v>
      </c>
    </row>
    <row r="830">
      <c r="A830" s="1"/>
      <c r="B830" s="1"/>
      <c r="C830" s="1"/>
      <c r="D830" s="1"/>
      <c r="E830" s="2"/>
      <c r="F830" s="1"/>
      <c r="G830" s="65">
        <f t="shared" si="7"/>
        <v>0</v>
      </c>
      <c r="H830" s="1"/>
      <c r="I830" s="1"/>
      <c r="J830" s="1"/>
      <c r="K830" s="18"/>
      <c r="L830" s="18"/>
      <c r="M830" s="18"/>
      <c r="N830" s="18"/>
      <c r="O830" s="18"/>
      <c r="P830" s="67" t="s">
        <v>503</v>
      </c>
      <c r="Q830" s="18" t="s">
        <v>476</v>
      </c>
      <c r="R830" s="68" t="str">
        <f>IFERROR(CONCATENATE("*",VLOOKUP(L830,PARAM!D:E,2,0),VLOOKUP(M830,PARAM!J:K,2,0),VLOOKUP(N830,PARAM!G:H,2,0),VLOOKUP(P830,PARAM!P:Q,2,0),"*"),"")</f>
        <v/>
      </c>
      <c r="S830" s="18" t="str">
        <f>IFERROR(CONCATENATE(VLOOKUP(L830,PARAM!D:E,2,0),VLOOKUP(M830,PARAM!J:K,2,0),VLOOKUP(N830,PARAM!G:H,2,0),VLOOKUP(O830,PARAM!M:N,2,0),VLOOKUP(P830,PARAM!P:Q,2,0)),"")</f>
        <v/>
      </c>
      <c r="T830" s="18">
        <f t="shared" si="4"/>
        <v>0</v>
      </c>
      <c r="U830" s="18" t="str">
        <f t="shared" si="5"/>
        <v>   </v>
      </c>
    </row>
    <row r="831">
      <c r="A831" s="1"/>
      <c r="B831" s="1"/>
      <c r="C831" s="1"/>
      <c r="D831" s="1"/>
      <c r="E831" s="2"/>
      <c r="F831" s="1"/>
      <c r="G831" s="65">
        <f t="shared" si="7"/>
        <v>0</v>
      </c>
      <c r="H831" s="1"/>
      <c r="I831" s="1"/>
      <c r="J831" s="1"/>
      <c r="K831" s="18"/>
      <c r="L831" s="18"/>
      <c r="M831" s="18"/>
      <c r="N831" s="18"/>
      <c r="O831" s="18"/>
      <c r="P831" s="67" t="s">
        <v>503</v>
      </c>
      <c r="Q831" s="18" t="s">
        <v>476</v>
      </c>
      <c r="R831" s="68" t="str">
        <f>IFERROR(CONCATENATE("*",VLOOKUP(L831,PARAM!D:E,2,0),VLOOKUP(M831,PARAM!J:K,2,0),VLOOKUP(N831,PARAM!G:H,2,0),VLOOKUP(P831,PARAM!P:Q,2,0),"*"),"")</f>
        <v/>
      </c>
      <c r="S831" s="18" t="str">
        <f>IFERROR(CONCATENATE(VLOOKUP(L831,PARAM!D:E,2,0),VLOOKUP(M831,PARAM!J:K,2,0),VLOOKUP(N831,PARAM!G:H,2,0),VLOOKUP(O831,PARAM!M:N,2,0),VLOOKUP(P831,PARAM!P:Q,2,0)),"")</f>
        <v/>
      </c>
      <c r="T831" s="18">
        <f t="shared" si="4"/>
        <v>0</v>
      </c>
      <c r="U831" s="18" t="str">
        <f t="shared" si="5"/>
        <v>   </v>
      </c>
    </row>
    <row r="832">
      <c r="A832" s="1"/>
      <c r="B832" s="1"/>
      <c r="C832" s="1"/>
      <c r="D832" s="1"/>
      <c r="E832" s="2"/>
      <c r="F832" s="1"/>
      <c r="G832" s="65">
        <f t="shared" si="7"/>
        <v>0</v>
      </c>
      <c r="H832" s="1"/>
      <c r="I832" s="1"/>
      <c r="J832" s="1"/>
      <c r="K832" s="18"/>
      <c r="L832" s="18"/>
      <c r="M832" s="18"/>
      <c r="N832" s="18"/>
      <c r="O832" s="18"/>
      <c r="P832" s="67" t="s">
        <v>503</v>
      </c>
      <c r="Q832" s="18" t="s">
        <v>476</v>
      </c>
      <c r="R832" s="68" t="str">
        <f>IFERROR(CONCATENATE("*",VLOOKUP(L832,PARAM!D:E,2,0),VLOOKUP(M832,PARAM!J:K,2,0),VLOOKUP(N832,PARAM!G:H,2,0),VLOOKUP(P832,PARAM!P:Q,2,0),"*"),"")</f>
        <v/>
      </c>
      <c r="S832" s="18" t="str">
        <f>IFERROR(CONCATENATE(VLOOKUP(L832,PARAM!D:E,2,0),VLOOKUP(M832,PARAM!J:K,2,0),VLOOKUP(N832,PARAM!G:H,2,0),VLOOKUP(O832,PARAM!M:N,2,0),VLOOKUP(P832,PARAM!P:Q,2,0)),"")</f>
        <v/>
      </c>
      <c r="T832" s="18">
        <f t="shared" si="4"/>
        <v>0</v>
      </c>
      <c r="U832" s="18" t="str">
        <f t="shared" si="5"/>
        <v>   </v>
      </c>
    </row>
    <row r="833">
      <c r="A833" s="1"/>
      <c r="B833" s="1"/>
      <c r="C833" s="1"/>
      <c r="D833" s="1"/>
      <c r="E833" s="2"/>
      <c r="F833" s="1"/>
      <c r="G833" s="65">
        <f t="shared" si="7"/>
        <v>0</v>
      </c>
      <c r="H833" s="1"/>
      <c r="I833" s="1"/>
      <c r="J833" s="1"/>
      <c r="K833" s="18"/>
      <c r="L833" s="18"/>
      <c r="M833" s="18"/>
      <c r="N833" s="18"/>
      <c r="O833" s="18"/>
      <c r="P833" s="67" t="s">
        <v>503</v>
      </c>
      <c r="Q833" s="18" t="s">
        <v>476</v>
      </c>
      <c r="R833" s="68" t="str">
        <f>IFERROR(CONCATENATE("*",VLOOKUP(L833,PARAM!D:E,2,0),VLOOKUP(M833,PARAM!J:K,2,0),VLOOKUP(N833,PARAM!G:H,2,0),VLOOKUP(P833,PARAM!P:Q,2,0),"*"),"")</f>
        <v/>
      </c>
      <c r="S833" s="18" t="str">
        <f>IFERROR(CONCATENATE(VLOOKUP(L833,PARAM!D:E,2,0),VLOOKUP(M833,PARAM!J:K,2,0),VLOOKUP(N833,PARAM!G:H,2,0),VLOOKUP(O833,PARAM!M:N,2,0),VLOOKUP(P833,PARAM!P:Q,2,0)),"")</f>
        <v/>
      </c>
      <c r="T833" s="18">
        <f t="shared" si="4"/>
        <v>0</v>
      </c>
      <c r="U833" s="18" t="str">
        <f t="shared" si="5"/>
        <v>   </v>
      </c>
    </row>
    <row r="834">
      <c r="A834" s="1"/>
      <c r="B834" s="1"/>
      <c r="C834" s="1"/>
      <c r="D834" s="1"/>
      <c r="E834" s="2"/>
      <c r="F834" s="1"/>
      <c r="G834" s="65">
        <f t="shared" si="7"/>
        <v>0</v>
      </c>
      <c r="H834" s="1"/>
      <c r="I834" s="1"/>
      <c r="J834" s="1"/>
      <c r="K834" s="18"/>
      <c r="L834" s="18"/>
      <c r="M834" s="18"/>
      <c r="N834" s="18"/>
      <c r="O834" s="18"/>
      <c r="P834" s="67" t="s">
        <v>503</v>
      </c>
      <c r="Q834" s="18" t="s">
        <v>476</v>
      </c>
      <c r="R834" s="68" t="str">
        <f>IFERROR(CONCATENATE("*",VLOOKUP(L834,PARAM!D:E,2,0),VLOOKUP(M834,PARAM!J:K,2,0),VLOOKUP(N834,PARAM!G:H,2,0),VLOOKUP(P834,PARAM!P:Q,2,0),"*"),"")</f>
        <v/>
      </c>
      <c r="S834" s="18" t="str">
        <f>IFERROR(CONCATENATE(VLOOKUP(L834,PARAM!D:E,2,0),VLOOKUP(M834,PARAM!J:K,2,0),VLOOKUP(N834,PARAM!G:H,2,0),VLOOKUP(O834,PARAM!M:N,2,0),VLOOKUP(P834,PARAM!P:Q,2,0)),"")</f>
        <v/>
      </c>
      <c r="T834" s="18">
        <f t="shared" si="4"/>
        <v>0</v>
      </c>
      <c r="U834" s="18" t="str">
        <f t="shared" si="5"/>
        <v>   </v>
      </c>
    </row>
    <row r="835">
      <c r="A835" s="1"/>
      <c r="B835" s="1"/>
      <c r="C835" s="1"/>
      <c r="D835" s="1"/>
      <c r="E835" s="2"/>
      <c r="F835" s="1"/>
      <c r="G835" s="65">
        <f t="shared" si="7"/>
        <v>0</v>
      </c>
      <c r="H835" s="1"/>
      <c r="I835" s="1"/>
      <c r="J835" s="1"/>
      <c r="K835" s="18"/>
      <c r="L835" s="18"/>
      <c r="M835" s="18"/>
      <c r="N835" s="18"/>
      <c r="O835" s="18"/>
      <c r="P835" s="67" t="s">
        <v>503</v>
      </c>
      <c r="Q835" s="18" t="s">
        <v>476</v>
      </c>
      <c r="R835" s="68" t="str">
        <f>IFERROR(CONCATENATE("*",VLOOKUP(L835,PARAM!D:E,2,0),VLOOKUP(M835,PARAM!J:K,2,0),VLOOKUP(N835,PARAM!G:H,2,0),VLOOKUP(P835,PARAM!P:Q,2,0),"*"),"")</f>
        <v/>
      </c>
      <c r="S835" s="18" t="str">
        <f>IFERROR(CONCATENATE(VLOOKUP(L835,PARAM!D:E,2,0),VLOOKUP(M835,PARAM!J:K,2,0),VLOOKUP(N835,PARAM!G:H,2,0),VLOOKUP(O835,PARAM!M:N,2,0),VLOOKUP(P835,PARAM!P:Q,2,0)),"")</f>
        <v/>
      </c>
      <c r="T835" s="18">
        <f t="shared" si="4"/>
        <v>0</v>
      </c>
      <c r="U835" s="18" t="str">
        <f t="shared" si="5"/>
        <v>   </v>
      </c>
    </row>
    <row r="836">
      <c r="A836" s="1"/>
      <c r="B836" s="1"/>
      <c r="C836" s="1"/>
      <c r="D836" s="1"/>
      <c r="E836" s="2"/>
      <c r="F836" s="1"/>
      <c r="G836" s="65">
        <f t="shared" si="7"/>
        <v>0</v>
      </c>
      <c r="H836" s="1"/>
      <c r="I836" s="1"/>
      <c r="J836" s="1"/>
      <c r="K836" s="18"/>
      <c r="L836" s="18"/>
      <c r="M836" s="18"/>
      <c r="N836" s="18"/>
      <c r="O836" s="18"/>
      <c r="P836" s="67" t="s">
        <v>503</v>
      </c>
      <c r="Q836" s="18" t="s">
        <v>476</v>
      </c>
      <c r="R836" s="68" t="str">
        <f>IFERROR(CONCATENATE("*",VLOOKUP(L836,PARAM!D:E,2,0),VLOOKUP(M836,PARAM!J:K,2,0),VLOOKUP(N836,PARAM!G:H,2,0),VLOOKUP(P836,PARAM!P:Q,2,0),"*"),"")</f>
        <v/>
      </c>
      <c r="S836" s="18" t="str">
        <f>IFERROR(CONCATENATE(VLOOKUP(L836,PARAM!D:E,2,0),VLOOKUP(M836,PARAM!J:K,2,0),VLOOKUP(N836,PARAM!G:H,2,0),VLOOKUP(O836,PARAM!M:N,2,0),VLOOKUP(P836,PARAM!P:Q,2,0)),"")</f>
        <v/>
      </c>
      <c r="T836" s="18">
        <f t="shared" si="4"/>
        <v>0</v>
      </c>
      <c r="U836" s="18" t="str">
        <f t="shared" si="5"/>
        <v>   </v>
      </c>
    </row>
    <row r="837">
      <c r="A837" s="1"/>
      <c r="B837" s="1"/>
      <c r="C837" s="1"/>
      <c r="D837" s="1"/>
      <c r="E837" s="2"/>
      <c r="F837" s="1"/>
      <c r="G837" s="65">
        <f t="shared" si="7"/>
        <v>0</v>
      </c>
      <c r="H837" s="1"/>
      <c r="I837" s="1"/>
      <c r="J837" s="1"/>
      <c r="K837" s="18"/>
      <c r="L837" s="18"/>
      <c r="M837" s="18"/>
      <c r="N837" s="18"/>
      <c r="O837" s="18"/>
      <c r="P837" s="67" t="s">
        <v>503</v>
      </c>
      <c r="Q837" s="18" t="s">
        <v>476</v>
      </c>
      <c r="R837" s="68" t="str">
        <f>IFERROR(CONCATENATE("*",VLOOKUP(L837,PARAM!D:E,2,0),VLOOKUP(M837,PARAM!J:K,2,0),VLOOKUP(N837,PARAM!G:H,2,0),VLOOKUP(P837,PARAM!P:Q,2,0),"*"),"")</f>
        <v/>
      </c>
      <c r="S837" s="18" t="str">
        <f>IFERROR(CONCATENATE(VLOOKUP(L837,PARAM!D:E,2,0),VLOOKUP(M837,PARAM!J:K,2,0),VLOOKUP(N837,PARAM!G:H,2,0),VLOOKUP(O837,PARAM!M:N,2,0),VLOOKUP(P837,PARAM!P:Q,2,0)),"")</f>
        <v/>
      </c>
      <c r="T837" s="18">
        <f t="shared" si="4"/>
        <v>0</v>
      </c>
      <c r="U837" s="18" t="str">
        <f t="shared" si="5"/>
        <v>   </v>
      </c>
    </row>
    <row r="838">
      <c r="A838" s="1"/>
      <c r="B838" s="1"/>
      <c r="C838" s="1"/>
      <c r="D838" s="1"/>
      <c r="E838" s="2"/>
      <c r="F838" s="1"/>
      <c r="G838" s="65">
        <f t="shared" si="7"/>
        <v>0</v>
      </c>
      <c r="H838" s="1"/>
      <c r="I838" s="1"/>
      <c r="J838" s="1"/>
      <c r="K838" s="18"/>
      <c r="L838" s="18"/>
      <c r="M838" s="18"/>
      <c r="N838" s="18"/>
      <c r="O838" s="18"/>
      <c r="P838" s="67" t="s">
        <v>503</v>
      </c>
      <c r="Q838" s="18" t="s">
        <v>476</v>
      </c>
      <c r="R838" s="68" t="str">
        <f>IFERROR(CONCATENATE("*",VLOOKUP(L838,PARAM!D:E,2,0),VLOOKUP(M838,PARAM!J:K,2,0),VLOOKUP(N838,PARAM!G:H,2,0),VLOOKUP(P838,PARAM!P:Q,2,0),"*"),"")</f>
        <v/>
      </c>
      <c r="S838" s="18" t="str">
        <f>IFERROR(CONCATENATE(VLOOKUP(L838,PARAM!D:E,2,0),VLOOKUP(M838,PARAM!J:K,2,0),VLOOKUP(N838,PARAM!G:H,2,0),VLOOKUP(O838,PARAM!M:N,2,0),VLOOKUP(P838,PARAM!P:Q,2,0)),"")</f>
        <v/>
      </c>
      <c r="T838" s="18">
        <f t="shared" si="4"/>
        <v>0</v>
      </c>
      <c r="U838" s="18" t="str">
        <f t="shared" si="5"/>
        <v>   </v>
      </c>
    </row>
    <row r="839">
      <c r="A839" s="1"/>
      <c r="B839" s="1"/>
      <c r="C839" s="1"/>
      <c r="D839" s="1"/>
      <c r="E839" s="2"/>
      <c r="F839" s="1"/>
      <c r="G839" s="65">
        <f t="shared" si="7"/>
        <v>0</v>
      </c>
      <c r="H839" s="1"/>
      <c r="I839" s="1"/>
      <c r="J839" s="1"/>
      <c r="K839" s="18"/>
      <c r="L839" s="18"/>
      <c r="M839" s="18"/>
      <c r="N839" s="18"/>
      <c r="O839" s="18"/>
      <c r="P839" s="67" t="s">
        <v>503</v>
      </c>
      <c r="Q839" s="18" t="s">
        <v>476</v>
      </c>
      <c r="R839" s="68" t="str">
        <f>IFERROR(CONCATENATE("*",VLOOKUP(L839,PARAM!D:E,2,0),VLOOKUP(M839,PARAM!J:K,2,0),VLOOKUP(N839,PARAM!G:H,2,0),VLOOKUP(P839,PARAM!P:Q,2,0),"*"),"")</f>
        <v/>
      </c>
      <c r="S839" s="18" t="str">
        <f>IFERROR(CONCATENATE(VLOOKUP(L839,PARAM!D:E,2,0),VLOOKUP(M839,PARAM!J:K,2,0),VLOOKUP(N839,PARAM!G:H,2,0),VLOOKUP(O839,PARAM!M:N,2,0),VLOOKUP(P839,PARAM!P:Q,2,0)),"")</f>
        <v/>
      </c>
      <c r="T839" s="18">
        <f t="shared" si="4"/>
        <v>0</v>
      </c>
      <c r="U839" s="18" t="str">
        <f t="shared" si="5"/>
        <v>   </v>
      </c>
    </row>
    <row r="840">
      <c r="A840" s="1"/>
      <c r="B840" s="1"/>
      <c r="C840" s="1"/>
      <c r="D840" s="1"/>
      <c r="E840" s="2"/>
      <c r="F840" s="1"/>
      <c r="G840" s="65">
        <f t="shared" si="7"/>
        <v>0</v>
      </c>
      <c r="H840" s="1"/>
      <c r="I840" s="1"/>
      <c r="J840" s="1"/>
      <c r="K840" s="18"/>
      <c r="L840" s="18"/>
      <c r="M840" s="18"/>
      <c r="N840" s="18"/>
      <c r="O840" s="18"/>
      <c r="P840" s="67" t="s">
        <v>503</v>
      </c>
      <c r="Q840" s="18" t="s">
        <v>476</v>
      </c>
      <c r="R840" s="68" t="str">
        <f>IFERROR(CONCATENATE("*",VLOOKUP(L840,PARAM!D:E,2,0),VLOOKUP(M840,PARAM!J:K,2,0),VLOOKUP(N840,PARAM!G:H,2,0),VLOOKUP(P840,PARAM!P:Q,2,0),"*"),"")</f>
        <v/>
      </c>
      <c r="S840" s="18" t="str">
        <f>IFERROR(CONCATENATE(VLOOKUP(L840,PARAM!D:E,2,0),VLOOKUP(M840,PARAM!J:K,2,0),VLOOKUP(N840,PARAM!G:H,2,0),VLOOKUP(O840,PARAM!M:N,2,0),VLOOKUP(P840,PARAM!P:Q,2,0)),"")</f>
        <v/>
      </c>
      <c r="T840" s="18">
        <f t="shared" si="4"/>
        <v>0</v>
      </c>
      <c r="U840" s="18" t="str">
        <f t="shared" si="5"/>
        <v>   </v>
      </c>
    </row>
    <row r="841">
      <c r="A841" s="1"/>
      <c r="B841" s="1"/>
      <c r="C841" s="1"/>
      <c r="D841" s="1"/>
      <c r="E841" s="2"/>
      <c r="F841" s="1"/>
      <c r="G841" s="65">
        <f t="shared" si="7"/>
        <v>0</v>
      </c>
      <c r="H841" s="1"/>
      <c r="I841" s="1"/>
      <c r="J841" s="1"/>
      <c r="K841" s="18"/>
      <c r="L841" s="18"/>
      <c r="M841" s="18"/>
      <c r="N841" s="18"/>
      <c r="O841" s="18"/>
      <c r="P841" s="67" t="s">
        <v>503</v>
      </c>
      <c r="Q841" s="18" t="s">
        <v>476</v>
      </c>
      <c r="R841" s="68" t="str">
        <f>IFERROR(CONCATENATE("*",VLOOKUP(L841,PARAM!D:E,2,0),VLOOKUP(M841,PARAM!J:K,2,0),VLOOKUP(N841,PARAM!G:H,2,0),VLOOKUP(P841,PARAM!P:Q,2,0),"*"),"")</f>
        <v/>
      </c>
      <c r="S841" s="18" t="str">
        <f>IFERROR(CONCATENATE(VLOOKUP(L841,PARAM!D:E,2,0),VLOOKUP(M841,PARAM!J:K,2,0),VLOOKUP(N841,PARAM!G:H,2,0),VLOOKUP(O841,PARAM!M:N,2,0),VLOOKUP(P841,PARAM!P:Q,2,0)),"")</f>
        <v/>
      </c>
      <c r="T841" s="18">
        <f t="shared" si="4"/>
        <v>0</v>
      </c>
      <c r="U841" s="18" t="str">
        <f t="shared" si="5"/>
        <v>   </v>
      </c>
    </row>
    <row r="842">
      <c r="A842" s="1"/>
      <c r="B842" s="1"/>
      <c r="C842" s="1"/>
      <c r="D842" s="1"/>
      <c r="E842" s="2"/>
      <c r="F842" s="1"/>
      <c r="G842" s="65">
        <f t="shared" si="7"/>
        <v>0</v>
      </c>
      <c r="H842" s="1"/>
      <c r="I842" s="1"/>
      <c r="J842" s="1"/>
      <c r="K842" s="18"/>
      <c r="L842" s="18"/>
      <c r="M842" s="18"/>
      <c r="N842" s="18"/>
      <c r="O842" s="18"/>
      <c r="P842" s="67" t="s">
        <v>503</v>
      </c>
      <c r="Q842" s="18" t="s">
        <v>476</v>
      </c>
      <c r="R842" s="68" t="str">
        <f>IFERROR(CONCATENATE("*",VLOOKUP(L842,PARAM!D:E,2,0),VLOOKUP(M842,PARAM!J:K,2,0),VLOOKUP(N842,PARAM!G:H,2,0),VLOOKUP(P842,PARAM!P:Q,2,0),"*"),"")</f>
        <v/>
      </c>
      <c r="S842" s="18" t="str">
        <f>IFERROR(CONCATENATE(VLOOKUP(L842,PARAM!D:E,2,0),VLOOKUP(M842,PARAM!J:K,2,0),VLOOKUP(N842,PARAM!G:H,2,0),VLOOKUP(O842,PARAM!M:N,2,0),VLOOKUP(P842,PARAM!P:Q,2,0)),"")</f>
        <v/>
      </c>
      <c r="T842" s="18">
        <f t="shared" si="4"/>
        <v>0</v>
      </c>
      <c r="U842" s="18" t="str">
        <f t="shared" si="5"/>
        <v>   </v>
      </c>
    </row>
    <row r="843">
      <c r="A843" s="1"/>
      <c r="B843" s="1"/>
      <c r="C843" s="1"/>
      <c r="D843" s="1"/>
      <c r="E843" s="2"/>
      <c r="F843" s="1"/>
      <c r="G843" s="65">
        <f t="shared" si="7"/>
        <v>0</v>
      </c>
      <c r="H843" s="1"/>
      <c r="I843" s="1"/>
      <c r="J843" s="1"/>
      <c r="K843" s="18"/>
      <c r="L843" s="18"/>
      <c r="M843" s="18"/>
      <c r="N843" s="18"/>
      <c r="O843" s="18"/>
      <c r="P843" s="67" t="s">
        <v>503</v>
      </c>
      <c r="Q843" s="18" t="s">
        <v>476</v>
      </c>
      <c r="R843" s="68" t="str">
        <f>IFERROR(CONCATENATE("*",VLOOKUP(L843,PARAM!D:E,2,0),VLOOKUP(M843,PARAM!J:K,2,0),VLOOKUP(N843,PARAM!G:H,2,0),VLOOKUP(P843,PARAM!P:Q,2,0),"*"),"")</f>
        <v/>
      </c>
      <c r="S843" s="18" t="str">
        <f>IFERROR(CONCATENATE(VLOOKUP(L843,PARAM!D:E,2,0),VLOOKUP(M843,PARAM!J:K,2,0),VLOOKUP(N843,PARAM!G:H,2,0),VLOOKUP(O843,PARAM!M:N,2,0),VLOOKUP(P843,PARAM!P:Q,2,0)),"")</f>
        <v/>
      </c>
      <c r="T843" s="18">
        <f t="shared" si="4"/>
        <v>0</v>
      </c>
      <c r="U843" s="18" t="str">
        <f t="shared" si="5"/>
        <v>   </v>
      </c>
    </row>
    <row r="844">
      <c r="A844" s="1"/>
      <c r="B844" s="1"/>
      <c r="C844" s="1"/>
      <c r="D844" s="1"/>
      <c r="E844" s="2"/>
      <c r="F844" s="1"/>
      <c r="G844" s="65">
        <f t="shared" si="7"/>
        <v>0</v>
      </c>
      <c r="H844" s="1"/>
      <c r="I844" s="1"/>
      <c r="J844" s="1"/>
      <c r="K844" s="18"/>
      <c r="L844" s="18"/>
      <c r="M844" s="18"/>
      <c r="N844" s="18"/>
      <c r="O844" s="18"/>
      <c r="P844" s="67" t="s">
        <v>503</v>
      </c>
      <c r="Q844" s="18" t="s">
        <v>476</v>
      </c>
      <c r="R844" s="68" t="str">
        <f>IFERROR(CONCATENATE("*",VLOOKUP(L844,PARAM!D:E,2,0),VLOOKUP(M844,PARAM!J:K,2,0),VLOOKUP(N844,PARAM!G:H,2,0),VLOOKUP(P844,PARAM!P:Q,2,0),"*"),"")</f>
        <v/>
      </c>
      <c r="S844" s="18" t="str">
        <f>IFERROR(CONCATENATE(VLOOKUP(L844,PARAM!D:E,2,0),VLOOKUP(M844,PARAM!J:K,2,0),VLOOKUP(N844,PARAM!G:H,2,0),VLOOKUP(O844,PARAM!M:N,2,0),VLOOKUP(P844,PARAM!P:Q,2,0)),"")</f>
        <v/>
      </c>
      <c r="T844" s="18">
        <f t="shared" si="4"/>
        <v>0</v>
      </c>
      <c r="U844" s="18" t="str">
        <f t="shared" si="5"/>
        <v>   </v>
      </c>
    </row>
    <row r="845">
      <c r="A845" s="1"/>
      <c r="B845" s="1"/>
      <c r="C845" s="1"/>
      <c r="D845" s="1"/>
      <c r="E845" s="2"/>
      <c r="F845" s="1"/>
      <c r="G845" s="65">
        <f t="shared" si="7"/>
        <v>0</v>
      </c>
      <c r="H845" s="1"/>
      <c r="I845" s="1"/>
      <c r="J845" s="1"/>
      <c r="K845" s="18"/>
      <c r="L845" s="18"/>
      <c r="M845" s="18"/>
      <c r="N845" s="18"/>
      <c r="O845" s="18"/>
      <c r="P845" s="67" t="s">
        <v>503</v>
      </c>
      <c r="Q845" s="18" t="s">
        <v>476</v>
      </c>
      <c r="R845" s="68" t="str">
        <f>IFERROR(CONCATENATE("*",VLOOKUP(L845,PARAM!D:E,2,0),VLOOKUP(M845,PARAM!J:K,2,0),VLOOKUP(N845,PARAM!G:H,2,0),VLOOKUP(P845,PARAM!P:Q,2,0),"*"),"")</f>
        <v/>
      </c>
      <c r="S845" s="18" t="str">
        <f>IFERROR(CONCATENATE(VLOOKUP(L845,PARAM!D:E,2,0),VLOOKUP(M845,PARAM!J:K,2,0),VLOOKUP(N845,PARAM!G:H,2,0),VLOOKUP(O845,PARAM!M:N,2,0),VLOOKUP(P845,PARAM!P:Q,2,0)),"")</f>
        <v/>
      </c>
      <c r="T845" s="18">
        <f t="shared" si="4"/>
        <v>0</v>
      </c>
      <c r="U845" s="18" t="str">
        <f t="shared" si="5"/>
        <v>   </v>
      </c>
    </row>
    <row r="846">
      <c r="A846" s="1"/>
      <c r="B846" s="1"/>
      <c r="C846" s="1"/>
      <c r="D846" s="1"/>
      <c r="E846" s="2"/>
      <c r="F846" s="1"/>
      <c r="G846" s="65">
        <f t="shared" si="7"/>
        <v>0</v>
      </c>
      <c r="H846" s="1"/>
      <c r="I846" s="1"/>
      <c r="J846" s="1"/>
      <c r="K846" s="18"/>
      <c r="L846" s="18"/>
      <c r="M846" s="18"/>
      <c r="N846" s="18"/>
      <c r="O846" s="18"/>
      <c r="P846" s="67" t="s">
        <v>503</v>
      </c>
      <c r="Q846" s="18" t="s">
        <v>476</v>
      </c>
      <c r="R846" s="68" t="str">
        <f>IFERROR(CONCATENATE("*",VLOOKUP(L846,PARAM!D:E,2,0),VLOOKUP(M846,PARAM!J:K,2,0),VLOOKUP(N846,PARAM!G:H,2,0),VLOOKUP(P846,PARAM!P:Q,2,0),"*"),"")</f>
        <v/>
      </c>
      <c r="S846" s="18" t="str">
        <f>IFERROR(CONCATENATE(VLOOKUP(L846,PARAM!D:E,2,0),VLOOKUP(M846,PARAM!J:K,2,0),VLOOKUP(N846,PARAM!G:H,2,0),VLOOKUP(O846,PARAM!M:N,2,0),VLOOKUP(P846,PARAM!P:Q,2,0)),"")</f>
        <v/>
      </c>
      <c r="T846" s="18">
        <f t="shared" si="4"/>
        <v>0</v>
      </c>
      <c r="U846" s="18" t="str">
        <f t="shared" si="5"/>
        <v>   </v>
      </c>
    </row>
    <row r="847">
      <c r="A847" s="1"/>
      <c r="B847" s="1"/>
      <c r="C847" s="1"/>
      <c r="D847" s="1"/>
      <c r="E847" s="2"/>
      <c r="F847" s="1"/>
      <c r="G847" s="65">
        <f t="shared" si="7"/>
        <v>0</v>
      </c>
      <c r="H847" s="1"/>
      <c r="I847" s="1"/>
      <c r="J847" s="1"/>
      <c r="K847" s="18"/>
      <c r="L847" s="18"/>
      <c r="M847" s="18"/>
      <c r="N847" s="18"/>
      <c r="O847" s="18"/>
      <c r="P847" s="67" t="s">
        <v>503</v>
      </c>
      <c r="Q847" s="18" t="s">
        <v>476</v>
      </c>
      <c r="R847" s="68" t="str">
        <f>IFERROR(CONCATENATE("*",VLOOKUP(L847,PARAM!D:E,2,0),VLOOKUP(M847,PARAM!J:K,2,0),VLOOKUP(N847,PARAM!G:H,2,0),VLOOKUP(P847,PARAM!P:Q,2,0),"*"),"")</f>
        <v/>
      </c>
      <c r="S847" s="18" t="str">
        <f>IFERROR(CONCATENATE(VLOOKUP(L847,PARAM!D:E,2,0),VLOOKUP(M847,PARAM!J:K,2,0),VLOOKUP(N847,PARAM!G:H,2,0),VLOOKUP(O847,PARAM!M:N,2,0),VLOOKUP(P847,PARAM!P:Q,2,0)),"")</f>
        <v/>
      </c>
      <c r="T847" s="18">
        <f t="shared" si="4"/>
        <v>0</v>
      </c>
      <c r="U847" s="18" t="str">
        <f t="shared" si="5"/>
        <v>   </v>
      </c>
    </row>
    <row r="848">
      <c r="A848" s="1"/>
      <c r="B848" s="1"/>
      <c r="C848" s="1"/>
      <c r="D848" s="1"/>
      <c r="E848" s="2"/>
      <c r="F848" s="1"/>
      <c r="G848" s="65">
        <f t="shared" si="7"/>
        <v>0</v>
      </c>
      <c r="H848" s="1"/>
      <c r="I848" s="1"/>
      <c r="J848" s="1"/>
      <c r="K848" s="18"/>
      <c r="L848" s="18"/>
      <c r="M848" s="18"/>
      <c r="N848" s="18"/>
      <c r="O848" s="18"/>
      <c r="P848" s="67" t="s">
        <v>503</v>
      </c>
      <c r="Q848" s="18" t="s">
        <v>476</v>
      </c>
      <c r="R848" s="68" t="str">
        <f>IFERROR(CONCATENATE("*",VLOOKUP(L848,PARAM!D:E,2,0),VLOOKUP(M848,PARAM!J:K,2,0),VLOOKUP(N848,PARAM!G:H,2,0),VLOOKUP(P848,PARAM!P:Q,2,0),"*"),"")</f>
        <v/>
      </c>
      <c r="S848" s="18" t="str">
        <f>IFERROR(CONCATENATE(VLOOKUP(L848,PARAM!D:E,2,0),VLOOKUP(M848,PARAM!J:K,2,0),VLOOKUP(N848,PARAM!G:H,2,0),VLOOKUP(O848,PARAM!M:N,2,0),VLOOKUP(P848,PARAM!P:Q,2,0)),"")</f>
        <v/>
      </c>
      <c r="T848" s="18">
        <f t="shared" si="4"/>
        <v>0</v>
      </c>
      <c r="U848" s="18" t="str">
        <f t="shared" si="5"/>
        <v>   </v>
      </c>
    </row>
    <row r="849">
      <c r="A849" s="1"/>
      <c r="B849" s="1"/>
      <c r="C849" s="1"/>
      <c r="D849" s="1"/>
      <c r="E849" s="2"/>
      <c r="F849" s="1"/>
      <c r="G849" s="65">
        <f t="shared" si="7"/>
        <v>0</v>
      </c>
      <c r="H849" s="1"/>
      <c r="I849" s="1"/>
      <c r="J849" s="1"/>
      <c r="K849" s="18"/>
      <c r="L849" s="18"/>
      <c r="M849" s="18"/>
      <c r="N849" s="18"/>
      <c r="O849" s="18"/>
      <c r="P849" s="67" t="s">
        <v>503</v>
      </c>
      <c r="Q849" s="18" t="s">
        <v>476</v>
      </c>
      <c r="R849" s="68" t="str">
        <f>IFERROR(CONCATENATE("*",VLOOKUP(L849,PARAM!D:E,2,0),VLOOKUP(M849,PARAM!J:K,2,0),VLOOKUP(N849,PARAM!G:H,2,0),VLOOKUP(P849,PARAM!P:Q,2,0),"*"),"")</f>
        <v/>
      </c>
      <c r="S849" s="18" t="str">
        <f>IFERROR(CONCATENATE(VLOOKUP(L849,PARAM!D:E,2,0),VLOOKUP(M849,PARAM!J:K,2,0),VLOOKUP(N849,PARAM!G:H,2,0),VLOOKUP(O849,PARAM!M:N,2,0),VLOOKUP(P849,PARAM!P:Q,2,0)),"")</f>
        <v/>
      </c>
      <c r="T849" s="18">
        <f t="shared" si="4"/>
        <v>0</v>
      </c>
      <c r="U849" s="18" t="str">
        <f t="shared" si="5"/>
        <v>   </v>
      </c>
    </row>
    <row r="850">
      <c r="A850" s="1"/>
      <c r="B850" s="1"/>
      <c r="C850" s="1"/>
      <c r="D850" s="1"/>
      <c r="E850" s="2"/>
      <c r="F850" s="1"/>
      <c r="G850" s="65">
        <f t="shared" si="7"/>
        <v>0</v>
      </c>
      <c r="H850" s="1"/>
      <c r="I850" s="1"/>
      <c r="J850" s="1"/>
      <c r="K850" s="18"/>
      <c r="L850" s="18"/>
      <c r="M850" s="18"/>
      <c r="N850" s="18"/>
      <c r="O850" s="18"/>
      <c r="P850" s="67" t="s">
        <v>503</v>
      </c>
      <c r="Q850" s="18" t="s">
        <v>476</v>
      </c>
      <c r="R850" s="68" t="str">
        <f>IFERROR(CONCATENATE("*",VLOOKUP(L850,PARAM!D:E,2,0),VLOOKUP(M850,PARAM!J:K,2,0),VLOOKUP(N850,PARAM!G:H,2,0),VLOOKUP(P850,PARAM!P:Q,2,0),"*"),"")</f>
        <v/>
      </c>
      <c r="S850" s="18" t="str">
        <f>IFERROR(CONCATENATE(VLOOKUP(L850,PARAM!D:E,2,0),VLOOKUP(M850,PARAM!J:K,2,0),VLOOKUP(N850,PARAM!G:H,2,0),VLOOKUP(O850,PARAM!M:N,2,0),VLOOKUP(P850,PARAM!P:Q,2,0)),"")</f>
        <v/>
      </c>
      <c r="T850" s="18">
        <f t="shared" si="4"/>
        <v>0</v>
      </c>
      <c r="U850" s="18" t="str">
        <f t="shared" si="5"/>
        <v>   </v>
      </c>
    </row>
    <row r="851">
      <c r="A851" s="1"/>
      <c r="B851" s="1"/>
      <c r="C851" s="1"/>
      <c r="D851" s="1"/>
      <c r="E851" s="2"/>
      <c r="F851" s="1"/>
      <c r="G851" s="65">
        <f t="shared" si="7"/>
        <v>0</v>
      </c>
      <c r="H851" s="1"/>
      <c r="I851" s="1"/>
      <c r="J851" s="1"/>
      <c r="K851" s="18"/>
      <c r="L851" s="18"/>
      <c r="M851" s="18"/>
      <c r="N851" s="18"/>
      <c r="O851" s="18"/>
      <c r="P851" s="67" t="s">
        <v>503</v>
      </c>
      <c r="Q851" s="18" t="s">
        <v>476</v>
      </c>
      <c r="R851" s="68" t="str">
        <f>IFERROR(CONCATENATE("*",VLOOKUP(L851,PARAM!D:E,2,0),VLOOKUP(M851,PARAM!J:K,2,0),VLOOKUP(N851,PARAM!G:H,2,0),VLOOKUP(P851,PARAM!P:Q,2,0),"*"),"")</f>
        <v/>
      </c>
      <c r="S851" s="18" t="str">
        <f>IFERROR(CONCATENATE(VLOOKUP(L851,PARAM!D:E,2,0),VLOOKUP(M851,PARAM!J:K,2,0),VLOOKUP(N851,PARAM!G:H,2,0),VLOOKUP(O851,PARAM!M:N,2,0),VLOOKUP(P851,PARAM!P:Q,2,0)),"")</f>
        <v/>
      </c>
      <c r="T851" s="18">
        <f t="shared" si="4"/>
        <v>0</v>
      </c>
      <c r="U851" s="18" t="str">
        <f t="shared" si="5"/>
        <v>   </v>
      </c>
    </row>
    <row r="852">
      <c r="A852" s="1"/>
      <c r="B852" s="1"/>
      <c r="C852" s="1"/>
      <c r="D852" s="1"/>
      <c r="E852" s="2"/>
      <c r="F852" s="1"/>
      <c r="G852" s="65">
        <f t="shared" si="7"/>
        <v>0</v>
      </c>
      <c r="H852" s="1"/>
      <c r="I852" s="1"/>
      <c r="J852" s="1"/>
      <c r="K852" s="18"/>
      <c r="L852" s="18"/>
      <c r="M852" s="18"/>
      <c r="N852" s="18"/>
      <c r="O852" s="18"/>
      <c r="P852" s="67" t="s">
        <v>503</v>
      </c>
      <c r="Q852" s="18" t="s">
        <v>476</v>
      </c>
      <c r="R852" s="68" t="str">
        <f>IFERROR(CONCATENATE("*",VLOOKUP(L852,PARAM!D:E,2,0),VLOOKUP(M852,PARAM!J:K,2,0),VLOOKUP(N852,PARAM!G:H,2,0),VLOOKUP(P852,PARAM!P:Q,2,0),"*"),"")</f>
        <v/>
      </c>
      <c r="S852" s="18" t="str">
        <f>IFERROR(CONCATENATE(VLOOKUP(L852,PARAM!D:E,2,0),VLOOKUP(M852,PARAM!J:K,2,0),VLOOKUP(N852,PARAM!G:H,2,0),VLOOKUP(O852,PARAM!M:N,2,0),VLOOKUP(P852,PARAM!P:Q,2,0)),"")</f>
        <v/>
      </c>
      <c r="T852" s="18">
        <f t="shared" si="4"/>
        <v>0</v>
      </c>
      <c r="U852" s="18" t="str">
        <f t="shared" si="5"/>
        <v>   </v>
      </c>
    </row>
    <row r="853">
      <c r="A853" s="1"/>
      <c r="B853" s="1"/>
      <c r="C853" s="1"/>
      <c r="D853" s="1"/>
      <c r="E853" s="2"/>
      <c r="F853" s="1"/>
      <c r="G853" s="65">
        <f t="shared" si="7"/>
        <v>0</v>
      </c>
      <c r="H853" s="1"/>
      <c r="I853" s="1"/>
      <c r="J853" s="1"/>
      <c r="K853" s="18"/>
      <c r="L853" s="18"/>
      <c r="M853" s="18"/>
      <c r="N853" s="18"/>
      <c r="O853" s="18"/>
      <c r="P853" s="67" t="s">
        <v>503</v>
      </c>
      <c r="Q853" s="18" t="s">
        <v>476</v>
      </c>
      <c r="R853" s="68" t="str">
        <f>IFERROR(CONCATENATE("*",VLOOKUP(L853,PARAM!D:E,2,0),VLOOKUP(M853,PARAM!J:K,2,0),VLOOKUP(N853,PARAM!G:H,2,0),VLOOKUP(P853,PARAM!P:Q,2,0),"*"),"")</f>
        <v/>
      </c>
      <c r="S853" s="18" t="str">
        <f>IFERROR(CONCATENATE(VLOOKUP(L853,PARAM!D:E,2,0),VLOOKUP(M853,PARAM!J:K,2,0),VLOOKUP(N853,PARAM!G:H,2,0),VLOOKUP(O853,PARAM!M:N,2,0),VLOOKUP(P853,PARAM!P:Q,2,0)),"")</f>
        <v/>
      </c>
      <c r="T853" s="18">
        <f t="shared" si="4"/>
        <v>0</v>
      </c>
      <c r="U853" s="18" t="str">
        <f t="shared" si="5"/>
        <v>   </v>
      </c>
    </row>
    <row r="854">
      <c r="A854" s="1"/>
      <c r="B854" s="1"/>
      <c r="C854" s="1"/>
      <c r="D854" s="1"/>
      <c r="E854" s="2"/>
      <c r="F854" s="1"/>
      <c r="G854" s="65">
        <f t="shared" si="7"/>
        <v>0</v>
      </c>
      <c r="H854" s="1"/>
      <c r="I854" s="1"/>
      <c r="J854" s="1"/>
      <c r="K854" s="18"/>
      <c r="L854" s="18"/>
      <c r="M854" s="18"/>
      <c r="N854" s="18"/>
      <c r="O854" s="18"/>
      <c r="P854" s="67" t="s">
        <v>503</v>
      </c>
      <c r="Q854" s="18" t="s">
        <v>476</v>
      </c>
      <c r="R854" s="68" t="str">
        <f>IFERROR(CONCATENATE("*",VLOOKUP(L854,PARAM!D:E,2,0),VLOOKUP(M854,PARAM!J:K,2,0),VLOOKUP(N854,PARAM!G:H,2,0),VLOOKUP(P854,PARAM!P:Q,2,0),"*"),"")</f>
        <v/>
      </c>
      <c r="S854" s="18" t="str">
        <f>IFERROR(CONCATENATE(VLOOKUP(L854,PARAM!D:E,2,0),VLOOKUP(M854,PARAM!J:K,2,0),VLOOKUP(N854,PARAM!G:H,2,0),VLOOKUP(O854,PARAM!M:N,2,0),VLOOKUP(P854,PARAM!P:Q,2,0)),"")</f>
        <v/>
      </c>
      <c r="T854" s="18">
        <f t="shared" si="4"/>
        <v>0</v>
      </c>
      <c r="U854" s="18" t="str">
        <f t="shared" si="5"/>
        <v>   </v>
      </c>
    </row>
    <row r="855">
      <c r="A855" s="1"/>
      <c r="B855" s="1"/>
      <c r="C855" s="1"/>
      <c r="D855" s="1"/>
      <c r="E855" s="2"/>
      <c r="F855" s="1"/>
      <c r="G855" s="65">
        <f t="shared" si="7"/>
        <v>0</v>
      </c>
      <c r="H855" s="1"/>
      <c r="I855" s="1"/>
      <c r="J855" s="1"/>
      <c r="K855" s="18"/>
      <c r="L855" s="18"/>
      <c r="M855" s="18"/>
      <c r="N855" s="18"/>
      <c r="O855" s="18"/>
      <c r="P855" s="67" t="s">
        <v>503</v>
      </c>
      <c r="Q855" s="18" t="s">
        <v>476</v>
      </c>
      <c r="R855" s="68" t="str">
        <f>IFERROR(CONCATENATE("*",VLOOKUP(L855,PARAM!D:E,2,0),VLOOKUP(M855,PARAM!J:K,2,0),VLOOKUP(N855,PARAM!G:H,2,0),VLOOKUP(P855,PARAM!P:Q,2,0),"*"),"")</f>
        <v/>
      </c>
      <c r="S855" s="18" t="str">
        <f>IFERROR(CONCATENATE(VLOOKUP(L855,PARAM!D:E,2,0),VLOOKUP(M855,PARAM!J:K,2,0),VLOOKUP(N855,PARAM!G:H,2,0),VLOOKUP(O855,PARAM!M:N,2,0),VLOOKUP(P855,PARAM!P:Q,2,0)),"")</f>
        <v/>
      </c>
      <c r="T855" s="18">
        <f t="shared" si="4"/>
        <v>0</v>
      </c>
      <c r="U855" s="18" t="str">
        <f t="shared" si="5"/>
        <v>   </v>
      </c>
    </row>
    <row r="856">
      <c r="A856" s="1"/>
      <c r="B856" s="1"/>
      <c r="C856" s="1"/>
      <c r="D856" s="1"/>
      <c r="E856" s="2"/>
      <c r="F856" s="1"/>
      <c r="G856" s="65">
        <f t="shared" si="7"/>
        <v>0</v>
      </c>
      <c r="H856" s="1"/>
      <c r="I856" s="1"/>
      <c r="J856" s="1"/>
      <c r="K856" s="18"/>
      <c r="L856" s="18"/>
      <c r="M856" s="18"/>
      <c r="N856" s="18"/>
      <c r="O856" s="18"/>
      <c r="P856" s="67" t="s">
        <v>503</v>
      </c>
      <c r="Q856" s="18" t="s">
        <v>476</v>
      </c>
      <c r="R856" s="68" t="str">
        <f>IFERROR(CONCATENATE("*",VLOOKUP(L856,PARAM!D:E,2,0),VLOOKUP(M856,PARAM!J:K,2,0),VLOOKUP(N856,PARAM!G:H,2,0),VLOOKUP(P856,PARAM!P:Q,2,0),"*"),"")</f>
        <v/>
      </c>
      <c r="S856" s="18" t="str">
        <f>IFERROR(CONCATENATE(VLOOKUP(L856,PARAM!D:E,2,0),VLOOKUP(M856,PARAM!J:K,2,0),VLOOKUP(N856,PARAM!G:H,2,0),VLOOKUP(O856,PARAM!M:N,2,0),VLOOKUP(P856,PARAM!P:Q,2,0)),"")</f>
        <v/>
      </c>
      <c r="T856" s="18">
        <f t="shared" si="4"/>
        <v>0</v>
      </c>
      <c r="U856" s="18" t="str">
        <f t="shared" si="5"/>
        <v>   </v>
      </c>
    </row>
    <row r="857">
      <c r="A857" s="1"/>
      <c r="B857" s="1"/>
      <c r="C857" s="1"/>
      <c r="D857" s="1"/>
      <c r="E857" s="2"/>
      <c r="F857" s="1"/>
      <c r="G857" s="65">
        <f t="shared" si="7"/>
        <v>0</v>
      </c>
      <c r="H857" s="1"/>
      <c r="I857" s="1"/>
      <c r="J857" s="1"/>
      <c r="K857" s="18"/>
      <c r="L857" s="18"/>
      <c r="M857" s="18"/>
      <c r="N857" s="18"/>
      <c r="O857" s="18"/>
      <c r="P857" s="67" t="s">
        <v>503</v>
      </c>
      <c r="Q857" s="18" t="s">
        <v>476</v>
      </c>
      <c r="R857" s="68" t="str">
        <f>IFERROR(CONCATENATE("*",VLOOKUP(L857,PARAM!D:E,2,0),VLOOKUP(M857,PARAM!J:K,2,0),VLOOKUP(N857,PARAM!G:H,2,0),VLOOKUP(P857,PARAM!P:Q,2,0),"*"),"")</f>
        <v/>
      </c>
      <c r="S857" s="18" t="str">
        <f>IFERROR(CONCATENATE(VLOOKUP(L857,PARAM!D:E,2,0),VLOOKUP(M857,PARAM!J:K,2,0),VLOOKUP(N857,PARAM!G:H,2,0),VLOOKUP(O857,PARAM!M:N,2,0),VLOOKUP(P857,PARAM!P:Q,2,0)),"")</f>
        <v/>
      </c>
      <c r="T857" s="18">
        <f t="shared" si="4"/>
        <v>0</v>
      </c>
      <c r="U857" s="18" t="str">
        <f t="shared" si="5"/>
        <v>   </v>
      </c>
    </row>
    <row r="858">
      <c r="A858" s="1"/>
      <c r="B858" s="1"/>
      <c r="C858" s="1"/>
      <c r="D858" s="1"/>
      <c r="E858" s="2"/>
      <c r="F858" s="1"/>
      <c r="G858" s="65">
        <f t="shared" si="7"/>
        <v>0</v>
      </c>
      <c r="H858" s="1"/>
      <c r="I858" s="1"/>
      <c r="J858" s="1"/>
      <c r="K858" s="18"/>
      <c r="L858" s="18"/>
      <c r="M858" s="18"/>
      <c r="N858" s="18"/>
      <c r="O858" s="18"/>
      <c r="P858" s="67" t="s">
        <v>503</v>
      </c>
      <c r="Q858" s="18" t="s">
        <v>476</v>
      </c>
      <c r="R858" s="68" t="str">
        <f>IFERROR(CONCATENATE("*",VLOOKUP(L858,PARAM!D:E,2,0),VLOOKUP(M858,PARAM!J:K,2,0),VLOOKUP(N858,PARAM!G:H,2,0),VLOOKUP(P858,PARAM!P:Q,2,0),"*"),"")</f>
        <v/>
      </c>
      <c r="S858" s="18" t="str">
        <f>IFERROR(CONCATENATE(VLOOKUP(L858,PARAM!D:E,2,0),VLOOKUP(M858,PARAM!J:K,2,0),VLOOKUP(N858,PARAM!G:H,2,0),VLOOKUP(O858,PARAM!M:N,2,0),VLOOKUP(P858,PARAM!P:Q,2,0)),"")</f>
        <v/>
      </c>
      <c r="T858" s="18">
        <f t="shared" si="4"/>
        <v>0</v>
      </c>
      <c r="U858" s="18" t="str">
        <f t="shared" si="5"/>
        <v>   </v>
      </c>
    </row>
    <row r="859">
      <c r="A859" s="1"/>
      <c r="B859" s="1"/>
      <c r="C859" s="1"/>
      <c r="D859" s="1"/>
      <c r="E859" s="2"/>
      <c r="F859" s="1"/>
      <c r="G859" s="65">
        <f t="shared" si="7"/>
        <v>0</v>
      </c>
      <c r="H859" s="1"/>
      <c r="I859" s="1"/>
      <c r="J859" s="1"/>
      <c r="K859" s="18"/>
      <c r="L859" s="18"/>
      <c r="M859" s="18"/>
      <c r="N859" s="18"/>
      <c r="O859" s="18"/>
      <c r="P859" s="67" t="s">
        <v>503</v>
      </c>
      <c r="Q859" s="18" t="s">
        <v>476</v>
      </c>
      <c r="R859" s="68" t="str">
        <f>IFERROR(CONCATENATE("*",VLOOKUP(L859,PARAM!D:E,2,0),VLOOKUP(M859,PARAM!J:K,2,0),VLOOKUP(N859,PARAM!G:H,2,0),VLOOKUP(P859,PARAM!P:Q,2,0),"*"),"")</f>
        <v/>
      </c>
      <c r="S859" s="18" t="str">
        <f>IFERROR(CONCATENATE(VLOOKUP(L859,PARAM!D:E,2,0),VLOOKUP(M859,PARAM!J:K,2,0),VLOOKUP(N859,PARAM!G:H,2,0),VLOOKUP(O859,PARAM!M:N,2,0),VLOOKUP(P859,PARAM!P:Q,2,0)),"")</f>
        <v/>
      </c>
      <c r="T859" s="18">
        <f t="shared" si="4"/>
        <v>0</v>
      </c>
      <c r="U859" s="18" t="str">
        <f t="shared" si="5"/>
        <v>   </v>
      </c>
    </row>
    <row r="860">
      <c r="A860" s="1"/>
      <c r="B860" s="1"/>
      <c r="C860" s="1"/>
      <c r="D860" s="1"/>
      <c r="E860" s="2"/>
      <c r="F860" s="1"/>
      <c r="G860" s="65">
        <f t="shared" si="7"/>
        <v>0</v>
      </c>
      <c r="H860" s="1"/>
      <c r="I860" s="1"/>
      <c r="J860" s="1"/>
      <c r="K860" s="18"/>
      <c r="L860" s="18"/>
      <c r="M860" s="18"/>
      <c r="N860" s="18"/>
      <c r="O860" s="18"/>
      <c r="P860" s="67" t="s">
        <v>503</v>
      </c>
      <c r="Q860" s="18" t="s">
        <v>476</v>
      </c>
      <c r="R860" s="68" t="str">
        <f>IFERROR(CONCATENATE("*",VLOOKUP(L860,PARAM!D:E,2,0),VLOOKUP(M860,PARAM!J:K,2,0),VLOOKUP(N860,PARAM!G:H,2,0),VLOOKUP(P860,PARAM!P:Q,2,0),"*"),"")</f>
        <v/>
      </c>
      <c r="S860" s="18" t="str">
        <f>IFERROR(CONCATENATE(VLOOKUP(L860,PARAM!D:E,2,0),VLOOKUP(M860,PARAM!J:K,2,0),VLOOKUP(N860,PARAM!G:H,2,0),VLOOKUP(O860,PARAM!M:N,2,0),VLOOKUP(P860,PARAM!P:Q,2,0)),"")</f>
        <v/>
      </c>
      <c r="T860" s="18">
        <f t="shared" si="4"/>
        <v>0</v>
      </c>
      <c r="U860" s="18" t="str">
        <f t="shared" si="5"/>
        <v>   </v>
      </c>
    </row>
    <row r="861">
      <c r="A861" s="1"/>
      <c r="B861" s="1"/>
      <c r="C861" s="1"/>
      <c r="D861" s="1"/>
      <c r="E861" s="2"/>
      <c r="F861" s="1"/>
      <c r="G861" s="65">
        <f t="shared" si="7"/>
        <v>0</v>
      </c>
      <c r="H861" s="1"/>
      <c r="I861" s="1"/>
      <c r="J861" s="1"/>
      <c r="K861" s="18"/>
      <c r="L861" s="18"/>
      <c r="M861" s="18"/>
      <c r="N861" s="18"/>
      <c r="O861" s="18"/>
      <c r="P861" s="67" t="s">
        <v>503</v>
      </c>
      <c r="Q861" s="18" t="s">
        <v>476</v>
      </c>
      <c r="R861" s="68" t="str">
        <f>IFERROR(CONCATENATE("*",VLOOKUP(L861,PARAM!D:E,2,0),VLOOKUP(M861,PARAM!J:K,2,0),VLOOKUP(N861,PARAM!G:H,2,0),VLOOKUP(P861,PARAM!P:Q,2,0),"*"),"")</f>
        <v/>
      </c>
      <c r="S861" s="18" t="str">
        <f>IFERROR(CONCATENATE(VLOOKUP(L861,PARAM!D:E,2,0),VLOOKUP(M861,PARAM!J:K,2,0),VLOOKUP(N861,PARAM!G:H,2,0),VLOOKUP(O861,PARAM!M:N,2,0),VLOOKUP(P861,PARAM!P:Q,2,0)),"")</f>
        <v/>
      </c>
      <c r="T861" s="18">
        <f t="shared" si="4"/>
        <v>0</v>
      </c>
      <c r="U861" s="18" t="str">
        <f t="shared" si="5"/>
        <v>   </v>
      </c>
    </row>
    <row r="862">
      <c r="A862" s="1"/>
      <c r="B862" s="1"/>
      <c r="C862" s="1"/>
      <c r="D862" s="1"/>
      <c r="E862" s="2"/>
      <c r="F862" s="1"/>
      <c r="G862" s="65">
        <f t="shared" si="7"/>
        <v>0</v>
      </c>
      <c r="H862" s="1"/>
      <c r="I862" s="1"/>
      <c r="J862" s="1"/>
      <c r="K862" s="18"/>
      <c r="L862" s="18"/>
      <c r="M862" s="18"/>
      <c r="N862" s="18"/>
      <c r="O862" s="18"/>
      <c r="P862" s="67" t="s">
        <v>503</v>
      </c>
      <c r="Q862" s="18" t="s">
        <v>476</v>
      </c>
      <c r="R862" s="68" t="str">
        <f>IFERROR(CONCATENATE("*",VLOOKUP(L862,PARAM!D:E,2,0),VLOOKUP(M862,PARAM!J:K,2,0),VLOOKUP(N862,PARAM!G:H,2,0),VLOOKUP(P862,PARAM!P:Q,2,0),"*"),"")</f>
        <v/>
      </c>
      <c r="S862" s="18" t="str">
        <f>IFERROR(CONCATENATE(VLOOKUP(L862,PARAM!D:E,2,0),VLOOKUP(M862,PARAM!J:K,2,0),VLOOKUP(N862,PARAM!G:H,2,0),VLOOKUP(O862,PARAM!M:N,2,0),VLOOKUP(P862,PARAM!P:Q,2,0)),"")</f>
        <v/>
      </c>
      <c r="T862" s="18">
        <f t="shared" si="4"/>
        <v>0</v>
      </c>
      <c r="U862" s="18" t="str">
        <f t="shared" si="5"/>
        <v>   </v>
      </c>
    </row>
    <row r="863">
      <c r="A863" s="1"/>
      <c r="B863" s="1"/>
      <c r="C863" s="1"/>
      <c r="D863" s="1"/>
      <c r="E863" s="2"/>
      <c r="F863" s="1"/>
      <c r="G863" s="65">
        <f t="shared" si="7"/>
        <v>0</v>
      </c>
      <c r="H863" s="1"/>
      <c r="I863" s="1"/>
      <c r="J863" s="1"/>
      <c r="K863" s="18"/>
      <c r="L863" s="18"/>
      <c r="M863" s="18"/>
      <c r="N863" s="18"/>
      <c r="O863" s="18"/>
      <c r="P863" s="67" t="s">
        <v>503</v>
      </c>
      <c r="Q863" s="18" t="s">
        <v>476</v>
      </c>
      <c r="R863" s="68" t="str">
        <f>IFERROR(CONCATENATE("*",VLOOKUP(L863,PARAM!D:E,2,0),VLOOKUP(M863,PARAM!J:K,2,0),VLOOKUP(N863,PARAM!G:H,2,0),VLOOKUP(P863,PARAM!P:Q,2,0),"*"),"")</f>
        <v/>
      </c>
      <c r="S863" s="18" t="str">
        <f>IFERROR(CONCATENATE(VLOOKUP(L863,PARAM!D:E,2,0),VLOOKUP(M863,PARAM!J:K,2,0),VLOOKUP(N863,PARAM!G:H,2,0),VLOOKUP(O863,PARAM!M:N,2,0),VLOOKUP(P863,PARAM!P:Q,2,0)),"")</f>
        <v/>
      </c>
      <c r="T863" s="18">
        <f t="shared" si="4"/>
        <v>0</v>
      </c>
      <c r="U863" s="18" t="str">
        <f t="shared" si="5"/>
        <v>   </v>
      </c>
    </row>
    <row r="864">
      <c r="A864" s="1"/>
      <c r="B864" s="1"/>
      <c r="C864" s="1"/>
      <c r="D864" s="1"/>
      <c r="E864" s="2"/>
      <c r="F864" s="1"/>
      <c r="G864" s="65">
        <f t="shared" si="7"/>
        <v>0</v>
      </c>
      <c r="H864" s="1"/>
      <c r="I864" s="1"/>
      <c r="J864" s="1"/>
      <c r="K864" s="18"/>
      <c r="L864" s="18"/>
      <c r="M864" s="18"/>
      <c r="N864" s="18"/>
      <c r="O864" s="18"/>
      <c r="P864" s="67" t="s">
        <v>503</v>
      </c>
      <c r="Q864" s="18" t="s">
        <v>476</v>
      </c>
      <c r="R864" s="68" t="str">
        <f>IFERROR(CONCATENATE("*",VLOOKUP(L864,PARAM!D:E,2,0),VLOOKUP(M864,PARAM!J:K,2,0),VLOOKUP(N864,PARAM!G:H,2,0),VLOOKUP(P864,PARAM!P:Q,2,0),"*"),"")</f>
        <v/>
      </c>
      <c r="S864" s="18" t="str">
        <f>IFERROR(CONCATENATE(VLOOKUP(L864,PARAM!D:E,2,0),VLOOKUP(M864,PARAM!J:K,2,0),VLOOKUP(N864,PARAM!G:H,2,0),VLOOKUP(O864,PARAM!M:N,2,0),VLOOKUP(P864,PARAM!P:Q,2,0)),"")</f>
        <v/>
      </c>
      <c r="T864" s="18">
        <f t="shared" si="4"/>
        <v>0</v>
      </c>
      <c r="U864" s="18" t="str">
        <f t="shared" si="5"/>
        <v>   </v>
      </c>
    </row>
    <row r="865">
      <c r="A865" s="1"/>
      <c r="B865" s="1"/>
      <c r="C865" s="1"/>
      <c r="D865" s="1"/>
      <c r="E865" s="2"/>
      <c r="F865" s="1"/>
      <c r="G865" s="65">
        <f t="shared" si="7"/>
        <v>0</v>
      </c>
      <c r="H865" s="1"/>
      <c r="I865" s="1"/>
      <c r="J865" s="1"/>
      <c r="K865" s="18"/>
      <c r="L865" s="18"/>
      <c r="M865" s="18"/>
      <c r="N865" s="18"/>
      <c r="O865" s="18"/>
      <c r="P865" s="67" t="s">
        <v>503</v>
      </c>
      <c r="Q865" s="18" t="s">
        <v>476</v>
      </c>
      <c r="R865" s="68" t="str">
        <f>IFERROR(CONCATENATE("*",VLOOKUP(L865,PARAM!D:E,2,0),VLOOKUP(M865,PARAM!J:K,2,0),VLOOKUP(N865,PARAM!G:H,2,0),VLOOKUP(P865,PARAM!P:Q,2,0),"*"),"")</f>
        <v/>
      </c>
      <c r="S865" s="18" t="str">
        <f>IFERROR(CONCATENATE(VLOOKUP(L865,PARAM!D:E,2,0),VLOOKUP(M865,PARAM!J:K,2,0),VLOOKUP(N865,PARAM!G:H,2,0),VLOOKUP(O865,PARAM!M:N,2,0),VLOOKUP(P865,PARAM!P:Q,2,0)),"")</f>
        <v/>
      </c>
      <c r="T865" s="18">
        <f t="shared" si="4"/>
        <v>0</v>
      </c>
      <c r="U865" s="18" t="str">
        <f t="shared" si="5"/>
        <v>   </v>
      </c>
    </row>
    <row r="866">
      <c r="A866" s="1"/>
      <c r="B866" s="1"/>
      <c r="C866" s="1"/>
      <c r="D866" s="1"/>
      <c r="E866" s="2"/>
      <c r="F866" s="1"/>
      <c r="G866" s="65">
        <f t="shared" si="7"/>
        <v>0</v>
      </c>
      <c r="H866" s="1"/>
      <c r="I866" s="1"/>
      <c r="J866" s="1"/>
      <c r="K866" s="18"/>
      <c r="L866" s="18"/>
      <c r="M866" s="18"/>
      <c r="N866" s="18"/>
      <c r="O866" s="18"/>
      <c r="P866" s="67" t="s">
        <v>503</v>
      </c>
      <c r="Q866" s="18" t="s">
        <v>476</v>
      </c>
      <c r="R866" s="68" t="str">
        <f>IFERROR(CONCATENATE("*",VLOOKUP(L866,PARAM!D:E,2,0),VLOOKUP(M866,PARAM!J:K,2,0),VLOOKUP(N866,PARAM!G:H,2,0),VLOOKUP(P866,PARAM!P:Q,2,0),"*"),"")</f>
        <v/>
      </c>
      <c r="S866" s="18" t="str">
        <f>IFERROR(CONCATENATE(VLOOKUP(L866,PARAM!D:E,2,0),VLOOKUP(M866,PARAM!J:K,2,0),VLOOKUP(N866,PARAM!G:H,2,0),VLOOKUP(O866,PARAM!M:N,2,0),VLOOKUP(P866,PARAM!P:Q,2,0)),"")</f>
        <v/>
      </c>
      <c r="T866" s="18">
        <f t="shared" si="4"/>
        <v>0</v>
      </c>
      <c r="U866" s="18" t="str">
        <f t="shared" si="5"/>
        <v>   </v>
      </c>
    </row>
    <row r="867">
      <c r="A867" s="1"/>
      <c r="B867" s="1"/>
      <c r="C867" s="1"/>
      <c r="D867" s="1"/>
      <c r="E867" s="2"/>
      <c r="F867" s="1"/>
      <c r="G867" s="65">
        <f t="shared" si="7"/>
        <v>0</v>
      </c>
      <c r="H867" s="1"/>
      <c r="I867" s="1"/>
      <c r="J867" s="1"/>
      <c r="K867" s="18"/>
      <c r="L867" s="18"/>
      <c r="M867" s="18"/>
      <c r="N867" s="18"/>
      <c r="O867" s="18"/>
      <c r="P867" s="67" t="s">
        <v>503</v>
      </c>
      <c r="Q867" s="18" t="s">
        <v>476</v>
      </c>
      <c r="R867" s="68" t="str">
        <f>IFERROR(CONCATENATE("*",VLOOKUP(L867,PARAM!D:E,2,0),VLOOKUP(M867,PARAM!J:K,2,0),VLOOKUP(N867,PARAM!G:H,2,0),VLOOKUP(P867,PARAM!P:Q,2,0),"*"),"")</f>
        <v/>
      </c>
      <c r="S867" s="18" t="str">
        <f>IFERROR(CONCATENATE(VLOOKUP(L867,PARAM!D:E,2,0),VLOOKUP(M867,PARAM!J:K,2,0),VLOOKUP(N867,PARAM!G:H,2,0),VLOOKUP(O867,PARAM!M:N,2,0),VLOOKUP(P867,PARAM!P:Q,2,0)),"")</f>
        <v/>
      </c>
      <c r="T867" s="18">
        <f t="shared" si="4"/>
        <v>0</v>
      </c>
      <c r="U867" s="18" t="str">
        <f t="shared" si="5"/>
        <v>   </v>
      </c>
    </row>
    <row r="868">
      <c r="A868" s="1"/>
      <c r="B868" s="1"/>
      <c r="C868" s="1"/>
      <c r="D868" s="1"/>
      <c r="E868" s="2"/>
      <c r="F868" s="1"/>
      <c r="G868" s="65">
        <f t="shared" si="7"/>
        <v>0</v>
      </c>
      <c r="H868" s="1"/>
      <c r="I868" s="1"/>
      <c r="J868" s="1"/>
      <c r="K868" s="18"/>
      <c r="L868" s="18"/>
      <c r="M868" s="18"/>
      <c r="N868" s="18"/>
      <c r="O868" s="18"/>
      <c r="P868" s="67" t="s">
        <v>503</v>
      </c>
      <c r="Q868" s="18" t="s">
        <v>476</v>
      </c>
      <c r="R868" s="68" t="str">
        <f>IFERROR(CONCATENATE("*",VLOOKUP(L868,PARAM!D:E,2,0),VLOOKUP(M868,PARAM!J:K,2,0),VLOOKUP(N868,PARAM!G:H,2,0),VLOOKUP(P868,PARAM!P:Q,2,0),"*"),"")</f>
        <v/>
      </c>
      <c r="S868" s="18" t="str">
        <f>IFERROR(CONCATENATE(VLOOKUP(L868,PARAM!D:E,2,0),VLOOKUP(M868,PARAM!J:K,2,0),VLOOKUP(N868,PARAM!G:H,2,0),VLOOKUP(O868,PARAM!M:N,2,0),VLOOKUP(P868,PARAM!P:Q,2,0)),"")</f>
        <v/>
      </c>
      <c r="T868" s="18">
        <f t="shared" si="4"/>
        <v>0</v>
      </c>
      <c r="U868" s="18" t="str">
        <f t="shared" si="5"/>
        <v>   </v>
      </c>
    </row>
    <row r="869">
      <c r="A869" s="1"/>
      <c r="B869" s="1"/>
      <c r="C869" s="1"/>
      <c r="D869" s="1"/>
      <c r="E869" s="2"/>
      <c r="F869" s="1"/>
      <c r="G869" s="65">
        <f t="shared" si="7"/>
        <v>0</v>
      </c>
      <c r="H869" s="1"/>
      <c r="I869" s="1"/>
      <c r="J869" s="1"/>
      <c r="K869" s="18"/>
      <c r="L869" s="18"/>
      <c r="M869" s="18"/>
      <c r="N869" s="18"/>
      <c r="O869" s="18"/>
      <c r="P869" s="67" t="s">
        <v>503</v>
      </c>
      <c r="Q869" s="18" t="s">
        <v>476</v>
      </c>
      <c r="R869" s="68" t="str">
        <f>IFERROR(CONCATENATE("*",VLOOKUP(L869,PARAM!D:E,2,0),VLOOKUP(M869,PARAM!J:K,2,0),VLOOKUP(N869,PARAM!G:H,2,0),VLOOKUP(P869,PARAM!P:Q,2,0),"*"),"")</f>
        <v/>
      </c>
      <c r="S869" s="18" t="str">
        <f>IFERROR(CONCATENATE(VLOOKUP(L869,PARAM!D:E,2,0),VLOOKUP(M869,PARAM!J:K,2,0),VLOOKUP(N869,PARAM!G:H,2,0),VLOOKUP(O869,PARAM!M:N,2,0),VLOOKUP(P869,PARAM!P:Q,2,0)),"")</f>
        <v/>
      </c>
      <c r="T869" s="18">
        <f t="shared" si="4"/>
        <v>0</v>
      </c>
      <c r="U869" s="18" t="str">
        <f t="shared" si="5"/>
        <v>   </v>
      </c>
    </row>
    <row r="870">
      <c r="A870" s="1"/>
      <c r="B870" s="1"/>
      <c r="C870" s="1"/>
      <c r="D870" s="1"/>
      <c r="E870" s="2"/>
      <c r="F870" s="1"/>
      <c r="G870" s="65">
        <f t="shared" si="7"/>
        <v>0</v>
      </c>
      <c r="H870" s="1"/>
      <c r="I870" s="1"/>
      <c r="J870" s="1"/>
      <c r="K870" s="18"/>
      <c r="L870" s="18"/>
      <c r="M870" s="18"/>
      <c r="N870" s="18"/>
      <c r="O870" s="18"/>
      <c r="P870" s="67" t="s">
        <v>503</v>
      </c>
      <c r="Q870" s="18" t="s">
        <v>476</v>
      </c>
      <c r="R870" s="68" t="str">
        <f>IFERROR(CONCATENATE("*",VLOOKUP(L870,PARAM!D:E,2,0),VLOOKUP(M870,PARAM!J:K,2,0),VLOOKUP(N870,PARAM!G:H,2,0),VLOOKUP(P870,PARAM!P:Q,2,0),"*"),"")</f>
        <v/>
      </c>
      <c r="S870" s="18" t="str">
        <f>IFERROR(CONCATENATE(VLOOKUP(L870,PARAM!D:E,2,0),VLOOKUP(M870,PARAM!J:K,2,0),VLOOKUP(N870,PARAM!G:H,2,0),VLOOKUP(O870,PARAM!M:N,2,0),VLOOKUP(P870,PARAM!P:Q,2,0)),"")</f>
        <v/>
      </c>
      <c r="T870" s="18">
        <f t="shared" si="4"/>
        <v>0</v>
      </c>
      <c r="U870" s="18" t="str">
        <f t="shared" si="5"/>
        <v>   </v>
      </c>
    </row>
    <row r="871">
      <c r="A871" s="1"/>
      <c r="B871" s="1"/>
      <c r="C871" s="1"/>
      <c r="D871" s="1"/>
      <c r="E871" s="2"/>
      <c r="F871" s="1"/>
      <c r="G871" s="65">
        <f t="shared" si="7"/>
        <v>0</v>
      </c>
      <c r="H871" s="1"/>
      <c r="I871" s="1"/>
      <c r="J871" s="1"/>
      <c r="K871" s="18"/>
      <c r="L871" s="18"/>
      <c r="M871" s="18"/>
      <c r="N871" s="18"/>
      <c r="O871" s="18"/>
      <c r="P871" s="67" t="s">
        <v>503</v>
      </c>
      <c r="Q871" s="18" t="s">
        <v>476</v>
      </c>
      <c r="R871" s="68" t="str">
        <f>IFERROR(CONCATENATE("*",VLOOKUP(L871,PARAM!D:E,2,0),VLOOKUP(M871,PARAM!J:K,2,0),VLOOKUP(N871,PARAM!G:H,2,0),VLOOKUP(P871,PARAM!P:Q,2,0),"*"),"")</f>
        <v/>
      </c>
      <c r="S871" s="18" t="str">
        <f>IFERROR(CONCATENATE(VLOOKUP(L871,PARAM!D:E,2,0),VLOOKUP(M871,PARAM!J:K,2,0),VLOOKUP(N871,PARAM!G:H,2,0),VLOOKUP(O871,PARAM!M:N,2,0),VLOOKUP(P871,PARAM!P:Q,2,0)),"")</f>
        <v/>
      </c>
      <c r="T871" s="18">
        <f t="shared" si="4"/>
        <v>0</v>
      </c>
      <c r="U871" s="18" t="str">
        <f t="shared" si="5"/>
        <v>   </v>
      </c>
    </row>
    <row r="872">
      <c r="A872" s="1"/>
      <c r="B872" s="1"/>
      <c r="C872" s="1"/>
      <c r="D872" s="1"/>
      <c r="E872" s="2"/>
      <c r="F872" s="1"/>
      <c r="G872" s="65">
        <f t="shared" si="7"/>
        <v>0</v>
      </c>
      <c r="H872" s="1"/>
      <c r="I872" s="1"/>
      <c r="J872" s="1"/>
      <c r="K872" s="18"/>
      <c r="L872" s="18"/>
      <c r="M872" s="18"/>
      <c r="N872" s="18"/>
      <c r="O872" s="18"/>
      <c r="P872" s="67" t="s">
        <v>503</v>
      </c>
      <c r="Q872" s="18" t="s">
        <v>476</v>
      </c>
      <c r="R872" s="68" t="str">
        <f>IFERROR(CONCATENATE("*",VLOOKUP(L872,PARAM!D:E,2,0),VLOOKUP(M872,PARAM!J:K,2,0),VLOOKUP(N872,PARAM!G:H,2,0),VLOOKUP(P872,PARAM!P:Q,2,0),"*"),"")</f>
        <v/>
      </c>
      <c r="S872" s="18" t="str">
        <f>IFERROR(CONCATENATE(VLOOKUP(L872,PARAM!D:E,2,0),VLOOKUP(M872,PARAM!J:K,2,0),VLOOKUP(N872,PARAM!G:H,2,0),VLOOKUP(O872,PARAM!M:N,2,0),VLOOKUP(P872,PARAM!P:Q,2,0)),"")</f>
        <v/>
      </c>
      <c r="T872" s="18">
        <f t="shared" si="4"/>
        <v>0</v>
      </c>
      <c r="U872" s="18" t="str">
        <f t="shared" si="5"/>
        <v>   </v>
      </c>
    </row>
    <row r="873">
      <c r="A873" s="1"/>
      <c r="B873" s="1"/>
      <c r="C873" s="1"/>
      <c r="D873" s="1"/>
      <c r="E873" s="2"/>
      <c r="F873" s="1"/>
      <c r="G873" s="65">
        <f t="shared" si="7"/>
        <v>0</v>
      </c>
      <c r="H873" s="1"/>
      <c r="I873" s="1"/>
      <c r="J873" s="1"/>
      <c r="K873" s="18"/>
      <c r="L873" s="18"/>
      <c r="M873" s="18"/>
      <c r="N873" s="18"/>
      <c r="O873" s="18"/>
      <c r="P873" s="67" t="s">
        <v>503</v>
      </c>
      <c r="Q873" s="18" t="s">
        <v>476</v>
      </c>
      <c r="R873" s="68" t="str">
        <f>IFERROR(CONCATENATE("*",VLOOKUP(L873,PARAM!D:E,2,0),VLOOKUP(M873,PARAM!J:K,2,0),VLOOKUP(N873,PARAM!G:H,2,0),VLOOKUP(P873,PARAM!P:Q,2,0),"*"),"")</f>
        <v/>
      </c>
      <c r="S873" s="18" t="str">
        <f>IFERROR(CONCATENATE(VLOOKUP(L873,PARAM!D:E,2,0),VLOOKUP(M873,PARAM!J:K,2,0),VLOOKUP(N873,PARAM!G:H,2,0),VLOOKUP(O873,PARAM!M:N,2,0),VLOOKUP(P873,PARAM!P:Q,2,0)),"")</f>
        <v/>
      </c>
      <c r="T873" s="18">
        <f t="shared" si="4"/>
        <v>0</v>
      </c>
      <c r="U873" s="18" t="str">
        <f t="shared" si="5"/>
        <v>   </v>
      </c>
    </row>
    <row r="874">
      <c r="A874" s="1"/>
      <c r="B874" s="1"/>
      <c r="C874" s="1"/>
      <c r="D874" s="1"/>
      <c r="E874" s="2"/>
      <c r="F874" s="1"/>
      <c r="G874" s="65">
        <f t="shared" si="7"/>
        <v>0</v>
      </c>
      <c r="H874" s="1"/>
      <c r="I874" s="1"/>
      <c r="J874" s="1"/>
      <c r="K874" s="18"/>
      <c r="L874" s="18"/>
      <c r="M874" s="18"/>
      <c r="N874" s="18"/>
      <c r="O874" s="18"/>
      <c r="P874" s="67" t="s">
        <v>503</v>
      </c>
      <c r="Q874" s="18" t="s">
        <v>476</v>
      </c>
      <c r="R874" s="68" t="str">
        <f>IFERROR(CONCATENATE("*",VLOOKUP(L874,PARAM!D:E,2,0),VLOOKUP(M874,PARAM!J:K,2,0),VLOOKUP(N874,PARAM!G:H,2,0),VLOOKUP(P874,PARAM!P:Q,2,0),"*"),"")</f>
        <v/>
      </c>
      <c r="S874" s="18" t="str">
        <f>IFERROR(CONCATENATE(VLOOKUP(L874,PARAM!D:E,2,0),VLOOKUP(M874,PARAM!J:K,2,0),VLOOKUP(N874,PARAM!G:H,2,0),VLOOKUP(O874,PARAM!M:N,2,0),VLOOKUP(P874,PARAM!P:Q,2,0)),"")</f>
        <v/>
      </c>
      <c r="T874" s="18">
        <f t="shared" si="4"/>
        <v>0</v>
      </c>
      <c r="U874" s="18" t="str">
        <f t="shared" si="5"/>
        <v>   </v>
      </c>
    </row>
    <row r="875">
      <c r="A875" s="1"/>
      <c r="B875" s="1"/>
      <c r="C875" s="1"/>
      <c r="D875" s="1"/>
      <c r="E875" s="2"/>
      <c r="F875" s="1"/>
      <c r="G875" s="65">
        <f t="shared" si="7"/>
        <v>0</v>
      </c>
      <c r="H875" s="1"/>
      <c r="I875" s="1"/>
      <c r="J875" s="1"/>
      <c r="K875" s="18"/>
      <c r="L875" s="18"/>
      <c r="M875" s="18"/>
      <c r="N875" s="18"/>
      <c r="O875" s="18"/>
      <c r="P875" s="67" t="s">
        <v>503</v>
      </c>
      <c r="Q875" s="18" t="s">
        <v>476</v>
      </c>
      <c r="R875" s="68" t="str">
        <f>IFERROR(CONCATENATE("*",VLOOKUP(L875,PARAM!D:E,2,0),VLOOKUP(M875,PARAM!J:K,2,0),VLOOKUP(N875,PARAM!G:H,2,0),VLOOKUP(P875,PARAM!P:Q,2,0),"*"),"")</f>
        <v/>
      </c>
      <c r="S875" s="18" t="str">
        <f>IFERROR(CONCATENATE(VLOOKUP(L875,PARAM!D:E,2,0),VLOOKUP(M875,PARAM!J:K,2,0),VLOOKUP(N875,PARAM!G:H,2,0),VLOOKUP(O875,PARAM!M:N,2,0),VLOOKUP(P875,PARAM!P:Q,2,0)),"")</f>
        <v/>
      </c>
      <c r="T875" s="18">
        <f t="shared" si="4"/>
        <v>0</v>
      </c>
      <c r="U875" s="18" t="str">
        <f t="shared" si="5"/>
        <v>   </v>
      </c>
    </row>
    <row r="876">
      <c r="A876" s="1"/>
      <c r="B876" s="1"/>
      <c r="C876" s="1"/>
      <c r="D876" s="1"/>
      <c r="E876" s="2"/>
      <c r="F876" s="1"/>
      <c r="G876" s="65">
        <f t="shared" si="7"/>
        <v>0</v>
      </c>
      <c r="H876" s="1"/>
      <c r="I876" s="1"/>
      <c r="J876" s="1"/>
      <c r="K876" s="18"/>
      <c r="L876" s="18"/>
      <c r="M876" s="18"/>
      <c r="N876" s="18"/>
      <c r="O876" s="18"/>
      <c r="P876" s="67" t="s">
        <v>503</v>
      </c>
      <c r="Q876" s="18" t="s">
        <v>476</v>
      </c>
      <c r="R876" s="68" t="str">
        <f>IFERROR(CONCATENATE("*",VLOOKUP(L876,PARAM!D:E,2,0),VLOOKUP(M876,PARAM!J:K,2,0),VLOOKUP(N876,PARAM!G:H,2,0),VLOOKUP(P876,PARAM!P:Q,2,0),"*"),"")</f>
        <v/>
      </c>
      <c r="S876" s="18" t="str">
        <f>IFERROR(CONCATENATE(VLOOKUP(L876,PARAM!D:E,2,0),VLOOKUP(M876,PARAM!J:K,2,0),VLOOKUP(N876,PARAM!G:H,2,0),VLOOKUP(O876,PARAM!M:N,2,0),VLOOKUP(P876,PARAM!P:Q,2,0)),"")</f>
        <v/>
      </c>
      <c r="T876" s="18">
        <f t="shared" si="4"/>
        <v>0</v>
      </c>
      <c r="U876" s="18" t="str">
        <f t="shared" si="5"/>
        <v>   </v>
      </c>
    </row>
    <row r="877">
      <c r="A877" s="1"/>
      <c r="B877" s="1"/>
      <c r="C877" s="1"/>
      <c r="D877" s="1"/>
      <c r="E877" s="2"/>
      <c r="F877" s="1"/>
      <c r="G877" s="65">
        <f t="shared" si="7"/>
        <v>0</v>
      </c>
      <c r="H877" s="1"/>
      <c r="I877" s="1"/>
      <c r="J877" s="1"/>
      <c r="K877" s="18"/>
      <c r="L877" s="18"/>
      <c r="M877" s="18"/>
      <c r="N877" s="18"/>
      <c r="O877" s="18"/>
      <c r="P877" s="67" t="s">
        <v>503</v>
      </c>
      <c r="Q877" s="18" t="s">
        <v>476</v>
      </c>
      <c r="R877" s="68" t="str">
        <f>IFERROR(CONCATENATE("*",VLOOKUP(L877,PARAM!D:E,2,0),VLOOKUP(M877,PARAM!J:K,2,0),VLOOKUP(N877,PARAM!G:H,2,0),VLOOKUP(P877,PARAM!P:Q,2,0),"*"),"")</f>
        <v/>
      </c>
      <c r="S877" s="18" t="str">
        <f>IFERROR(CONCATENATE(VLOOKUP(L877,PARAM!D:E,2,0),VLOOKUP(M877,PARAM!J:K,2,0),VLOOKUP(N877,PARAM!G:H,2,0),VLOOKUP(O877,PARAM!M:N,2,0),VLOOKUP(P877,PARAM!P:Q,2,0)),"")</f>
        <v/>
      </c>
      <c r="T877" s="18">
        <f t="shared" si="4"/>
        <v>0</v>
      </c>
      <c r="U877" s="18" t="str">
        <f t="shared" si="5"/>
        <v>   </v>
      </c>
    </row>
    <row r="878">
      <c r="A878" s="1"/>
      <c r="B878" s="1"/>
      <c r="C878" s="1"/>
      <c r="D878" s="1"/>
      <c r="E878" s="2"/>
      <c r="F878" s="1"/>
      <c r="G878" s="65">
        <f t="shared" si="7"/>
        <v>0</v>
      </c>
      <c r="H878" s="1"/>
      <c r="I878" s="1"/>
      <c r="J878" s="1"/>
      <c r="K878" s="18"/>
      <c r="L878" s="18"/>
      <c r="M878" s="18"/>
      <c r="N878" s="18"/>
      <c r="O878" s="18"/>
      <c r="P878" s="67" t="s">
        <v>503</v>
      </c>
      <c r="Q878" s="18" t="s">
        <v>476</v>
      </c>
      <c r="R878" s="68" t="str">
        <f>IFERROR(CONCATENATE("*",VLOOKUP(L878,PARAM!D:E,2,0),VLOOKUP(M878,PARAM!J:K,2,0),VLOOKUP(N878,PARAM!G:H,2,0),VLOOKUP(P878,PARAM!P:Q,2,0),"*"),"")</f>
        <v/>
      </c>
      <c r="S878" s="18" t="str">
        <f>IFERROR(CONCATENATE(VLOOKUP(L878,PARAM!D:E,2,0),VLOOKUP(M878,PARAM!J:K,2,0),VLOOKUP(N878,PARAM!G:H,2,0),VLOOKUP(O878,PARAM!M:N,2,0),VLOOKUP(P878,PARAM!P:Q,2,0)),"")</f>
        <v/>
      </c>
      <c r="T878" s="18">
        <f t="shared" si="4"/>
        <v>0</v>
      </c>
      <c r="U878" s="18" t="str">
        <f t="shared" si="5"/>
        <v>   </v>
      </c>
    </row>
    <row r="879">
      <c r="A879" s="1"/>
      <c r="B879" s="1"/>
      <c r="C879" s="1"/>
      <c r="D879" s="1"/>
      <c r="E879" s="2"/>
      <c r="F879" s="1"/>
      <c r="G879" s="65">
        <f t="shared" si="7"/>
        <v>0</v>
      </c>
      <c r="H879" s="1"/>
      <c r="I879" s="1"/>
      <c r="J879" s="1"/>
      <c r="K879" s="18"/>
      <c r="L879" s="18"/>
      <c r="M879" s="18"/>
      <c r="N879" s="18"/>
      <c r="O879" s="18"/>
      <c r="P879" s="67" t="s">
        <v>503</v>
      </c>
      <c r="Q879" s="18" t="s">
        <v>476</v>
      </c>
      <c r="R879" s="68" t="str">
        <f>IFERROR(CONCATENATE("*",VLOOKUP(L879,PARAM!D:E,2,0),VLOOKUP(M879,PARAM!J:K,2,0),VLOOKUP(N879,PARAM!G:H,2,0),VLOOKUP(P879,PARAM!P:Q,2,0),"*"),"")</f>
        <v/>
      </c>
      <c r="S879" s="18" t="str">
        <f>IFERROR(CONCATENATE(VLOOKUP(L879,PARAM!D:E,2,0),VLOOKUP(M879,PARAM!J:K,2,0),VLOOKUP(N879,PARAM!G:H,2,0),VLOOKUP(O879,PARAM!M:N,2,0),VLOOKUP(P879,PARAM!P:Q,2,0)),"")</f>
        <v/>
      </c>
      <c r="T879" s="18">
        <f t="shared" si="4"/>
        <v>0</v>
      </c>
      <c r="U879" s="18" t="str">
        <f t="shared" si="5"/>
        <v>   </v>
      </c>
    </row>
    <row r="880">
      <c r="A880" s="1"/>
      <c r="B880" s="1"/>
      <c r="C880" s="1"/>
      <c r="D880" s="1"/>
      <c r="E880" s="2"/>
      <c r="F880" s="1"/>
      <c r="G880" s="65">
        <f t="shared" si="7"/>
        <v>0</v>
      </c>
      <c r="H880" s="1"/>
      <c r="I880" s="1"/>
      <c r="J880" s="1"/>
      <c r="K880" s="18"/>
      <c r="L880" s="18"/>
      <c r="M880" s="18"/>
      <c r="N880" s="18"/>
      <c r="O880" s="18"/>
      <c r="P880" s="67" t="s">
        <v>503</v>
      </c>
      <c r="Q880" s="18" t="s">
        <v>476</v>
      </c>
      <c r="R880" s="68" t="str">
        <f>IFERROR(CONCATENATE("*",VLOOKUP(L880,PARAM!D:E,2,0),VLOOKUP(M880,PARAM!J:K,2,0),VLOOKUP(N880,PARAM!G:H,2,0),VLOOKUP(P880,PARAM!P:Q,2,0),"*"),"")</f>
        <v/>
      </c>
      <c r="S880" s="18" t="str">
        <f>IFERROR(CONCATENATE(VLOOKUP(L880,PARAM!D:E,2,0),VLOOKUP(M880,PARAM!J:K,2,0),VLOOKUP(N880,PARAM!G:H,2,0),VLOOKUP(O880,PARAM!M:N,2,0),VLOOKUP(P880,PARAM!P:Q,2,0)),"")</f>
        <v/>
      </c>
      <c r="T880" s="18">
        <f t="shared" si="4"/>
        <v>0</v>
      </c>
      <c r="U880" s="18" t="str">
        <f t="shared" si="5"/>
        <v>   </v>
      </c>
    </row>
    <row r="881">
      <c r="A881" s="1"/>
      <c r="B881" s="1"/>
      <c r="C881" s="1"/>
      <c r="D881" s="1"/>
      <c r="E881" s="2"/>
      <c r="F881" s="1"/>
      <c r="G881" s="65">
        <f t="shared" si="7"/>
        <v>0</v>
      </c>
      <c r="H881" s="1"/>
      <c r="I881" s="1"/>
      <c r="J881" s="1"/>
      <c r="K881" s="18"/>
      <c r="L881" s="18"/>
      <c r="M881" s="18"/>
      <c r="N881" s="18"/>
      <c r="O881" s="18"/>
      <c r="P881" s="67" t="s">
        <v>503</v>
      </c>
      <c r="Q881" s="18" t="s">
        <v>476</v>
      </c>
      <c r="R881" s="68" t="str">
        <f>IFERROR(CONCATENATE("*",VLOOKUP(L881,PARAM!D:E,2,0),VLOOKUP(M881,PARAM!J:K,2,0),VLOOKUP(N881,PARAM!G:H,2,0),VLOOKUP(P881,PARAM!P:Q,2,0),"*"),"")</f>
        <v/>
      </c>
      <c r="S881" s="18" t="str">
        <f>IFERROR(CONCATENATE(VLOOKUP(L881,PARAM!D:E,2,0),VLOOKUP(M881,PARAM!J:K,2,0),VLOOKUP(N881,PARAM!G:H,2,0),VLOOKUP(O881,PARAM!M:N,2,0),VLOOKUP(P881,PARAM!P:Q,2,0)),"")</f>
        <v/>
      </c>
      <c r="T881" s="18">
        <f t="shared" si="4"/>
        <v>0</v>
      </c>
      <c r="U881" s="18" t="str">
        <f t="shared" si="5"/>
        <v>   </v>
      </c>
    </row>
    <row r="882">
      <c r="A882" s="1"/>
      <c r="B882" s="1"/>
      <c r="C882" s="1"/>
      <c r="D882" s="1"/>
      <c r="E882" s="2"/>
      <c r="F882" s="1"/>
      <c r="G882" s="65">
        <f t="shared" si="7"/>
        <v>0</v>
      </c>
      <c r="H882" s="1"/>
      <c r="I882" s="1"/>
      <c r="J882" s="1"/>
      <c r="K882" s="18"/>
      <c r="L882" s="18"/>
      <c r="M882" s="18"/>
      <c r="N882" s="18"/>
      <c r="O882" s="18"/>
      <c r="P882" s="67" t="s">
        <v>503</v>
      </c>
      <c r="Q882" s="18" t="s">
        <v>476</v>
      </c>
      <c r="R882" s="68" t="str">
        <f>IFERROR(CONCATENATE("*",VLOOKUP(L882,PARAM!D:E,2,0),VLOOKUP(M882,PARAM!J:K,2,0),VLOOKUP(N882,PARAM!G:H,2,0),VLOOKUP(P882,PARAM!P:Q,2,0),"*"),"")</f>
        <v/>
      </c>
      <c r="S882" s="18" t="str">
        <f>IFERROR(CONCATENATE(VLOOKUP(L882,PARAM!D:E,2,0),VLOOKUP(M882,PARAM!J:K,2,0),VLOOKUP(N882,PARAM!G:H,2,0),VLOOKUP(O882,PARAM!M:N,2,0),VLOOKUP(P882,PARAM!P:Q,2,0)),"")</f>
        <v/>
      </c>
      <c r="T882" s="18">
        <f t="shared" si="4"/>
        <v>0</v>
      </c>
      <c r="U882" s="18" t="str">
        <f t="shared" si="5"/>
        <v>   </v>
      </c>
    </row>
    <row r="883">
      <c r="A883" s="1"/>
      <c r="B883" s="1"/>
      <c r="C883" s="1"/>
      <c r="D883" s="1"/>
      <c r="E883" s="2"/>
      <c r="F883" s="1"/>
      <c r="G883" s="65">
        <f t="shared" si="7"/>
        <v>0</v>
      </c>
      <c r="H883" s="1"/>
      <c r="I883" s="1"/>
      <c r="J883" s="1"/>
      <c r="K883" s="18"/>
      <c r="L883" s="18"/>
      <c r="M883" s="18"/>
      <c r="N883" s="18"/>
      <c r="O883" s="18"/>
      <c r="P883" s="67" t="s">
        <v>503</v>
      </c>
      <c r="Q883" s="18" t="s">
        <v>476</v>
      </c>
      <c r="R883" s="68" t="str">
        <f>IFERROR(CONCATENATE("*",VLOOKUP(L883,PARAM!D:E,2,0),VLOOKUP(M883,PARAM!J:K,2,0),VLOOKUP(N883,PARAM!G:H,2,0),VLOOKUP(P883,PARAM!P:Q,2,0),"*"),"")</f>
        <v/>
      </c>
      <c r="S883" s="18" t="str">
        <f>IFERROR(CONCATENATE(VLOOKUP(L883,PARAM!D:E,2,0),VLOOKUP(M883,PARAM!J:K,2,0),VLOOKUP(N883,PARAM!G:H,2,0),VLOOKUP(O883,PARAM!M:N,2,0),VLOOKUP(P883,PARAM!P:Q,2,0)),"")</f>
        <v/>
      </c>
      <c r="T883" s="18">
        <f t="shared" si="4"/>
        <v>0</v>
      </c>
      <c r="U883" s="18" t="str">
        <f t="shared" si="5"/>
        <v>   </v>
      </c>
    </row>
    <row r="884">
      <c r="A884" s="1"/>
      <c r="B884" s="1"/>
      <c r="C884" s="1"/>
      <c r="D884" s="1"/>
      <c r="E884" s="2"/>
      <c r="F884" s="1"/>
      <c r="G884" s="65">
        <f t="shared" si="7"/>
        <v>0</v>
      </c>
      <c r="H884" s="1"/>
      <c r="I884" s="1"/>
      <c r="J884" s="1"/>
      <c r="K884" s="18"/>
      <c r="L884" s="18"/>
      <c r="M884" s="18"/>
      <c r="N884" s="18"/>
      <c r="O884" s="18"/>
      <c r="P884" s="67" t="s">
        <v>503</v>
      </c>
      <c r="Q884" s="18" t="s">
        <v>476</v>
      </c>
      <c r="R884" s="68" t="str">
        <f>IFERROR(CONCATENATE("*",VLOOKUP(L884,PARAM!D:E,2,0),VLOOKUP(M884,PARAM!J:K,2,0),VLOOKUP(N884,PARAM!G:H,2,0),VLOOKUP(P884,PARAM!P:Q,2,0),"*"),"")</f>
        <v/>
      </c>
      <c r="S884" s="18" t="str">
        <f>IFERROR(CONCATENATE(VLOOKUP(L884,PARAM!D:E,2,0),VLOOKUP(M884,PARAM!J:K,2,0),VLOOKUP(N884,PARAM!G:H,2,0),VLOOKUP(O884,PARAM!M:N,2,0),VLOOKUP(P884,PARAM!P:Q,2,0)),"")</f>
        <v/>
      </c>
      <c r="T884" s="18">
        <f t="shared" si="4"/>
        <v>0</v>
      </c>
      <c r="U884" s="18" t="str">
        <f t="shared" si="5"/>
        <v>   </v>
      </c>
    </row>
    <row r="885">
      <c r="A885" s="1"/>
      <c r="B885" s="1"/>
      <c r="C885" s="1"/>
      <c r="D885" s="1"/>
      <c r="E885" s="2"/>
      <c r="F885" s="1"/>
      <c r="G885" s="65">
        <f t="shared" si="7"/>
        <v>0</v>
      </c>
      <c r="H885" s="1"/>
      <c r="I885" s="1"/>
      <c r="J885" s="1"/>
      <c r="K885" s="18"/>
      <c r="L885" s="18"/>
      <c r="M885" s="18"/>
      <c r="N885" s="18"/>
      <c r="O885" s="18"/>
      <c r="P885" s="67" t="s">
        <v>503</v>
      </c>
      <c r="Q885" s="18" t="s">
        <v>476</v>
      </c>
      <c r="R885" s="68" t="str">
        <f>IFERROR(CONCATENATE("*",VLOOKUP(L885,PARAM!D:E,2,0),VLOOKUP(M885,PARAM!J:K,2,0),VLOOKUP(N885,PARAM!G:H,2,0),VLOOKUP(P885,PARAM!P:Q,2,0),"*"),"")</f>
        <v/>
      </c>
      <c r="S885" s="18" t="str">
        <f>IFERROR(CONCATENATE(VLOOKUP(L885,PARAM!D:E,2,0),VLOOKUP(M885,PARAM!J:K,2,0),VLOOKUP(N885,PARAM!G:H,2,0),VLOOKUP(O885,PARAM!M:N,2,0),VLOOKUP(P885,PARAM!P:Q,2,0)),"")</f>
        <v/>
      </c>
      <c r="T885" s="18">
        <f t="shared" si="4"/>
        <v>0</v>
      </c>
      <c r="U885" s="18" t="str">
        <f t="shared" si="5"/>
        <v>   </v>
      </c>
    </row>
    <row r="886">
      <c r="A886" s="1"/>
      <c r="B886" s="1"/>
      <c r="C886" s="1"/>
      <c r="D886" s="1"/>
      <c r="E886" s="2"/>
      <c r="F886" s="1"/>
      <c r="G886" s="65">
        <f t="shared" si="7"/>
        <v>0</v>
      </c>
      <c r="H886" s="1"/>
      <c r="I886" s="1"/>
      <c r="J886" s="1"/>
      <c r="K886" s="18"/>
      <c r="L886" s="18"/>
      <c r="M886" s="18"/>
      <c r="N886" s="18"/>
      <c r="O886" s="18"/>
      <c r="P886" s="67" t="s">
        <v>503</v>
      </c>
      <c r="Q886" s="18" t="s">
        <v>476</v>
      </c>
      <c r="R886" s="68" t="str">
        <f>IFERROR(CONCATENATE("*",VLOOKUP(L886,PARAM!D:E,2,0),VLOOKUP(M886,PARAM!J:K,2,0),VLOOKUP(N886,PARAM!G:H,2,0),VLOOKUP(P886,PARAM!P:Q,2,0),"*"),"")</f>
        <v/>
      </c>
      <c r="S886" s="18" t="str">
        <f>IFERROR(CONCATENATE(VLOOKUP(L886,PARAM!D:E,2,0),VLOOKUP(M886,PARAM!J:K,2,0),VLOOKUP(N886,PARAM!G:H,2,0),VLOOKUP(O886,PARAM!M:N,2,0),VLOOKUP(P886,PARAM!P:Q,2,0)),"")</f>
        <v/>
      </c>
      <c r="T886" s="18">
        <f t="shared" si="4"/>
        <v>0</v>
      </c>
      <c r="U886" s="18" t="str">
        <f t="shared" si="5"/>
        <v>   </v>
      </c>
    </row>
    <row r="887">
      <c r="A887" s="1"/>
      <c r="B887" s="1"/>
      <c r="C887" s="1"/>
      <c r="D887" s="1"/>
      <c r="E887" s="2"/>
      <c r="F887" s="1"/>
      <c r="G887" s="65">
        <f t="shared" si="7"/>
        <v>0</v>
      </c>
      <c r="H887" s="1"/>
      <c r="I887" s="1"/>
      <c r="J887" s="1"/>
      <c r="K887" s="18"/>
      <c r="L887" s="18"/>
      <c r="M887" s="18"/>
      <c r="N887" s="18"/>
      <c r="O887" s="18"/>
      <c r="P887" s="67" t="s">
        <v>503</v>
      </c>
      <c r="Q887" s="18" t="s">
        <v>476</v>
      </c>
      <c r="R887" s="68" t="str">
        <f>IFERROR(CONCATENATE("*",VLOOKUP(L887,PARAM!D:E,2,0),VLOOKUP(M887,PARAM!J:K,2,0),VLOOKUP(N887,PARAM!G:H,2,0),VLOOKUP(P887,PARAM!P:Q,2,0),"*"),"")</f>
        <v/>
      </c>
      <c r="S887" s="18" t="str">
        <f>IFERROR(CONCATENATE(VLOOKUP(L887,PARAM!D:E,2,0),VLOOKUP(M887,PARAM!J:K,2,0),VLOOKUP(N887,PARAM!G:H,2,0),VLOOKUP(O887,PARAM!M:N,2,0),VLOOKUP(P887,PARAM!P:Q,2,0)),"")</f>
        <v/>
      </c>
      <c r="T887" s="18">
        <f t="shared" si="4"/>
        <v>0</v>
      </c>
      <c r="U887" s="18" t="str">
        <f t="shared" si="5"/>
        <v>   </v>
      </c>
    </row>
    <row r="888">
      <c r="A888" s="1"/>
      <c r="B888" s="1"/>
      <c r="C888" s="1"/>
      <c r="D888" s="1"/>
      <c r="E888" s="2"/>
      <c r="F888" s="1"/>
      <c r="G888" s="65">
        <f t="shared" si="7"/>
        <v>0</v>
      </c>
      <c r="H888" s="1"/>
      <c r="I888" s="1"/>
      <c r="J888" s="1"/>
      <c r="K888" s="18"/>
      <c r="L888" s="18"/>
      <c r="M888" s="18"/>
      <c r="N888" s="18"/>
      <c r="O888" s="18"/>
      <c r="P888" s="67" t="s">
        <v>503</v>
      </c>
      <c r="Q888" s="18" t="s">
        <v>476</v>
      </c>
      <c r="R888" s="68" t="str">
        <f>IFERROR(CONCATENATE("*",VLOOKUP(L888,PARAM!D:E,2,0),VLOOKUP(M888,PARAM!J:K,2,0),VLOOKUP(N888,PARAM!G:H,2,0),VLOOKUP(P888,PARAM!P:Q,2,0),"*"),"")</f>
        <v/>
      </c>
      <c r="S888" s="18" t="str">
        <f>IFERROR(CONCATENATE(VLOOKUP(L888,PARAM!D:E,2,0),VLOOKUP(M888,PARAM!J:K,2,0),VLOOKUP(N888,PARAM!G:H,2,0),VLOOKUP(O888,PARAM!M:N,2,0),VLOOKUP(P888,PARAM!P:Q,2,0)),"")</f>
        <v/>
      </c>
      <c r="T888" s="18">
        <f t="shared" si="4"/>
        <v>0</v>
      </c>
      <c r="U888" s="18" t="str">
        <f t="shared" si="5"/>
        <v>   </v>
      </c>
    </row>
    <row r="889">
      <c r="A889" s="1"/>
      <c r="B889" s="1"/>
      <c r="C889" s="1"/>
      <c r="D889" s="1"/>
      <c r="E889" s="2"/>
      <c r="F889" s="1"/>
      <c r="G889" s="65">
        <f t="shared" si="7"/>
        <v>0</v>
      </c>
      <c r="H889" s="1"/>
      <c r="I889" s="1"/>
      <c r="J889" s="1"/>
      <c r="K889" s="18"/>
      <c r="L889" s="18"/>
      <c r="M889" s="18"/>
      <c r="N889" s="18"/>
      <c r="O889" s="18"/>
      <c r="P889" s="67" t="s">
        <v>503</v>
      </c>
      <c r="Q889" s="18" t="s">
        <v>476</v>
      </c>
      <c r="R889" s="68" t="str">
        <f>IFERROR(CONCATENATE("*",VLOOKUP(L889,PARAM!D:E,2,0),VLOOKUP(M889,PARAM!J:K,2,0),VLOOKUP(N889,PARAM!G:H,2,0),VLOOKUP(P889,PARAM!P:Q,2,0),"*"),"")</f>
        <v/>
      </c>
      <c r="S889" s="18" t="str">
        <f>IFERROR(CONCATENATE(VLOOKUP(L889,PARAM!D:E,2,0),VLOOKUP(M889,PARAM!J:K,2,0),VLOOKUP(N889,PARAM!G:H,2,0),VLOOKUP(O889,PARAM!M:N,2,0),VLOOKUP(P889,PARAM!P:Q,2,0)),"")</f>
        <v/>
      </c>
      <c r="T889" s="18">
        <f t="shared" si="4"/>
        <v>0</v>
      </c>
      <c r="U889" s="18" t="str">
        <f t="shared" si="5"/>
        <v>   </v>
      </c>
    </row>
    <row r="890">
      <c r="A890" s="1"/>
      <c r="B890" s="1"/>
      <c r="C890" s="1"/>
      <c r="D890" s="1"/>
      <c r="E890" s="2"/>
      <c r="F890" s="1"/>
      <c r="G890" s="65">
        <f t="shared" si="7"/>
        <v>0</v>
      </c>
      <c r="H890" s="1"/>
      <c r="I890" s="1"/>
      <c r="J890" s="1"/>
      <c r="K890" s="18"/>
      <c r="L890" s="18"/>
      <c r="M890" s="18"/>
      <c r="N890" s="18"/>
      <c r="O890" s="18"/>
      <c r="P890" s="67" t="s">
        <v>503</v>
      </c>
      <c r="Q890" s="18" t="s">
        <v>476</v>
      </c>
      <c r="R890" s="68" t="str">
        <f>IFERROR(CONCATENATE("*",VLOOKUP(L890,PARAM!D:E,2,0),VLOOKUP(M890,PARAM!J:K,2,0),VLOOKUP(N890,PARAM!G:H,2,0),VLOOKUP(P890,PARAM!P:Q,2,0),"*"),"")</f>
        <v/>
      </c>
      <c r="S890" s="18" t="str">
        <f>IFERROR(CONCATENATE(VLOOKUP(L890,PARAM!D:E,2,0),VLOOKUP(M890,PARAM!J:K,2,0),VLOOKUP(N890,PARAM!G:H,2,0),VLOOKUP(O890,PARAM!M:N,2,0),VLOOKUP(P890,PARAM!P:Q,2,0)),"")</f>
        <v/>
      </c>
      <c r="T890" s="18">
        <f t="shared" si="4"/>
        <v>0</v>
      </c>
      <c r="U890" s="18" t="str">
        <f t="shared" si="5"/>
        <v>   </v>
      </c>
    </row>
    <row r="891">
      <c r="A891" s="1"/>
      <c r="B891" s="1"/>
      <c r="C891" s="1"/>
      <c r="D891" s="1"/>
      <c r="E891" s="2"/>
      <c r="F891" s="1"/>
      <c r="G891" s="65">
        <f t="shared" si="7"/>
        <v>0</v>
      </c>
      <c r="H891" s="1"/>
      <c r="I891" s="1"/>
      <c r="J891" s="1"/>
      <c r="K891" s="18"/>
      <c r="L891" s="18"/>
      <c r="M891" s="18"/>
      <c r="N891" s="18"/>
      <c r="O891" s="18"/>
      <c r="P891" s="67" t="s">
        <v>503</v>
      </c>
      <c r="Q891" s="18" t="s">
        <v>476</v>
      </c>
      <c r="R891" s="68" t="str">
        <f>IFERROR(CONCATENATE("*",VLOOKUP(L891,PARAM!D:E,2,0),VLOOKUP(M891,PARAM!J:K,2,0),VLOOKUP(N891,PARAM!G:H,2,0),VLOOKUP(P891,PARAM!P:Q,2,0),"*"),"")</f>
        <v/>
      </c>
      <c r="S891" s="18" t="str">
        <f>IFERROR(CONCATENATE(VLOOKUP(L891,PARAM!D:E,2,0),VLOOKUP(M891,PARAM!J:K,2,0),VLOOKUP(N891,PARAM!G:H,2,0),VLOOKUP(O891,PARAM!M:N,2,0),VLOOKUP(P891,PARAM!P:Q,2,0)),"")</f>
        <v/>
      </c>
      <c r="T891" s="18">
        <f t="shared" si="4"/>
        <v>0</v>
      </c>
      <c r="U891" s="18" t="str">
        <f t="shared" si="5"/>
        <v>   </v>
      </c>
    </row>
    <row r="892">
      <c r="A892" s="1"/>
      <c r="B892" s="1"/>
      <c r="C892" s="1"/>
      <c r="D892" s="1"/>
      <c r="E892" s="2"/>
      <c r="F892" s="1"/>
      <c r="G892" s="65">
        <f t="shared" si="7"/>
        <v>0</v>
      </c>
      <c r="H892" s="1"/>
      <c r="I892" s="1"/>
      <c r="J892" s="1"/>
      <c r="K892" s="18"/>
      <c r="L892" s="18"/>
      <c r="M892" s="18"/>
      <c r="N892" s="18"/>
      <c r="O892" s="18"/>
      <c r="P892" s="67" t="s">
        <v>503</v>
      </c>
      <c r="Q892" s="18" t="s">
        <v>476</v>
      </c>
      <c r="R892" s="68" t="str">
        <f>IFERROR(CONCATENATE("*",VLOOKUP(L892,PARAM!D:E,2,0),VLOOKUP(M892,PARAM!J:K,2,0),VLOOKUP(N892,PARAM!G:H,2,0),VLOOKUP(P892,PARAM!P:Q,2,0),"*"),"")</f>
        <v/>
      </c>
      <c r="S892" s="18" t="str">
        <f>IFERROR(CONCATENATE(VLOOKUP(L892,PARAM!D:E,2,0),VLOOKUP(M892,PARAM!J:K,2,0),VLOOKUP(N892,PARAM!G:H,2,0),VLOOKUP(O892,PARAM!M:N,2,0),VLOOKUP(P892,PARAM!P:Q,2,0)),"")</f>
        <v/>
      </c>
      <c r="T892" s="18">
        <f t="shared" si="4"/>
        <v>0</v>
      </c>
      <c r="U892" s="18" t="str">
        <f t="shared" si="5"/>
        <v>   </v>
      </c>
    </row>
    <row r="893">
      <c r="A893" s="1"/>
      <c r="B893" s="1"/>
      <c r="C893" s="1"/>
      <c r="D893" s="1"/>
      <c r="E893" s="2"/>
      <c r="F893" s="1"/>
      <c r="G893" s="65">
        <f t="shared" si="7"/>
        <v>0</v>
      </c>
      <c r="H893" s="1"/>
      <c r="I893" s="1"/>
      <c r="J893" s="1"/>
      <c r="K893" s="18"/>
      <c r="L893" s="18"/>
      <c r="M893" s="18"/>
      <c r="N893" s="18"/>
      <c r="O893" s="18"/>
      <c r="P893" s="67" t="s">
        <v>503</v>
      </c>
      <c r="Q893" s="18" t="s">
        <v>476</v>
      </c>
      <c r="R893" s="68" t="str">
        <f>IFERROR(CONCATENATE("*",VLOOKUP(L893,PARAM!D:E,2,0),VLOOKUP(M893,PARAM!J:K,2,0),VLOOKUP(N893,PARAM!G:H,2,0),VLOOKUP(P893,PARAM!P:Q,2,0),"*"),"")</f>
        <v/>
      </c>
      <c r="S893" s="18" t="str">
        <f>IFERROR(CONCATENATE(VLOOKUP(L893,PARAM!D:E,2,0),VLOOKUP(M893,PARAM!J:K,2,0),VLOOKUP(N893,PARAM!G:H,2,0),VLOOKUP(O893,PARAM!M:N,2,0),VLOOKUP(P893,PARAM!P:Q,2,0)),"")</f>
        <v/>
      </c>
      <c r="T893" s="18">
        <f t="shared" si="4"/>
        <v>0</v>
      </c>
      <c r="U893" s="18" t="str">
        <f t="shared" si="5"/>
        <v>   </v>
      </c>
    </row>
    <row r="894">
      <c r="A894" s="1"/>
      <c r="B894" s="1"/>
      <c r="C894" s="1"/>
      <c r="D894" s="1"/>
      <c r="E894" s="2"/>
      <c r="F894" s="1"/>
      <c r="G894" s="65">
        <f t="shared" si="7"/>
        <v>0</v>
      </c>
      <c r="H894" s="1"/>
      <c r="I894" s="1"/>
      <c r="J894" s="1"/>
      <c r="K894" s="18"/>
      <c r="L894" s="18"/>
      <c r="M894" s="18"/>
      <c r="N894" s="18"/>
      <c r="O894" s="18"/>
      <c r="P894" s="67" t="s">
        <v>503</v>
      </c>
      <c r="Q894" s="18" t="s">
        <v>476</v>
      </c>
      <c r="R894" s="68" t="str">
        <f>IFERROR(CONCATENATE("*",VLOOKUP(L894,PARAM!D:E,2,0),VLOOKUP(M894,PARAM!J:K,2,0),VLOOKUP(N894,PARAM!G:H,2,0),VLOOKUP(P894,PARAM!P:Q,2,0),"*"),"")</f>
        <v/>
      </c>
      <c r="S894" s="18" t="str">
        <f>IFERROR(CONCATENATE(VLOOKUP(L894,PARAM!D:E,2,0),VLOOKUP(M894,PARAM!J:K,2,0),VLOOKUP(N894,PARAM!G:H,2,0),VLOOKUP(O894,PARAM!M:N,2,0),VLOOKUP(P894,PARAM!P:Q,2,0)),"")</f>
        <v/>
      </c>
      <c r="T894" s="18">
        <f t="shared" si="4"/>
        <v>0</v>
      </c>
      <c r="U894" s="18" t="str">
        <f t="shared" si="5"/>
        <v>   </v>
      </c>
    </row>
    <row r="895">
      <c r="A895" s="1"/>
      <c r="B895" s="1"/>
      <c r="C895" s="1"/>
      <c r="D895" s="1"/>
      <c r="E895" s="2"/>
      <c r="F895" s="1"/>
      <c r="G895" s="65">
        <f t="shared" si="7"/>
        <v>0</v>
      </c>
      <c r="H895" s="1"/>
      <c r="I895" s="1"/>
      <c r="J895" s="1"/>
      <c r="K895" s="18"/>
      <c r="L895" s="18"/>
      <c r="M895" s="18"/>
      <c r="N895" s="18"/>
      <c r="O895" s="18"/>
      <c r="P895" s="67" t="s">
        <v>503</v>
      </c>
      <c r="Q895" s="18" t="s">
        <v>476</v>
      </c>
      <c r="R895" s="68" t="str">
        <f>IFERROR(CONCATENATE("*",VLOOKUP(L895,PARAM!D:E,2,0),VLOOKUP(M895,PARAM!J:K,2,0),VLOOKUP(N895,PARAM!G:H,2,0),VLOOKUP(P895,PARAM!P:Q,2,0),"*"),"")</f>
        <v/>
      </c>
      <c r="S895" s="18" t="str">
        <f>IFERROR(CONCATENATE(VLOOKUP(L895,PARAM!D:E,2,0),VLOOKUP(M895,PARAM!J:K,2,0),VLOOKUP(N895,PARAM!G:H,2,0),VLOOKUP(O895,PARAM!M:N,2,0),VLOOKUP(P895,PARAM!P:Q,2,0)),"")</f>
        <v/>
      </c>
      <c r="T895" s="18">
        <f t="shared" si="4"/>
        <v>0</v>
      </c>
      <c r="U895" s="18" t="str">
        <f t="shared" si="5"/>
        <v>   </v>
      </c>
    </row>
    <row r="896">
      <c r="A896" s="1"/>
      <c r="B896" s="1"/>
      <c r="C896" s="1"/>
      <c r="D896" s="1"/>
      <c r="E896" s="2"/>
      <c r="F896" s="1"/>
      <c r="G896" s="65">
        <f t="shared" si="7"/>
        <v>0</v>
      </c>
      <c r="H896" s="1"/>
      <c r="I896" s="1"/>
      <c r="J896" s="1"/>
      <c r="K896" s="18"/>
      <c r="L896" s="18"/>
      <c r="M896" s="18"/>
      <c r="N896" s="18"/>
      <c r="O896" s="18"/>
      <c r="P896" s="67" t="s">
        <v>503</v>
      </c>
      <c r="Q896" s="18" t="s">
        <v>476</v>
      </c>
      <c r="R896" s="68" t="str">
        <f>IFERROR(CONCATENATE("*",VLOOKUP(L896,PARAM!D:E,2,0),VLOOKUP(M896,PARAM!J:K,2,0),VLOOKUP(N896,PARAM!G:H,2,0),VLOOKUP(P896,PARAM!P:Q,2,0),"*"),"")</f>
        <v/>
      </c>
      <c r="S896" s="18" t="str">
        <f>IFERROR(CONCATENATE(VLOOKUP(L896,PARAM!D:E,2,0),VLOOKUP(M896,PARAM!J:K,2,0),VLOOKUP(N896,PARAM!G:H,2,0),VLOOKUP(O896,PARAM!M:N,2,0),VLOOKUP(P896,PARAM!P:Q,2,0)),"")</f>
        <v/>
      </c>
      <c r="T896" s="18">
        <f t="shared" si="4"/>
        <v>0</v>
      </c>
      <c r="U896" s="18" t="str">
        <f t="shared" si="5"/>
        <v>   </v>
      </c>
    </row>
    <row r="897">
      <c r="A897" s="1"/>
      <c r="B897" s="1"/>
      <c r="C897" s="1"/>
      <c r="D897" s="1"/>
      <c r="E897" s="2"/>
      <c r="F897" s="1"/>
      <c r="G897" s="65">
        <f t="shared" si="7"/>
        <v>0</v>
      </c>
      <c r="H897" s="1"/>
      <c r="I897" s="1"/>
      <c r="J897" s="1"/>
      <c r="K897" s="18"/>
      <c r="L897" s="18"/>
      <c r="M897" s="18"/>
      <c r="N897" s="18"/>
      <c r="O897" s="18"/>
      <c r="P897" s="67" t="s">
        <v>503</v>
      </c>
      <c r="Q897" s="18" t="s">
        <v>476</v>
      </c>
      <c r="R897" s="68" t="str">
        <f>IFERROR(CONCATENATE("*",VLOOKUP(L897,PARAM!D:E,2,0),VLOOKUP(M897,PARAM!J:K,2,0),VLOOKUP(N897,PARAM!G:H,2,0),VLOOKUP(P897,PARAM!P:Q,2,0),"*"),"")</f>
        <v/>
      </c>
      <c r="S897" s="18" t="str">
        <f>IFERROR(CONCATENATE(VLOOKUP(L897,PARAM!D:E,2,0),VLOOKUP(M897,PARAM!J:K,2,0),VLOOKUP(N897,PARAM!G:H,2,0),VLOOKUP(O897,PARAM!M:N,2,0),VLOOKUP(P897,PARAM!P:Q,2,0)),"")</f>
        <v/>
      </c>
      <c r="T897" s="18">
        <f t="shared" si="4"/>
        <v>0</v>
      </c>
      <c r="U897" s="18" t="str">
        <f t="shared" si="5"/>
        <v>   </v>
      </c>
    </row>
    <row r="898">
      <c r="A898" s="1"/>
      <c r="B898" s="1"/>
      <c r="C898" s="1"/>
      <c r="D898" s="1"/>
      <c r="E898" s="2"/>
      <c r="F898" s="1"/>
      <c r="G898" s="65">
        <f t="shared" si="7"/>
        <v>0</v>
      </c>
      <c r="H898" s="1"/>
      <c r="I898" s="1"/>
      <c r="J898" s="1"/>
      <c r="K898" s="18"/>
      <c r="L898" s="18"/>
      <c r="M898" s="18"/>
      <c r="N898" s="18"/>
      <c r="O898" s="18"/>
      <c r="P898" s="67" t="s">
        <v>503</v>
      </c>
      <c r="Q898" s="18" t="s">
        <v>476</v>
      </c>
      <c r="R898" s="68" t="str">
        <f>IFERROR(CONCATENATE("*",VLOOKUP(L898,PARAM!D:E,2,0),VLOOKUP(M898,PARAM!J:K,2,0),VLOOKUP(N898,PARAM!G:H,2,0),VLOOKUP(P898,PARAM!P:Q,2,0),"*"),"")</f>
        <v/>
      </c>
      <c r="S898" s="18" t="str">
        <f>IFERROR(CONCATENATE(VLOOKUP(L898,PARAM!D:E,2,0),VLOOKUP(M898,PARAM!J:K,2,0),VLOOKUP(N898,PARAM!G:H,2,0),VLOOKUP(O898,PARAM!M:N,2,0),VLOOKUP(P898,PARAM!P:Q,2,0)),"")</f>
        <v/>
      </c>
      <c r="T898" s="18">
        <f t="shared" si="4"/>
        <v>0</v>
      </c>
      <c r="U898" s="18" t="str">
        <f t="shared" si="5"/>
        <v>   </v>
      </c>
    </row>
    <row r="899">
      <c r="A899" s="1"/>
      <c r="B899" s="1"/>
      <c r="C899" s="1"/>
      <c r="D899" s="1"/>
      <c r="E899" s="2"/>
      <c r="F899" s="1"/>
      <c r="G899" s="65">
        <f t="shared" si="7"/>
        <v>0</v>
      </c>
      <c r="H899" s="1"/>
      <c r="I899" s="1"/>
      <c r="J899" s="1"/>
      <c r="K899" s="18"/>
      <c r="L899" s="18"/>
      <c r="M899" s="18"/>
      <c r="N899" s="18"/>
      <c r="O899" s="18"/>
      <c r="P899" s="67" t="s">
        <v>503</v>
      </c>
      <c r="Q899" s="18" t="s">
        <v>476</v>
      </c>
      <c r="R899" s="68" t="str">
        <f>IFERROR(CONCATENATE("*",VLOOKUP(L899,PARAM!D:E,2,0),VLOOKUP(M899,PARAM!J:K,2,0),VLOOKUP(N899,PARAM!G:H,2,0),VLOOKUP(P899,PARAM!P:Q,2,0),"*"),"")</f>
        <v/>
      </c>
      <c r="S899" s="18" t="str">
        <f>IFERROR(CONCATENATE(VLOOKUP(L899,PARAM!D:E,2,0),VLOOKUP(M899,PARAM!J:K,2,0),VLOOKUP(N899,PARAM!G:H,2,0),VLOOKUP(O899,PARAM!M:N,2,0),VLOOKUP(P899,PARAM!P:Q,2,0)),"")</f>
        <v/>
      </c>
      <c r="T899" s="18">
        <f t="shared" si="4"/>
        <v>0</v>
      </c>
      <c r="U899" s="18" t="str">
        <f t="shared" si="5"/>
        <v>   </v>
      </c>
    </row>
    <row r="900">
      <c r="A900" s="1"/>
      <c r="B900" s="1"/>
      <c r="C900" s="1"/>
      <c r="D900" s="1"/>
      <c r="E900" s="2"/>
      <c r="F900" s="1"/>
      <c r="G900" s="65">
        <f t="shared" si="7"/>
        <v>0</v>
      </c>
      <c r="H900" s="1"/>
      <c r="I900" s="1"/>
      <c r="J900" s="1"/>
      <c r="K900" s="18"/>
      <c r="L900" s="18"/>
      <c r="M900" s="18"/>
      <c r="N900" s="18"/>
      <c r="O900" s="18"/>
      <c r="P900" s="67" t="s">
        <v>503</v>
      </c>
      <c r="Q900" s="18" t="s">
        <v>476</v>
      </c>
      <c r="R900" s="68" t="str">
        <f>IFERROR(CONCATENATE("*",VLOOKUP(L900,PARAM!D:E,2,0),VLOOKUP(M900,PARAM!J:K,2,0),VLOOKUP(N900,PARAM!G:H,2,0),VLOOKUP(P900,PARAM!P:Q,2,0),"*"),"")</f>
        <v/>
      </c>
      <c r="S900" s="18" t="str">
        <f>IFERROR(CONCATENATE(VLOOKUP(L900,PARAM!D:E,2,0),VLOOKUP(M900,PARAM!J:K,2,0),VLOOKUP(N900,PARAM!G:H,2,0),VLOOKUP(O900,PARAM!M:N,2,0),VLOOKUP(P900,PARAM!P:Q,2,0)),"")</f>
        <v/>
      </c>
      <c r="T900" s="18">
        <f t="shared" si="4"/>
        <v>0</v>
      </c>
      <c r="U900" s="18" t="str">
        <f t="shared" si="5"/>
        <v>   </v>
      </c>
    </row>
    <row r="901">
      <c r="A901" s="1"/>
      <c r="B901" s="1"/>
      <c r="C901" s="1"/>
      <c r="D901" s="1"/>
      <c r="E901" s="2"/>
      <c r="F901" s="1"/>
      <c r="G901" s="65">
        <f t="shared" si="7"/>
        <v>0</v>
      </c>
      <c r="H901" s="1"/>
      <c r="I901" s="1"/>
      <c r="J901" s="1"/>
      <c r="K901" s="18"/>
      <c r="L901" s="18"/>
      <c r="M901" s="18"/>
      <c r="N901" s="18"/>
      <c r="O901" s="18"/>
      <c r="P901" s="67" t="s">
        <v>503</v>
      </c>
      <c r="Q901" s="18" t="s">
        <v>476</v>
      </c>
      <c r="R901" s="68" t="str">
        <f>IFERROR(CONCATENATE("*",VLOOKUP(L901,PARAM!D:E,2,0),VLOOKUP(M901,PARAM!J:K,2,0),VLOOKUP(N901,PARAM!G:H,2,0),VLOOKUP(P901,PARAM!P:Q,2,0),"*"),"")</f>
        <v/>
      </c>
      <c r="S901" s="18" t="str">
        <f>IFERROR(CONCATENATE(VLOOKUP(L901,PARAM!D:E,2,0),VLOOKUP(M901,PARAM!J:K,2,0),VLOOKUP(N901,PARAM!G:H,2,0),VLOOKUP(O901,PARAM!M:N,2,0),VLOOKUP(P901,PARAM!P:Q,2,0)),"")</f>
        <v/>
      </c>
      <c r="T901" s="18">
        <f t="shared" si="4"/>
        <v>0</v>
      </c>
      <c r="U901" s="18" t="str">
        <f t="shared" si="5"/>
        <v>   </v>
      </c>
    </row>
    <row r="902">
      <c r="A902" s="1"/>
      <c r="B902" s="1"/>
      <c r="C902" s="1"/>
      <c r="D902" s="1"/>
      <c r="E902" s="2"/>
      <c r="F902" s="1"/>
      <c r="G902" s="65">
        <f t="shared" si="7"/>
        <v>0</v>
      </c>
      <c r="H902" s="1"/>
      <c r="I902" s="1"/>
      <c r="J902" s="1"/>
      <c r="K902" s="18"/>
      <c r="L902" s="18"/>
      <c r="M902" s="18"/>
      <c r="N902" s="18"/>
      <c r="O902" s="18"/>
      <c r="P902" s="67" t="s">
        <v>503</v>
      </c>
      <c r="Q902" s="18" t="s">
        <v>476</v>
      </c>
      <c r="R902" s="68" t="str">
        <f>IFERROR(CONCATENATE("*",VLOOKUP(L902,PARAM!D:E,2,0),VLOOKUP(M902,PARAM!J:K,2,0),VLOOKUP(N902,PARAM!G:H,2,0),VLOOKUP(P902,PARAM!P:Q,2,0),"*"),"")</f>
        <v/>
      </c>
      <c r="S902" s="18" t="str">
        <f>IFERROR(CONCATENATE(VLOOKUP(L902,PARAM!D:E,2,0),VLOOKUP(M902,PARAM!J:K,2,0),VLOOKUP(N902,PARAM!G:H,2,0),VLOOKUP(O902,PARAM!M:N,2,0),VLOOKUP(P902,PARAM!P:Q,2,0)),"")</f>
        <v/>
      </c>
      <c r="T902" s="18">
        <f t="shared" si="4"/>
        <v>0</v>
      </c>
      <c r="U902" s="18" t="str">
        <f t="shared" si="5"/>
        <v>   </v>
      </c>
    </row>
    <row r="903">
      <c r="A903" s="1"/>
      <c r="B903" s="1"/>
      <c r="C903" s="1"/>
      <c r="D903" s="1"/>
      <c r="E903" s="2"/>
      <c r="F903" s="1"/>
      <c r="G903" s="65">
        <f t="shared" si="7"/>
        <v>0</v>
      </c>
      <c r="H903" s="1"/>
      <c r="I903" s="1"/>
      <c r="J903" s="1"/>
      <c r="K903" s="18"/>
      <c r="L903" s="18"/>
      <c r="M903" s="18"/>
      <c r="N903" s="18"/>
      <c r="O903" s="18"/>
      <c r="P903" s="67" t="s">
        <v>503</v>
      </c>
      <c r="Q903" s="18" t="s">
        <v>476</v>
      </c>
      <c r="R903" s="68" t="str">
        <f>IFERROR(CONCATENATE("*",VLOOKUP(L903,PARAM!D:E,2,0),VLOOKUP(M903,PARAM!J:K,2,0),VLOOKUP(N903,PARAM!G:H,2,0),VLOOKUP(P903,PARAM!P:Q,2,0),"*"),"")</f>
        <v/>
      </c>
      <c r="S903" s="18" t="str">
        <f>IFERROR(CONCATENATE(VLOOKUP(L903,PARAM!D:E,2,0),VLOOKUP(M903,PARAM!J:K,2,0),VLOOKUP(N903,PARAM!G:H,2,0),VLOOKUP(O903,PARAM!M:N,2,0),VLOOKUP(P903,PARAM!P:Q,2,0)),"")</f>
        <v/>
      </c>
      <c r="T903" s="18">
        <f t="shared" si="4"/>
        <v>0</v>
      </c>
      <c r="U903" s="18" t="str">
        <f t="shared" si="5"/>
        <v>   </v>
      </c>
    </row>
    <row r="904">
      <c r="A904" s="1"/>
      <c r="B904" s="1"/>
      <c r="C904" s="1"/>
      <c r="D904" s="1"/>
      <c r="E904" s="2"/>
      <c r="F904" s="1"/>
      <c r="G904" s="65">
        <f t="shared" si="7"/>
        <v>0</v>
      </c>
      <c r="H904" s="1"/>
      <c r="I904" s="1"/>
      <c r="J904" s="1"/>
      <c r="K904" s="18"/>
      <c r="L904" s="18"/>
      <c r="M904" s="18"/>
      <c r="N904" s="18"/>
      <c r="O904" s="18"/>
      <c r="P904" s="67" t="s">
        <v>503</v>
      </c>
      <c r="Q904" s="18" t="s">
        <v>476</v>
      </c>
      <c r="R904" s="68" t="str">
        <f>IFERROR(CONCATENATE("*",VLOOKUP(L904,PARAM!D:E,2,0),VLOOKUP(M904,PARAM!J:K,2,0),VLOOKUP(N904,PARAM!G:H,2,0),VLOOKUP(P904,PARAM!P:Q,2,0),"*"),"")</f>
        <v/>
      </c>
      <c r="S904" s="18" t="str">
        <f>IFERROR(CONCATENATE(VLOOKUP(L904,PARAM!D:E,2,0),VLOOKUP(M904,PARAM!J:K,2,0),VLOOKUP(N904,PARAM!G:H,2,0),VLOOKUP(O904,PARAM!M:N,2,0),VLOOKUP(P904,PARAM!P:Q,2,0)),"")</f>
        <v/>
      </c>
      <c r="T904" s="18">
        <f t="shared" si="4"/>
        <v>0</v>
      </c>
      <c r="U904" s="18" t="str">
        <f t="shared" si="5"/>
        <v>   </v>
      </c>
    </row>
    <row r="905">
      <c r="A905" s="1"/>
      <c r="B905" s="1"/>
      <c r="C905" s="1"/>
      <c r="D905" s="1"/>
      <c r="E905" s="2"/>
      <c r="F905" s="1"/>
      <c r="G905" s="65">
        <f t="shared" si="7"/>
        <v>0</v>
      </c>
      <c r="H905" s="1"/>
      <c r="I905" s="1"/>
      <c r="J905" s="1"/>
      <c r="K905" s="18"/>
      <c r="L905" s="18"/>
      <c r="M905" s="18"/>
      <c r="N905" s="18"/>
      <c r="O905" s="18"/>
      <c r="P905" s="67" t="s">
        <v>503</v>
      </c>
      <c r="Q905" s="18" t="s">
        <v>476</v>
      </c>
      <c r="R905" s="68" t="str">
        <f>IFERROR(CONCATENATE("*",VLOOKUP(L905,PARAM!D:E,2,0),VLOOKUP(M905,PARAM!J:K,2,0),VLOOKUP(N905,PARAM!G:H,2,0),VLOOKUP(P905,PARAM!P:Q,2,0),"*"),"")</f>
        <v/>
      </c>
      <c r="S905" s="18" t="str">
        <f>IFERROR(CONCATENATE(VLOOKUP(L905,PARAM!D:E,2,0),VLOOKUP(M905,PARAM!J:K,2,0),VLOOKUP(N905,PARAM!G:H,2,0),VLOOKUP(O905,PARAM!M:N,2,0),VLOOKUP(P905,PARAM!P:Q,2,0)),"")</f>
        <v/>
      </c>
      <c r="T905" s="18">
        <f t="shared" si="4"/>
        <v>0</v>
      </c>
      <c r="U905" s="18" t="str">
        <f t="shared" si="5"/>
        <v>   </v>
      </c>
    </row>
    <row r="906">
      <c r="A906" s="1"/>
      <c r="B906" s="1"/>
      <c r="C906" s="1"/>
      <c r="D906" s="1"/>
      <c r="E906" s="2"/>
      <c r="F906" s="1"/>
      <c r="G906" s="65">
        <f t="shared" si="7"/>
        <v>0</v>
      </c>
      <c r="H906" s="1"/>
      <c r="I906" s="1"/>
      <c r="J906" s="1"/>
      <c r="K906" s="18"/>
      <c r="L906" s="18"/>
      <c r="M906" s="18"/>
      <c r="N906" s="18"/>
      <c r="O906" s="18"/>
      <c r="P906" s="67" t="s">
        <v>503</v>
      </c>
      <c r="Q906" s="18" t="s">
        <v>476</v>
      </c>
      <c r="R906" s="68" t="str">
        <f>IFERROR(CONCATENATE("*",VLOOKUP(L906,PARAM!D:E,2,0),VLOOKUP(M906,PARAM!J:K,2,0),VLOOKUP(N906,PARAM!G:H,2,0),VLOOKUP(P906,PARAM!P:Q,2,0),"*"),"")</f>
        <v/>
      </c>
      <c r="S906" s="18" t="str">
        <f>IFERROR(CONCATENATE(VLOOKUP(L906,PARAM!D:E,2,0),VLOOKUP(M906,PARAM!J:K,2,0),VLOOKUP(N906,PARAM!G:H,2,0),VLOOKUP(O906,PARAM!M:N,2,0),VLOOKUP(P906,PARAM!P:Q,2,0)),"")</f>
        <v/>
      </c>
      <c r="T906" s="18">
        <f t="shared" si="4"/>
        <v>0</v>
      </c>
      <c r="U906" s="18" t="str">
        <f t="shared" si="5"/>
        <v>   </v>
      </c>
    </row>
    <row r="907">
      <c r="A907" s="1"/>
      <c r="B907" s="1"/>
      <c r="C907" s="1"/>
      <c r="D907" s="1"/>
      <c r="E907" s="2"/>
      <c r="F907" s="1"/>
      <c r="G907" s="65">
        <f t="shared" si="7"/>
        <v>0</v>
      </c>
      <c r="H907" s="1"/>
      <c r="I907" s="1"/>
      <c r="J907" s="1"/>
      <c r="K907" s="18"/>
      <c r="L907" s="18"/>
      <c r="M907" s="18"/>
      <c r="N907" s="18"/>
      <c r="O907" s="18"/>
      <c r="P907" s="67" t="s">
        <v>503</v>
      </c>
      <c r="Q907" s="18" t="s">
        <v>476</v>
      </c>
      <c r="R907" s="68" t="str">
        <f>IFERROR(CONCATENATE("*",VLOOKUP(L907,PARAM!D:E,2,0),VLOOKUP(M907,PARAM!J:K,2,0),VLOOKUP(N907,PARAM!G:H,2,0),VLOOKUP(P907,PARAM!P:Q,2,0),"*"),"")</f>
        <v/>
      </c>
      <c r="S907" s="18" t="str">
        <f>IFERROR(CONCATENATE(VLOOKUP(L907,PARAM!D:E,2,0),VLOOKUP(M907,PARAM!J:K,2,0),VLOOKUP(N907,PARAM!G:H,2,0),VLOOKUP(O907,PARAM!M:N,2,0),VLOOKUP(P907,PARAM!P:Q,2,0)),"")</f>
        <v/>
      </c>
      <c r="T907" s="18">
        <f t="shared" si="4"/>
        <v>0</v>
      </c>
      <c r="U907" s="18" t="str">
        <f t="shared" si="5"/>
        <v>   </v>
      </c>
    </row>
    <row r="908">
      <c r="A908" s="1"/>
      <c r="B908" s="1"/>
      <c r="C908" s="1"/>
      <c r="D908" s="1"/>
      <c r="E908" s="2"/>
      <c r="F908" s="1"/>
      <c r="G908" s="65">
        <f t="shared" si="7"/>
        <v>0</v>
      </c>
      <c r="H908" s="1"/>
      <c r="I908" s="1"/>
      <c r="J908" s="1"/>
      <c r="K908" s="18"/>
      <c r="L908" s="18"/>
      <c r="M908" s="18"/>
      <c r="N908" s="18"/>
      <c r="O908" s="18"/>
      <c r="P908" s="67" t="s">
        <v>503</v>
      </c>
      <c r="Q908" s="18" t="s">
        <v>476</v>
      </c>
      <c r="R908" s="68" t="str">
        <f>IFERROR(CONCATENATE("*",VLOOKUP(L908,PARAM!D:E,2,0),VLOOKUP(M908,PARAM!J:K,2,0),VLOOKUP(N908,PARAM!G:H,2,0),VLOOKUP(P908,PARAM!P:Q,2,0),"*"),"")</f>
        <v/>
      </c>
      <c r="S908" s="18" t="str">
        <f>IFERROR(CONCATENATE(VLOOKUP(L908,PARAM!D:E,2,0),VLOOKUP(M908,PARAM!J:K,2,0),VLOOKUP(N908,PARAM!G:H,2,0),VLOOKUP(O908,PARAM!M:N,2,0),VLOOKUP(P908,PARAM!P:Q,2,0)),"")</f>
        <v/>
      </c>
      <c r="T908" s="18">
        <f t="shared" si="4"/>
        <v>0</v>
      </c>
      <c r="U908" s="18" t="str">
        <f t="shared" si="5"/>
        <v>   </v>
      </c>
    </row>
    <row r="909">
      <c r="A909" s="1"/>
      <c r="B909" s="1"/>
      <c r="C909" s="1"/>
      <c r="D909" s="1"/>
      <c r="E909" s="2"/>
      <c r="F909" s="1"/>
      <c r="G909" s="65">
        <f t="shared" si="7"/>
        <v>0</v>
      </c>
      <c r="H909" s="1"/>
      <c r="I909" s="1"/>
      <c r="J909" s="1"/>
      <c r="K909" s="18"/>
      <c r="L909" s="18"/>
      <c r="M909" s="18"/>
      <c r="N909" s="18"/>
      <c r="O909" s="18"/>
      <c r="P909" s="67" t="s">
        <v>503</v>
      </c>
      <c r="Q909" s="18" t="s">
        <v>476</v>
      </c>
      <c r="R909" s="68" t="str">
        <f>IFERROR(CONCATENATE("*",VLOOKUP(L909,PARAM!D:E,2,0),VLOOKUP(M909,PARAM!J:K,2,0),VLOOKUP(N909,PARAM!G:H,2,0),VLOOKUP(P909,PARAM!P:Q,2,0),"*"),"")</f>
        <v/>
      </c>
      <c r="S909" s="18" t="str">
        <f>IFERROR(CONCATENATE(VLOOKUP(L909,PARAM!D:E,2,0),VLOOKUP(M909,PARAM!J:K,2,0),VLOOKUP(N909,PARAM!G:H,2,0),VLOOKUP(O909,PARAM!M:N,2,0),VLOOKUP(P909,PARAM!P:Q,2,0)),"")</f>
        <v/>
      </c>
      <c r="T909" s="18">
        <f t="shared" si="4"/>
        <v>0</v>
      </c>
      <c r="U909" s="18" t="str">
        <f t="shared" si="5"/>
        <v>   </v>
      </c>
    </row>
    <row r="910">
      <c r="A910" s="1"/>
      <c r="B910" s="1"/>
      <c r="C910" s="1"/>
      <c r="D910" s="1"/>
      <c r="E910" s="2"/>
      <c r="F910" s="1"/>
      <c r="G910" s="65">
        <f t="shared" si="7"/>
        <v>0</v>
      </c>
      <c r="H910" s="1"/>
      <c r="I910" s="1"/>
      <c r="J910" s="1"/>
      <c r="K910" s="18"/>
      <c r="L910" s="18"/>
      <c r="M910" s="18"/>
      <c r="N910" s="18"/>
      <c r="O910" s="18"/>
      <c r="P910" s="67" t="s">
        <v>503</v>
      </c>
      <c r="Q910" s="18" t="s">
        <v>476</v>
      </c>
      <c r="R910" s="68" t="str">
        <f>IFERROR(CONCATENATE("*",VLOOKUP(L910,PARAM!D:E,2,0),VLOOKUP(M910,PARAM!J:K,2,0),VLOOKUP(N910,PARAM!G:H,2,0),VLOOKUP(P910,PARAM!P:Q,2,0),"*"),"")</f>
        <v/>
      </c>
      <c r="S910" s="18" t="str">
        <f>IFERROR(CONCATENATE(VLOOKUP(L910,PARAM!D:E,2,0),VLOOKUP(M910,PARAM!J:K,2,0),VLOOKUP(N910,PARAM!G:H,2,0),VLOOKUP(O910,PARAM!M:N,2,0),VLOOKUP(P910,PARAM!P:Q,2,0)),"")</f>
        <v/>
      </c>
      <c r="T910" s="18">
        <f t="shared" si="4"/>
        <v>0</v>
      </c>
      <c r="U910" s="18" t="str">
        <f t="shared" si="5"/>
        <v>   </v>
      </c>
    </row>
    <row r="911">
      <c r="A911" s="1"/>
      <c r="B911" s="1"/>
      <c r="C911" s="1"/>
      <c r="D911" s="1"/>
      <c r="E911" s="2"/>
      <c r="F911" s="1"/>
      <c r="G911" s="65">
        <f t="shared" si="7"/>
        <v>0</v>
      </c>
      <c r="H911" s="1"/>
      <c r="I911" s="1"/>
      <c r="J911" s="1"/>
      <c r="K911" s="18"/>
      <c r="L911" s="18"/>
      <c r="M911" s="18"/>
      <c r="N911" s="18"/>
      <c r="O911" s="18"/>
      <c r="P911" s="67" t="s">
        <v>503</v>
      </c>
      <c r="Q911" s="18" t="s">
        <v>476</v>
      </c>
      <c r="R911" s="68" t="str">
        <f>IFERROR(CONCATENATE("*",VLOOKUP(L911,PARAM!D:E,2,0),VLOOKUP(M911,PARAM!J:K,2,0),VLOOKUP(N911,PARAM!G:H,2,0),VLOOKUP(P911,PARAM!P:Q,2,0),"*"),"")</f>
        <v/>
      </c>
      <c r="S911" s="18" t="str">
        <f>IFERROR(CONCATENATE(VLOOKUP(L911,PARAM!D:E,2,0),VLOOKUP(M911,PARAM!J:K,2,0),VLOOKUP(N911,PARAM!G:H,2,0),VLOOKUP(O911,PARAM!M:N,2,0),VLOOKUP(P911,PARAM!P:Q,2,0)),"")</f>
        <v/>
      </c>
      <c r="T911" s="18">
        <f t="shared" si="4"/>
        <v>0</v>
      </c>
      <c r="U911" s="18" t="str">
        <f t="shared" si="5"/>
        <v>   </v>
      </c>
    </row>
    <row r="912">
      <c r="A912" s="1"/>
      <c r="B912" s="1"/>
      <c r="C912" s="1"/>
      <c r="D912" s="1"/>
      <c r="E912" s="2"/>
      <c r="F912" s="1"/>
      <c r="G912" s="65">
        <f t="shared" si="7"/>
        <v>0</v>
      </c>
      <c r="H912" s="1"/>
      <c r="I912" s="1"/>
      <c r="J912" s="1"/>
      <c r="K912" s="18"/>
      <c r="L912" s="18"/>
      <c r="M912" s="18"/>
      <c r="N912" s="18"/>
      <c r="O912" s="18"/>
      <c r="P912" s="67" t="s">
        <v>503</v>
      </c>
      <c r="Q912" s="18" t="s">
        <v>476</v>
      </c>
      <c r="R912" s="68" t="str">
        <f>IFERROR(CONCATENATE("*",VLOOKUP(L912,PARAM!D:E,2,0),VLOOKUP(M912,PARAM!J:K,2,0),VLOOKUP(N912,PARAM!G:H,2,0),VLOOKUP(P912,PARAM!P:Q,2,0),"*"),"")</f>
        <v/>
      </c>
      <c r="S912" s="18" t="str">
        <f>IFERROR(CONCATENATE(VLOOKUP(L912,PARAM!D:E,2,0),VLOOKUP(M912,PARAM!J:K,2,0),VLOOKUP(N912,PARAM!G:H,2,0),VLOOKUP(O912,PARAM!M:N,2,0),VLOOKUP(P912,PARAM!P:Q,2,0)),"")</f>
        <v/>
      </c>
      <c r="T912" s="18">
        <f t="shared" si="4"/>
        <v>0</v>
      </c>
      <c r="U912" s="18" t="str">
        <f t="shared" si="5"/>
        <v>   </v>
      </c>
    </row>
    <row r="913">
      <c r="A913" s="1"/>
      <c r="B913" s="1"/>
      <c r="C913" s="1"/>
      <c r="D913" s="1"/>
      <c r="E913" s="2"/>
      <c r="F913" s="1"/>
      <c r="G913" s="65">
        <f t="shared" si="7"/>
        <v>0</v>
      </c>
      <c r="H913" s="1"/>
      <c r="I913" s="1"/>
      <c r="J913" s="1"/>
      <c r="K913" s="18"/>
      <c r="L913" s="18"/>
      <c r="M913" s="18"/>
      <c r="N913" s="18"/>
      <c r="O913" s="18"/>
      <c r="P913" s="67" t="s">
        <v>503</v>
      </c>
      <c r="Q913" s="18" t="s">
        <v>476</v>
      </c>
      <c r="R913" s="68" t="str">
        <f>IFERROR(CONCATENATE("*",VLOOKUP(L913,PARAM!D:E,2,0),VLOOKUP(M913,PARAM!J:K,2,0),VLOOKUP(N913,PARAM!G:H,2,0),VLOOKUP(P913,PARAM!P:Q,2,0),"*"),"")</f>
        <v/>
      </c>
      <c r="S913" s="18" t="str">
        <f>IFERROR(CONCATENATE(VLOOKUP(L913,PARAM!D:E,2,0),VLOOKUP(M913,PARAM!J:K,2,0),VLOOKUP(N913,PARAM!G:H,2,0),VLOOKUP(O913,PARAM!M:N,2,0),VLOOKUP(P913,PARAM!P:Q,2,0)),"")</f>
        <v/>
      </c>
      <c r="T913" s="18">
        <f t="shared" si="4"/>
        <v>0</v>
      </c>
      <c r="U913" s="18" t="str">
        <f t="shared" si="5"/>
        <v>   </v>
      </c>
    </row>
    <row r="914">
      <c r="A914" s="1"/>
      <c r="B914" s="1"/>
      <c r="C914" s="1"/>
      <c r="D914" s="1"/>
      <c r="E914" s="2"/>
      <c r="F914" s="1"/>
      <c r="G914" s="65">
        <f t="shared" si="7"/>
        <v>0</v>
      </c>
      <c r="H914" s="1"/>
      <c r="I914" s="1"/>
      <c r="J914" s="1"/>
      <c r="K914" s="18"/>
      <c r="L914" s="18"/>
      <c r="M914" s="18"/>
      <c r="N914" s="18"/>
      <c r="O914" s="18"/>
      <c r="P914" s="67" t="s">
        <v>503</v>
      </c>
      <c r="Q914" s="18" t="s">
        <v>476</v>
      </c>
      <c r="R914" s="68" t="str">
        <f>IFERROR(CONCATENATE("*",VLOOKUP(L914,PARAM!D:E,2,0),VLOOKUP(M914,PARAM!J:K,2,0),VLOOKUP(N914,PARAM!G:H,2,0),VLOOKUP(P914,PARAM!P:Q,2,0),"*"),"")</f>
        <v/>
      </c>
      <c r="S914" s="18" t="str">
        <f>IFERROR(CONCATENATE(VLOOKUP(L914,PARAM!D:E,2,0),VLOOKUP(M914,PARAM!J:K,2,0),VLOOKUP(N914,PARAM!G:H,2,0),VLOOKUP(O914,PARAM!M:N,2,0),VLOOKUP(P914,PARAM!P:Q,2,0)),"")</f>
        <v/>
      </c>
      <c r="T914" s="18">
        <f t="shared" si="4"/>
        <v>0</v>
      </c>
      <c r="U914" s="18" t="str">
        <f t="shared" si="5"/>
        <v>   </v>
      </c>
    </row>
    <row r="915">
      <c r="A915" s="1"/>
      <c r="B915" s="1"/>
      <c r="C915" s="1"/>
      <c r="D915" s="1"/>
      <c r="E915" s="2"/>
      <c r="F915" s="1"/>
      <c r="G915" s="65">
        <f t="shared" si="7"/>
        <v>0</v>
      </c>
      <c r="H915" s="1"/>
      <c r="I915" s="1"/>
      <c r="J915" s="1"/>
      <c r="K915" s="18"/>
      <c r="L915" s="18"/>
      <c r="M915" s="18"/>
      <c r="N915" s="18"/>
      <c r="O915" s="18"/>
      <c r="P915" s="67" t="s">
        <v>503</v>
      </c>
      <c r="Q915" s="18" t="s">
        <v>476</v>
      </c>
      <c r="R915" s="68" t="str">
        <f>IFERROR(CONCATENATE("*",VLOOKUP(L915,PARAM!D:E,2,0),VLOOKUP(M915,PARAM!J:K,2,0),VLOOKUP(N915,PARAM!G:H,2,0),VLOOKUP(P915,PARAM!P:Q,2,0),"*"),"")</f>
        <v/>
      </c>
      <c r="S915" s="18" t="str">
        <f>IFERROR(CONCATENATE(VLOOKUP(L915,PARAM!D:E,2,0),VLOOKUP(M915,PARAM!J:K,2,0),VLOOKUP(N915,PARAM!G:H,2,0),VLOOKUP(O915,PARAM!M:N,2,0),VLOOKUP(P915,PARAM!P:Q,2,0)),"")</f>
        <v/>
      </c>
      <c r="T915" s="18">
        <f t="shared" si="4"/>
        <v>0</v>
      </c>
      <c r="U915" s="18" t="str">
        <f t="shared" si="5"/>
        <v>   </v>
      </c>
    </row>
    <row r="916">
      <c r="A916" s="1"/>
      <c r="B916" s="1"/>
      <c r="C916" s="1"/>
      <c r="D916" s="1"/>
      <c r="E916" s="2"/>
      <c r="F916" s="1"/>
      <c r="G916" s="65">
        <f t="shared" si="7"/>
        <v>0</v>
      </c>
      <c r="H916" s="1"/>
      <c r="I916" s="1"/>
      <c r="J916" s="1"/>
      <c r="K916" s="18"/>
      <c r="L916" s="18"/>
      <c r="M916" s="18"/>
      <c r="N916" s="18"/>
      <c r="O916" s="18"/>
      <c r="P916" s="67" t="s">
        <v>503</v>
      </c>
      <c r="Q916" s="18" t="s">
        <v>476</v>
      </c>
      <c r="R916" s="68" t="str">
        <f>IFERROR(CONCATENATE("*",VLOOKUP(L916,PARAM!D:E,2,0),VLOOKUP(M916,PARAM!J:K,2,0),VLOOKUP(N916,PARAM!G:H,2,0),VLOOKUP(P916,PARAM!P:Q,2,0),"*"),"")</f>
        <v/>
      </c>
      <c r="S916" s="18" t="str">
        <f>IFERROR(CONCATENATE(VLOOKUP(L916,PARAM!D:E,2,0),VLOOKUP(M916,PARAM!J:K,2,0),VLOOKUP(N916,PARAM!G:H,2,0),VLOOKUP(O916,PARAM!M:N,2,0),VLOOKUP(P916,PARAM!P:Q,2,0)),"")</f>
        <v/>
      </c>
      <c r="T916" s="18">
        <f t="shared" si="4"/>
        <v>0</v>
      </c>
      <c r="U916" s="18" t="str">
        <f t="shared" si="5"/>
        <v>   </v>
      </c>
    </row>
    <row r="917">
      <c r="A917" s="1"/>
      <c r="B917" s="1"/>
      <c r="C917" s="1"/>
      <c r="D917" s="1"/>
      <c r="E917" s="2"/>
      <c r="F917" s="1"/>
      <c r="G917" s="65">
        <f t="shared" si="7"/>
        <v>0</v>
      </c>
      <c r="H917" s="1"/>
      <c r="I917" s="1"/>
      <c r="J917" s="1"/>
      <c r="K917" s="18"/>
      <c r="L917" s="18"/>
      <c r="M917" s="18"/>
      <c r="N917" s="18"/>
      <c r="O917" s="18"/>
      <c r="P917" s="67" t="s">
        <v>503</v>
      </c>
      <c r="Q917" s="18" t="s">
        <v>476</v>
      </c>
      <c r="R917" s="68" t="str">
        <f>IFERROR(CONCATENATE("*",VLOOKUP(L917,PARAM!D:E,2,0),VLOOKUP(M917,PARAM!J:K,2,0),VLOOKUP(N917,PARAM!G:H,2,0),VLOOKUP(P917,PARAM!P:Q,2,0),"*"),"")</f>
        <v/>
      </c>
      <c r="S917" s="18" t="str">
        <f>IFERROR(CONCATENATE(VLOOKUP(L917,PARAM!D:E,2,0),VLOOKUP(M917,PARAM!J:K,2,0),VLOOKUP(N917,PARAM!G:H,2,0),VLOOKUP(O917,PARAM!M:N,2,0),VLOOKUP(P917,PARAM!P:Q,2,0)),"")</f>
        <v/>
      </c>
      <c r="T917" s="18">
        <f t="shared" si="4"/>
        <v>0</v>
      </c>
      <c r="U917" s="18" t="str">
        <f t="shared" si="5"/>
        <v>   </v>
      </c>
    </row>
    <row r="918">
      <c r="A918" s="1"/>
      <c r="B918" s="1"/>
      <c r="C918" s="1"/>
      <c r="D918" s="1"/>
      <c r="E918" s="2"/>
      <c r="F918" s="1"/>
      <c r="G918" s="65">
        <f t="shared" si="7"/>
        <v>0</v>
      </c>
      <c r="H918" s="1"/>
      <c r="I918" s="1"/>
      <c r="J918" s="1"/>
      <c r="K918" s="18"/>
      <c r="L918" s="18"/>
      <c r="M918" s="18"/>
      <c r="N918" s="18"/>
      <c r="O918" s="18"/>
      <c r="P918" s="67" t="s">
        <v>503</v>
      </c>
      <c r="Q918" s="18" t="s">
        <v>476</v>
      </c>
      <c r="R918" s="68" t="str">
        <f>IFERROR(CONCATENATE("*",VLOOKUP(L918,PARAM!D:E,2,0),VLOOKUP(M918,PARAM!J:K,2,0),VLOOKUP(N918,PARAM!G:H,2,0),VLOOKUP(P918,PARAM!P:Q,2,0),"*"),"")</f>
        <v/>
      </c>
      <c r="S918" s="18" t="str">
        <f>IFERROR(CONCATENATE(VLOOKUP(L918,PARAM!D:E,2,0),VLOOKUP(M918,PARAM!J:K,2,0),VLOOKUP(N918,PARAM!G:H,2,0),VLOOKUP(O918,PARAM!M:N,2,0),VLOOKUP(P918,PARAM!P:Q,2,0)),"")</f>
        <v/>
      </c>
      <c r="T918" s="18">
        <f t="shared" si="4"/>
        <v>0</v>
      </c>
      <c r="U918" s="18" t="str">
        <f t="shared" si="5"/>
        <v>   </v>
      </c>
    </row>
    <row r="919">
      <c r="A919" s="1"/>
      <c r="B919" s="1"/>
      <c r="C919" s="1"/>
      <c r="D919" s="1"/>
      <c r="E919" s="2"/>
      <c r="F919" s="1"/>
      <c r="G919" s="65">
        <f t="shared" si="7"/>
        <v>0</v>
      </c>
      <c r="H919" s="1"/>
      <c r="I919" s="1"/>
      <c r="J919" s="1"/>
      <c r="K919" s="18"/>
      <c r="L919" s="18"/>
      <c r="M919" s="18"/>
      <c r="N919" s="18"/>
      <c r="O919" s="18"/>
      <c r="P919" s="67" t="s">
        <v>503</v>
      </c>
      <c r="Q919" s="18" t="s">
        <v>476</v>
      </c>
      <c r="R919" s="68" t="str">
        <f>IFERROR(CONCATENATE("*",VLOOKUP(L919,PARAM!D:E,2,0),VLOOKUP(M919,PARAM!J:K,2,0),VLOOKUP(N919,PARAM!G:H,2,0),VLOOKUP(P919,PARAM!P:Q,2,0),"*"),"")</f>
        <v/>
      </c>
      <c r="S919" s="18" t="str">
        <f>IFERROR(CONCATENATE(VLOOKUP(L919,PARAM!D:E,2,0),VLOOKUP(M919,PARAM!J:K,2,0),VLOOKUP(N919,PARAM!G:H,2,0),VLOOKUP(O919,PARAM!M:N,2,0),VLOOKUP(P919,PARAM!P:Q,2,0)),"")</f>
        <v/>
      </c>
      <c r="T919" s="18">
        <f t="shared" si="4"/>
        <v>0</v>
      </c>
      <c r="U919" s="18" t="str">
        <f t="shared" si="5"/>
        <v>   </v>
      </c>
    </row>
    <row r="920">
      <c r="A920" s="1"/>
      <c r="B920" s="1"/>
      <c r="C920" s="1"/>
      <c r="D920" s="1"/>
      <c r="E920" s="2"/>
      <c r="F920" s="1"/>
      <c r="G920" s="65">
        <f t="shared" si="7"/>
        <v>0</v>
      </c>
      <c r="H920" s="1"/>
      <c r="I920" s="1"/>
      <c r="J920" s="1"/>
      <c r="K920" s="18"/>
      <c r="L920" s="18"/>
      <c r="M920" s="18"/>
      <c r="N920" s="18"/>
      <c r="O920" s="18"/>
      <c r="P920" s="67" t="s">
        <v>503</v>
      </c>
      <c r="Q920" s="18" t="s">
        <v>476</v>
      </c>
      <c r="R920" s="68" t="str">
        <f>IFERROR(CONCATENATE("*",VLOOKUP(L920,PARAM!D:E,2,0),VLOOKUP(M920,PARAM!J:K,2,0),VLOOKUP(N920,PARAM!G:H,2,0),VLOOKUP(P920,PARAM!P:Q,2,0),"*"),"")</f>
        <v/>
      </c>
      <c r="S920" s="18" t="str">
        <f>IFERROR(CONCATENATE(VLOOKUP(L920,PARAM!D:E,2,0),VLOOKUP(M920,PARAM!J:K,2,0),VLOOKUP(N920,PARAM!G:H,2,0),VLOOKUP(O920,PARAM!M:N,2,0),VLOOKUP(P920,PARAM!P:Q,2,0)),"")</f>
        <v/>
      </c>
      <c r="T920" s="18">
        <f t="shared" si="4"/>
        <v>0</v>
      </c>
      <c r="U920" s="18" t="str">
        <f t="shared" si="5"/>
        <v>   </v>
      </c>
    </row>
    <row r="921">
      <c r="A921" s="1"/>
      <c r="B921" s="1"/>
      <c r="C921" s="1"/>
      <c r="D921" s="1"/>
      <c r="E921" s="2"/>
      <c r="F921" s="1"/>
      <c r="G921" s="65">
        <f t="shared" si="7"/>
        <v>0</v>
      </c>
      <c r="H921" s="1"/>
      <c r="I921" s="1"/>
      <c r="J921" s="1"/>
      <c r="K921" s="18"/>
      <c r="L921" s="18"/>
      <c r="M921" s="18"/>
      <c r="N921" s="18"/>
      <c r="O921" s="18"/>
      <c r="P921" s="67" t="s">
        <v>503</v>
      </c>
      <c r="Q921" s="18" t="s">
        <v>476</v>
      </c>
      <c r="R921" s="68" t="str">
        <f>IFERROR(CONCATENATE("*",VLOOKUP(L921,PARAM!D:E,2,0),VLOOKUP(M921,PARAM!J:K,2,0),VLOOKUP(N921,PARAM!G:H,2,0),VLOOKUP(P921,PARAM!P:Q,2,0),"*"),"")</f>
        <v/>
      </c>
      <c r="S921" s="18" t="str">
        <f>IFERROR(CONCATENATE(VLOOKUP(L921,PARAM!D:E,2,0),VLOOKUP(M921,PARAM!J:K,2,0),VLOOKUP(N921,PARAM!G:H,2,0),VLOOKUP(O921,PARAM!M:N,2,0),VLOOKUP(P921,PARAM!P:Q,2,0)),"")</f>
        <v/>
      </c>
      <c r="T921" s="18">
        <f t="shared" si="4"/>
        <v>0</v>
      </c>
      <c r="U921" s="18" t="str">
        <f t="shared" si="5"/>
        <v>   </v>
      </c>
    </row>
    <row r="922">
      <c r="A922" s="1"/>
      <c r="B922" s="1"/>
      <c r="C922" s="1"/>
      <c r="D922" s="1"/>
      <c r="E922" s="2"/>
      <c r="F922" s="1"/>
      <c r="G922" s="65">
        <f t="shared" si="7"/>
        <v>0</v>
      </c>
      <c r="H922" s="1"/>
      <c r="I922" s="1"/>
      <c r="J922" s="1"/>
      <c r="K922" s="18"/>
      <c r="L922" s="18"/>
      <c r="M922" s="18"/>
      <c r="N922" s="18"/>
      <c r="O922" s="18"/>
      <c r="P922" s="67" t="s">
        <v>503</v>
      </c>
      <c r="Q922" s="18" t="s">
        <v>476</v>
      </c>
      <c r="R922" s="68" t="str">
        <f>IFERROR(CONCATENATE("*",VLOOKUP(L922,PARAM!D:E,2,0),VLOOKUP(M922,PARAM!J:K,2,0),VLOOKUP(N922,PARAM!G:H,2,0),VLOOKUP(P922,PARAM!P:Q,2,0),"*"),"")</f>
        <v/>
      </c>
      <c r="S922" s="18" t="str">
        <f>IFERROR(CONCATENATE(VLOOKUP(L922,PARAM!D:E,2,0),VLOOKUP(M922,PARAM!J:K,2,0),VLOOKUP(N922,PARAM!G:H,2,0),VLOOKUP(O922,PARAM!M:N,2,0),VLOOKUP(P922,PARAM!P:Q,2,0)),"")</f>
        <v/>
      </c>
      <c r="T922" s="18">
        <f t="shared" si="4"/>
        <v>0</v>
      </c>
      <c r="U922" s="18" t="str">
        <f t="shared" si="5"/>
        <v>   </v>
      </c>
    </row>
    <row r="923">
      <c r="A923" s="1"/>
      <c r="B923" s="1"/>
      <c r="C923" s="1"/>
      <c r="D923" s="1"/>
      <c r="E923" s="2"/>
      <c r="F923" s="1"/>
      <c r="G923" s="65">
        <f t="shared" si="7"/>
        <v>0</v>
      </c>
      <c r="H923" s="1"/>
      <c r="I923" s="1"/>
      <c r="J923" s="1"/>
      <c r="K923" s="18"/>
      <c r="L923" s="18"/>
      <c r="M923" s="18"/>
      <c r="N923" s="18"/>
      <c r="O923" s="18"/>
      <c r="P923" s="67" t="s">
        <v>503</v>
      </c>
      <c r="Q923" s="18" t="s">
        <v>476</v>
      </c>
      <c r="R923" s="68" t="str">
        <f>IFERROR(CONCATENATE("*",VLOOKUP(L923,PARAM!D:E,2,0),VLOOKUP(M923,PARAM!J:K,2,0),VLOOKUP(N923,PARAM!G:H,2,0),VLOOKUP(P923,PARAM!P:Q,2,0),"*"),"")</f>
        <v/>
      </c>
      <c r="S923" s="18" t="str">
        <f>IFERROR(CONCATENATE(VLOOKUP(L923,PARAM!D:E,2,0),VLOOKUP(M923,PARAM!J:K,2,0),VLOOKUP(N923,PARAM!G:H,2,0),VLOOKUP(O923,PARAM!M:N,2,0),VLOOKUP(P923,PARAM!P:Q,2,0)),"")</f>
        <v/>
      </c>
      <c r="T923" s="18">
        <f t="shared" si="4"/>
        <v>0</v>
      </c>
      <c r="U923" s="18" t="str">
        <f t="shared" si="5"/>
        <v>   </v>
      </c>
    </row>
    <row r="924">
      <c r="A924" s="1"/>
      <c r="B924" s="1"/>
      <c r="C924" s="1"/>
      <c r="D924" s="1"/>
      <c r="E924" s="2"/>
      <c r="F924" s="1"/>
      <c r="G924" s="65">
        <f t="shared" si="7"/>
        <v>0</v>
      </c>
      <c r="H924" s="1"/>
      <c r="I924" s="1"/>
      <c r="J924" s="1"/>
      <c r="K924" s="18"/>
      <c r="L924" s="18"/>
      <c r="M924" s="18"/>
      <c r="N924" s="18"/>
      <c r="O924" s="18"/>
      <c r="P924" s="67" t="s">
        <v>503</v>
      </c>
      <c r="Q924" s="18" t="s">
        <v>476</v>
      </c>
      <c r="R924" s="68" t="str">
        <f>IFERROR(CONCATENATE("*",VLOOKUP(L924,PARAM!D:E,2,0),VLOOKUP(M924,PARAM!J:K,2,0),VLOOKUP(N924,PARAM!G:H,2,0),VLOOKUP(P924,PARAM!P:Q,2,0),"*"),"")</f>
        <v/>
      </c>
      <c r="S924" s="18" t="str">
        <f>IFERROR(CONCATENATE(VLOOKUP(L924,PARAM!D:E,2,0),VLOOKUP(M924,PARAM!J:K,2,0),VLOOKUP(N924,PARAM!G:H,2,0),VLOOKUP(O924,PARAM!M:N,2,0),VLOOKUP(P924,PARAM!P:Q,2,0)),"")</f>
        <v/>
      </c>
      <c r="T924" s="18">
        <f t="shared" si="4"/>
        <v>0</v>
      </c>
      <c r="U924" s="18" t="str">
        <f t="shared" si="5"/>
        <v>   </v>
      </c>
    </row>
    <row r="925">
      <c r="A925" s="1"/>
      <c r="B925" s="1"/>
      <c r="C925" s="1"/>
      <c r="D925" s="1"/>
      <c r="E925" s="2"/>
      <c r="F925" s="1"/>
      <c r="G925" s="65">
        <f t="shared" si="7"/>
        <v>0</v>
      </c>
      <c r="H925" s="1"/>
      <c r="I925" s="1"/>
      <c r="J925" s="1"/>
      <c r="K925" s="18"/>
      <c r="L925" s="18"/>
      <c r="M925" s="18"/>
      <c r="N925" s="18"/>
      <c r="O925" s="18"/>
      <c r="P925" s="67" t="s">
        <v>503</v>
      </c>
      <c r="Q925" s="18" t="s">
        <v>476</v>
      </c>
      <c r="R925" s="68" t="str">
        <f>IFERROR(CONCATENATE("*",VLOOKUP(L925,PARAM!D:E,2,0),VLOOKUP(M925,PARAM!J:K,2,0),VLOOKUP(N925,PARAM!G:H,2,0),VLOOKUP(P925,PARAM!P:Q,2,0),"*"),"")</f>
        <v/>
      </c>
      <c r="S925" s="18" t="str">
        <f>IFERROR(CONCATENATE(VLOOKUP(L925,PARAM!D:E,2,0),VLOOKUP(M925,PARAM!J:K,2,0),VLOOKUP(N925,PARAM!G:H,2,0),VLOOKUP(O925,PARAM!M:N,2,0),VLOOKUP(P925,PARAM!P:Q,2,0)),"")</f>
        <v/>
      </c>
      <c r="T925" s="18">
        <f t="shared" si="4"/>
        <v>0</v>
      </c>
      <c r="U925" s="18" t="str">
        <f t="shared" si="5"/>
        <v>   </v>
      </c>
    </row>
    <row r="926">
      <c r="A926" s="1"/>
      <c r="B926" s="1"/>
      <c r="C926" s="1"/>
      <c r="D926" s="1"/>
      <c r="E926" s="2"/>
      <c r="F926" s="1"/>
      <c r="G926" s="65">
        <f t="shared" si="7"/>
        <v>0</v>
      </c>
      <c r="H926" s="1"/>
      <c r="I926" s="1"/>
      <c r="J926" s="1"/>
      <c r="K926" s="18"/>
      <c r="L926" s="18"/>
      <c r="M926" s="18"/>
      <c r="N926" s="18"/>
      <c r="O926" s="18"/>
      <c r="P926" s="67" t="s">
        <v>503</v>
      </c>
      <c r="Q926" s="18" t="s">
        <v>476</v>
      </c>
      <c r="R926" s="68" t="str">
        <f>IFERROR(CONCATENATE("*",VLOOKUP(L926,PARAM!D:E,2,0),VLOOKUP(M926,PARAM!J:K,2,0),VLOOKUP(N926,PARAM!G:H,2,0),VLOOKUP(P926,PARAM!P:Q,2,0),"*"),"")</f>
        <v/>
      </c>
      <c r="S926" s="18" t="str">
        <f>IFERROR(CONCATENATE(VLOOKUP(L926,PARAM!D:E,2,0),VLOOKUP(M926,PARAM!J:K,2,0),VLOOKUP(N926,PARAM!G:H,2,0),VLOOKUP(O926,PARAM!M:N,2,0),VLOOKUP(P926,PARAM!P:Q,2,0)),"")</f>
        <v/>
      </c>
      <c r="T926" s="18">
        <f t="shared" si="4"/>
        <v>0</v>
      </c>
      <c r="U926" s="18" t="str">
        <f t="shared" si="5"/>
        <v>   </v>
      </c>
    </row>
    <row r="927">
      <c r="A927" s="1"/>
      <c r="B927" s="1"/>
      <c r="C927" s="1"/>
      <c r="D927" s="1"/>
      <c r="E927" s="2"/>
      <c r="F927" s="1"/>
      <c r="G927" s="65">
        <f t="shared" si="7"/>
        <v>0</v>
      </c>
      <c r="H927" s="1"/>
      <c r="I927" s="1"/>
      <c r="J927" s="1"/>
      <c r="K927" s="18"/>
      <c r="L927" s="18"/>
      <c r="M927" s="18"/>
      <c r="N927" s="18"/>
      <c r="O927" s="18"/>
      <c r="P927" s="67" t="s">
        <v>503</v>
      </c>
      <c r="Q927" s="18" t="s">
        <v>476</v>
      </c>
      <c r="R927" s="68" t="str">
        <f>IFERROR(CONCATENATE("*",VLOOKUP(L927,PARAM!D:E,2,0),VLOOKUP(M927,PARAM!J:K,2,0),VLOOKUP(N927,PARAM!G:H,2,0),VLOOKUP(P927,PARAM!P:Q,2,0),"*"),"")</f>
        <v/>
      </c>
      <c r="S927" s="18" t="str">
        <f>IFERROR(CONCATENATE(VLOOKUP(L927,PARAM!D:E,2,0),VLOOKUP(M927,PARAM!J:K,2,0),VLOOKUP(N927,PARAM!G:H,2,0),VLOOKUP(O927,PARAM!M:N,2,0),VLOOKUP(P927,PARAM!P:Q,2,0)),"")</f>
        <v/>
      </c>
      <c r="T927" s="18">
        <f t="shared" si="4"/>
        <v>0</v>
      </c>
      <c r="U927" s="18" t="str">
        <f t="shared" si="5"/>
        <v>   </v>
      </c>
    </row>
    <row r="928">
      <c r="A928" s="1"/>
      <c r="B928" s="1"/>
      <c r="C928" s="1"/>
      <c r="D928" s="1"/>
      <c r="E928" s="2"/>
      <c r="F928" s="1"/>
      <c r="G928" s="65">
        <f t="shared" si="7"/>
        <v>0</v>
      </c>
      <c r="H928" s="1"/>
      <c r="I928" s="1"/>
      <c r="J928" s="1"/>
      <c r="K928" s="18"/>
      <c r="L928" s="18"/>
      <c r="M928" s="18"/>
      <c r="N928" s="18"/>
      <c r="O928" s="18"/>
      <c r="P928" s="67" t="s">
        <v>503</v>
      </c>
      <c r="Q928" s="18" t="s">
        <v>476</v>
      </c>
      <c r="R928" s="68" t="str">
        <f>IFERROR(CONCATENATE("*",VLOOKUP(L928,PARAM!D:E,2,0),VLOOKUP(M928,PARAM!J:K,2,0),VLOOKUP(N928,PARAM!G:H,2,0),VLOOKUP(P928,PARAM!P:Q,2,0),"*"),"")</f>
        <v/>
      </c>
      <c r="S928" s="18" t="str">
        <f>IFERROR(CONCATENATE(VLOOKUP(L928,PARAM!D:E,2,0),VLOOKUP(M928,PARAM!J:K,2,0),VLOOKUP(N928,PARAM!G:H,2,0),VLOOKUP(O928,PARAM!M:N,2,0),VLOOKUP(P928,PARAM!P:Q,2,0)),"")</f>
        <v/>
      </c>
      <c r="T928" s="18">
        <f t="shared" si="4"/>
        <v>0</v>
      </c>
      <c r="U928" s="18" t="str">
        <f t="shared" si="5"/>
        <v>   </v>
      </c>
    </row>
    <row r="929">
      <c r="A929" s="1"/>
      <c r="B929" s="1"/>
      <c r="C929" s="1"/>
      <c r="D929" s="1"/>
      <c r="E929" s="2"/>
      <c r="F929" s="1"/>
      <c r="G929" s="65">
        <f t="shared" si="7"/>
        <v>0</v>
      </c>
      <c r="H929" s="1"/>
      <c r="I929" s="1"/>
      <c r="J929" s="1"/>
      <c r="K929" s="18"/>
      <c r="L929" s="18"/>
      <c r="M929" s="18"/>
      <c r="N929" s="18"/>
      <c r="O929" s="18"/>
      <c r="P929" s="67" t="s">
        <v>503</v>
      </c>
      <c r="Q929" s="18" t="s">
        <v>476</v>
      </c>
      <c r="R929" s="68" t="str">
        <f>IFERROR(CONCATENATE("*",VLOOKUP(L929,PARAM!D:E,2,0),VLOOKUP(M929,PARAM!J:K,2,0),VLOOKUP(N929,PARAM!G:H,2,0),VLOOKUP(P929,PARAM!P:Q,2,0),"*"),"")</f>
        <v/>
      </c>
      <c r="S929" s="18" t="str">
        <f>IFERROR(CONCATENATE(VLOOKUP(L929,PARAM!D:E,2,0),VLOOKUP(M929,PARAM!J:K,2,0),VLOOKUP(N929,PARAM!G:H,2,0),VLOOKUP(O929,PARAM!M:N,2,0),VLOOKUP(P929,PARAM!P:Q,2,0)),"")</f>
        <v/>
      </c>
      <c r="T929" s="18">
        <f t="shared" si="4"/>
        <v>0</v>
      </c>
      <c r="U929" s="18" t="str">
        <f t="shared" si="5"/>
        <v>   </v>
      </c>
    </row>
    <row r="930">
      <c r="A930" s="1"/>
      <c r="B930" s="1"/>
      <c r="C930" s="1"/>
      <c r="D930" s="1"/>
      <c r="E930" s="2"/>
      <c r="F930" s="1"/>
      <c r="G930" s="65">
        <f t="shared" si="7"/>
        <v>0</v>
      </c>
      <c r="H930" s="1"/>
      <c r="I930" s="1"/>
      <c r="J930" s="1"/>
      <c r="K930" s="18"/>
      <c r="L930" s="18"/>
      <c r="M930" s="18"/>
      <c r="N930" s="18"/>
      <c r="O930" s="18"/>
      <c r="P930" s="67" t="s">
        <v>503</v>
      </c>
      <c r="Q930" s="18" t="s">
        <v>476</v>
      </c>
      <c r="R930" s="68" t="str">
        <f>IFERROR(CONCATENATE("*",VLOOKUP(L930,PARAM!D:E,2,0),VLOOKUP(M930,PARAM!J:K,2,0),VLOOKUP(N930,PARAM!G:H,2,0),VLOOKUP(P930,PARAM!P:Q,2,0),"*"),"")</f>
        <v/>
      </c>
      <c r="S930" s="18" t="str">
        <f>IFERROR(CONCATENATE(VLOOKUP(L930,PARAM!D:E,2,0),VLOOKUP(M930,PARAM!J:K,2,0),VLOOKUP(N930,PARAM!G:H,2,0),VLOOKUP(O930,PARAM!M:N,2,0),VLOOKUP(P930,PARAM!P:Q,2,0)),"")</f>
        <v/>
      </c>
      <c r="T930" s="18">
        <f t="shared" si="4"/>
        <v>0</v>
      </c>
      <c r="U930" s="18" t="str">
        <f t="shared" si="5"/>
        <v>   </v>
      </c>
    </row>
    <row r="931">
      <c r="A931" s="1"/>
      <c r="B931" s="1"/>
      <c r="C931" s="1"/>
      <c r="D931" s="1"/>
      <c r="E931" s="2"/>
      <c r="F931" s="1"/>
      <c r="G931" s="65">
        <f t="shared" si="7"/>
        <v>0</v>
      </c>
      <c r="H931" s="1"/>
      <c r="I931" s="1"/>
      <c r="J931" s="1"/>
      <c r="K931" s="18"/>
      <c r="L931" s="18"/>
      <c r="M931" s="18"/>
      <c r="N931" s="18"/>
      <c r="O931" s="18"/>
      <c r="P931" s="67" t="s">
        <v>503</v>
      </c>
      <c r="Q931" s="18" t="s">
        <v>476</v>
      </c>
      <c r="R931" s="68" t="str">
        <f>IFERROR(CONCATENATE("*",VLOOKUP(L931,PARAM!D:E,2,0),VLOOKUP(M931,PARAM!J:K,2,0),VLOOKUP(N931,PARAM!G:H,2,0),VLOOKUP(P931,PARAM!P:Q,2,0),"*"),"")</f>
        <v/>
      </c>
      <c r="S931" s="18" t="str">
        <f>IFERROR(CONCATENATE(VLOOKUP(L931,PARAM!D:E,2,0),VLOOKUP(M931,PARAM!J:K,2,0),VLOOKUP(N931,PARAM!G:H,2,0),VLOOKUP(O931,PARAM!M:N,2,0),VLOOKUP(P931,PARAM!P:Q,2,0)),"")</f>
        <v/>
      </c>
      <c r="T931" s="18">
        <f t="shared" si="4"/>
        <v>0</v>
      </c>
      <c r="U931" s="18" t="str">
        <f t="shared" si="5"/>
        <v>   </v>
      </c>
    </row>
    <row r="932">
      <c r="A932" s="1"/>
      <c r="B932" s="1"/>
      <c r="C932" s="1"/>
      <c r="D932" s="1"/>
      <c r="E932" s="2"/>
      <c r="F932" s="1"/>
      <c r="G932" s="65">
        <f t="shared" si="7"/>
        <v>0</v>
      </c>
      <c r="H932" s="1"/>
      <c r="I932" s="1"/>
      <c r="J932" s="1"/>
      <c r="K932" s="18"/>
      <c r="L932" s="18"/>
      <c r="M932" s="18"/>
      <c r="N932" s="18"/>
      <c r="O932" s="18"/>
      <c r="P932" s="67" t="s">
        <v>503</v>
      </c>
      <c r="Q932" s="18" t="s">
        <v>476</v>
      </c>
      <c r="R932" s="68" t="str">
        <f>IFERROR(CONCATENATE("*",VLOOKUP(L932,PARAM!D:E,2,0),VLOOKUP(M932,PARAM!J:K,2,0),VLOOKUP(N932,PARAM!G:H,2,0),VLOOKUP(P932,PARAM!P:Q,2,0),"*"),"")</f>
        <v/>
      </c>
      <c r="S932" s="18" t="str">
        <f>IFERROR(CONCATENATE(VLOOKUP(L932,PARAM!D:E,2,0),VLOOKUP(M932,PARAM!J:K,2,0),VLOOKUP(N932,PARAM!G:H,2,0),VLOOKUP(O932,PARAM!M:N,2,0),VLOOKUP(P932,PARAM!P:Q,2,0)),"")</f>
        <v/>
      </c>
      <c r="T932" s="18">
        <f t="shared" si="4"/>
        <v>0</v>
      </c>
      <c r="U932" s="18" t="str">
        <f t="shared" si="5"/>
        <v>   </v>
      </c>
    </row>
    <row r="933">
      <c r="A933" s="1"/>
      <c r="B933" s="1"/>
      <c r="C933" s="1"/>
      <c r="D933" s="1"/>
      <c r="E933" s="2"/>
      <c r="F933" s="1"/>
      <c r="G933" s="65">
        <f t="shared" si="7"/>
        <v>0</v>
      </c>
      <c r="H933" s="1"/>
      <c r="I933" s="1"/>
      <c r="J933" s="1"/>
      <c r="K933" s="18"/>
      <c r="L933" s="18"/>
      <c r="M933" s="18"/>
      <c r="N933" s="18"/>
      <c r="O933" s="18"/>
      <c r="P933" s="67" t="s">
        <v>503</v>
      </c>
      <c r="Q933" s="18" t="s">
        <v>476</v>
      </c>
      <c r="R933" s="68" t="str">
        <f>IFERROR(CONCATENATE("*",VLOOKUP(L933,PARAM!D:E,2,0),VLOOKUP(M933,PARAM!J:K,2,0),VLOOKUP(N933,PARAM!G:H,2,0),VLOOKUP(P933,PARAM!P:Q,2,0),"*"),"")</f>
        <v/>
      </c>
      <c r="S933" s="18" t="str">
        <f>IFERROR(CONCATENATE(VLOOKUP(L933,PARAM!D:E,2,0),VLOOKUP(M933,PARAM!J:K,2,0),VLOOKUP(N933,PARAM!G:H,2,0),VLOOKUP(O933,PARAM!M:N,2,0),VLOOKUP(P933,PARAM!P:Q,2,0)),"")</f>
        <v/>
      </c>
      <c r="T933" s="18">
        <f t="shared" si="4"/>
        <v>0</v>
      </c>
      <c r="U933" s="18" t="str">
        <f t="shared" si="5"/>
        <v>   </v>
      </c>
    </row>
    <row r="934">
      <c r="A934" s="1"/>
      <c r="B934" s="1"/>
      <c r="C934" s="1"/>
      <c r="D934" s="1"/>
      <c r="E934" s="2"/>
      <c r="F934" s="1"/>
      <c r="G934" s="65">
        <f t="shared" si="7"/>
        <v>0</v>
      </c>
      <c r="H934" s="1"/>
      <c r="I934" s="1"/>
      <c r="J934" s="1"/>
      <c r="K934" s="18"/>
      <c r="L934" s="18"/>
      <c r="M934" s="18"/>
      <c r="N934" s="18"/>
      <c r="O934" s="18"/>
      <c r="P934" s="67" t="s">
        <v>503</v>
      </c>
      <c r="Q934" s="18" t="s">
        <v>476</v>
      </c>
      <c r="R934" s="68" t="str">
        <f>IFERROR(CONCATENATE("*",VLOOKUP(L934,PARAM!D:E,2,0),VLOOKUP(M934,PARAM!J:K,2,0),VLOOKUP(N934,PARAM!G:H,2,0),VLOOKUP(P934,PARAM!P:Q,2,0),"*"),"")</f>
        <v/>
      </c>
      <c r="S934" s="18" t="str">
        <f>IFERROR(CONCATENATE(VLOOKUP(L934,PARAM!D:E,2,0),VLOOKUP(M934,PARAM!J:K,2,0),VLOOKUP(N934,PARAM!G:H,2,0),VLOOKUP(O934,PARAM!M:N,2,0),VLOOKUP(P934,PARAM!P:Q,2,0)),"")</f>
        <v/>
      </c>
      <c r="T934" s="18">
        <f t="shared" si="4"/>
        <v>0</v>
      </c>
      <c r="U934" s="18" t="str">
        <f t="shared" si="5"/>
        <v>   </v>
      </c>
    </row>
    <row r="935">
      <c r="A935" s="1"/>
      <c r="B935" s="1"/>
      <c r="C935" s="1"/>
      <c r="D935" s="1"/>
      <c r="E935" s="2"/>
      <c r="F935" s="1"/>
      <c r="G935" s="65">
        <f t="shared" si="7"/>
        <v>0</v>
      </c>
      <c r="H935" s="1"/>
      <c r="I935" s="1"/>
      <c r="J935" s="1"/>
      <c r="K935" s="18"/>
      <c r="L935" s="18"/>
      <c r="M935" s="18"/>
      <c r="N935" s="18"/>
      <c r="O935" s="18"/>
      <c r="P935" s="67" t="s">
        <v>503</v>
      </c>
      <c r="Q935" s="18" t="s">
        <v>476</v>
      </c>
      <c r="R935" s="68" t="str">
        <f>IFERROR(CONCATENATE("*",VLOOKUP(L935,PARAM!D:E,2,0),VLOOKUP(M935,PARAM!J:K,2,0),VLOOKUP(N935,PARAM!G:H,2,0),VLOOKUP(P935,PARAM!P:Q,2,0),"*"),"")</f>
        <v/>
      </c>
      <c r="S935" s="18" t="str">
        <f>IFERROR(CONCATENATE(VLOOKUP(L935,PARAM!D:E,2,0),VLOOKUP(M935,PARAM!J:K,2,0),VLOOKUP(N935,PARAM!G:H,2,0),VLOOKUP(O935,PARAM!M:N,2,0),VLOOKUP(P935,PARAM!P:Q,2,0)),"")</f>
        <v/>
      </c>
      <c r="T935" s="18">
        <f t="shared" si="4"/>
        <v>0</v>
      </c>
      <c r="U935" s="18" t="str">
        <f t="shared" si="5"/>
        <v>   </v>
      </c>
    </row>
    <row r="936">
      <c r="A936" s="1"/>
      <c r="B936" s="1"/>
      <c r="C936" s="1"/>
      <c r="D936" s="1"/>
      <c r="E936" s="2"/>
      <c r="F936" s="1"/>
      <c r="G936" s="65">
        <f t="shared" si="7"/>
        <v>0</v>
      </c>
      <c r="H936" s="1"/>
      <c r="I936" s="1"/>
      <c r="J936" s="1"/>
      <c r="K936" s="18"/>
      <c r="L936" s="18"/>
      <c r="M936" s="18"/>
      <c r="N936" s="18"/>
      <c r="O936" s="18"/>
      <c r="P936" s="67" t="s">
        <v>503</v>
      </c>
      <c r="Q936" s="18" t="s">
        <v>476</v>
      </c>
      <c r="R936" s="68" t="str">
        <f>IFERROR(CONCATENATE("*",VLOOKUP(L936,PARAM!D:E,2,0),VLOOKUP(M936,PARAM!J:K,2,0),VLOOKUP(N936,PARAM!G:H,2,0),VLOOKUP(P936,PARAM!P:Q,2,0),"*"),"")</f>
        <v/>
      </c>
      <c r="S936" s="18" t="str">
        <f>IFERROR(CONCATENATE(VLOOKUP(L936,PARAM!D:E,2,0),VLOOKUP(M936,PARAM!J:K,2,0),VLOOKUP(N936,PARAM!G:H,2,0),VLOOKUP(O936,PARAM!M:N,2,0),VLOOKUP(P936,PARAM!P:Q,2,0)),"")</f>
        <v/>
      </c>
      <c r="T936" s="18">
        <f t="shared" si="4"/>
        <v>0</v>
      </c>
      <c r="U936" s="18" t="str">
        <f t="shared" si="5"/>
        <v>   </v>
      </c>
    </row>
    <row r="937">
      <c r="A937" s="1"/>
      <c r="B937" s="1"/>
      <c r="C937" s="1"/>
      <c r="D937" s="1"/>
      <c r="E937" s="2"/>
      <c r="F937" s="1"/>
      <c r="G937" s="65">
        <f t="shared" si="7"/>
        <v>0</v>
      </c>
      <c r="H937" s="1"/>
      <c r="I937" s="1"/>
      <c r="J937" s="1"/>
      <c r="K937" s="18"/>
      <c r="L937" s="18"/>
      <c r="M937" s="18"/>
      <c r="N937" s="18"/>
      <c r="O937" s="18"/>
      <c r="P937" s="67" t="s">
        <v>503</v>
      </c>
      <c r="Q937" s="18" t="s">
        <v>476</v>
      </c>
      <c r="R937" s="68" t="str">
        <f>IFERROR(CONCATENATE("*",VLOOKUP(L937,PARAM!D:E,2,0),VLOOKUP(M937,PARAM!J:K,2,0),VLOOKUP(N937,PARAM!G:H,2,0),VLOOKUP(P937,PARAM!P:Q,2,0),"*"),"")</f>
        <v/>
      </c>
      <c r="S937" s="18" t="str">
        <f>IFERROR(CONCATENATE(VLOOKUP(L937,PARAM!D:E,2,0),VLOOKUP(M937,PARAM!J:K,2,0),VLOOKUP(N937,PARAM!G:H,2,0),VLOOKUP(O937,PARAM!M:N,2,0),VLOOKUP(P937,PARAM!P:Q,2,0)),"")</f>
        <v/>
      </c>
      <c r="T937" s="18">
        <f t="shared" si="4"/>
        <v>0</v>
      </c>
      <c r="U937" s="18" t="str">
        <f t="shared" si="5"/>
        <v>   </v>
      </c>
    </row>
    <row r="938">
      <c r="A938" s="1"/>
      <c r="B938" s="1"/>
      <c r="C938" s="1"/>
      <c r="D938" s="1"/>
      <c r="E938" s="2"/>
      <c r="F938" s="1"/>
      <c r="G938" s="65">
        <f t="shared" si="7"/>
        <v>0</v>
      </c>
      <c r="H938" s="1"/>
      <c r="I938" s="1"/>
      <c r="J938" s="1"/>
      <c r="K938" s="18"/>
      <c r="L938" s="18"/>
      <c r="M938" s="18"/>
      <c r="N938" s="18"/>
      <c r="O938" s="18"/>
      <c r="P938" s="67" t="s">
        <v>503</v>
      </c>
      <c r="Q938" s="18" t="s">
        <v>476</v>
      </c>
      <c r="R938" s="68" t="str">
        <f>IFERROR(CONCATENATE("*",VLOOKUP(L938,PARAM!D:E,2,0),VLOOKUP(M938,PARAM!J:K,2,0),VLOOKUP(N938,PARAM!G:H,2,0),VLOOKUP(P938,PARAM!P:Q,2,0),"*"),"")</f>
        <v/>
      </c>
      <c r="S938" s="18" t="str">
        <f>IFERROR(CONCATENATE(VLOOKUP(L938,PARAM!D:E,2,0),VLOOKUP(M938,PARAM!J:K,2,0),VLOOKUP(N938,PARAM!G:H,2,0),VLOOKUP(O938,PARAM!M:N,2,0),VLOOKUP(P938,PARAM!P:Q,2,0)),"")</f>
        <v/>
      </c>
      <c r="T938" s="18">
        <f t="shared" si="4"/>
        <v>0</v>
      </c>
      <c r="U938" s="18" t="str">
        <f t="shared" si="5"/>
        <v>   </v>
      </c>
    </row>
    <row r="939">
      <c r="A939" s="1"/>
      <c r="B939" s="1"/>
      <c r="C939" s="1"/>
      <c r="D939" s="1"/>
      <c r="E939" s="2"/>
      <c r="F939" s="1"/>
      <c r="G939" s="65">
        <f t="shared" si="7"/>
        <v>0</v>
      </c>
      <c r="H939" s="1"/>
      <c r="I939" s="1"/>
      <c r="J939" s="1"/>
      <c r="K939" s="18"/>
      <c r="L939" s="18"/>
      <c r="M939" s="18"/>
      <c r="N939" s="18"/>
      <c r="O939" s="18"/>
      <c r="P939" s="67" t="s">
        <v>503</v>
      </c>
      <c r="Q939" s="18" t="s">
        <v>476</v>
      </c>
      <c r="R939" s="68" t="str">
        <f>IFERROR(CONCATENATE("*",VLOOKUP(L939,PARAM!D:E,2,0),VLOOKUP(M939,PARAM!J:K,2,0),VLOOKUP(N939,PARAM!G:H,2,0),VLOOKUP(P939,PARAM!P:Q,2,0),"*"),"")</f>
        <v/>
      </c>
      <c r="S939" s="18" t="str">
        <f>IFERROR(CONCATENATE(VLOOKUP(L939,PARAM!D:E,2,0),VLOOKUP(M939,PARAM!J:K,2,0),VLOOKUP(N939,PARAM!G:H,2,0),VLOOKUP(O939,PARAM!M:N,2,0),VLOOKUP(P939,PARAM!P:Q,2,0)),"")</f>
        <v/>
      </c>
      <c r="T939" s="18">
        <f t="shared" si="4"/>
        <v>0</v>
      </c>
      <c r="U939" s="18" t="str">
        <f t="shared" si="5"/>
        <v>   </v>
      </c>
    </row>
    <row r="940">
      <c r="A940" s="1"/>
      <c r="B940" s="1"/>
      <c r="C940" s="1"/>
      <c r="D940" s="1"/>
      <c r="E940" s="2"/>
      <c r="F940" s="1"/>
      <c r="G940" s="65">
        <f t="shared" si="7"/>
        <v>0</v>
      </c>
      <c r="H940" s="1"/>
      <c r="I940" s="1"/>
      <c r="J940" s="1"/>
      <c r="K940" s="18"/>
      <c r="L940" s="18"/>
      <c r="M940" s="18"/>
      <c r="N940" s="18"/>
      <c r="O940" s="18"/>
      <c r="P940" s="67" t="s">
        <v>503</v>
      </c>
      <c r="Q940" s="18" t="s">
        <v>476</v>
      </c>
      <c r="R940" s="68" t="str">
        <f>IFERROR(CONCATENATE("*",VLOOKUP(L940,PARAM!D:E,2,0),VLOOKUP(M940,PARAM!J:K,2,0),VLOOKUP(N940,PARAM!G:H,2,0),VLOOKUP(P940,PARAM!P:Q,2,0),"*"),"")</f>
        <v/>
      </c>
      <c r="S940" s="18" t="str">
        <f>IFERROR(CONCATENATE(VLOOKUP(L940,PARAM!D:E,2,0),VLOOKUP(M940,PARAM!J:K,2,0),VLOOKUP(N940,PARAM!G:H,2,0),VLOOKUP(O940,PARAM!M:N,2,0),VLOOKUP(P940,PARAM!P:Q,2,0)),"")</f>
        <v/>
      </c>
      <c r="T940" s="18">
        <f t="shared" si="4"/>
        <v>0</v>
      </c>
      <c r="U940" s="18" t="str">
        <f t="shared" si="5"/>
        <v>   </v>
      </c>
    </row>
    <row r="941">
      <c r="A941" s="1"/>
      <c r="B941" s="1"/>
      <c r="C941" s="1"/>
      <c r="D941" s="1"/>
      <c r="E941" s="2"/>
      <c r="F941" s="1"/>
      <c r="G941" s="65">
        <f t="shared" si="7"/>
        <v>0</v>
      </c>
      <c r="H941" s="1"/>
      <c r="I941" s="1"/>
      <c r="J941" s="1"/>
      <c r="K941" s="18"/>
      <c r="L941" s="18"/>
      <c r="M941" s="18"/>
      <c r="N941" s="18"/>
      <c r="O941" s="18"/>
      <c r="P941" s="67" t="s">
        <v>503</v>
      </c>
      <c r="Q941" s="18" t="s">
        <v>476</v>
      </c>
      <c r="R941" s="68" t="str">
        <f>IFERROR(CONCATENATE("*",VLOOKUP(L941,PARAM!D:E,2,0),VLOOKUP(M941,PARAM!J:K,2,0),VLOOKUP(N941,PARAM!G:H,2,0),VLOOKUP(P941,PARAM!P:Q,2,0),"*"),"")</f>
        <v/>
      </c>
      <c r="S941" s="18" t="str">
        <f>IFERROR(CONCATENATE(VLOOKUP(L941,PARAM!D:E,2,0),VLOOKUP(M941,PARAM!J:K,2,0),VLOOKUP(N941,PARAM!G:H,2,0),VLOOKUP(O941,PARAM!M:N,2,0),VLOOKUP(P941,PARAM!P:Q,2,0)),"")</f>
        <v/>
      </c>
      <c r="T941" s="18">
        <f t="shared" si="4"/>
        <v>0</v>
      </c>
      <c r="U941" s="18" t="str">
        <f t="shared" si="5"/>
        <v>   </v>
      </c>
    </row>
    <row r="942">
      <c r="A942" s="1"/>
      <c r="B942" s="1"/>
      <c r="C942" s="1"/>
      <c r="D942" s="1"/>
      <c r="E942" s="2"/>
      <c r="F942" s="1"/>
      <c r="G942" s="65">
        <f t="shared" si="7"/>
        <v>0</v>
      </c>
      <c r="H942" s="1"/>
      <c r="I942" s="1"/>
      <c r="J942" s="1"/>
      <c r="K942" s="18"/>
      <c r="L942" s="18"/>
      <c r="M942" s="18"/>
      <c r="N942" s="18"/>
      <c r="O942" s="18"/>
      <c r="P942" s="67" t="s">
        <v>503</v>
      </c>
      <c r="Q942" s="18" t="s">
        <v>476</v>
      </c>
      <c r="R942" s="68" t="str">
        <f>IFERROR(CONCATENATE("*",VLOOKUP(L942,PARAM!D:E,2,0),VLOOKUP(M942,PARAM!J:K,2,0),VLOOKUP(N942,PARAM!G:H,2,0),VLOOKUP(P942,PARAM!P:Q,2,0),"*"),"")</f>
        <v/>
      </c>
      <c r="S942" s="18" t="str">
        <f>IFERROR(CONCATENATE(VLOOKUP(L942,PARAM!D:E,2,0),VLOOKUP(M942,PARAM!J:K,2,0),VLOOKUP(N942,PARAM!G:H,2,0),VLOOKUP(O942,PARAM!M:N,2,0),VLOOKUP(P942,PARAM!P:Q,2,0)),"")</f>
        <v/>
      </c>
      <c r="T942" s="18">
        <f t="shared" si="4"/>
        <v>0</v>
      </c>
      <c r="U942" s="18" t="str">
        <f t="shared" si="5"/>
        <v>   </v>
      </c>
    </row>
    <row r="943">
      <c r="A943" s="1"/>
      <c r="B943" s="1"/>
      <c r="C943" s="1"/>
      <c r="D943" s="1"/>
      <c r="E943" s="2"/>
      <c r="F943" s="1"/>
      <c r="G943" s="65">
        <f t="shared" si="7"/>
        <v>0</v>
      </c>
      <c r="H943" s="1"/>
      <c r="I943" s="1"/>
      <c r="J943" s="1"/>
      <c r="K943" s="18"/>
      <c r="L943" s="18"/>
      <c r="M943" s="18"/>
      <c r="N943" s="18"/>
      <c r="O943" s="18"/>
      <c r="P943" s="67" t="s">
        <v>503</v>
      </c>
      <c r="Q943" s="18" t="s">
        <v>476</v>
      </c>
      <c r="R943" s="68" t="str">
        <f>IFERROR(CONCATENATE("*",VLOOKUP(L943,PARAM!D:E,2,0),VLOOKUP(M943,PARAM!J:K,2,0),VLOOKUP(N943,PARAM!G:H,2,0),VLOOKUP(P943,PARAM!P:Q,2,0),"*"),"")</f>
        <v/>
      </c>
      <c r="S943" s="18" t="str">
        <f>IFERROR(CONCATENATE(VLOOKUP(L943,PARAM!D:E,2,0),VLOOKUP(M943,PARAM!J:K,2,0),VLOOKUP(N943,PARAM!G:H,2,0),VLOOKUP(O943,PARAM!M:N,2,0),VLOOKUP(P943,PARAM!P:Q,2,0)),"")</f>
        <v/>
      </c>
      <c r="T943" s="18">
        <f t="shared" si="4"/>
        <v>0</v>
      </c>
      <c r="U943" s="18" t="str">
        <f t="shared" si="5"/>
        <v>   </v>
      </c>
    </row>
    <row r="944">
      <c r="A944" s="1"/>
      <c r="B944" s="1"/>
      <c r="C944" s="1"/>
      <c r="D944" s="1"/>
      <c r="E944" s="2"/>
      <c r="F944" s="1"/>
      <c r="G944" s="65">
        <f t="shared" si="7"/>
        <v>0</v>
      </c>
      <c r="H944" s="1"/>
      <c r="I944" s="1"/>
      <c r="J944" s="1"/>
      <c r="K944" s="18"/>
      <c r="L944" s="18"/>
      <c r="M944" s="18"/>
      <c r="N944" s="18"/>
      <c r="O944" s="18"/>
      <c r="P944" s="67" t="s">
        <v>503</v>
      </c>
      <c r="Q944" s="18" t="s">
        <v>476</v>
      </c>
      <c r="R944" s="68" t="str">
        <f>IFERROR(CONCATENATE("*",VLOOKUP(L944,PARAM!D:E,2,0),VLOOKUP(M944,PARAM!J:K,2,0),VLOOKUP(N944,PARAM!G:H,2,0),VLOOKUP(P944,PARAM!P:Q,2,0),"*"),"")</f>
        <v/>
      </c>
      <c r="S944" s="18" t="str">
        <f>IFERROR(CONCATENATE(VLOOKUP(L944,PARAM!D:E,2,0),VLOOKUP(M944,PARAM!J:K,2,0),VLOOKUP(N944,PARAM!G:H,2,0),VLOOKUP(O944,PARAM!M:N,2,0),VLOOKUP(P944,PARAM!P:Q,2,0)),"")</f>
        <v/>
      </c>
      <c r="T944" s="18">
        <f t="shared" si="4"/>
        <v>0</v>
      </c>
      <c r="U944" s="18" t="str">
        <f t="shared" si="5"/>
        <v>   </v>
      </c>
    </row>
    <row r="945">
      <c r="A945" s="1"/>
      <c r="B945" s="1"/>
      <c r="C945" s="1"/>
      <c r="D945" s="1"/>
      <c r="E945" s="2"/>
      <c r="F945" s="1"/>
      <c r="G945" s="65">
        <f t="shared" si="7"/>
        <v>0</v>
      </c>
      <c r="H945" s="1"/>
      <c r="I945" s="1"/>
      <c r="J945" s="1"/>
      <c r="K945" s="18"/>
      <c r="L945" s="18"/>
      <c r="M945" s="18"/>
      <c r="N945" s="18"/>
      <c r="O945" s="18"/>
      <c r="P945" s="67" t="s">
        <v>503</v>
      </c>
      <c r="Q945" s="18" t="s">
        <v>476</v>
      </c>
      <c r="R945" s="68" t="str">
        <f>IFERROR(CONCATENATE("*",VLOOKUP(L945,PARAM!D:E,2,0),VLOOKUP(M945,PARAM!J:K,2,0),VLOOKUP(N945,PARAM!G:H,2,0),VLOOKUP(P945,PARAM!P:Q,2,0),"*"),"")</f>
        <v/>
      </c>
      <c r="S945" s="18" t="str">
        <f>IFERROR(CONCATENATE(VLOOKUP(L945,PARAM!D:E,2,0),VLOOKUP(M945,PARAM!J:K,2,0),VLOOKUP(N945,PARAM!G:H,2,0),VLOOKUP(O945,PARAM!M:N,2,0),VLOOKUP(P945,PARAM!P:Q,2,0)),"")</f>
        <v/>
      </c>
      <c r="T945" s="18">
        <f t="shared" si="4"/>
        <v>0</v>
      </c>
      <c r="U945" s="18" t="str">
        <f t="shared" si="5"/>
        <v>   </v>
      </c>
    </row>
    <row r="946">
      <c r="A946" s="1"/>
      <c r="B946" s="1"/>
      <c r="C946" s="1"/>
      <c r="D946" s="1"/>
      <c r="E946" s="2"/>
      <c r="F946" s="1"/>
      <c r="G946" s="65">
        <f t="shared" si="7"/>
        <v>0</v>
      </c>
      <c r="H946" s="1"/>
      <c r="I946" s="1"/>
      <c r="J946" s="1"/>
      <c r="K946" s="18"/>
      <c r="L946" s="18"/>
      <c r="M946" s="18"/>
      <c r="N946" s="18"/>
      <c r="O946" s="18"/>
      <c r="P946" s="67" t="s">
        <v>503</v>
      </c>
      <c r="Q946" s="18" t="s">
        <v>476</v>
      </c>
      <c r="R946" s="68" t="str">
        <f>IFERROR(CONCATENATE("*",VLOOKUP(L946,PARAM!D:E,2,0),VLOOKUP(M946,PARAM!J:K,2,0),VLOOKUP(N946,PARAM!G:H,2,0),VLOOKUP(P946,PARAM!P:Q,2,0),"*"),"")</f>
        <v/>
      </c>
      <c r="S946" s="18" t="str">
        <f>IFERROR(CONCATENATE(VLOOKUP(L946,PARAM!D:E,2,0),VLOOKUP(M946,PARAM!J:K,2,0),VLOOKUP(N946,PARAM!G:H,2,0),VLOOKUP(O946,PARAM!M:N,2,0),VLOOKUP(P946,PARAM!P:Q,2,0)),"")</f>
        <v/>
      </c>
      <c r="T946" s="18">
        <f t="shared" si="4"/>
        <v>0</v>
      </c>
      <c r="U946" s="18" t="str">
        <f t="shared" si="5"/>
        <v>   </v>
      </c>
    </row>
    <row r="947">
      <c r="A947" s="1"/>
      <c r="B947" s="1"/>
      <c r="C947" s="1"/>
      <c r="D947" s="1"/>
      <c r="E947" s="2"/>
      <c r="F947" s="1"/>
      <c r="G947" s="65">
        <f t="shared" si="7"/>
        <v>0</v>
      </c>
      <c r="H947" s="1"/>
      <c r="I947" s="1"/>
      <c r="J947" s="1"/>
      <c r="K947" s="18"/>
      <c r="L947" s="18"/>
      <c r="M947" s="18"/>
      <c r="N947" s="18"/>
      <c r="O947" s="18"/>
      <c r="P947" s="67" t="s">
        <v>503</v>
      </c>
      <c r="Q947" s="18" t="s">
        <v>476</v>
      </c>
      <c r="R947" s="68" t="str">
        <f>IFERROR(CONCATENATE("*",VLOOKUP(L947,PARAM!D:E,2,0),VLOOKUP(M947,PARAM!J:K,2,0),VLOOKUP(N947,PARAM!G:H,2,0),VLOOKUP(P947,PARAM!P:Q,2,0),"*"),"")</f>
        <v/>
      </c>
      <c r="S947" s="18" t="str">
        <f>IFERROR(CONCATENATE(VLOOKUP(L947,PARAM!D:E,2,0),VLOOKUP(M947,PARAM!J:K,2,0),VLOOKUP(N947,PARAM!G:H,2,0),VLOOKUP(O947,PARAM!M:N,2,0),VLOOKUP(P947,PARAM!P:Q,2,0)),"")</f>
        <v/>
      </c>
      <c r="T947" s="18">
        <f t="shared" si="4"/>
        <v>0</v>
      </c>
      <c r="U947" s="18" t="str">
        <f t="shared" si="5"/>
        <v>   </v>
      </c>
    </row>
    <row r="948">
      <c r="A948" s="1"/>
      <c r="B948" s="1"/>
      <c r="C948" s="1"/>
      <c r="D948" s="1"/>
      <c r="E948" s="2"/>
      <c r="F948" s="1"/>
      <c r="G948" s="65">
        <f t="shared" si="7"/>
        <v>0</v>
      </c>
      <c r="H948" s="1"/>
      <c r="I948" s="1"/>
      <c r="J948" s="1"/>
      <c r="K948" s="18"/>
      <c r="L948" s="18"/>
      <c r="M948" s="18"/>
      <c r="N948" s="18"/>
      <c r="O948" s="18"/>
      <c r="P948" s="67" t="s">
        <v>503</v>
      </c>
      <c r="Q948" s="18" t="s">
        <v>476</v>
      </c>
      <c r="R948" s="68" t="str">
        <f>IFERROR(CONCATENATE("*",VLOOKUP(L948,PARAM!D:E,2,0),VLOOKUP(M948,PARAM!J:K,2,0),VLOOKUP(N948,PARAM!G:H,2,0),VLOOKUP(P948,PARAM!P:Q,2,0),"*"),"")</f>
        <v/>
      </c>
      <c r="S948" s="18" t="str">
        <f>IFERROR(CONCATENATE(VLOOKUP(L948,PARAM!D:E,2,0),VLOOKUP(M948,PARAM!J:K,2,0),VLOOKUP(N948,PARAM!G:H,2,0),VLOOKUP(O948,PARAM!M:N,2,0),VLOOKUP(P948,PARAM!P:Q,2,0)),"")</f>
        <v/>
      </c>
      <c r="T948" s="18">
        <f t="shared" si="4"/>
        <v>0</v>
      </c>
      <c r="U948" s="18" t="str">
        <f t="shared" si="5"/>
        <v>   </v>
      </c>
    </row>
    <row r="949">
      <c r="A949" s="1"/>
      <c r="B949" s="1"/>
      <c r="C949" s="1"/>
      <c r="D949" s="1"/>
      <c r="E949" s="2"/>
      <c r="F949" s="1"/>
      <c r="G949" s="65">
        <f t="shared" si="7"/>
        <v>0</v>
      </c>
      <c r="H949" s="1"/>
      <c r="I949" s="1"/>
      <c r="J949" s="1"/>
      <c r="K949" s="18"/>
      <c r="L949" s="18"/>
      <c r="M949" s="18"/>
      <c r="N949" s="18"/>
      <c r="O949" s="18"/>
      <c r="P949" s="67" t="s">
        <v>503</v>
      </c>
      <c r="Q949" s="18" t="s">
        <v>476</v>
      </c>
      <c r="R949" s="68" t="str">
        <f>IFERROR(CONCATENATE("*",VLOOKUP(L949,PARAM!D:E,2,0),VLOOKUP(M949,PARAM!J:K,2,0),VLOOKUP(N949,PARAM!G:H,2,0),VLOOKUP(P949,PARAM!P:Q,2,0),"*"),"")</f>
        <v/>
      </c>
      <c r="S949" s="18" t="str">
        <f>IFERROR(CONCATENATE(VLOOKUP(L949,PARAM!D:E,2,0),VLOOKUP(M949,PARAM!J:K,2,0),VLOOKUP(N949,PARAM!G:H,2,0),VLOOKUP(O949,PARAM!M:N,2,0),VLOOKUP(P949,PARAM!P:Q,2,0)),"")</f>
        <v/>
      </c>
      <c r="T949" s="18">
        <f t="shared" si="4"/>
        <v>0</v>
      </c>
      <c r="U949" s="18" t="str">
        <f t="shared" si="5"/>
        <v>   </v>
      </c>
    </row>
    <row r="950">
      <c r="A950" s="1"/>
      <c r="B950" s="1"/>
      <c r="C950" s="1"/>
      <c r="D950" s="1"/>
      <c r="E950" s="2"/>
      <c r="F950" s="1"/>
      <c r="G950" s="65">
        <f t="shared" si="7"/>
        <v>0</v>
      </c>
      <c r="H950" s="1"/>
      <c r="I950" s="1"/>
      <c r="J950" s="1"/>
      <c r="K950" s="18"/>
      <c r="L950" s="18"/>
      <c r="M950" s="18"/>
      <c r="N950" s="18"/>
      <c r="O950" s="18"/>
      <c r="P950" s="67" t="s">
        <v>503</v>
      </c>
      <c r="Q950" s="18" t="s">
        <v>476</v>
      </c>
      <c r="R950" s="68" t="str">
        <f>IFERROR(CONCATENATE("*",VLOOKUP(L950,PARAM!D:E,2,0),VLOOKUP(M950,PARAM!J:K,2,0),VLOOKUP(N950,PARAM!G:H,2,0),VLOOKUP(P950,PARAM!P:Q,2,0),"*"),"")</f>
        <v/>
      </c>
      <c r="S950" s="18" t="str">
        <f>IFERROR(CONCATENATE(VLOOKUP(L950,PARAM!D:E,2,0),VLOOKUP(M950,PARAM!J:K,2,0),VLOOKUP(N950,PARAM!G:H,2,0),VLOOKUP(O950,PARAM!M:N,2,0),VLOOKUP(P950,PARAM!P:Q,2,0)),"")</f>
        <v/>
      </c>
      <c r="T950" s="18">
        <f t="shared" si="4"/>
        <v>0</v>
      </c>
      <c r="U950" s="18" t="str">
        <f t="shared" si="5"/>
        <v>   </v>
      </c>
    </row>
    <row r="951">
      <c r="A951" s="1"/>
      <c r="B951" s="1"/>
      <c r="C951" s="1"/>
      <c r="D951" s="1"/>
      <c r="E951" s="2"/>
      <c r="F951" s="1"/>
      <c r="G951" s="65">
        <f t="shared" si="7"/>
        <v>0</v>
      </c>
      <c r="H951" s="1"/>
      <c r="I951" s="1"/>
      <c r="J951" s="1"/>
      <c r="K951" s="18"/>
      <c r="L951" s="18"/>
      <c r="M951" s="18"/>
      <c r="N951" s="18"/>
      <c r="O951" s="18"/>
      <c r="P951" s="67" t="s">
        <v>503</v>
      </c>
      <c r="Q951" s="18" t="s">
        <v>476</v>
      </c>
      <c r="R951" s="68" t="str">
        <f>IFERROR(CONCATENATE("*",VLOOKUP(L951,PARAM!D:E,2,0),VLOOKUP(M951,PARAM!J:K,2,0),VLOOKUP(N951,PARAM!G:H,2,0),VLOOKUP(P951,PARAM!P:Q,2,0),"*"),"")</f>
        <v/>
      </c>
      <c r="S951" s="18" t="str">
        <f>IFERROR(CONCATENATE(VLOOKUP(L951,PARAM!D:E,2,0),VLOOKUP(M951,PARAM!J:K,2,0),VLOOKUP(N951,PARAM!G:H,2,0),VLOOKUP(O951,PARAM!M:N,2,0),VLOOKUP(P951,PARAM!P:Q,2,0)),"")</f>
        <v/>
      </c>
      <c r="T951" s="18">
        <f t="shared" si="4"/>
        <v>0</v>
      </c>
      <c r="U951" s="18" t="str">
        <f t="shared" si="5"/>
        <v>   </v>
      </c>
    </row>
    <row r="952">
      <c r="A952" s="1"/>
      <c r="B952" s="1"/>
      <c r="C952" s="1"/>
      <c r="D952" s="1"/>
      <c r="E952" s="2"/>
      <c r="F952" s="1"/>
      <c r="G952" s="65">
        <f t="shared" si="7"/>
        <v>0</v>
      </c>
      <c r="H952" s="1"/>
      <c r="I952" s="1"/>
      <c r="J952" s="1"/>
      <c r="K952" s="18"/>
      <c r="L952" s="18"/>
      <c r="M952" s="18"/>
      <c r="N952" s="18"/>
      <c r="O952" s="18"/>
      <c r="P952" s="67" t="s">
        <v>503</v>
      </c>
      <c r="Q952" s="18" t="s">
        <v>476</v>
      </c>
      <c r="R952" s="68" t="str">
        <f>IFERROR(CONCATENATE("*",VLOOKUP(L952,PARAM!D:E,2,0),VLOOKUP(M952,PARAM!J:K,2,0),VLOOKUP(N952,PARAM!G:H,2,0),VLOOKUP(P952,PARAM!P:Q,2,0),"*"),"")</f>
        <v/>
      </c>
      <c r="S952" s="18" t="str">
        <f>IFERROR(CONCATENATE(VLOOKUP(L952,PARAM!D:E,2,0),VLOOKUP(M952,PARAM!J:K,2,0),VLOOKUP(N952,PARAM!G:H,2,0),VLOOKUP(O952,PARAM!M:N,2,0),VLOOKUP(P952,PARAM!P:Q,2,0)),"")</f>
        <v/>
      </c>
      <c r="T952" s="18">
        <f t="shared" si="4"/>
        <v>0</v>
      </c>
      <c r="U952" s="18" t="str">
        <f t="shared" si="5"/>
        <v>   </v>
      </c>
    </row>
    <row r="953">
      <c r="A953" s="1"/>
      <c r="B953" s="1"/>
      <c r="C953" s="1"/>
      <c r="D953" s="1"/>
      <c r="E953" s="2"/>
      <c r="F953" s="1"/>
      <c r="G953" s="65">
        <f t="shared" si="7"/>
        <v>0</v>
      </c>
      <c r="H953" s="1"/>
      <c r="I953" s="1"/>
      <c r="J953" s="1"/>
      <c r="K953" s="18"/>
      <c r="L953" s="18"/>
      <c r="M953" s="18"/>
      <c r="N953" s="18"/>
      <c r="O953" s="18"/>
      <c r="P953" s="67" t="s">
        <v>503</v>
      </c>
      <c r="Q953" s="18" t="s">
        <v>476</v>
      </c>
      <c r="R953" s="68" t="str">
        <f>IFERROR(CONCATENATE("*",VLOOKUP(L953,PARAM!D:E,2,0),VLOOKUP(M953,PARAM!J:K,2,0),VLOOKUP(N953,PARAM!G:H,2,0),VLOOKUP(P953,PARAM!P:Q,2,0),"*"),"")</f>
        <v/>
      </c>
      <c r="S953" s="18" t="str">
        <f>IFERROR(CONCATENATE(VLOOKUP(L953,PARAM!D:E,2,0),VLOOKUP(M953,PARAM!J:K,2,0),VLOOKUP(N953,PARAM!G:H,2,0),VLOOKUP(O953,PARAM!M:N,2,0),VLOOKUP(P953,PARAM!P:Q,2,0)),"")</f>
        <v/>
      </c>
      <c r="T953" s="18">
        <f t="shared" si="4"/>
        <v>0</v>
      </c>
      <c r="U953" s="18" t="str">
        <f t="shared" si="5"/>
        <v>   </v>
      </c>
    </row>
    <row r="954">
      <c r="A954" s="1"/>
      <c r="B954" s="1"/>
      <c r="C954" s="1"/>
      <c r="D954" s="1"/>
      <c r="E954" s="2"/>
      <c r="F954" s="1"/>
      <c r="G954" s="65">
        <f t="shared" si="7"/>
        <v>0</v>
      </c>
      <c r="H954" s="1"/>
      <c r="I954" s="1"/>
      <c r="J954" s="1"/>
      <c r="K954" s="18"/>
      <c r="L954" s="18"/>
      <c r="M954" s="18"/>
      <c r="N954" s="18"/>
      <c r="O954" s="18"/>
      <c r="P954" s="67" t="s">
        <v>503</v>
      </c>
      <c r="Q954" s="18" t="s">
        <v>476</v>
      </c>
      <c r="R954" s="68" t="str">
        <f>IFERROR(CONCATENATE("*",VLOOKUP(L954,PARAM!D:E,2,0),VLOOKUP(M954,PARAM!J:K,2,0),VLOOKUP(N954,PARAM!G:H,2,0),VLOOKUP(P954,PARAM!P:Q,2,0),"*"),"")</f>
        <v/>
      </c>
      <c r="S954" s="18" t="str">
        <f>IFERROR(CONCATENATE(VLOOKUP(L954,PARAM!D:E,2,0),VLOOKUP(M954,PARAM!J:K,2,0),VLOOKUP(N954,PARAM!G:H,2,0),VLOOKUP(O954,PARAM!M:N,2,0),VLOOKUP(P954,PARAM!P:Q,2,0)),"")</f>
        <v/>
      </c>
      <c r="T954" s="18">
        <f t="shared" si="4"/>
        <v>0</v>
      </c>
      <c r="U954" s="18" t="str">
        <f t="shared" si="5"/>
        <v>   </v>
      </c>
    </row>
    <row r="955">
      <c r="A955" s="1"/>
      <c r="B955" s="1"/>
      <c r="C955" s="1"/>
      <c r="D955" s="1"/>
      <c r="E955" s="2"/>
      <c r="F955" s="1"/>
      <c r="G955" s="65">
        <f t="shared" si="7"/>
        <v>0</v>
      </c>
      <c r="H955" s="1"/>
      <c r="I955" s="1"/>
      <c r="J955" s="1"/>
      <c r="K955" s="18"/>
      <c r="L955" s="18"/>
      <c r="M955" s="18"/>
      <c r="N955" s="18"/>
      <c r="O955" s="18"/>
      <c r="P955" s="67" t="s">
        <v>503</v>
      </c>
      <c r="Q955" s="18" t="s">
        <v>476</v>
      </c>
      <c r="R955" s="68" t="str">
        <f>IFERROR(CONCATENATE("*",VLOOKUP(L955,PARAM!D:E,2,0),VLOOKUP(M955,PARAM!J:K,2,0),VLOOKUP(N955,PARAM!G:H,2,0),VLOOKUP(P955,PARAM!P:Q,2,0),"*"),"")</f>
        <v/>
      </c>
      <c r="S955" s="18" t="str">
        <f>IFERROR(CONCATENATE(VLOOKUP(L955,PARAM!D:E,2,0),VLOOKUP(M955,PARAM!J:K,2,0),VLOOKUP(N955,PARAM!G:H,2,0),VLOOKUP(O955,PARAM!M:N,2,0),VLOOKUP(P955,PARAM!P:Q,2,0)),"")</f>
        <v/>
      </c>
      <c r="T955" s="18">
        <f t="shared" si="4"/>
        <v>0</v>
      </c>
      <c r="U955" s="18" t="str">
        <f t="shared" si="5"/>
        <v>   </v>
      </c>
    </row>
    <row r="956">
      <c r="A956" s="1"/>
      <c r="B956" s="1"/>
      <c r="C956" s="1"/>
      <c r="D956" s="1"/>
      <c r="E956" s="2"/>
      <c r="F956" s="1"/>
      <c r="G956" s="65">
        <f t="shared" si="7"/>
        <v>0</v>
      </c>
      <c r="H956" s="1"/>
      <c r="I956" s="1"/>
      <c r="J956" s="1"/>
      <c r="K956" s="18"/>
      <c r="L956" s="18"/>
      <c r="M956" s="18"/>
      <c r="N956" s="18"/>
      <c r="O956" s="18"/>
      <c r="P956" s="67" t="s">
        <v>503</v>
      </c>
      <c r="Q956" s="18" t="s">
        <v>476</v>
      </c>
      <c r="R956" s="68" t="str">
        <f>IFERROR(CONCATENATE("*",VLOOKUP(L956,PARAM!D:E,2,0),VLOOKUP(M956,PARAM!J:K,2,0),VLOOKUP(N956,PARAM!G:H,2,0),VLOOKUP(P956,PARAM!P:Q,2,0),"*"),"")</f>
        <v/>
      </c>
      <c r="S956" s="18" t="str">
        <f>IFERROR(CONCATENATE(VLOOKUP(L956,PARAM!D:E,2,0),VLOOKUP(M956,PARAM!J:K,2,0),VLOOKUP(N956,PARAM!G:H,2,0),VLOOKUP(O956,PARAM!M:N,2,0),VLOOKUP(P956,PARAM!P:Q,2,0)),"")</f>
        <v/>
      </c>
      <c r="T956" s="18">
        <f t="shared" si="4"/>
        <v>0</v>
      </c>
      <c r="U956" s="18" t="str">
        <f t="shared" si="5"/>
        <v>   </v>
      </c>
    </row>
    <row r="957">
      <c r="A957" s="1"/>
      <c r="B957" s="1"/>
      <c r="C957" s="1"/>
      <c r="D957" s="1"/>
      <c r="E957" s="2"/>
      <c r="F957" s="1"/>
      <c r="G957" s="65">
        <f t="shared" si="7"/>
        <v>0</v>
      </c>
      <c r="H957" s="1"/>
      <c r="I957" s="1"/>
      <c r="J957" s="1"/>
      <c r="K957" s="18"/>
      <c r="L957" s="18"/>
      <c r="M957" s="18"/>
      <c r="N957" s="18"/>
      <c r="O957" s="18"/>
      <c r="P957" s="67" t="s">
        <v>503</v>
      </c>
      <c r="Q957" s="18" t="s">
        <v>476</v>
      </c>
      <c r="R957" s="68" t="str">
        <f>IFERROR(CONCATENATE("*",VLOOKUP(L957,PARAM!D:E,2,0),VLOOKUP(M957,PARAM!J:K,2,0),VLOOKUP(N957,PARAM!G:H,2,0),VLOOKUP(P957,PARAM!P:Q,2,0),"*"),"")</f>
        <v/>
      </c>
      <c r="S957" s="18" t="str">
        <f>IFERROR(CONCATENATE(VLOOKUP(L957,PARAM!D:E,2,0),VLOOKUP(M957,PARAM!J:K,2,0),VLOOKUP(N957,PARAM!G:H,2,0),VLOOKUP(O957,PARAM!M:N,2,0),VLOOKUP(P957,PARAM!P:Q,2,0)),"")</f>
        <v/>
      </c>
      <c r="T957" s="18">
        <f t="shared" si="4"/>
        <v>0</v>
      </c>
      <c r="U957" s="18" t="str">
        <f t="shared" si="5"/>
        <v>   </v>
      </c>
    </row>
    <row r="958">
      <c r="A958" s="1"/>
      <c r="B958" s="1"/>
      <c r="C958" s="1"/>
      <c r="D958" s="1"/>
      <c r="E958" s="2"/>
      <c r="F958" s="1"/>
      <c r="G958" s="65">
        <f t="shared" si="7"/>
        <v>0</v>
      </c>
      <c r="H958" s="1"/>
      <c r="I958" s="1"/>
      <c r="J958" s="1"/>
      <c r="K958" s="18"/>
      <c r="L958" s="18"/>
      <c r="M958" s="18"/>
      <c r="N958" s="18"/>
      <c r="O958" s="18"/>
      <c r="P958" s="67" t="s">
        <v>503</v>
      </c>
      <c r="Q958" s="18" t="s">
        <v>476</v>
      </c>
      <c r="R958" s="68" t="str">
        <f>IFERROR(CONCATENATE("*",VLOOKUP(L958,PARAM!D:E,2,0),VLOOKUP(M958,PARAM!J:K,2,0),VLOOKUP(N958,PARAM!G:H,2,0),VLOOKUP(P958,PARAM!P:Q,2,0),"*"),"")</f>
        <v/>
      </c>
      <c r="S958" s="18" t="str">
        <f>IFERROR(CONCATENATE(VLOOKUP(L958,PARAM!D:E,2,0),VLOOKUP(M958,PARAM!J:K,2,0),VLOOKUP(N958,PARAM!G:H,2,0),VLOOKUP(O958,PARAM!M:N,2,0),VLOOKUP(P958,PARAM!P:Q,2,0)),"")</f>
        <v/>
      </c>
      <c r="T958" s="18">
        <f t="shared" si="4"/>
        <v>0</v>
      </c>
      <c r="U958" s="18" t="str">
        <f t="shared" si="5"/>
        <v>   </v>
      </c>
    </row>
    <row r="959">
      <c r="A959" s="1"/>
      <c r="B959" s="1"/>
      <c r="C959" s="1"/>
      <c r="D959" s="1"/>
      <c r="E959" s="2"/>
      <c r="F959" s="1"/>
      <c r="G959" s="65">
        <f t="shared" si="7"/>
        <v>0</v>
      </c>
      <c r="H959" s="1"/>
      <c r="I959" s="1"/>
      <c r="J959" s="1"/>
      <c r="K959" s="18"/>
      <c r="L959" s="18"/>
      <c r="M959" s="18"/>
      <c r="N959" s="18"/>
      <c r="O959" s="18"/>
      <c r="P959" s="67" t="s">
        <v>503</v>
      </c>
      <c r="Q959" s="18" t="s">
        <v>476</v>
      </c>
      <c r="R959" s="68" t="str">
        <f>IFERROR(CONCATENATE("*",VLOOKUP(L959,PARAM!D:E,2,0),VLOOKUP(M959,PARAM!J:K,2,0),VLOOKUP(N959,PARAM!G:H,2,0),VLOOKUP(P959,PARAM!P:Q,2,0),"*"),"")</f>
        <v/>
      </c>
      <c r="S959" s="18" t="str">
        <f>IFERROR(CONCATENATE(VLOOKUP(L959,PARAM!D:E,2,0),VLOOKUP(M959,PARAM!J:K,2,0),VLOOKUP(N959,PARAM!G:H,2,0),VLOOKUP(O959,PARAM!M:N,2,0),VLOOKUP(P959,PARAM!P:Q,2,0)),"")</f>
        <v/>
      </c>
      <c r="T959" s="18">
        <f t="shared" si="4"/>
        <v>0</v>
      </c>
      <c r="U959" s="18" t="str">
        <f t="shared" si="5"/>
        <v>   </v>
      </c>
    </row>
    <row r="960">
      <c r="A960" s="1"/>
      <c r="B960" s="1"/>
      <c r="C960" s="1"/>
      <c r="D960" s="1"/>
      <c r="E960" s="2"/>
      <c r="F960" s="1"/>
      <c r="G960" s="65">
        <f t="shared" si="7"/>
        <v>0</v>
      </c>
      <c r="H960" s="1"/>
      <c r="I960" s="1"/>
      <c r="J960" s="1"/>
      <c r="K960" s="18"/>
      <c r="L960" s="18"/>
      <c r="M960" s="18"/>
      <c r="N960" s="18"/>
      <c r="O960" s="18"/>
      <c r="P960" s="67" t="s">
        <v>503</v>
      </c>
      <c r="Q960" s="18" t="s">
        <v>476</v>
      </c>
      <c r="R960" s="68" t="str">
        <f>IFERROR(CONCATENATE("*",VLOOKUP(L960,PARAM!D:E,2,0),VLOOKUP(M960,PARAM!J:K,2,0),VLOOKUP(N960,PARAM!G:H,2,0),VLOOKUP(P960,PARAM!P:Q,2,0),"*"),"")</f>
        <v/>
      </c>
      <c r="S960" s="18" t="str">
        <f>IFERROR(CONCATENATE(VLOOKUP(L960,PARAM!D:E,2,0),VLOOKUP(M960,PARAM!J:K,2,0),VLOOKUP(N960,PARAM!G:H,2,0),VLOOKUP(O960,PARAM!M:N,2,0),VLOOKUP(P960,PARAM!P:Q,2,0)),"")</f>
        <v/>
      </c>
      <c r="T960" s="18">
        <f t="shared" si="4"/>
        <v>0</v>
      </c>
      <c r="U960" s="18" t="str">
        <f t="shared" si="5"/>
        <v>   </v>
      </c>
    </row>
    <row r="961">
      <c r="A961" s="1"/>
      <c r="B961" s="1"/>
      <c r="C961" s="1"/>
      <c r="D961" s="1"/>
      <c r="E961" s="2"/>
      <c r="F961" s="1"/>
      <c r="G961" s="65">
        <f t="shared" si="7"/>
        <v>0</v>
      </c>
      <c r="H961" s="1"/>
      <c r="I961" s="1"/>
      <c r="J961" s="1"/>
      <c r="K961" s="18"/>
      <c r="L961" s="18"/>
      <c r="M961" s="18"/>
      <c r="N961" s="18"/>
      <c r="O961" s="18"/>
      <c r="P961" s="67" t="s">
        <v>503</v>
      </c>
      <c r="Q961" s="18" t="s">
        <v>476</v>
      </c>
      <c r="R961" s="68" t="str">
        <f>IFERROR(CONCATENATE("*",VLOOKUP(L961,PARAM!D:E,2,0),VLOOKUP(M961,PARAM!J:K,2,0),VLOOKUP(N961,PARAM!G:H,2,0),VLOOKUP(P961,PARAM!P:Q,2,0),"*"),"")</f>
        <v/>
      </c>
      <c r="S961" s="18" t="str">
        <f>IFERROR(CONCATENATE(VLOOKUP(L961,PARAM!D:E,2,0),VLOOKUP(M961,PARAM!J:K,2,0),VLOOKUP(N961,PARAM!G:H,2,0),VLOOKUP(O961,PARAM!M:N,2,0),VLOOKUP(P961,PARAM!P:Q,2,0)),"")</f>
        <v/>
      </c>
      <c r="T961" s="18">
        <f t="shared" si="4"/>
        <v>0</v>
      </c>
      <c r="U961" s="18" t="str">
        <f t="shared" si="5"/>
        <v>   </v>
      </c>
    </row>
    <row r="962">
      <c r="A962" s="1"/>
      <c r="B962" s="1"/>
      <c r="C962" s="1"/>
      <c r="D962" s="1"/>
      <c r="E962" s="2"/>
      <c r="F962" s="1"/>
      <c r="G962" s="65">
        <f t="shared" si="7"/>
        <v>0</v>
      </c>
      <c r="H962" s="1"/>
      <c r="I962" s="1"/>
      <c r="J962" s="1"/>
      <c r="K962" s="18"/>
      <c r="L962" s="18"/>
      <c r="M962" s="18"/>
      <c r="N962" s="18"/>
      <c r="O962" s="18"/>
      <c r="P962" s="67" t="s">
        <v>503</v>
      </c>
      <c r="Q962" s="18" t="s">
        <v>476</v>
      </c>
      <c r="R962" s="68" t="str">
        <f>IFERROR(CONCATENATE("*",VLOOKUP(L962,PARAM!D:E,2,0),VLOOKUP(M962,PARAM!J:K,2,0),VLOOKUP(N962,PARAM!G:H,2,0),VLOOKUP(P962,PARAM!P:Q,2,0),"*"),"")</f>
        <v/>
      </c>
      <c r="S962" s="18" t="str">
        <f>IFERROR(CONCATENATE(VLOOKUP(L962,PARAM!D:E,2,0),VLOOKUP(M962,PARAM!J:K,2,0),VLOOKUP(N962,PARAM!G:H,2,0),VLOOKUP(O962,PARAM!M:N,2,0),VLOOKUP(P962,PARAM!P:Q,2,0)),"")</f>
        <v/>
      </c>
      <c r="T962" s="18">
        <f t="shared" si="4"/>
        <v>0</v>
      </c>
      <c r="U962" s="18" t="str">
        <f t="shared" si="5"/>
        <v>   </v>
      </c>
    </row>
    <row r="963">
      <c r="A963" s="1"/>
      <c r="B963" s="1"/>
      <c r="C963" s="1"/>
      <c r="D963" s="1"/>
      <c r="E963" s="2"/>
      <c r="F963" s="1"/>
      <c r="G963" s="65">
        <f t="shared" si="7"/>
        <v>0</v>
      </c>
      <c r="H963" s="1"/>
      <c r="I963" s="1"/>
      <c r="J963" s="1"/>
      <c r="K963" s="18"/>
      <c r="L963" s="18"/>
      <c r="M963" s="18"/>
      <c r="N963" s="18"/>
      <c r="O963" s="18"/>
      <c r="P963" s="67" t="s">
        <v>503</v>
      </c>
      <c r="Q963" s="18" t="s">
        <v>476</v>
      </c>
      <c r="R963" s="68" t="str">
        <f>IFERROR(CONCATENATE("*",VLOOKUP(L963,PARAM!D:E,2,0),VLOOKUP(M963,PARAM!J:K,2,0),VLOOKUP(N963,PARAM!G:H,2,0),VLOOKUP(P963,PARAM!P:Q,2,0),"*"),"")</f>
        <v/>
      </c>
      <c r="S963" s="18" t="str">
        <f>IFERROR(CONCATENATE(VLOOKUP(L963,PARAM!D:E,2,0),VLOOKUP(M963,PARAM!J:K,2,0),VLOOKUP(N963,PARAM!G:H,2,0),VLOOKUP(O963,PARAM!M:N,2,0),VLOOKUP(P963,PARAM!P:Q,2,0)),"")</f>
        <v/>
      </c>
      <c r="T963" s="18">
        <f t="shared" si="4"/>
        <v>0</v>
      </c>
      <c r="U963" s="18" t="str">
        <f t="shared" si="5"/>
        <v>   </v>
      </c>
    </row>
    <row r="964">
      <c r="A964" s="1"/>
      <c r="B964" s="1"/>
      <c r="C964" s="1"/>
      <c r="D964" s="1"/>
      <c r="E964" s="2"/>
      <c r="F964" s="1"/>
      <c r="G964" s="65">
        <f t="shared" si="7"/>
        <v>0</v>
      </c>
      <c r="H964" s="1"/>
      <c r="I964" s="1"/>
      <c r="J964" s="1"/>
      <c r="K964" s="18"/>
      <c r="L964" s="18"/>
      <c r="M964" s="18"/>
      <c r="N964" s="18"/>
      <c r="O964" s="18"/>
      <c r="P964" s="67" t="s">
        <v>503</v>
      </c>
      <c r="Q964" s="18" t="s">
        <v>476</v>
      </c>
      <c r="R964" s="68" t="str">
        <f>IFERROR(CONCATENATE("*",VLOOKUP(L964,PARAM!D:E,2,0),VLOOKUP(M964,PARAM!J:K,2,0),VLOOKUP(N964,PARAM!G:H,2,0),VLOOKUP(P964,PARAM!P:Q,2,0),"*"),"")</f>
        <v/>
      </c>
      <c r="S964" s="18" t="str">
        <f>IFERROR(CONCATENATE(VLOOKUP(L964,PARAM!D:E,2,0),VLOOKUP(M964,PARAM!J:K,2,0),VLOOKUP(N964,PARAM!G:H,2,0),VLOOKUP(O964,PARAM!M:N,2,0),VLOOKUP(P964,PARAM!P:Q,2,0)),"")</f>
        <v/>
      </c>
      <c r="T964" s="18">
        <f t="shared" si="4"/>
        <v>0</v>
      </c>
      <c r="U964" s="18" t="str">
        <f t="shared" si="5"/>
        <v>   </v>
      </c>
    </row>
    <row r="965">
      <c r="A965" s="1"/>
      <c r="B965" s="1"/>
      <c r="C965" s="1"/>
      <c r="D965" s="1"/>
      <c r="E965" s="2"/>
      <c r="F965" s="1"/>
      <c r="G965" s="65">
        <f t="shared" si="7"/>
        <v>0</v>
      </c>
      <c r="H965" s="1"/>
      <c r="I965" s="1"/>
      <c r="J965" s="1"/>
      <c r="K965" s="18"/>
      <c r="L965" s="18"/>
      <c r="M965" s="18"/>
      <c r="N965" s="18"/>
      <c r="O965" s="18"/>
      <c r="P965" s="67" t="s">
        <v>503</v>
      </c>
      <c r="Q965" s="18" t="s">
        <v>476</v>
      </c>
      <c r="R965" s="68" t="str">
        <f>IFERROR(CONCATENATE("*",VLOOKUP(L965,PARAM!D:E,2,0),VLOOKUP(M965,PARAM!J:K,2,0),VLOOKUP(N965,PARAM!G:H,2,0),VLOOKUP(P965,PARAM!P:Q,2,0),"*"),"")</f>
        <v/>
      </c>
      <c r="S965" s="18" t="str">
        <f>IFERROR(CONCATENATE(VLOOKUP(L965,PARAM!D:E,2,0),VLOOKUP(M965,PARAM!J:K,2,0),VLOOKUP(N965,PARAM!G:H,2,0),VLOOKUP(O965,PARAM!M:N,2,0),VLOOKUP(P965,PARAM!P:Q,2,0)),"")</f>
        <v/>
      </c>
      <c r="T965" s="18">
        <f t="shared" si="4"/>
        <v>0</v>
      </c>
      <c r="U965" s="18" t="str">
        <f t="shared" si="5"/>
        <v>   </v>
      </c>
    </row>
    <row r="966">
      <c r="A966" s="1"/>
      <c r="B966" s="1"/>
      <c r="C966" s="1"/>
      <c r="D966" s="1"/>
      <c r="E966" s="2"/>
      <c r="F966" s="1"/>
      <c r="G966" s="65">
        <f t="shared" si="7"/>
        <v>0</v>
      </c>
      <c r="H966" s="1"/>
      <c r="I966" s="1"/>
      <c r="J966" s="1"/>
      <c r="K966" s="18"/>
      <c r="L966" s="18"/>
      <c r="M966" s="18"/>
      <c r="N966" s="18"/>
      <c r="O966" s="18"/>
      <c r="P966" s="67" t="s">
        <v>503</v>
      </c>
      <c r="Q966" s="18" t="s">
        <v>476</v>
      </c>
      <c r="R966" s="68" t="str">
        <f>IFERROR(CONCATENATE("*",VLOOKUP(L966,PARAM!D:E,2,0),VLOOKUP(M966,PARAM!J:K,2,0),VLOOKUP(N966,PARAM!G:H,2,0),VLOOKUP(P966,PARAM!P:Q,2,0),"*"),"")</f>
        <v/>
      </c>
      <c r="S966" s="18" t="str">
        <f>IFERROR(CONCATENATE(VLOOKUP(L966,PARAM!D:E,2,0),VLOOKUP(M966,PARAM!J:K,2,0),VLOOKUP(N966,PARAM!G:H,2,0),VLOOKUP(O966,PARAM!M:N,2,0),VLOOKUP(P966,PARAM!P:Q,2,0)),"")</f>
        <v/>
      </c>
      <c r="T966" s="18">
        <f t="shared" si="4"/>
        <v>0</v>
      </c>
      <c r="U966" s="18" t="str">
        <f t="shared" si="5"/>
        <v>   </v>
      </c>
    </row>
    <row r="967">
      <c r="A967" s="1"/>
      <c r="B967" s="1"/>
      <c r="C967" s="1"/>
      <c r="D967" s="1"/>
      <c r="E967" s="2"/>
      <c r="F967" s="1"/>
      <c r="G967" s="65">
        <f t="shared" si="7"/>
        <v>0</v>
      </c>
      <c r="H967" s="1"/>
      <c r="I967" s="1"/>
      <c r="J967" s="1"/>
      <c r="K967" s="18"/>
      <c r="L967" s="18"/>
      <c r="M967" s="18"/>
      <c r="N967" s="18"/>
      <c r="O967" s="18"/>
      <c r="P967" s="67" t="s">
        <v>503</v>
      </c>
      <c r="Q967" s="18" t="s">
        <v>476</v>
      </c>
      <c r="R967" s="68" t="str">
        <f>IFERROR(CONCATENATE("*",VLOOKUP(L967,PARAM!D:E,2,0),VLOOKUP(M967,PARAM!J:K,2,0),VLOOKUP(N967,PARAM!G:H,2,0),VLOOKUP(P967,PARAM!P:Q,2,0),"*"),"")</f>
        <v/>
      </c>
      <c r="S967" s="18" t="str">
        <f>IFERROR(CONCATENATE(VLOOKUP(L967,PARAM!D:E,2,0),VLOOKUP(M967,PARAM!J:K,2,0),VLOOKUP(N967,PARAM!G:H,2,0),VLOOKUP(O967,PARAM!M:N,2,0),VLOOKUP(P967,PARAM!P:Q,2,0)),"")</f>
        <v/>
      </c>
      <c r="T967" s="18">
        <f t="shared" si="4"/>
        <v>0</v>
      </c>
      <c r="U967" s="18" t="str">
        <f t="shared" si="5"/>
        <v>   </v>
      </c>
    </row>
    <row r="968">
      <c r="A968" s="1"/>
      <c r="B968" s="1"/>
      <c r="C968" s="1"/>
      <c r="D968" s="1"/>
      <c r="E968" s="2"/>
      <c r="F968" s="1"/>
      <c r="G968" s="65">
        <f t="shared" si="7"/>
        <v>0</v>
      </c>
      <c r="H968" s="1"/>
      <c r="I968" s="1"/>
      <c r="J968" s="1"/>
      <c r="K968" s="18"/>
      <c r="L968" s="18"/>
      <c r="M968" s="18"/>
      <c r="N968" s="18"/>
      <c r="O968" s="18"/>
      <c r="P968" s="67" t="s">
        <v>503</v>
      </c>
      <c r="Q968" s="18" t="s">
        <v>476</v>
      </c>
      <c r="R968" s="68" t="str">
        <f>IFERROR(CONCATENATE("*",VLOOKUP(L968,PARAM!D:E,2,0),VLOOKUP(M968,PARAM!J:K,2,0),VLOOKUP(N968,PARAM!G:H,2,0),VLOOKUP(P968,PARAM!P:Q,2,0),"*"),"")</f>
        <v/>
      </c>
      <c r="S968" s="18" t="str">
        <f>IFERROR(CONCATENATE(VLOOKUP(L968,PARAM!D:E,2,0),VLOOKUP(M968,PARAM!J:K,2,0),VLOOKUP(N968,PARAM!G:H,2,0),VLOOKUP(O968,PARAM!M:N,2,0),VLOOKUP(P968,PARAM!P:Q,2,0)),"")</f>
        <v/>
      </c>
      <c r="T968" s="18">
        <f t="shared" si="4"/>
        <v>0</v>
      </c>
      <c r="U968" s="18" t="str">
        <f t="shared" si="5"/>
        <v>   </v>
      </c>
    </row>
    <row r="969">
      <c r="A969" s="1"/>
      <c r="B969" s="1"/>
      <c r="C969" s="1"/>
      <c r="D969" s="1"/>
      <c r="E969" s="2"/>
      <c r="F969" s="1"/>
      <c r="G969" s="65">
        <f t="shared" si="7"/>
        <v>0</v>
      </c>
      <c r="H969" s="1"/>
      <c r="I969" s="1"/>
      <c r="J969" s="1"/>
      <c r="K969" s="18"/>
      <c r="L969" s="18"/>
      <c r="M969" s="18"/>
      <c r="N969" s="18"/>
      <c r="O969" s="18"/>
      <c r="P969" s="67" t="s">
        <v>503</v>
      </c>
      <c r="Q969" s="18" t="s">
        <v>476</v>
      </c>
      <c r="R969" s="68" t="str">
        <f>IFERROR(CONCATENATE("*",VLOOKUP(L969,PARAM!D:E,2,0),VLOOKUP(M969,PARAM!J:K,2,0),VLOOKUP(N969,PARAM!G:H,2,0),VLOOKUP(P969,PARAM!P:Q,2,0),"*"),"")</f>
        <v/>
      </c>
      <c r="S969" s="18" t="str">
        <f>IFERROR(CONCATENATE(VLOOKUP(L969,PARAM!D:E,2,0),VLOOKUP(M969,PARAM!J:K,2,0),VLOOKUP(N969,PARAM!G:H,2,0),VLOOKUP(O969,PARAM!M:N,2,0),VLOOKUP(P969,PARAM!P:Q,2,0)),"")</f>
        <v/>
      </c>
      <c r="T969" s="18">
        <f t="shared" si="4"/>
        <v>0</v>
      </c>
      <c r="U969" s="18" t="str">
        <f t="shared" si="5"/>
        <v>   </v>
      </c>
    </row>
    <row r="970">
      <c r="A970" s="1"/>
      <c r="B970" s="1"/>
      <c r="C970" s="1"/>
      <c r="D970" s="1"/>
      <c r="E970" s="2"/>
      <c r="F970" s="1"/>
      <c r="G970" s="65">
        <f t="shared" si="7"/>
        <v>0</v>
      </c>
      <c r="H970" s="1"/>
      <c r="I970" s="1"/>
      <c r="J970" s="1"/>
      <c r="K970" s="18"/>
      <c r="L970" s="18"/>
      <c r="M970" s="18"/>
      <c r="N970" s="18"/>
      <c r="O970" s="18"/>
      <c r="P970" s="67" t="s">
        <v>503</v>
      </c>
      <c r="Q970" s="18" t="s">
        <v>476</v>
      </c>
      <c r="R970" s="68" t="str">
        <f>IFERROR(CONCATENATE("*",VLOOKUP(L970,PARAM!D:E,2,0),VLOOKUP(M970,PARAM!J:K,2,0),VLOOKUP(N970,PARAM!G:H,2,0),VLOOKUP(P970,PARAM!P:Q,2,0),"*"),"")</f>
        <v/>
      </c>
      <c r="S970" s="18" t="str">
        <f>IFERROR(CONCATENATE(VLOOKUP(L970,PARAM!D:E,2,0),VLOOKUP(M970,PARAM!J:K,2,0),VLOOKUP(N970,PARAM!G:H,2,0),VLOOKUP(O970,PARAM!M:N,2,0),VLOOKUP(P970,PARAM!P:Q,2,0)),"")</f>
        <v/>
      </c>
      <c r="T970" s="18">
        <f t="shared" si="4"/>
        <v>0</v>
      </c>
      <c r="U970" s="18" t="str">
        <f t="shared" si="5"/>
        <v>   </v>
      </c>
    </row>
    <row r="971">
      <c r="A971" s="1"/>
      <c r="B971" s="1"/>
      <c r="C971" s="1"/>
      <c r="D971" s="1"/>
      <c r="E971" s="2"/>
      <c r="F971" s="1"/>
      <c r="G971" s="65">
        <f t="shared" si="7"/>
        <v>0</v>
      </c>
      <c r="H971" s="1"/>
      <c r="I971" s="1"/>
      <c r="J971" s="1"/>
      <c r="K971" s="18"/>
      <c r="L971" s="18"/>
      <c r="M971" s="18"/>
      <c r="N971" s="18"/>
      <c r="O971" s="18"/>
      <c r="P971" s="67" t="s">
        <v>503</v>
      </c>
      <c r="Q971" s="18" t="s">
        <v>476</v>
      </c>
      <c r="R971" s="68" t="str">
        <f>IFERROR(CONCATENATE("*",VLOOKUP(L971,PARAM!D:E,2,0),VLOOKUP(M971,PARAM!J:K,2,0),VLOOKUP(N971,PARAM!G:H,2,0),VLOOKUP(P971,PARAM!P:Q,2,0),"*"),"")</f>
        <v/>
      </c>
      <c r="S971" s="18" t="str">
        <f>IFERROR(CONCATENATE(VLOOKUP(L971,PARAM!D:E,2,0),VLOOKUP(M971,PARAM!J:K,2,0),VLOOKUP(N971,PARAM!G:H,2,0),VLOOKUP(O971,PARAM!M:N,2,0),VLOOKUP(P971,PARAM!P:Q,2,0)),"")</f>
        <v/>
      </c>
      <c r="T971" s="18">
        <f t="shared" si="4"/>
        <v>0</v>
      </c>
      <c r="U971" s="18" t="str">
        <f t="shared" si="5"/>
        <v>   </v>
      </c>
    </row>
    <row r="972">
      <c r="A972" s="1"/>
      <c r="B972" s="1"/>
      <c r="C972" s="1"/>
      <c r="D972" s="1"/>
      <c r="E972" s="2"/>
      <c r="F972" s="1"/>
      <c r="G972" s="65">
        <f t="shared" si="7"/>
        <v>0</v>
      </c>
      <c r="H972" s="1"/>
      <c r="I972" s="1"/>
      <c r="J972" s="1"/>
      <c r="K972" s="18"/>
      <c r="L972" s="18"/>
      <c r="M972" s="18"/>
      <c r="N972" s="18"/>
      <c r="O972" s="18"/>
      <c r="P972" s="67" t="s">
        <v>503</v>
      </c>
      <c r="Q972" s="18" t="s">
        <v>476</v>
      </c>
      <c r="R972" s="68" t="str">
        <f>IFERROR(CONCATENATE("*",VLOOKUP(L972,PARAM!D:E,2,0),VLOOKUP(M972,PARAM!J:K,2,0),VLOOKUP(N972,PARAM!G:H,2,0),VLOOKUP(P972,PARAM!P:Q,2,0),"*"),"")</f>
        <v/>
      </c>
      <c r="S972" s="18" t="str">
        <f>IFERROR(CONCATENATE(VLOOKUP(L972,PARAM!D:E,2,0),VLOOKUP(M972,PARAM!J:K,2,0),VLOOKUP(N972,PARAM!G:H,2,0),VLOOKUP(O972,PARAM!M:N,2,0),VLOOKUP(P972,PARAM!P:Q,2,0)),"")</f>
        <v/>
      </c>
      <c r="T972" s="18">
        <f t="shared" si="4"/>
        <v>0</v>
      </c>
      <c r="U972" s="18" t="str">
        <f t="shared" si="5"/>
        <v>   </v>
      </c>
    </row>
    <row r="973">
      <c r="A973" s="1"/>
      <c r="B973" s="1"/>
      <c r="C973" s="1"/>
      <c r="D973" s="1"/>
      <c r="E973" s="2"/>
      <c r="F973" s="1"/>
      <c r="G973" s="65">
        <f t="shared" si="7"/>
        <v>0</v>
      </c>
      <c r="H973" s="1"/>
      <c r="I973" s="1"/>
      <c r="J973" s="1"/>
      <c r="K973" s="18"/>
      <c r="L973" s="18"/>
      <c r="M973" s="18"/>
      <c r="N973" s="18"/>
      <c r="O973" s="18"/>
      <c r="P973" s="67" t="s">
        <v>503</v>
      </c>
      <c r="Q973" s="18" t="s">
        <v>476</v>
      </c>
      <c r="R973" s="68" t="str">
        <f>IFERROR(CONCATENATE("*",VLOOKUP(L973,PARAM!D:E,2,0),VLOOKUP(M973,PARAM!J:K,2,0),VLOOKUP(N973,PARAM!G:H,2,0),VLOOKUP(P973,PARAM!P:Q,2,0),"*"),"")</f>
        <v/>
      </c>
      <c r="S973" s="18" t="str">
        <f>IFERROR(CONCATENATE(VLOOKUP(L973,PARAM!D:E,2,0),VLOOKUP(M973,PARAM!J:K,2,0),VLOOKUP(N973,PARAM!G:H,2,0),VLOOKUP(O973,PARAM!M:N,2,0),VLOOKUP(P973,PARAM!P:Q,2,0)),"")</f>
        <v/>
      </c>
      <c r="T973" s="18">
        <f t="shared" si="4"/>
        <v>0</v>
      </c>
      <c r="U973" s="18" t="str">
        <f t="shared" si="5"/>
        <v>   </v>
      </c>
    </row>
    <row r="974">
      <c r="A974" s="1"/>
      <c r="B974" s="1"/>
      <c r="C974" s="1"/>
      <c r="D974" s="1"/>
      <c r="E974" s="2"/>
      <c r="F974" s="1"/>
      <c r="G974" s="65">
        <f t="shared" si="7"/>
        <v>0</v>
      </c>
      <c r="H974" s="1"/>
      <c r="I974" s="1"/>
      <c r="J974" s="1"/>
      <c r="K974" s="18"/>
      <c r="L974" s="18"/>
      <c r="M974" s="18"/>
      <c r="N974" s="18"/>
      <c r="O974" s="18"/>
      <c r="P974" s="67" t="s">
        <v>503</v>
      </c>
      <c r="Q974" s="18" t="s">
        <v>476</v>
      </c>
      <c r="R974" s="68" t="str">
        <f>IFERROR(CONCATENATE("*",VLOOKUP(L974,PARAM!D:E,2,0),VLOOKUP(M974,PARAM!J:K,2,0),VLOOKUP(N974,PARAM!G:H,2,0),VLOOKUP(P974,PARAM!P:Q,2,0),"*"),"")</f>
        <v/>
      </c>
      <c r="S974" s="18" t="str">
        <f>IFERROR(CONCATENATE(VLOOKUP(L974,PARAM!D:E,2,0),VLOOKUP(M974,PARAM!J:K,2,0),VLOOKUP(N974,PARAM!G:H,2,0),VLOOKUP(O974,PARAM!M:N,2,0),VLOOKUP(P974,PARAM!P:Q,2,0)),"")</f>
        <v/>
      </c>
      <c r="T974" s="18">
        <f t="shared" si="4"/>
        <v>0</v>
      </c>
      <c r="U974" s="18" t="str">
        <f t="shared" si="5"/>
        <v>   </v>
      </c>
    </row>
    <row r="975">
      <c r="A975" s="1"/>
      <c r="B975" s="1"/>
      <c r="C975" s="1"/>
      <c r="D975" s="1"/>
      <c r="E975" s="2"/>
      <c r="F975" s="1"/>
      <c r="G975" s="65">
        <f t="shared" si="7"/>
        <v>0</v>
      </c>
      <c r="H975" s="1"/>
      <c r="I975" s="1"/>
      <c r="J975" s="1"/>
      <c r="K975" s="18"/>
      <c r="L975" s="18"/>
      <c r="M975" s="18"/>
      <c r="N975" s="18"/>
      <c r="O975" s="18"/>
      <c r="P975" s="67" t="s">
        <v>503</v>
      </c>
      <c r="Q975" s="18" t="s">
        <v>476</v>
      </c>
      <c r="R975" s="68" t="str">
        <f>IFERROR(CONCATENATE("*",VLOOKUP(L975,PARAM!D:E,2,0),VLOOKUP(M975,PARAM!J:K,2,0),VLOOKUP(N975,PARAM!G:H,2,0),VLOOKUP(P975,PARAM!P:Q,2,0),"*"),"")</f>
        <v/>
      </c>
      <c r="S975" s="18" t="str">
        <f>IFERROR(CONCATENATE(VLOOKUP(L975,PARAM!D:E,2,0),VLOOKUP(M975,PARAM!J:K,2,0),VLOOKUP(N975,PARAM!G:H,2,0),VLOOKUP(O975,PARAM!M:N,2,0),VLOOKUP(P975,PARAM!P:Q,2,0)),"")</f>
        <v/>
      </c>
      <c r="T975" s="18">
        <f t="shared" si="4"/>
        <v>0</v>
      </c>
      <c r="U975" s="18" t="str">
        <f t="shared" si="5"/>
        <v>   </v>
      </c>
    </row>
    <row r="976">
      <c r="A976" s="1"/>
      <c r="B976" s="1"/>
      <c r="C976" s="1"/>
      <c r="D976" s="1"/>
      <c r="E976" s="2"/>
      <c r="F976" s="1"/>
      <c r="G976" s="65">
        <f t="shared" si="7"/>
        <v>0</v>
      </c>
      <c r="H976" s="1"/>
      <c r="I976" s="1"/>
      <c r="J976" s="1"/>
      <c r="K976" s="18"/>
      <c r="L976" s="18"/>
      <c r="M976" s="18"/>
      <c r="N976" s="18"/>
      <c r="O976" s="18"/>
      <c r="P976" s="67" t="s">
        <v>503</v>
      </c>
      <c r="Q976" s="18" t="s">
        <v>476</v>
      </c>
      <c r="R976" s="68" t="str">
        <f>IFERROR(CONCATENATE("*",VLOOKUP(L976,PARAM!D:E,2,0),VLOOKUP(M976,PARAM!J:K,2,0),VLOOKUP(N976,PARAM!G:H,2,0),VLOOKUP(P976,PARAM!P:Q,2,0),"*"),"")</f>
        <v/>
      </c>
      <c r="S976" s="18" t="str">
        <f>IFERROR(CONCATENATE(VLOOKUP(L976,PARAM!D:E,2,0),VLOOKUP(M976,PARAM!J:K,2,0),VLOOKUP(N976,PARAM!G:H,2,0),VLOOKUP(O976,PARAM!M:N,2,0),VLOOKUP(P976,PARAM!P:Q,2,0)),"")</f>
        <v/>
      </c>
      <c r="T976" s="18">
        <f t="shared" si="4"/>
        <v>0</v>
      </c>
      <c r="U976" s="18" t="str">
        <f t="shared" si="5"/>
        <v>   </v>
      </c>
    </row>
    <row r="977">
      <c r="A977" s="1"/>
      <c r="B977" s="1"/>
      <c r="C977" s="1"/>
      <c r="D977" s="1"/>
      <c r="E977" s="2"/>
      <c r="F977" s="1"/>
      <c r="G977" s="65">
        <f t="shared" si="7"/>
        <v>0</v>
      </c>
      <c r="H977" s="1"/>
      <c r="I977" s="1"/>
      <c r="J977" s="1"/>
      <c r="K977" s="18"/>
      <c r="L977" s="18"/>
      <c r="M977" s="18"/>
      <c r="N977" s="18"/>
      <c r="O977" s="18"/>
      <c r="P977" s="67" t="s">
        <v>503</v>
      </c>
      <c r="Q977" s="18" t="s">
        <v>476</v>
      </c>
      <c r="R977" s="68" t="str">
        <f>IFERROR(CONCATENATE("*",VLOOKUP(L977,PARAM!D:E,2,0),VLOOKUP(M977,PARAM!J:K,2,0),VLOOKUP(N977,PARAM!G:H,2,0),VLOOKUP(P977,PARAM!P:Q,2,0),"*"),"")</f>
        <v/>
      </c>
      <c r="S977" s="18" t="str">
        <f>IFERROR(CONCATENATE(VLOOKUP(L977,PARAM!D:E,2,0),VLOOKUP(M977,PARAM!J:K,2,0),VLOOKUP(N977,PARAM!G:H,2,0),VLOOKUP(O977,PARAM!M:N,2,0),VLOOKUP(P977,PARAM!P:Q,2,0)),"")</f>
        <v/>
      </c>
      <c r="T977" s="18">
        <f t="shared" si="4"/>
        <v>0</v>
      </c>
      <c r="U977" s="18" t="str">
        <f t="shared" si="5"/>
        <v>   </v>
      </c>
    </row>
    <row r="978">
      <c r="A978" s="1"/>
      <c r="B978" s="1"/>
      <c r="C978" s="1"/>
      <c r="D978" s="1"/>
      <c r="E978" s="2"/>
      <c r="F978" s="1"/>
      <c r="G978" s="65">
        <f t="shared" si="7"/>
        <v>0</v>
      </c>
      <c r="H978" s="1"/>
      <c r="I978" s="1"/>
      <c r="J978" s="1"/>
      <c r="K978" s="18"/>
      <c r="L978" s="18"/>
      <c r="M978" s="18"/>
      <c r="N978" s="18"/>
      <c r="O978" s="18"/>
      <c r="P978" s="67" t="s">
        <v>503</v>
      </c>
      <c r="Q978" s="18" t="s">
        <v>476</v>
      </c>
      <c r="R978" s="68" t="str">
        <f>IFERROR(CONCATENATE("*",VLOOKUP(L978,PARAM!D:E,2,0),VLOOKUP(M978,PARAM!J:K,2,0),VLOOKUP(N978,PARAM!G:H,2,0),VLOOKUP(P978,PARAM!P:Q,2,0),"*"),"")</f>
        <v/>
      </c>
      <c r="S978" s="18" t="str">
        <f>IFERROR(CONCATENATE(VLOOKUP(L978,PARAM!D:E,2,0),VLOOKUP(M978,PARAM!J:K,2,0),VLOOKUP(N978,PARAM!G:H,2,0),VLOOKUP(O978,PARAM!M:N,2,0),VLOOKUP(P978,PARAM!P:Q,2,0)),"")</f>
        <v/>
      </c>
      <c r="T978" s="18">
        <f t="shared" si="4"/>
        <v>0</v>
      </c>
      <c r="U978" s="18" t="str">
        <f t="shared" si="5"/>
        <v>   </v>
      </c>
    </row>
    <row r="979">
      <c r="A979" s="1"/>
      <c r="B979" s="1"/>
      <c r="C979" s="1"/>
      <c r="D979" s="1"/>
      <c r="E979" s="2"/>
      <c r="F979" s="1"/>
      <c r="G979" s="65">
        <f t="shared" si="7"/>
        <v>0</v>
      </c>
      <c r="H979" s="1"/>
      <c r="I979" s="1"/>
      <c r="J979" s="1"/>
      <c r="K979" s="18"/>
      <c r="L979" s="18"/>
      <c r="M979" s="18"/>
      <c r="N979" s="18"/>
      <c r="O979" s="18"/>
      <c r="P979" s="67" t="s">
        <v>503</v>
      </c>
      <c r="Q979" s="18" t="s">
        <v>476</v>
      </c>
      <c r="R979" s="68" t="str">
        <f>IFERROR(CONCATENATE("*",VLOOKUP(L979,PARAM!D:E,2,0),VLOOKUP(M979,PARAM!J:K,2,0),VLOOKUP(N979,PARAM!G:H,2,0),VLOOKUP(P979,PARAM!P:Q,2,0),"*"),"")</f>
        <v/>
      </c>
      <c r="S979" s="18" t="str">
        <f>IFERROR(CONCATENATE(VLOOKUP(L979,PARAM!D:E,2,0),VLOOKUP(M979,PARAM!J:K,2,0),VLOOKUP(N979,PARAM!G:H,2,0),VLOOKUP(O979,PARAM!M:N,2,0),VLOOKUP(P979,PARAM!P:Q,2,0)),"")</f>
        <v/>
      </c>
      <c r="T979" s="18">
        <f t="shared" si="4"/>
        <v>0</v>
      </c>
      <c r="U979" s="18" t="str">
        <f t="shared" si="5"/>
        <v>   </v>
      </c>
    </row>
    <row r="980">
      <c r="A980" s="1"/>
      <c r="B980" s="1"/>
      <c r="C980" s="1"/>
      <c r="D980" s="1"/>
      <c r="E980" s="2"/>
      <c r="F980" s="1"/>
      <c r="G980" s="65">
        <f t="shared" si="7"/>
        <v>0</v>
      </c>
      <c r="H980" s="1"/>
      <c r="I980" s="1"/>
      <c r="J980" s="1"/>
      <c r="K980" s="18"/>
      <c r="L980" s="18"/>
      <c r="M980" s="18"/>
      <c r="N980" s="18"/>
      <c r="O980" s="18"/>
      <c r="P980" s="67" t="s">
        <v>503</v>
      </c>
      <c r="Q980" s="18" t="s">
        <v>476</v>
      </c>
      <c r="R980" s="68" t="str">
        <f>IFERROR(CONCATENATE("*",VLOOKUP(L980,PARAM!D:E,2,0),VLOOKUP(M980,PARAM!J:K,2,0),VLOOKUP(N980,PARAM!G:H,2,0),VLOOKUP(P980,PARAM!P:Q,2,0),"*"),"")</f>
        <v/>
      </c>
      <c r="S980" s="18" t="str">
        <f>IFERROR(CONCATENATE(VLOOKUP(L980,PARAM!D:E,2,0),VLOOKUP(M980,PARAM!J:K,2,0),VLOOKUP(N980,PARAM!G:H,2,0),VLOOKUP(O980,PARAM!M:N,2,0),VLOOKUP(P980,PARAM!P:Q,2,0)),"")</f>
        <v/>
      </c>
      <c r="T980" s="18">
        <f t="shared" si="4"/>
        <v>0</v>
      </c>
      <c r="U980" s="18" t="str">
        <f t="shared" si="5"/>
        <v>   </v>
      </c>
    </row>
    <row r="981">
      <c r="A981" s="1"/>
      <c r="B981" s="1"/>
      <c r="C981" s="1"/>
      <c r="D981" s="1"/>
      <c r="E981" s="2"/>
      <c r="F981" s="1"/>
      <c r="G981" s="65">
        <f t="shared" si="7"/>
        <v>0</v>
      </c>
      <c r="H981" s="1"/>
      <c r="I981" s="1"/>
      <c r="J981" s="1"/>
      <c r="K981" s="18"/>
      <c r="L981" s="18"/>
      <c r="M981" s="18"/>
      <c r="N981" s="18"/>
      <c r="O981" s="18"/>
      <c r="P981" s="67" t="s">
        <v>503</v>
      </c>
      <c r="Q981" s="18" t="s">
        <v>476</v>
      </c>
      <c r="R981" s="68" t="str">
        <f>IFERROR(CONCATENATE("*",VLOOKUP(L981,PARAM!D:E,2,0),VLOOKUP(M981,PARAM!J:K,2,0),VLOOKUP(N981,PARAM!G:H,2,0),VLOOKUP(P981,PARAM!P:Q,2,0),"*"),"")</f>
        <v/>
      </c>
      <c r="S981" s="18" t="str">
        <f>IFERROR(CONCATENATE(VLOOKUP(L981,PARAM!D:E,2,0),VLOOKUP(M981,PARAM!J:K,2,0),VLOOKUP(N981,PARAM!G:H,2,0),VLOOKUP(O981,PARAM!M:N,2,0),VLOOKUP(P981,PARAM!P:Q,2,0)),"")</f>
        <v/>
      </c>
      <c r="T981" s="18">
        <f t="shared" si="4"/>
        <v>0</v>
      </c>
      <c r="U981" s="18" t="str">
        <f t="shared" si="5"/>
        <v>   </v>
      </c>
    </row>
    <row r="982">
      <c r="A982" s="1"/>
      <c r="B982" s="1"/>
      <c r="C982" s="1"/>
      <c r="D982" s="1"/>
      <c r="E982" s="2"/>
      <c r="F982" s="1"/>
      <c r="G982" s="65">
        <f t="shared" si="7"/>
        <v>0</v>
      </c>
      <c r="H982" s="1"/>
      <c r="I982" s="1"/>
      <c r="J982" s="1"/>
      <c r="K982" s="18"/>
      <c r="L982" s="18"/>
      <c r="M982" s="18"/>
      <c r="N982" s="18"/>
      <c r="O982" s="18"/>
      <c r="P982" s="67" t="s">
        <v>503</v>
      </c>
      <c r="Q982" s="18" t="s">
        <v>476</v>
      </c>
      <c r="R982" s="68" t="str">
        <f>IFERROR(CONCATENATE("*",VLOOKUP(L982,PARAM!D:E,2,0),VLOOKUP(M982,PARAM!J:K,2,0),VLOOKUP(N982,PARAM!G:H,2,0),VLOOKUP(P982,PARAM!P:Q,2,0),"*"),"")</f>
        <v/>
      </c>
      <c r="S982" s="18" t="str">
        <f>IFERROR(CONCATENATE(VLOOKUP(L982,PARAM!D:E,2,0),VLOOKUP(M982,PARAM!J:K,2,0),VLOOKUP(N982,PARAM!G:H,2,0),VLOOKUP(O982,PARAM!M:N,2,0),VLOOKUP(P982,PARAM!P:Q,2,0)),"")</f>
        <v/>
      </c>
      <c r="T982" s="18">
        <f t="shared" si="4"/>
        <v>0</v>
      </c>
      <c r="U982" s="18" t="str">
        <f t="shared" si="5"/>
        <v>   </v>
      </c>
    </row>
    <row r="983">
      <c r="A983" s="1"/>
      <c r="B983" s="1"/>
      <c r="C983" s="1"/>
      <c r="D983" s="1"/>
      <c r="E983" s="2"/>
      <c r="F983" s="1"/>
      <c r="G983" s="65">
        <f t="shared" si="7"/>
        <v>0</v>
      </c>
      <c r="H983" s="1"/>
      <c r="I983" s="1"/>
      <c r="J983" s="1"/>
      <c r="K983" s="18"/>
      <c r="L983" s="18"/>
      <c r="M983" s="18"/>
      <c r="N983" s="18"/>
      <c r="O983" s="18"/>
      <c r="P983" s="67" t="s">
        <v>503</v>
      </c>
      <c r="Q983" s="18" t="s">
        <v>476</v>
      </c>
      <c r="R983" s="68" t="str">
        <f>IFERROR(CONCATENATE("*",VLOOKUP(L983,PARAM!D:E,2,0),VLOOKUP(M983,PARAM!J:K,2,0),VLOOKUP(N983,PARAM!G:H,2,0),VLOOKUP(P983,PARAM!P:Q,2,0),"*"),"")</f>
        <v/>
      </c>
      <c r="S983" s="18" t="str">
        <f>IFERROR(CONCATENATE(VLOOKUP(L983,PARAM!D:E,2,0),VLOOKUP(M983,PARAM!J:K,2,0),VLOOKUP(N983,PARAM!G:H,2,0),VLOOKUP(O983,PARAM!M:N,2,0),VLOOKUP(P983,PARAM!P:Q,2,0)),"")</f>
        <v/>
      </c>
      <c r="T983" s="18">
        <f t="shared" si="4"/>
        <v>0</v>
      </c>
      <c r="U983" s="18" t="str">
        <f t="shared" si="5"/>
        <v>   </v>
      </c>
    </row>
    <row r="984">
      <c r="A984" s="1"/>
      <c r="B984" s="1"/>
      <c r="C984" s="1"/>
      <c r="D984" s="1"/>
      <c r="E984" s="2"/>
      <c r="F984" s="1"/>
      <c r="G984" s="65">
        <f t="shared" si="7"/>
        <v>0</v>
      </c>
      <c r="H984" s="1"/>
      <c r="I984" s="1"/>
      <c r="J984" s="1"/>
      <c r="K984" s="18"/>
      <c r="L984" s="18"/>
      <c r="M984" s="18"/>
      <c r="N984" s="18"/>
      <c r="O984" s="18"/>
      <c r="P984" s="67" t="s">
        <v>503</v>
      </c>
      <c r="Q984" s="18" t="s">
        <v>476</v>
      </c>
      <c r="R984" s="68" t="str">
        <f>IFERROR(CONCATENATE("*",VLOOKUP(L984,PARAM!D:E,2,0),VLOOKUP(M984,PARAM!J:K,2,0),VLOOKUP(N984,PARAM!G:H,2,0),VLOOKUP(P984,PARAM!P:Q,2,0),"*"),"")</f>
        <v/>
      </c>
      <c r="S984" s="18" t="str">
        <f>IFERROR(CONCATENATE(VLOOKUP(L984,PARAM!D:E,2,0),VLOOKUP(M984,PARAM!J:K,2,0),VLOOKUP(N984,PARAM!G:H,2,0),VLOOKUP(O984,PARAM!M:N,2,0),VLOOKUP(P984,PARAM!P:Q,2,0)),"")</f>
        <v/>
      </c>
      <c r="T984" s="18">
        <f t="shared" si="4"/>
        <v>0</v>
      </c>
      <c r="U984" s="18" t="str">
        <f t="shared" si="5"/>
        <v>   </v>
      </c>
    </row>
    <row r="985">
      <c r="A985" s="1"/>
      <c r="B985" s="1"/>
      <c r="C985" s="1"/>
      <c r="D985" s="1"/>
      <c r="E985" s="2"/>
      <c r="F985" s="1"/>
      <c r="G985" s="65">
        <f t="shared" si="7"/>
        <v>0</v>
      </c>
      <c r="H985" s="1"/>
      <c r="I985" s="1"/>
      <c r="J985" s="1"/>
      <c r="K985" s="18"/>
      <c r="L985" s="18"/>
      <c r="M985" s="18"/>
      <c r="N985" s="18"/>
      <c r="O985" s="18"/>
      <c r="P985" s="67" t="s">
        <v>503</v>
      </c>
      <c r="Q985" s="18" t="s">
        <v>476</v>
      </c>
      <c r="R985" s="68" t="str">
        <f>IFERROR(CONCATENATE("*",VLOOKUP(L985,PARAM!D:E,2,0),VLOOKUP(M985,PARAM!J:K,2,0),VLOOKUP(N985,PARAM!G:H,2,0),VLOOKUP(P985,PARAM!P:Q,2,0),"*"),"")</f>
        <v/>
      </c>
      <c r="S985" s="18" t="str">
        <f>IFERROR(CONCATENATE(VLOOKUP(L985,PARAM!D:E,2,0),VLOOKUP(M985,PARAM!J:K,2,0),VLOOKUP(N985,PARAM!G:H,2,0),VLOOKUP(O985,PARAM!M:N,2,0),VLOOKUP(P985,PARAM!P:Q,2,0)),"")</f>
        <v/>
      </c>
      <c r="T985" s="18">
        <f t="shared" si="4"/>
        <v>0</v>
      </c>
      <c r="U985" s="18" t="str">
        <f t="shared" si="5"/>
        <v>   </v>
      </c>
    </row>
    <row r="986">
      <c r="A986" s="1"/>
      <c r="B986" s="1"/>
      <c r="C986" s="1"/>
      <c r="D986" s="1"/>
      <c r="E986" s="2"/>
      <c r="F986" s="1"/>
      <c r="G986" s="65">
        <f t="shared" si="7"/>
        <v>0</v>
      </c>
      <c r="H986" s="1"/>
      <c r="I986" s="1"/>
      <c r="J986" s="1"/>
      <c r="K986" s="18"/>
      <c r="L986" s="18"/>
      <c r="M986" s="18"/>
      <c r="N986" s="18"/>
      <c r="O986" s="18"/>
      <c r="P986" s="67" t="s">
        <v>503</v>
      </c>
      <c r="Q986" s="18" t="s">
        <v>476</v>
      </c>
      <c r="R986" s="68" t="str">
        <f>IFERROR(CONCATENATE("*",VLOOKUP(L986,PARAM!D:E,2,0),VLOOKUP(M986,PARAM!J:K,2,0),VLOOKUP(N986,PARAM!G:H,2,0),VLOOKUP(P986,PARAM!P:Q,2,0),"*"),"")</f>
        <v/>
      </c>
      <c r="S986" s="18" t="str">
        <f>IFERROR(CONCATENATE(VLOOKUP(L986,PARAM!D:E,2,0),VLOOKUP(M986,PARAM!J:K,2,0),VLOOKUP(N986,PARAM!G:H,2,0),VLOOKUP(O986,PARAM!M:N,2,0),VLOOKUP(P986,PARAM!P:Q,2,0)),"")</f>
        <v/>
      </c>
      <c r="T986" s="18">
        <f t="shared" si="4"/>
        <v>0</v>
      </c>
      <c r="U986" s="18" t="str">
        <f t="shared" si="5"/>
        <v>   </v>
      </c>
    </row>
    <row r="987">
      <c r="A987" s="1"/>
      <c r="B987" s="1"/>
      <c r="C987" s="1"/>
      <c r="D987" s="1"/>
      <c r="E987" s="2"/>
      <c r="F987" s="1"/>
      <c r="G987" s="65">
        <f t="shared" si="7"/>
        <v>0</v>
      </c>
      <c r="H987" s="1"/>
      <c r="I987" s="1"/>
      <c r="J987" s="1"/>
      <c r="K987" s="18"/>
      <c r="L987" s="18"/>
      <c r="M987" s="18"/>
      <c r="N987" s="18"/>
      <c r="O987" s="18"/>
      <c r="P987" s="67" t="s">
        <v>503</v>
      </c>
      <c r="Q987" s="18" t="s">
        <v>476</v>
      </c>
      <c r="R987" s="68" t="str">
        <f>IFERROR(CONCATENATE("*",VLOOKUP(L987,PARAM!D:E,2,0),VLOOKUP(M987,PARAM!J:K,2,0),VLOOKUP(N987,PARAM!G:H,2,0),VLOOKUP(P987,PARAM!P:Q,2,0),"*"),"")</f>
        <v/>
      </c>
      <c r="S987" s="18" t="str">
        <f>IFERROR(CONCATENATE(VLOOKUP(L987,PARAM!D:E,2,0),VLOOKUP(M987,PARAM!J:K,2,0),VLOOKUP(N987,PARAM!G:H,2,0),VLOOKUP(O987,PARAM!M:N,2,0),VLOOKUP(P987,PARAM!P:Q,2,0)),"")</f>
        <v/>
      </c>
      <c r="T987" s="18">
        <f t="shared" si="4"/>
        <v>0</v>
      </c>
      <c r="U987" s="18" t="str">
        <f t="shared" si="5"/>
        <v>   </v>
      </c>
    </row>
    <row r="988">
      <c r="A988" s="1"/>
      <c r="B988" s="1"/>
      <c r="C988" s="1"/>
      <c r="D988" s="1"/>
      <c r="E988" s="2"/>
      <c r="F988" s="1"/>
      <c r="G988" s="65">
        <f t="shared" si="7"/>
        <v>0</v>
      </c>
      <c r="H988" s="1"/>
      <c r="I988" s="1"/>
      <c r="J988" s="1"/>
      <c r="K988" s="18"/>
      <c r="L988" s="18"/>
      <c r="M988" s="18"/>
      <c r="N988" s="18"/>
      <c r="O988" s="18"/>
      <c r="P988" s="67" t="s">
        <v>503</v>
      </c>
      <c r="Q988" s="18" t="s">
        <v>476</v>
      </c>
      <c r="R988" s="68" t="str">
        <f>IFERROR(CONCATENATE("*",VLOOKUP(L988,PARAM!D:E,2,0),VLOOKUP(M988,PARAM!J:K,2,0),VLOOKUP(N988,PARAM!G:H,2,0),VLOOKUP(P988,PARAM!P:Q,2,0),"*"),"")</f>
        <v/>
      </c>
      <c r="S988" s="18" t="str">
        <f>IFERROR(CONCATENATE(VLOOKUP(L988,PARAM!D:E,2,0),VLOOKUP(M988,PARAM!J:K,2,0),VLOOKUP(N988,PARAM!G:H,2,0),VLOOKUP(O988,PARAM!M:N,2,0),VLOOKUP(P988,PARAM!P:Q,2,0)),"")</f>
        <v/>
      </c>
      <c r="T988" s="18">
        <f t="shared" si="4"/>
        <v>0</v>
      </c>
      <c r="U988" s="18" t="str">
        <f t="shared" si="5"/>
        <v>   </v>
      </c>
    </row>
    <row r="989">
      <c r="A989" s="1"/>
      <c r="B989" s="1"/>
      <c r="C989" s="1"/>
      <c r="D989" s="1"/>
      <c r="E989" s="2"/>
      <c r="F989" s="1"/>
      <c r="G989" s="65">
        <f t="shared" si="7"/>
        <v>0</v>
      </c>
      <c r="H989" s="1"/>
      <c r="I989" s="1"/>
      <c r="J989" s="1"/>
      <c r="K989" s="18"/>
      <c r="L989" s="18"/>
      <c r="M989" s="18"/>
      <c r="N989" s="18"/>
      <c r="O989" s="18"/>
      <c r="P989" s="67" t="s">
        <v>503</v>
      </c>
      <c r="Q989" s="18" t="s">
        <v>476</v>
      </c>
      <c r="R989" s="68" t="str">
        <f>IFERROR(CONCATENATE("*",VLOOKUP(L989,PARAM!D:E,2,0),VLOOKUP(M989,PARAM!J:K,2,0),VLOOKUP(N989,PARAM!G:H,2,0),VLOOKUP(P989,PARAM!P:Q,2,0),"*"),"")</f>
        <v/>
      </c>
      <c r="S989" s="18" t="str">
        <f>IFERROR(CONCATENATE(VLOOKUP(L989,PARAM!D:E,2,0),VLOOKUP(M989,PARAM!J:K,2,0),VLOOKUP(N989,PARAM!G:H,2,0),VLOOKUP(O989,PARAM!M:N,2,0),VLOOKUP(P989,PARAM!P:Q,2,0)),"")</f>
        <v/>
      </c>
      <c r="T989" s="18">
        <f t="shared" si="4"/>
        <v>0</v>
      </c>
      <c r="U989" s="18" t="str">
        <f t="shared" si="5"/>
        <v>   </v>
      </c>
    </row>
    <row r="990">
      <c r="A990" s="1"/>
      <c r="B990" s="1"/>
      <c r="C990" s="1"/>
      <c r="D990" s="1"/>
      <c r="E990" s="2"/>
      <c r="F990" s="1"/>
      <c r="G990" s="65">
        <f t="shared" si="7"/>
        <v>0</v>
      </c>
      <c r="H990" s="1"/>
      <c r="I990" s="1"/>
      <c r="J990" s="1"/>
      <c r="K990" s="18"/>
      <c r="L990" s="18"/>
      <c r="M990" s="18"/>
      <c r="N990" s="18"/>
      <c r="O990" s="18"/>
      <c r="P990" s="67" t="s">
        <v>503</v>
      </c>
      <c r="Q990" s="18" t="s">
        <v>476</v>
      </c>
      <c r="R990" s="68" t="str">
        <f>IFERROR(CONCATENATE("*",VLOOKUP(L990,PARAM!D:E,2,0),VLOOKUP(M990,PARAM!J:K,2,0),VLOOKUP(N990,PARAM!G:H,2,0),VLOOKUP(P990,PARAM!P:Q,2,0),"*"),"")</f>
        <v/>
      </c>
      <c r="S990" s="18" t="str">
        <f>IFERROR(CONCATENATE(VLOOKUP(L990,PARAM!D:E,2,0),VLOOKUP(M990,PARAM!J:K,2,0),VLOOKUP(N990,PARAM!G:H,2,0),VLOOKUP(O990,PARAM!M:N,2,0),VLOOKUP(P990,PARAM!P:Q,2,0)),"")</f>
        <v/>
      </c>
      <c r="T990" s="18">
        <f t="shared" si="4"/>
        <v>0</v>
      </c>
      <c r="U990" s="18" t="str">
        <f t="shared" si="5"/>
        <v>   </v>
      </c>
    </row>
    <row r="991">
      <c r="A991" s="1"/>
      <c r="B991" s="1"/>
      <c r="C991" s="1"/>
      <c r="D991" s="1"/>
      <c r="E991" s="2"/>
      <c r="F991" s="1"/>
      <c r="G991" s="65">
        <f t="shared" si="7"/>
        <v>0</v>
      </c>
      <c r="H991" s="1"/>
      <c r="I991" s="1"/>
      <c r="J991" s="1"/>
      <c r="K991" s="18"/>
      <c r="L991" s="18"/>
      <c r="M991" s="18"/>
      <c r="N991" s="18"/>
      <c r="O991" s="18"/>
      <c r="P991" s="67" t="s">
        <v>503</v>
      </c>
      <c r="Q991" s="18" t="s">
        <v>476</v>
      </c>
      <c r="R991" s="68" t="str">
        <f>IFERROR(CONCATENATE("*",VLOOKUP(L991,PARAM!D:E,2,0),VLOOKUP(M991,PARAM!J:K,2,0),VLOOKUP(N991,PARAM!G:H,2,0),VLOOKUP(P991,PARAM!P:Q,2,0),"*"),"")</f>
        <v/>
      </c>
      <c r="S991" s="18" t="str">
        <f>IFERROR(CONCATENATE(VLOOKUP(L991,PARAM!D:E,2,0),VLOOKUP(M991,PARAM!J:K,2,0),VLOOKUP(N991,PARAM!G:H,2,0),VLOOKUP(O991,PARAM!M:N,2,0),VLOOKUP(P991,PARAM!P:Q,2,0)),"")</f>
        <v/>
      </c>
      <c r="T991" s="18">
        <f t="shared" si="4"/>
        <v>0</v>
      </c>
      <c r="U991" s="18" t="str">
        <f t="shared" si="5"/>
        <v>   </v>
      </c>
    </row>
    <row r="992">
      <c r="A992" s="1"/>
      <c r="B992" s="1"/>
      <c r="C992" s="1"/>
      <c r="D992" s="1"/>
      <c r="E992" s="2"/>
      <c r="F992" s="1"/>
      <c r="G992" s="65">
        <f t="shared" si="7"/>
        <v>0</v>
      </c>
      <c r="H992" s="1"/>
      <c r="I992" s="1"/>
      <c r="J992" s="1"/>
      <c r="K992" s="18"/>
      <c r="L992" s="18"/>
      <c r="M992" s="18"/>
      <c r="N992" s="18"/>
      <c r="O992" s="18"/>
      <c r="P992" s="67" t="s">
        <v>503</v>
      </c>
      <c r="Q992" s="18" t="s">
        <v>476</v>
      </c>
      <c r="R992" s="68" t="str">
        <f>IFERROR(CONCATENATE("*",VLOOKUP(L992,PARAM!D:E,2,0),VLOOKUP(M992,PARAM!J:K,2,0),VLOOKUP(N992,PARAM!G:H,2,0),VLOOKUP(P992,PARAM!P:Q,2,0),"*"),"")</f>
        <v/>
      </c>
      <c r="S992" s="18" t="str">
        <f>IFERROR(CONCATENATE(VLOOKUP(L992,PARAM!D:E,2,0),VLOOKUP(M992,PARAM!J:K,2,0),VLOOKUP(N992,PARAM!G:H,2,0),VLOOKUP(O992,PARAM!M:N,2,0),VLOOKUP(P992,PARAM!P:Q,2,0)),"")</f>
        <v/>
      </c>
      <c r="T992" s="18">
        <f t="shared" si="4"/>
        <v>0</v>
      </c>
      <c r="U992" s="18" t="str">
        <f t="shared" si="5"/>
        <v>   </v>
      </c>
    </row>
    <row r="993">
      <c r="A993" s="1"/>
      <c r="B993" s="1"/>
      <c r="C993" s="1"/>
      <c r="D993" s="1"/>
      <c r="E993" s="2"/>
      <c r="F993" s="1"/>
      <c r="G993" s="65">
        <f t="shared" si="7"/>
        <v>0</v>
      </c>
      <c r="H993" s="1"/>
      <c r="I993" s="1"/>
      <c r="J993" s="1"/>
      <c r="K993" s="18"/>
      <c r="L993" s="18"/>
      <c r="M993" s="18"/>
      <c r="N993" s="18"/>
      <c r="O993" s="18"/>
      <c r="P993" s="67" t="s">
        <v>503</v>
      </c>
      <c r="Q993" s="18" t="s">
        <v>476</v>
      </c>
      <c r="R993" s="68" t="str">
        <f>IFERROR(CONCATENATE("*",VLOOKUP(L993,PARAM!D:E,2,0),VLOOKUP(M993,PARAM!J:K,2,0),VLOOKUP(N993,PARAM!G:H,2,0),VLOOKUP(P993,PARAM!P:Q,2,0),"*"),"")</f>
        <v/>
      </c>
      <c r="S993" s="18" t="str">
        <f>IFERROR(CONCATENATE(VLOOKUP(L993,PARAM!D:E,2,0),VLOOKUP(M993,PARAM!J:K,2,0),VLOOKUP(N993,PARAM!G:H,2,0),VLOOKUP(O993,PARAM!M:N,2,0),VLOOKUP(P993,PARAM!P:Q,2,0)),"")</f>
        <v/>
      </c>
      <c r="T993" s="18">
        <f t="shared" si="4"/>
        <v>0</v>
      </c>
      <c r="U993" s="18" t="str">
        <f t="shared" si="5"/>
        <v>   </v>
      </c>
    </row>
    <row r="994">
      <c r="A994" s="1"/>
      <c r="B994" s="1"/>
      <c r="C994" s="1"/>
      <c r="D994" s="1"/>
      <c r="E994" s="2"/>
      <c r="F994" s="1"/>
      <c r="G994" s="65">
        <f t="shared" si="7"/>
        <v>0</v>
      </c>
      <c r="H994" s="1"/>
      <c r="I994" s="1"/>
      <c r="J994" s="1"/>
      <c r="K994" s="18"/>
      <c r="L994" s="18"/>
      <c r="M994" s="18"/>
      <c r="N994" s="18"/>
      <c r="O994" s="18"/>
      <c r="P994" s="67" t="s">
        <v>503</v>
      </c>
      <c r="Q994" s="18" t="s">
        <v>476</v>
      </c>
      <c r="R994" s="68" t="str">
        <f>IFERROR(CONCATENATE("*",VLOOKUP(L994,PARAM!D:E,2,0),VLOOKUP(M994,PARAM!J:K,2,0),VLOOKUP(N994,PARAM!G:H,2,0),VLOOKUP(P994,PARAM!P:Q,2,0),"*"),"")</f>
        <v/>
      </c>
      <c r="S994" s="18" t="str">
        <f>IFERROR(CONCATENATE(VLOOKUP(L994,PARAM!D:E,2,0),VLOOKUP(M994,PARAM!J:K,2,0),VLOOKUP(N994,PARAM!G:H,2,0),VLOOKUP(O994,PARAM!M:N,2,0),VLOOKUP(P994,PARAM!P:Q,2,0)),"")</f>
        <v/>
      </c>
      <c r="T994" s="18">
        <f t="shared" si="4"/>
        <v>0</v>
      </c>
      <c r="U994" s="18" t="str">
        <f t="shared" si="5"/>
        <v>   </v>
      </c>
    </row>
    <row r="995">
      <c r="A995" s="1"/>
      <c r="B995" s="1"/>
      <c r="C995" s="1"/>
      <c r="D995" s="1"/>
      <c r="E995" s="2"/>
      <c r="F995" s="1"/>
      <c r="G995" s="65">
        <f t="shared" si="7"/>
        <v>0</v>
      </c>
      <c r="H995" s="1"/>
      <c r="I995" s="1"/>
      <c r="J995" s="1"/>
      <c r="K995" s="18"/>
      <c r="L995" s="18"/>
      <c r="M995" s="18"/>
      <c r="N995" s="18"/>
      <c r="O995" s="18"/>
      <c r="P995" s="67" t="s">
        <v>503</v>
      </c>
      <c r="Q995" s="18" t="s">
        <v>476</v>
      </c>
      <c r="R995" s="68" t="str">
        <f>IFERROR(CONCATENATE("*",VLOOKUP(L995,PARAM!D:E,2,0),VLOOKUP(M995,PARAM!J:K,2,0),VLOOKUP(N995,PARAM!G:H,2,0),VLOOKUP(P995,PARAM!P:Q,2,0),"*"),"")</f>
        <v/>
      </c>
      <c r="S995" s="18" t="str">
        <f>IFERROR(CONCATENATE(VLOOKUP(L995,PARAM!D:E,2,0),VLOOKUP(M995,PARAM!J:K,2,0),VLOOKUP(N995,PARAM!G:H,2,0),VLOOKUP(O995,PARAM!M:N,2,0),VLOOKUP(P995,PARAM!P:Q,2,0)),"")</f>
        <v/>
      </c>
      <c r="T995" s="18">
        <f t="shared" si="4"/>
        <v>0</v>
      </c>
      <c r="U995" s="18" t="str">
        <f t="shared" si="5"/>
        <v>   </v>
      </c>
    </row>
    <row r="996">
      <c r="A996" s="1"/>
      <c r="B996" s="1"/>
      <c r="C996" s="1"/>
      <c r="D996" s="1"/>
      <c r="E996" s="2"/>
      <c r="F996" s="1"/>
      <c r="G996" s="65">
        <f t="shared" si="7"/>
        <v>0</v>
      </c>
      <c r="H996" s="1"/>
      <c r="I996" s="1"/>
      <c r="J996" s="1"/>
      <c r="K996" s="18"/>
      <c r="L996" s="18"/>
      <c r="M996" s="18"/>
      <c r="N996" s="18"/>
      <c r="O996" s="18"/>
      <c r="P996" s="67" t="s">
        <v>503</v>
      </c>
      <c r="Q996" s="18" t="s">
        <v>476</v>
      </c>
      <c r="R996" s="68" t="str">
        <f>IFERROR(CONCATENATE("*",VLOOKUP(L996,PARAM!D:E,2,0),VLOOKUP(M996,PARAM!J:K,2,0),VLOOKUP(N996,PARAM!G:H,2,0),VLOOKUP(P996,PARAM!P:Q,2,0),"*"),"")</f>
        <v/>
      </c>
      <c r="S996" s="18" t="str">
        <f>IFERROR(CONCATENATE(VLOOKUP(L996,PARAM!D:E,2,0),VLOOKUP(M996,PARAM!J:K,2,0),VLOOKUP(N996,PARAM!G:H,2,0),VLOOKUP(O996,PARAM!M:N,2,0),VLOOKUP(P996,PARAM!P:Q,2,0)),"")</f>
        <v/>
      </c>
      <c r="T996" s="18">
        <f t="shared" si="4"/>
        <v>0</v>
      </c>
      <c r="U996" s="18" t="str">
        <f t="shared" si="5"/>
        <v>   </v>
      </c>
    </row>
    <row r="997">
      <c r="A997" s="1"/>
      <c r="B997" s="1"/>
      <c r="C997" s="1"/>
      <c r="D997" s="1"/>
      <c r="E997" s="2"/>
      <c r="F997" s="1"/>
      <c r="G997" s="65">
        <f t="shared" si="7"/>
        <v>0</v>
      </c>
      <c r="H997" s="1"/>
      <c r="I997" s="1"/>
      <c r="J997" s="1"/>
      <c r="K997" s="18"/>
      <c r="L997" s="18"/>
      <c r="M997" s="18"/>
      <c r="N997" s="18"/>
      <c r="O997" s="18"/>
      <c r="P997" s="67" t="s">
        <v>503</v>
      </c>
      <c r="Q997" s="18" t="s">
        <v>476</v>
      </c>
      <c r="R997" s="68" t="str">
        <f>IFERROR(CONCATENATE("*",VLOOKUP(L997,PARAM!D:E,2,0),VLOOKUP(M997,PARAM!J:K,2,0),VLOOKUP(N997,PARAM!G:H,2,0),VLOOKUP(P997,PARAM!P:Q,2,0),"*"),"")</f>
        <v/>
      </c>
      <c r="S997" s="18" t="str">
        <f>IFERROR(CONCATENATE(VLOOKUP(L997,PARAM!D:E,2,0),VLOOKUP(M997,PARAM!J:K,2,0),VLOOKUP(N997,PARAM!G:H,2,0),VLOOKUP(O997,PARAM!M:N,2,0),VLOOKUP(P997,PARAM!P:Q,2,0)),"")</f>
        <v/>
      </c>
      <c r="T997" s="18">
        <f t="shared" si="4"/>
        <v>0</v>
      </c>
      <c r="U997" s="18" t="str">
        <f t="shared" si="5"/>
        <v>   </v>
      </c>
    </row>
    <row r="998">
      <c r="A998" s="1"/>
      <c r="B998" s="1"/>
      <c r="C998" s="1"/>
      <c r="D998" s="1"/>
      <c r="E998" s="2"/>
      <c r="F998" s="1"/>
      <c r="G998" s="65">
        <f t="shared" si="7"/>
        <v>0</v>
      </c>
      <c r="H998" s="1"/>
      <c r="I998" s="1"/>
      <c r="J998" s="1"/>
      <c r="K998" s="18"/>
      <c r="L998" s="18"/>
      <c r="M998" s="18"/>
      <c r="N998" s="18"/>
      <c r="O998" s="18"/>
      <c r="P998" s="67" t="s">
        <v>503</v>
      </c>
      <c r="Q998" s="18" t="s">
        <v>476</v>
      </c>
      <c r="R998" s="68" t="str">
        <f>IFERROR(CONCATENATE("*",VLOOKUP(L998,PARAM!D:E,2,0),VLOOKUP(M998,PARAM!J:K,2,0),VLOOKUP(N998,PARAM!G:H,2,0),VLOOKUP(P998,PARAM!P:Q,2,0),"*"),"")</f>
        <v/>
      </c>
      <c r="S998" s="18" t="str">
        <f>IFERROR(CONCATENATE(VLOOKUP(L998,PARAM!D:E,2,0),VLOOKUP(M998,PARAM!J:K,2,0),VLOOKUP(N998,PARAM!G:H,2,0),VLOOKUP(O998,PARAM!M:N,2,0),VLOOKUP(P998,PARAM!P:Q,2,0)),"")</f>
        <v/>
      </c>
      <c r="T998" s="18">
        <f t="shared" si="4"/>
        <v>0</v>
      </c>
      <c r="U998" s="18" t="str">
        <f t="shared" si="5"/>
        <v>   </v>
      </c>
    </row>
    <row r="999">
      <c r="A999" s="1"/>
      <c r="B999" s="1"/>
      <c r="C999" s="1"/>
      <c r="D999" s="1"/>
      <c r="E999" s="2"/>
      <c r="F999" s="1"/>
      <c r="G999" s="65">
        <f t="shared" si="7"/>
        <v>0</v>
      </c>
      <c r="H999" s="1"/>
      <c r="I999" s="1"/>
      <c r="J999" s="1"/>
      <c r="K999" s="18"/>
      <c r="L999" s="18"/>
      <c r="M999" s="18"/>
      <c r="N999" s="18"/>
      <c r="O999" s="18"/>
      <c r="P999" s="67" t="s">
        <v>503</v>
      </c>
      <c r="Q999" s="18" t="s">
        <v>476</v>
      </c>
      <c r="R999" s="68" t="str">
        <f>IFERROR(CONCATENATE("*",VLOOKUP(L999,PARAM!D:E,2,0),VLOOKUP(M999,PARAM!J:K,2,0),VLOOKUP(N999,PARAM!G:H,2,0),VLOOKUP(P999,PARAM!P:Q,2,0),"*"),"")</f>
        <v/>
      </c>
      <c r="S999" s="18" t="str">
        <f>IFERROR(CONCATENATE(VLOOKUP(L999,PARAM!D:E,2,0),VLOOKUP(M999,PARAM!J:K,2,0),VLOOKUP(N999,PARAM!G:H,2,0),VLOOKUP(O999,PARAM!M:N,2,0),VLOOKUP(P999,PARAM!P:Q,2,0)),"")</f>
        <v/>
      </c>
      <c r="T999" s="18">
        <f t="shared" si="4"/>
        <v>0</v>
      </c>
      <c r="U999" s="18" t="str">
        <f t="shared" si="5"/>
        <v>   </v>
      </c>
    </row>
    <row r="1000">
      <c r="A1000" s="1"/>
      <c r="B1000" s="1"/>
      <c r="C1000" s="1"/>
      <c r="D1000" s="1"/>
      <c r="E1000" s="2"/>
      <c r="F1000" s="1"/>
      <c r="G1000" s="65">
        <f t="shared" si="7"/>
        <v>0</v>
      </c>
      <c r="H1000" s="1"/>
      <c r="I1000" s="1"/>
      <c r="J1000" s="1"/>
      <c r="K1000" s="18"/>
      <c r="L1000" s="18"/>
      <c r="M1000" s="18"/>
      <c r="N1000" s="18"/>
      <c r="O1000" s="18"/>
      <c r="P1000" s="67" t="s">
        <v>503</v>
      </c>
      <c r="Q1000" s="18" t="s">
        <v>476</v>
      </c>
      <c r="R1000" s="68" t="str">
        <f>IFERROR(CONCATENATE("*",VLOOKUP(L1000,PARAM!D:E,2,0),VLOOKUP(M1000,PARAM!J:K,2,0),VLOOKUP(N1000,PARAM!G:H,2,0),VLOOKUP(P1000,PARAM!P:Q,2,0),"*"),"")</f>
        <v/>
      </c>
      <c r="S1000" s="18" t="str">
        <f>IFERROR(CONCATENATE(VLOOKUP(L1000,PARAM!D:E,2,0),VLOOKUP(M1000,PARAM!J:K,2,0),VLOOKUP(N1000,PARAM!G:H,2,0),VLOOKUP(O1000,PARAM!M:N,2,0),VLOOKUP(P1000,PARAM!P:Q,2,0)),"")</f>
        <v/>
      </c>
      <c r="T1000" s="18">
        <f t="shared" si="4"/>
        <v>0</v>
      </c>
      <c r="U1000" s="18" t="str">
        <f t="shared" si="5"/>
        <v>   </v>
      </c>
    </row>
    <row r="1001">
      <c r="A1001" s="1"/>
      <c r="B1001" s="1"/>
      <c r="C1001" s="1"/>
      <c r="D1001" s="1"/>
      <c r="E1001" s="2"/>
      <c r="F1001" s="1"/>
      <c r="G1001" s="65">
        <f t="shared" si="7"/>
        <v>0</v>
      </c>
      <c r="H1001" s="1"/>
      <c r="I1001" s="1"/>
      <c r="J1001" s="1"/>
      <c r="K1001" s="18"/>
      <c r="L1001" s="18"/>
      <c r="M1001" s="18"/>
      <c r="N1001" s="18"/>
      <c r="O1001" s="18"/>
      <c r="P1001" s="67" t="s">
        <v>503</v>
      </c>
      <c r="Q1001" s="18" t="s">
        <v>476</v>
      </c>
      <c r="R1001" s="68" t="str">
        <f>IFERROR(CONCATENATE("*",VLOOKUP(L1001,PARAM!D:E,2,0),VLOOKUP(M1001,PARAM!J:K,2,0),VLOOKUP(N1001,PARAM!G:H,2,0),VLOOKUP(P1001,PARAM!P:Q,2,0),"*"),"")</f>
        <v/>
      </c>
      <c r="S1001" s="18" t="str">
        <f>IFERROR(CONCATENATE(VLOOKUP(L1001,PARAM!D:E,2,0),VLOOKUP(M1001,PARAM!J:K,2,0),VLOOKUP(N1001,PARAM!G:H,2,0),VLOOKUP(O1001,PARAM!M:N,2,0),VLOOKUP(P1001,PARAM!P:Q,2,0)),"")</f>
        <v/>
      </c>
      <c r="T1001" s="18">
        <f t="shared" si="4"/>
        <v>0</v>
      </c>
      <c r="U1001" s="18" t="str">
        <f t="shared" si="5"/>
        <v>   </v>
      </c>
    </row>
    <row r="1002">
      <c r="A1002" s="1"/>
      <c r="B1002" s="1"/>
      <c r="C1002" s="1"/>
      <c r="D1002" s="1"/>
      <c r="E1002" s="2"/>
      <c r="F1002" s="1"/>
      <c r="G1002" s="65">
        <f t="shared" si="7"/>
        <v>0</v>
      </c>
      <c r="H1002" s="1"/>
      <c r="I1002" s="1"/>
      <c r="J1002" s="1"/>
      <c r="K1002" s="18"/>
      <c r="L1002" s="18"/>
      <c r="M1002" s="18"/>
      <c r="N1002" s="18"/>
      <c r="O1002" s="18"/>
      <c r="P1002" s="67" t="s">
        <v>503</v>
      </c>
      <c r="Q1002" s="18" t="s">
        <v>476</v>
      </c>
      <c r="R1002" s="68" t="str">
        <f>IFERROR(CONCATENATE("*",VLOOKUP(L1002,PARAM!D:E,2,0),VLOOKUP(M1002,PARAM!J:K,2,0),VLOOKUP(N1002,PARAM!G:H,2,0),VLOOKUP(P1002,PARAM!P:Q,2,0),"*"),"")</f>
        <v/>
      </c>
      <c r="S1002" s="18" t="str">
        <f>IFERROR(CONCATENATE(VLOOKUP(L1002,PARAM!D:E,2,0),VLOOKUP(M1002,PARAM!J:K,2,0),VLOOKUP(N1002,PARAM!G:H,2,0),VLOOKUP(O1002,PARAM!M:N,2,0),VLOOKUP(P1002,PARAM!P:Q,2,0)),"")</f>
        <v/>
      </c>
      <c r="T1002" s="18">
        <f t="shared" si="4"/>
        <v>0</v>
      </c>
      <c r="U1002" s="18" t="str">
        <f t="shared" si="5"/>
        <v>   </v>
      </c>
    </row>
    <row r="1003">
      <c r="A1003" s="1"/>
      <c r="B1003" s="1"/>
      <c r="C1003" s="1"/>
      <c r="D1003" s="1"/>
      <c r="E1003" s="2"/>
      <c r="F1003" s="1"/>
      <c r="G1003" s="65">
        <f t="shared" si="7"/>
        <v>0</v>
      </c>
      <c r="H1003" s="1"/>
      <c r="I1003" s="1"/>
      <c r="J1003" s="1"/>
      <c r="K1003" s="18"/>
      <c r="L1003" s="18"/>
      <c r="M1003" s="18"/>
      <c r="N1003" s="18"/>
      <c r="O1003" s="18"/>
      <c r="P1003" s="67" t="s">
        <v>503</v>
      </c>
      <c r="Q1003" s="18" t="s">
        <v>476</v>
      </c>
      <c r="R1003" s="68" t="str">
        <f>IFERROR(CONCATENATE("*",VLOOKUP(L1003,PARAM!D:E,2,0),VLOOKUP(M1003,PARAM!J:K,2,0),VLOOKUP(N1003,PARAM!G:H,2,0),VLOOKUP(P1003,PARAM!P:Q,2,0),"*"),"")</f>
        <v/>
      </c>
      <c r="S1003" s="18" t="str">
        <f>IFERROR(CONCATENATE(VLOOKUP(L1003,PARAM!D:E,2,0),VLOOKUP(M1003,PARAM!J:K,2,0),VLOOKUP(N1003,PARAM!G:H,2,0),VLOOKUP(O1003,PARAM!M:N,2,0),VLOOKUP(P1003,PARAM!P:Q,2,0)),"")</f>
        <v/>
      </c>
      <c r="T1003" s="18">
        <f t="shared" si="4"/>
        <v>0</v>
      </c>
      <c r="U1003" s="18" t="str">
        <f t="shared" si="5"/>
        <v>   </v>
      </c>
    </row>
    <row r="1004">
      <c r="A1004" s="1"/>
      <c r="B1004" s="1"/>
      <c r="C1004" s="1"/>
      <c r="D1004" s="1"/>
      <c r="E1004" s="2"/>
      <c r="F1004" s="1"/>
      <c r="G1004" s="65">
        <f t="shared" si="7"/>
        <v>0</v>
      </c>
      <c r="H1004" s="1"/>
      <c r="I1004" s="1"/>
      <c r="J1004" s="1"/>
      <c r="K1004" s="18"/>
      <c r="L1004" s="18"/>
      <c r="M1004" s="18"/>
      <c r="N1004" s="18"/>
      <c r="O1004" s="18"/>
      <c r="P1004" s="67" t="s">
        <v>503</v>
      </c>
      <c r="Q1004" s="18" t="s">
        <v>476</v>
      </c>
      <c r="R1004" s="68" t="str">
        <f>IFERROR(CONCATENATE("*",VLOOKUP(L1004,PARAM!D:E,2,0),VLOOKUP(M1004,PARAM!J:K,2,0),VLOOKUP(N1004,PARAM!G:H,2,0),VLOOKUP(P1004,PARAM!P:Q,2,0),"*"),"")</f>
        <v/>
      </c>
      <c r="S1004" s="18" t="str">
        <f>IFERROR(CONCATENATE(VLOOKUP(L1004,PARAM!D:E,2,0),VLOOKUP(M1004,PARAM!J:K,2,0),VLOOKUP(N1004,PARAM!G:H,2,0),VLOOKUP(O1004,PARAM!M:N,2,0),VLOOKUP(P1004,PARAM!P:Q,2,0)),"")</f>
        <v/>
      </c>
      <c r="T1004" s="18">
        <f t="shared" si="4"/>
        <v>0</v>
      </c>
      <c r="U1004" s="18" t="str">
        <f t="shared" si="5"/>
        <v>   </v>
      </c>
    </row>
    <row r="1005">
      <c r="A1005" s="1"/>
      <c r="B1005" s="1"/>
      <c r="C1005" s="1"/>
      <c r="D1005" s="1"/>
      <c r="E1005" s="2"/>
      <c r="F1005" s="1"/>
      <c r="G1005" s="65">
        <f t="shared" si="7"/>
        <v>0</v>
      </c>
      <c r="H1005" s="1"/>
      <c r="I1005" s="1"/>
      <c r="J1005" s="1"/>
      <c r="K1005" s="18"/>
      <c r="L1005" s="18"/>
      <c r="M1005" s="18"/>
      <c r="N1005" s="18"/>
      <c r="O1005" s="18"/>
      <c r="P1005" s="67" t="s">
        <v>503</v>
      </c>
      <c r="Q1005" s="18" t="s">
        <v>476</v>
      </c>
      <c r="R1005" s="68" t="str">
        <f>IFERROR(CONCATENATE("*",VLOOKUP(L1005,PARAM!D:E,2,0),VLOOKUP(M1005,PARAM!J:K,2,0),VLOOKUP(N1005,PARAM!G:H,2,0),VLOOKUP(P1005,PARAM!P:Q,2,0),"*"),"")</f>
        <v/>
      </c>
      <c r="S1005" s="18" t="str">
        <f>IFERROR(CONCATENATE(VLOOKUP(L1005,PARAM!D:E,2,0),VLOOKUP(M1005,PARAM!J:K,2,0),VLOOKUP(N1005,PARAM!G:H,2,0),VLOOKUP(O1005,PARAM!M:N,2,0),VLOOKUP(P1005,PARAM!P:Q,2,0)),"")</f>
        <v/>
      </c>
      <c r="T1005" s="18">
        <f t="shared" si="4"/>
        <v>0</v>
      </c>
      <c r="U1005" s="18" t="str">
        <f t="shared" si="5"/>
        <v>   </v>
      </c>
    </row>
    <row r="1006">
      <c r="A1006" s="1"/>
      <c r="B1006" s="1"/>
      <c r="C1006" s="1"/>
      <c r="D1006" s="1"/>
      <c r="E1006" s="2"/>
      <c r="F1006" s="1"/>
      <c r="G1006" s="65">
        <f t="shared" si="7"/>
        <v>0</v>
      </c>
      <c r="H1006" s="1"/>
      <c r="I1006" s="1"/>
      <c r="J1006" s="1"/>
      <c r="K1006" s="18"/>
      <c r="L1006" s="18"/>
      <c r="M1006" s="18"/>
      <c r="N1006" s="18"/>
      <c r="O1006" s="18"/>
      <c r="P1006" s="67" t="s">
        <v>503</v>
      </c>
      <c r="Q1006" s="18" t="s">
        <v>476</v>
      </c>
      <c r="R1006" s="68" t="str">
        <f>IFERROR(CONCATENATE("*",VLOOKUP(L1006,PARAM!D:E,2,0),VLOOKUP(M1006,PARAM!J:K,2,0),VLOOKUP(N1006,PARAM!G:H,2,0),VLOOKUP(P1006,PARAM!P:Q,2,0),"*"),"")</f>
        <v/>
      </c>
      <c r="S1006" s="18" t="str">
        <f>IFERROR(CONCATENATE(VLOOKUP(L1006,PARAM!D:E,2,0),VLOOKUP(M1006,PARAM!J:K,2,0),VLOOKUP(N1006,PARAM!G:H,2,0),VLOOKUP(O1006,PARAM!M:N,2,0),VLOOKUP(P1006,PARAM!P:Q,2,0)),"")</f>
        <v/>
      </c>
      <c r="T1006" s="18">
        <f t="shared" si="4"/>
        <v>0</v>
      </c>
      <c r="U1006" s="18" t="str">
        <f t="shared" si="5"/>
        <v>   </v>
      </c>
    </row>
    <row r="1007">
      <c r="A1007" s="1"/>
      <c r="B1007" s="1"/>
      <c r="C1007" s="1"/>
      <c r="D1007" s="1"/>
      <c r="E1007" s="2"/>
      <c r="F1007" s="1"/>
      <c r="G1007" s="65">
        <f t="shared" si="7"/>
        <v>0</v>
      </c>
      <c r="H1007" s="1"/>
      <c r="I1007" s="1"/>
      <c r="J1007" s="1"/>
      <c r="K1007" s="18"/>
      <c r="L1007" s="18"/>
      <c r="M1007" s="18"/>
      <c r="N1007" s="18"/>
      <c r="O1007" s="18"/>
      <c r="P1007" s="67" t="s">
        <v>503</v>
      </c>
      <c r="Q1007" s="18" t="s">
        <v>476</v>
      </c>
      <c r="R1007" s="68" t="str">
        <f>IFERROR(CONCATENATE("*",VLOOKUP(L1007,PARAM!D:E,2,0),VLOOKUP(M1007,PARAM!J:K,2,0),VLOOKUP(N1007,PARAM!G:H,2,0),VLOOKUP(P1007,PARAM!P:Q,2,0),"*"),"")</f>
        <v/>
      </c>
      <c r="S1007" s="18" t="str">
        <f>IFERROR(CONCATENATE(VLOOKUP(L1007,PARAM!D:E,2,0),VLOOKUP(M1007,PARAM!J:K,2,0),VLOOKUP(N1007,PARAM!G:H,2,0),VLOOKUP(O1007,PARAM!M:N,2,0),VLOOKUP(P1007,PARAM!P:Q,2,0)),"")</f>
        <v/>
      </c>
      <c r="T1007" s="18">
        <f t="shared" si="4"/>
        <v>0</v>
      </c>
      <c r="U1007" s="18" t="str">
        <f t="shared" si="5"/>
        <v>   </v>
      </c>
    </row>
    <row r="1008">
      <c r="A1008" s="1"/>
      <c r="B1008" s="1"/>
      <c r="C1008" s="1"/>
      <c r="D1008" s="1"/>
      <c r="E1008" s="2"/>
      <c r="F1008" s="1"/>
      <c r="G1008" s="65">
        <f t="shared" si="7"/>
        <v>0</v>
      </c>
      <c r="H1008" s="1"/>
      <c r="I1008" s="1"/>
      <c r="J1008" s="1"/>
      <c r="K1008" s="18"/>
      <c r="L1008" s="18"/>
      <c r="M1008" s="18"/>
      <c r="N1008" s="18"/>
      <c r="O1008" s="18"/>
      <c r="P1008" s="67" t="s">
        <v>503</v>
      </c>
      <c r="Q1008" s="18" t="s">
        <v>476</v>
      </c>
      <c r="R1008" s="68" t="str">
        <f>IFERROR(CONCATENATE("*",VLOOKUP(L1008,PARAM!D:E,2,0),VLOOKUP(M1008,PARAM!J:K,2,0),VLOOKUP(N1008,PARAM!G:H,2,0),VLOOKUP(P1008,PARAM!P:Q,2,0),"*"),"")</f>
        <v/>
      </c>
      <c r="S1008" s="18" t="str">
        <f>IFERROR(CONCATENATE(VLOOKUP(L1008,PARAM!D:E,2,0),VLOOKUP(M1008,PARAM!J:K,2,0),VLOOKUP(N1008,PARAM!G:H,2,0),VLOOKUP(O1008,PARAM!M:N,2,0),VLOOKUP(P1008,PARAM!P:Q,2,0)),"")</f>
        <v/>
      </c>
      <c r="T1008" s="18">
        <f t="shared" si="4"/>
        <v>0</v>
      </c>
      <c r="U1008" s="18" t="str">
        <f t="shared" si="5"/>
        <v>   </v>
      </c>
    </row>
    <row r="1009">
      <c r="A1009" s="1"/>
      <c r="B1009" s="1"/>
      <c r="C1009" s="1"/>
      <c r="D1009" s="1"/>
      <c r="E1009" s="2"/>
      <c r="F1009" s="1"/>
      <c r="G1009" s="65">
        <f t="shared" si="7"/>
        <v>0</v>
      </c>
      <c r="H1009" s="1"/>
      <c r="I1009" s="1"/>
      <c r="J1009" s="1"/>
      <c r="K1009" s="18"/>
      <c r="L1009" s="18"/>
      <c r="M1009" s="18"/>
      <c r="N1009" s="18"/>
      <c r="O1009" s="18"/>
      <c r="P1009" s="67" t="s">
        <v>503</v>
      </c>
      <c r="Q1009" s="18" t="s">
        <v>476</v>
      </c>
      <c r="R1009" s="68" t="str">
        <f>IFERROR(CONCATENATE("*",VLOOKUP(L1009,PARAM!D:E,2,0),VLOOKUP(M1009,PARAM!J:K,2,0),VLOOKUP(N1009,PARAM!G:H,2,0),VLOOKUP(P1009,PARAM!P:Q,2,0),"*"),"")</f>
        <v/>
      </c>
      <c r="S1009" s="18" t="str">
        <f>IFERROR(CONCATENATE(VLOOKUP(L1009,PARAM!D:E,2,0),VLOOKUP(M1009,PARAM!J:K,2,0),VLOOKUP(N1009,PARAM!G:H,2,0),VLOOKUP(O1009,PARAM!M:N,2,0),VLOOKUP(P1009,PARAM!P:Q,2,0)),"")</f>
        <v/>
      </c>
      <c r="T1009" s="18">
        <f t="shared" si="4"/>
        <v>0</v>
      </c>
      <c r="U1009" s="18" t="str">
        <f t="shared" si="5"/>
        <v>   </v>
      </c>
    </row>
    <row r="1010">
      <c r="A1010" s="1"/>
      <c r="B1010" s="1"/>
      <c r="C1010" s="1"/>
      <c r="D1010" s="1"/>
      <c r="E1010" s="2"/>
      <c r="F1010" s="1"/>
      <c r="G1010" s="65">
        <f t="shared" si="7"/>
        <v>0</v>
      </c>
      <c r="H1010" s="1"/>
      <c r="I1010" s="1"/>
      <c r="J1010" s="1"/>
      <c r="K1010" s="18"/>
      <c r="L1010" s="18"/>
      <c r="M1010" s="18"/>
      <c r="N1010" s="18"/>
      <c r="O1010" s="18"/>
      <c r="P1010" s="67" t="s">
        <v>503</v>
      </c>
      <c r="Q1010" s="18" t="s">
        <v>476</v>
      </c>
      <c r="R1010" s="68" t="str">
        <f>IFERROR(CONCATENATE("*",VLOOKUP(L1010,PARAM!D:E,2,0),VLOOKUP(M1010,PARAM!J:K,2,0),VLOOKUP(N1010,PARAM!G:H,2,0),VLOOKUP(P1010,PARAM!P:Q,2,0),"*"),"")</f>
        <v/>
      </c>
      <c r="S1010" s="18" t="str">
        <f>IFERROR(CONCATENATE(VLOOKUP(L1010,PARAM!D:E,2,0),VLOOKUP(M1010,PARAM!J:K,2,0),VLOOKUP(N1010,PARAM!G:H,2,0),VLOOKUP(O1010,PARAM!M:N,2,0),VLOOKUP(P1010,PARAM!P:Q,2,0)),"")</f>
        <v/>
      </c>
      <c r="T1010" s="18">
        <f t="shared" si="4"/>
        <v>0</v>
      </c>
      <c r="U1010" s="18" t="str">
        <f t="shared" si="5"/>
        <v>   </v>
      </c>
    </row>
    <row r="1011">
      <c r="A1011" s="1"/>
      <c r="B1011" s="1"/>
      <c r="C1011" s="1"/>
      <c r="D1011" s="1"/>
      <c r="E1011" s="2"/>
      <c r="F1011" s="1"/>
      <c r="G1011" s="65">
        <f t="shared" si="7"/>
        <v>0</v>
      </c>
      <c r="H1011" s="1"/>
      <c r="I1011" s="1"/>
      <c r="J1011" s="1"/>
      <c r="K1011" s="18"/>
      <c r="L1011" s="18"/>
      <c r="M1011" s="18"/>
      <c r="N1011" s="18"/>
      <c r="O1011" s="18"/>
      <c r="P1011" s="67" t="s">
        <v>503</v>
      </c>
      <c r="Q1011" s="18" t="s">
        <v>476</v>
      </c>
      <c r="R1011" s="68" t="str">
        <f>IFERROR(CONCATENATE("*",VLOOKUP(L1011,PARAM!D:E,2,0),VLOOKUP(M1011,PARAM!J:K,2,0),VLOOKUP(N1011,PARAM!G:H,2,0),VLOOKUP(P1011,PARAM!P:Q,2,0),"*"),"")</f>
        <v/>
      </c>
      <c r="S1011" s="18" t="str">
        <f>IFERROR(CONCATENATE(VLOOKUP(L1011,PARAM!D:E,2,0),VLOOKUP(M1011,PARAM!J:K,2,0),VLOOKUP(N1011,PARAM!G:H,2,0),VLOOKUP(O1011,PARAM!M:N,2,0),VLOOKUP(P1011,PARAM!P:Q,2,0)),"")</f>
        <v/>
      </c>
      <c r="T1011" s="18">
        <f t="shared" si="4"/>
        <v>0</v>
      </c>
      <c r="U1011" s="18" t="str">
        <f t="shared" si="5"/>
        <v>   </v>
      </c>
    </row>
    <row r="1012">
      <c r="A1012" s="1"/>
      <c r="B1012" s="1"/>
      <c r="C1012" s="1"/>
      <c r="D1012" s="1"/>
      <c r="E1012" s="2"/>
      <c r="F1012" s="1"/>
      <c r="G1012" s="65">
        <f t="shared" si="7"/>
        <v>0</v>
      </c>
      <c r="H1012" s="1"/>
      <c r="I1012" s="1"/>
      <c r="J1012" s="1"/>
      <c r="K1012" s="18"/>
      <c r="L1012" s="18"/>
      <c r="M1012" s="18"/>
      <c r="N1012" s="18"/>
      <c r="O1012" s="18"/>
      <c r="P1012" s="67" t="s">
        <v>503</v>
      </c>
      <c r="Q1012" s="18" t="s">
        <v>476</v>
      </c>
      <c r="R1012" s="68" t="str">
        <f>IFERROR(CONCATENATE("*",VLOOKUP(L1012,PARAM!D:E,2,0),VLOOKUP(M1012,PARAM!J:K,2,0),VLOOKUP(N1012,PARAM!G:H,2,0),VLOOKUP(P1012,PARAM!P:Q,2,0),"*"),"")</f>
        <v/>
      </c>
      <c r="S1012" s="18" t="str">
        <f>IFERROR(CONCATENATE(VLOOKUP(L1012,PARAM!D:E,2,0),VLOOKUP(M1012,PARAM!J:K,2,0),VLOOKUP(N1012,PARAM!G:H,2,0),VLOOKUP(O1012,PARAM!M:N,2,0),VLOOKUP(P1012,PARAM!P:Q,2,0)),"")</f>
        <v/>
      </c>
      <c r="T1012" s="18">
        <f t="shared" si="4"/>
        <v>0</v>
      </c>
      <c r="U1012" s="18" t="str">
        <f t="shared" si="5"/>
        <v>   </v>
      </c>
    </row>
    <row r="1013">
      <c r="A1013" s="1"/>
      <c r="B1013" s="1"/>
      <c r="C1013" s="1"/>
      <c r="D1013" s="1"/>
      <c r="E1013" s="2"/>
      <c r="F1013" s="1"/>
      <c r="G1013" s="65">
        <f t="shared" si="7"/>
        <v>0</v>
      </c>
      <c r="H1013" s="1"/>
      <c r="I1013" s="1"/>
      <c r="J1013" s="1"/>
      <c r="K1013" s="18"/>
      <c r="L1013" s="18"/>
      <c r="M1013" s="18"/>
      <c r="N1013" s="18"/>
      <c r="O1013" s="18"/>
      <c r="P1013" s="67" t="s">
        <v>503</v>
      </c>
      <c r="Q1013" s="18" t="s">
        <v>476</v>
      </c>
      <c r="R1013" s="68" t="str">
        <f>IFERROR(CONCATENATE("*",VLOOKUP(L1013,PARAM!D:E,2,0),VLOOKUP(M1013,PARAM!J:K,2,0),VLOOKUP(N1013,PARAM!G:H,2,0),VLOOKUP(P1013,PARAM!P:Q,2,0),"*"),"")</f>
        <v/>
      </c>
      <c r="S1013" s="18" t="str">
        <f>IFERROR(CONCATENATE(VLOOKUP(L1013,PARAM!D:E,2,0),VLOOKUP(M1013,PARAM!J:K,2,0),VLOOKUP(N1013,PARAM!G:H,2,0),VLOOKUP(O1013,PARAM!M:N,2,0),VLOOKUP(P1013,PARAM!P:Q,2,0)),"")</f>
        <v/>
      </c>
      <c r="T1013" s="18">
        <f t="shared" si="4"/>
        <v>0</v>
      </c>
      <c r="U1013" s="18" t="str">
        <f t="shared" si="5"/>
        <v>   </v>
      </c>
    </row>
  </sheetData>
  <autoFilter ref="$A$2:$U$1013"/>
  <conditionalFormatting sqref="K3:K1013">
    <cfRule type="notContainsBlanks" dxfId="5" priority="1">
      <formula>LEN(TRIM(K3))&gt;0</formula>
    </cfRule>
  </conditionalFormatting>
  <conditionalFormatting sqref="N3:N1013">
    <cfRule type="notContainsBlanks" dxfId="5" priority="2">
      <formula>LEN(TRIM(N3))&gt;0</formula>
    </cfRule>
  </conditionalFormatting>
  <dataValidations>
    <dataValidation type="list" allowBlank="1" showErrorMessage="1" sqref="O3:O66 O68:O1013">
      <formula1>PARAM!$M$2:$M$1013</formula1>
    </dataValidation>
    <dataValidation type="list" allowBlank="1" showErrorMessage="1" sqref="L3:L1013">
      <formula1>PARAM!$D$1:$D$1013</formula1>
    </dataValidation>
    <dataValidation type="list" allowBlank="1" showErrorMessage="1" sqref="K3:K1013">
      <formula1>PARAM!$A$2:$A$1013</formula1>
    </dataValidation>
    <dataValidation type="list" allowBlank="1" showErrorMessage="1" sqref="M3:M64 M68:M1013">
      <formula1>PARAM!$J$2:$J$1013</formula1>
    </dataValidation>
    <dataValidation type="list" allowBlank="1" showErrorMessage="1" sqref="N3:N1013">
      <formula1>"-,1 BOTON,1 BOTON BOTA RECTA,3/4 VALANT,4 BOTONES,4 BOTONES SIN BOLSILLO,A RODILLA,ABIERTA AIR,ACANALADA,ACANALADO CORTO,ACANALADO LARGO,ACOLCHADA,ACOLCHADA LARGA,ADIDAS,AFELPADO,ALEMANIA AAA LOCAL,ALGODON,ALGODON AJUSTADA,ALGODON CAPOTA ESTAMPADO,ALGODON"&amp;" CON CAPOTA ESTAMPADO CREMALLERA,ALGODON CORTA E U,ALGODON CUELLO REDONDO ESTAMPADO,ALGODON OLGADA,ALGODON SIN ESTAMPADO,AMBAR,ANILLO 1,ANILLO 2,ANILLO 3,ANILLO 4,ANILLO 5,ANILLO 6,ANILLO 7,APLICADOR SOMBRA,ARGENTINA AAA LOCAL,ASIMETRICA 1 HOMBRO,ATLETICO"&amp;" MADRID AAA LOCAL 2025,ATLETICO NACIONAL 1.1 LOCAL 2025,ATLETICO NACIONAL AAA 2025,ATLETICO NACIONAL AAA 2026,BAGGI,BAGGI CON BRILLANTES,BALACA TELA,BAMBA SATIN,BARCELONA,BARCELONA AAA VISITANTE 2025,BASICA ALGODON,BAUL,BODY COSMO,BOMBA,BORDADA VALANT,BOT"&amp;"ONES,BRASIL AAA,BRILLANTE,BRILLANTES FIGURAS,BRILLO,BRONCE CAIMAN,BULLS,CADENA DORADA,CAIMAN BRILLO,CAJA GRIS,CAJA GUCCI,CAJA HERMES,CAJA VERSACE,CALVIN KLEIN,CAMISETA ESTAMPADO ALGODON LARGA,CAMPEON,CAMUFLADO,CANDONGA MEDIANA,CANGURO AIR,CANILLERA ADULTO"&amp;",CAPOTA LANA,CAPRIATY,CEREZAS BRILLANTE,CHAPA DORADA,CINTURON ANCHO,CLASICA DRILL,CLASICA FINA,CLASICAS,CLASICO,COLLAR 1,COLLAR 2,COLLAR 3,COLLAR 4,COLLAR 5,COLLAR 6,COLLAR 7,COLOMBIA,COLOMBIA 1.1 LOCAL,COLOMBIA AAA,COLOMBIA CENTENARIO,CON BORDADOS,CON BR"&amp;"ILLANTES,CON CAPOTA,CON CAPOTA ESTAMPADO CREMALLERA,CON PEPAS,CON SIRENA,CONCEDER YEAHKISS,CORAZON LOVE,CORAZON LOVE 1,CORAZON LOVE 2,CORAZON LOVE 3,CORAZON LOVE 4,CORTO,COSMETIQUERA COLORES,CREMALLERA OVERSIZE,CUADRADA 1,CUADRADA 2,CUADRADA 3,CUELLO REDO"&amp;"NDO,CUELLO REDONDO COMBINADO,CUTE RABBIT,DE COLOMBIA,DE TIRAS,DEPORTIVA,DEPORTIVAS,DEPORTIVO,DIADEMA DELGADA,DIADEMA MEDIANA,DIFERENTES MARCAS,DIY BEAR,DOS COLORES,DRILL,DUO,EAR CUFF,ECONOMICA,ELEGANTE,ENTERIZO DEPORTIVO,EQUIPOS,ESPAÑA 1.1 LOCAL,ESPAÑA AA"&amp;"A LOCAL,ESPEJOS LOVE,ESTAMPADO,FASHION,FERREGAMO,FINA HOLALA,FINA MEDIA,FLORES PELUCHE Y DEMAS,GAMUSA,GIRL POWER - DELICIUS CHEESE,GRANDE,H M LUN SIN CAPOTA,HEBILLA ESTRELLA,HEBILLA NEGRA *3,HUGO BOSS,ILUMINADORES SKIN,IMPERMEABLE,IMPORTADA,INGLATERRA AAA"&amp;" LOCAL,INTER DE MILAN AAA LOCAL 2025,INTER MIAMI 1.1 VISITANTE MESSI,ITALIA 90,JAPON AAA LOCAL,JEAN,JEAN CLASICA,JEAN OVEJERA,JEAN TORERA OVEJERA,JOGGER,JUNIOR AAA VISITANTE 2024,JUVENIL,KAIZHELUN, CON CAPOTA,LABIAL,LABIAL CORAZON,LABIAL THE OILY LIPS,LAK"&amp;"ERS,LAPIZ UBC,LARGA HOLALA,LEGGINS UNICOLOR,LICRA,LICRA ACANALADA,LICRA CATTO KIEWO,LICRADA MANGA CORTA,LICRADA MANGA LARGA,LICRADO,LICRADO CORTOS,LICRADO LARGO,LISA ACOLCHADA,LIVERPOOL AAA LOCAL 2025,LIVERPOOL AAA VISITANTE 2025,LOUIS VUITTON,MANCHESTER "&amp;"CITY AAA LOCAL 2025,MANGA CORTA,MANGA LARGA,MANOS LIBRES,MARCADA HOLALA,MARIPOSA,MEDIA CREMALLERA COMBINADO,MEDIANO MURANO DORADO,MEXICO AAA LOCAL,MILLONARIOS 1.1 LOCAL 2025,MILLONARIOS AAA LOCAL 2025,MILLONARIOS CAMISA,MONT BLANC,MOÑAS COLERA,MOÑOS COLOM"&amp;"BIA,MUNDIAL 2026,MURANO BRILLOS,NEGRA CAFE BEIGE,NOCHE,OSCURO CAFE,OTRA CLASE,OVEJERA CUERINA,OVEJERA HAN CHENG,OVERSIZE,OVERSIZE DOS ESTAMPADOS,PACIFIC LICRA,PAÑO,PAQUETE CAUCHOS,PEPAS CHINILLO,PEPITAS BRILLANTES,PEQUEÑO DORADO MURANO ,PESTAÑINAS PAGEVIN"&amp;"E,PINK MINI,PINTUCARA TRICOLOR,PINZAS CABELLO,PLATEADO MEDIANO MURANO,PLAYERO TOUS,POLO,POLO ROMBOS ALGODON,POLO SEDA FRIA,POLO SENCILLA,POLO TIPO GALLETA,POLVO ROSADO,PORTUGAL 1.1 VISITANTE,PORTUGAL AAA,PULSERA 1,PULSERA 2,PULSERA 3,PULSERA 4,PULSERA 5,P"&amp;"ULSERA 6,PULSERA COMBO,RAYAS COMBINADAS,REAL MADRID,REDONDA 1,REDONDA 2,REDONDA 3,RESORTADO CON CAPOTA,RIBETE,RIVER PLATE AAA LOCAL 2025,RODILLA,ROMA,ROMBA,ROMBOS,ROTONDA,RUBOR CORAZON,RUBOR RIMOCOO,RUNNING,SACO ABIERTO,SEDA FRIA,SEDA FRÍA,SHORT,SHORT ARO"&amp;",SHORT PACIFIC,SOMBRA BIGCAKE,SPRAY GROUND,TALONERA HOLALA,TALONERA TOBILLERA,TAPA CONCHA,TEJIDO RAYAS,TERCO NYLON,THE NORTH FACE CON CAPOTA,TINTAS ENGOIL,TIPO GALLETA,TIRA CUELLO,TOBILLERA COTLINE,TOBILLERA GRUESA,TOPO SEGURIDAD,TOPOS DE SEGURIDAD 1,TOPO"&amp;"S DE SEGURIDAD 2,TOPOS DE SEGURIDAD 3,TOTTENHAM AAA LOCAL 2025,TULA,UN ESTAMPADO,UN SOLO HOMBRO,VALANT,VARIOS,VIOTO,YOGA LICRA,ZARCILLO 1,ZARCILLO 2,ZARCILLO 3,ZARCILLO 4,ZARCILLO 5"</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247</v>
      </c>
      <c r="B1" s="4" t="s">
        <v>41</v>
      </c>
      <c r="C1" s="4" t="s">
        <v>40</v>
      </c>
      <c r="D1" s="4" t="s">
        <v>315</v>
      </c>
      <c r="E1" s="4" t="s">
        <v>316</v>
      </c>
      <c r="F1" s="3" t="s">
        <v>42</v>
      </c>
      <c r="G1" s="3" t="s">
        <v>317</v>
      </c>
      <c r="H1" s="4" t="s">
        <v>318</v>
      </c>
      <c r="I1" s="4" t="s">
        <v>348</v>
      </c>
      <c r="J1" s="4" t="s">
        <v>349</v>
      </c>
      <c r="K1" s="3" t="s">
        <v>350</v>
      </c>
      <c r="L1" s="3" t="s">
        <v>322</v>
      </c>
      <c r="M1" s="4" t="s">
        <v>323</v>
      </c>
    </row>
    <row r="2">
      <c r="A2" s="4" t="s">
        <v>503</v>
      </c>
      <c r="B2" s="4" t="s">
        <v>2071</v>
      </c>
      <c r="C2" s="4"/>
      <c r="D2" s="4"/>
      <c r="E2" s="4"/>
      <c r="F2" s="3"/>
      <c r="G2" s="2"/>
      <c r="H2" s="35"/>
      <c r="I2" s="1"/>
      <c r="J2" s="1"/>
      <c r="K2" s="3"/>
      <c r="L2" s="36">
        <f t="shared" ref="L2:L5" si="1">K2*E2</f>
        <v>0</v>
      </c>
      <c r="M2" s="1"/>
    </row>
    <row r="3">
      <c r="A3" s="4" t="s">
        <v>503</v>
      </c>
      <c r="B3" s="4" t="s">
        <v>2072</v>
      </c>
      <c r="C3" s="4" t="s">
        <v>2073</v>
      </c>
      <c r="D3" s="4" t="s">
        <v>2074</v>
      </c>
      <c r="E3" s="4">
        <v>1.0</v>
      </c>
      <c r="F3" s="3">
        <v>0.0</v>
      </c>
      <c r="G3" s="2">
        <f t="shared" ref="G3:G5" si="2">F3*E3</f>
        <v>0</v>
      </c>
      <c r="H3" s="40" t="s">
        <v>2075</v>
      </c>
      <c r="I3" s="1"/>
      <c r="J3" s="1"/>
      <c r="K3" s="3">
        <v>3500000.0</v>
      </c>
      <c r="L3" s="36">
        <f t="shared" si="1"/>
        <v>3500000</v>
      </c>
      <c r="M3" s="40" t="s">
        <v>2075</v>
      </c>
    </row>
    <row r="4">
      <c r="A4" s="4" t="s">
        <v>503</v>
      </c>
      <c r="B4" s="4" t="s">
        <v>2072</v>
      </c>
      <c r="C4" s="4" t="s">
        <v>2076</v>
      </c>
      <c r="D4" s="4" t="s">
        <v>2077</v>
      </c>
      <c r="E4" s="4">
        <v>1.0</v>
      </c>
      <c r="F4" s="3">
        <v>0.0</v>
      </c>
      <c r="G4" s="2">
        <f t="shared" si="2"/>
        <v>0</v>
      </c>
      <c r="H4" s="1"/>
      <c r="I4" s="4">
        <v>3.107822754E9</v>
      </c>
      <c r="J4" s="4" t="s">
        <v>2078</v>
      </c>
      <c r="K4" s="3"/>
      <c r="L4" s="36">
        <f t="shared" si="1"/>
        <v>0</v>
      </c>
      <c r="M4" s="1"/>
    </row>
    <row r="5">
      <c r="A5" s="4" t="s">
        <v>503</v>
      </c>
      <c r="B5" s="4" t="s">
        <v>2072</v>
      </c>
      <c r="C5" s="4" t="s">
        <v>2079</v>
      </c>
      <c r="D5" s="4" t="s">
        <v>2080</v>
      </c>
      <c r="E5" s="4">
        <v>3.0</v>
      </c>
      <c r="F5" s="3">
        <v>0.0</v>
      </c>
      <c r="G5" s="2">
        <f t="shared" si="2"/>
        <v>0</v>
      </c>
      <c r="H5" s="40" t="s">
        <v>2081</v>
      </c>
      <c r="I5" s="1"/>
      <c r="J5" s="4" t="s">
        <v>2082</v>
      </c>
      <c r="K5" s="3">
        <v>242000.0</v>
      </c>
      <c r="L5" s="36">
        <f t="shared" si="1"/>
        <v>726000</v>
      </c>
      <c r="M5" s="40" t="s">
        <v>2081</v>
      </c>
    </row>
  </sheetData>
  <hyperlinks>
    <hyperlink r:id="rId1" location="polycard_client=search-desktop&amp;searchVariation=188213632125&amp;search_layout=grid&amp;position=8&amp;type=item&amp;tracking_id=085e25f0-715c-4b1e-bb14-cfab4419a807" ref="H3"/>
    <hyperlink r:id="rId2" location="polycard_client=search-desktop&amp;searchVariation=188213632125&amp;search_layout=grid&amp;position=8&amp;type=item&amp;tracking_id=085e25f0-715c-4b1e-bb14-cfab4419a807" ref="M3"/>
    <hyperlink r:id="rId3" location="polycard_client=search-desktop&amp;search_layout=grid&amp;position=38&amp;type=product&amp;tracking_id=f5b33190-a38d-43a7-9cf2-10ce38fbd630&amp;wid=MCO1374987657&amp;sid=search" ref="H5"/>
    <hyperlink r:id="rId4" location="polycard_client=search-desktop&amp;search_layout=grid&amp;position=38&amp;type=product&amp;tracking_id=f5b33190-a38d-43a7-9cf2-10ce38fbd630&amp;wid=MCO1374987657&amp;sid=search" ref="M5"/>
  </hyperlinks>
  <drawing r:id="rId5"/>
</worksheet>
</file>